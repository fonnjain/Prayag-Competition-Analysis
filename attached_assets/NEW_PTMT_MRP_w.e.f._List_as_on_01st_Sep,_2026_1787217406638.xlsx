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DEX" sheetId="1" r:id="rId5"/>
    <sheet state="hidden" name="Points" sheetId="2" r:id="rId6"/>
    <sheet state="hidden" name="MASTER" sheetId="3" r:id="rId7"/>
    <sheet state="hidden" name="PTMT RANGE" sheetId="4" r:id="rId8"/>
    <sheet state="visible" name="Allied" sheetId="5" r:id="rId9"/>
    <sheet state="visible" name="NEW PTMT" sheetId="6" r:id="rId10"/>
    <sheet state="hidden" name="NEW ITEMS" sheetId="7" r:id="rId11"/>
    <sheet state="visible" name="COLOUR WISE" sheetId="8" r:id="rId12"/>
    <sheet state="visible" name="NEW CISTERN &amp; SEAT COVER" sheetId="9" r:id="rId13"/>
    <sheet state="visible" name="GARDEN PIPE" sheetId="10" r:id="rId14"/>
    <sheet state="hidden" name="PACKING" sheetId="11" r:id="rId15"/>
    <sheet state="visible" name="SINK" sheetId="12" r:id="rId16"/>
  </sheets>
  <definedNames>
    <definedName hidden="1" localSheetId="2" name="_xlnm._FilterDatabase">MASTER!$A$1:$I$1831</definedName>
    <definedName hidden="1" localSheetId="5" name="_xlnm._FilterDatabase">'NEW PTMT'!$B$2:$K$902</definedName>
    <definedName hidden="1" localSheetId="7" name="_xlnm._FilterDatabase">'COLOUR WISE'!$B$2:$L$1406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18">
      <text>
        <t xml:space="preserve">" 1181-C " Before Changed</t>
      </text>
    </comment>
    <comment authorId="0" ref="F717">
      <text>
        <t xml:space="preserve">" 1179-C " Before Changed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93">
      <text>
        <t xml:space="preserve">5120 /- MRP by mistakenly printed on Catalogue</t>
      </text>
    </comment>
  </commentList>
</comments>
</file>

<file path=xl/sharedStrings.xml><?xml version="1.0" encoding="utf-8"?>
<sst xmlns="http://schemas.openxmlformats.org/spreadsheetml/2006/main" count="17147" uniqueCount="3564">
  <si>
    <t>TYPE</t>
  </si>
  <si>
    <t>* Prayag</t>
  </si>
  <si>
    <t>* Pearl</t>
  </si>
  <si>
    <t xml:space="preserve">SERIES  </t>
  </si>
  <si>
    <t>CAT No.</t>
  </si>
  <si>
    <t>NAME</t>
  </si>
  <si>
    <t>OLD MRP</t>
  </si>
  <si>
    <t>Quadra Series</t>
  </si>
  <si>
    <t>Edge</t>
  </si>
  <si>
    <t>NEW MRP</t>
  </si>
  <si>
    <t>PACKING</t>
  </si>
  <si>
    <t>Diamond Series</t>
  </si>
  <si>
    <t>Royal</t>
  </si>
  <si>
    <t>STANDARD Series Old Handle</t>
  </si>
  <si>
    <t>Standard</t>
  </si>
  <si>
    <r>
      <rPr>
        <rFont val="Calibri"/>
        <color rgb="FF000000"/>
        <sz val="12.0"/>
      </rPr>
      <t>S.NO</t>
    </r>
    <r>
      <rPr>
        <rFont val="Calibri"/>
        <color theme="1"/>
        <sz val="12.0"/>
      </rPr>
      <t>.</t>
    </r>
  </si>
  <si>
    <t>MRP</t>
  </si>
  <si>
    <t>Customised</t>
  </si>
  <si>
    <t>correct</t>
  </si>
  <si>
    <t>unique</t>
  </si>
  <si>
    <t>PTMT</t>
  </si>
  <si>
    <t>Allied</t>
  </si>
  <si>
    <t>STANDARD Series</t>
  </si>
  <si>
    <t>CNS-15</t>
  </si>
  <si>
    <t>GOVT. DEPT.</t>
  </si>
  <si>
    <t>Concealed Stop Cock Suitable For 15mm Pipe Line with 1/2" Spindle</t>
  </si>
  <si>
    <t>SPECIAL RANGES</t>
  </si>
  <si>
    <t>Cobra Series</t>
  </si>
  <si>
    <t>Eva</t>
  </si>
  <si>
    <t>ItemCode</t>
  </si>
  <si>
    <t>ItemName</t>
  </si>
  <si>
    <t>Net Weight KG</t>
  </si>
  <si>
    <t>Vitro Series</t>
  </si>
  <si>
    <t>Royal Plus</t>
  </si>
  <si>
    <t>IBIX</t>
  </si>
  <si>
    <t>with ALL COLOURS</t>
  </si>
  <si>
    <t>Black Pearl</t>
  </si>
  <si>
    <t>Regal</t>
  </si>
  <si>
    <t>White</t>
  </si>
  <si>
    <t>1216 D</t>
  </si>
  <si>
    <t>S.S. SINK S/B SOLITAIRE 16*18*8</t>
  </si>
  <si>
    <t>STANDARD</t>
  </si>
  <si>
    <t>ROMAN</t>
  </si>
  <si>
    <t>Ivory</t>
  </si>
  <si>
    <t>1216 D MATT</t>
  </si>
  <si>
    <t>S.S. SINK S/B SOLITAIRE 16*18*8 MATT</t>
  </si>
  <si>
    <t>DIAMOND</t>
  </si>
  <si>
    <t>ROYAL</t>
  </si>
  <si>
    <t>GRAND</t>
  </si>
  <si>
    <t>Blue</t>
  </si>
  <si>
    <t>Black Sapphire</t>
  </si>
  <si>
    <t>1217 D</t>
  </si>
  <si>
    <t>S.S.SINK S/B SOLITAIRE 18*18*8.</t>
  </si>
  <si>
    <t>Crystal</t>
  </si>
  <si>
    <t>FLORA</t>
  </si>
  <si>
    <t>VITRO</t>
  </si>
  <si>
    <t>O Blue</t>
  </si>
  <si>
    <t>Cobra</t>
  </si>
  <si>
    <t>1218 D</t>
  </si>
  <si>
    <t>S.S.SINK S/B SOLITAIRE 17*20*8</t>
  </si>
  <si>
    <t>COBRA</t>
  </si>
  <si>
    <t>HI-FLO PRIME</t>
  </si>
  <si>
    <t>Helix</t>
  </si>
  <si>
    <t>BLACK PEARL</t>
  </si>
  <si>
    <t>Standard (Old Handle)</t>
  </si>
  <si>
    <t>Standard (New Handle)</t>
  </si>
  <si>
    <t>Green</t>
  </si>
  <si>
    <t>1218 D MATT</t>
  </si>
  <si>
    <t>S.S.SINK S/B SOLITAIRE 17X20X8 (MATT)</t>
  </si>
  <si>
    <t>REGAL</t>
  </si>
  <si>
    <t>Diamond</t>
  </si>
  <si>
    <t>M Green</t>
  </si>
  <si>
    <t>CNS-20</t>
  </si>
  <si>
    <t>Concealed Stop Cock Suitable For 20mm Pipe Line with 1/2" Spindle</t>
  </si>
  <si>
    <t>1220 D</t>
  </si>
  <si>
    <t>S.S.SINK S/B SOLITAIRE 18*21*8</t>
  </si>
  <si>
    <t>Flora</t>
  </si>
  <si>
    <t>Astra</t>
  </si>
  <si>
    <t>FANCY</t>
  </si>
  <si>
    <t>Pink</t>
  </si>
  <si>
    <t>Quadra</t>
  </si>
  <si>
    <t>Apex</t>
  </si>
  <si>
    <t>PQ-18</t>
  </si>
  <si>
    <t>1220 D MATT</t>
  </si>
  <si>
    <t>Concealed Stop Cock (Handle, Sleeve &amp; Flange Only)</t>
  </si>
  <si>
    <t>S.S.SINK S/B SOLITAIRE 18x21x8</t>
  </si>
  <si>
    <t>NOVO</t>
  </si>
  <si>
    <t>EDGE</t>
  </si>
  <si>
    <t>Ebon</t>
  </si>
  <si>
    <t>Burgundy</t>
  </si>
  <si>
    <t>1222 D</t>
  </si>
  <si>
    <t>S.S.SINK S/B SOLITAIRE 22*18*8</t>
  </si>
  <si>
    <t>LAGOONA</t>
  </si>
  <si>
    <t>SUPERB</t>
  </si>
  <si>
    <t>1222 D MATT</t>
  </si>
  <si>
    <t>S.S.SINK S/B SOLITAIRE 22X18X8</t>
  </si>
  <si>
    <t>S. No.</t>
  </si>
  <si>
    <t>DELTA</t>
  </si>
  <si>
    <t>Delta</t>
  </si>
  <si>
    <t>CURVE</t>
  </si>
  <si>
    <t>1.3 of Quadra</t>
  </si>
  <si>
    <t>3 IN 1</t>
  </si>
  <si>
    <t>Item Code</t>
  </si>
  <si>
    <t>FF</t>
  </si>
  <si>
    <t>Ibix</t>
  </si>
  <si>
    <t>TALL</t>
  </si>
  <si>
    <t>1.3 of Ovian</t>
  </si>
  <si>
    <t>Item Name</t>
  </si>
  <si>
    <t>1223 D</t>
  </si>
  <si>
    <t>S.S.SINK S/B SOLITAIRE 21*17*8</t>
  </si>
  <si>
    <t>Grand</t>
  </si>
  <si>
    <t>1.3 of Standard</t>
  </si>
  <si>
    <t>Vitro</t>
  </si>
  <si>
    <t>EROSA</t>
  </si>
  <si>
    <t>Roman</t>
  </si>
  <si>
    <t>1.3 of Helix</t>
  </si>
  <si>
    <t>3 in 1 Wall Mixer Telephonic with Crutch &amp; Wall Flange (Hand Shower with 1.5 Mtr PVC Tube)</t>
  </si>
  <si>
    <t>Novo</t>
  </si>
  <si>
    <t>Ultra</t>
  </si>
  <si>
    <t>This New Range Introduced of Same Ryan Range in Fern</t>
  </si>
  <si>
    <t>Ovian</t>
  </si>
  <si>
    <t>Lagoona</t>
  </si>
  <si>
    <t>3 in 1 Wall Mixer Telephonic with Crutch &amp; Wall Flange (Provision For Hand Shower)</t>
  </si>
  <si>
    <t>1223-DM</t>
  </si>
  <si>
    <t>S.S.SINK S/B SOLITAIRE 21*17*8 (MATT)</t>
  </si>
  <si>
    <t>This New Range Introduced of Same Stella Range in Fern</t>
  </si>
  <si>
    <t>Sapphire</t>
  </si>
  <si>
    <t>ULTRA</t>
  </si>
  <si>
    <t>Erosa</t>
  </si>
  <si>
    <t>Luxor</t>
  </si>
  <si>
    <t>Glory</t>
  </si>
  <si>
    <t>2 in 1 Telephonic Wall Mixer with Crutch &amp; Flange (Hand Shower with 1.5 Mtr PVC Tube)</t>
  </si>
  <si>
    <t>1224 D</t>
  </si>
  <si>
    <t>S.S.SINK S/B SOLITAIRE 24*18*8</t>
  </si>
  <si>
    <t>OVIAN</t>
  </si>
  <si>
    <t>1224 SD</t>
  </si>
  <si>
    <t>S.S. SINK 24*18*10 S/B</t>
  </si>
  <si>
    <t>1224 SDMAT</t>
  </si>
  <si>
    <t>S.S. SINK 24*18*10 S/B MATT</t>
  </si>
  <si>
    <t>HELIX</t>
  </si>
  <si>
    <t>1224 XD</t>
  </si>
  <si>
    <t>S.S.SINK S/B SOLITAIRE 24*18*9</t>
  </si>
  <si>
    <t>SAPPHIRE</t>
  </si>
  <si>
    <t>1224 XD MATT</t>
  </si>
  <si>
    <t>S.S.SINK S/B SOLITAIRE 24*18*9 (MATT)</t>
  </si>
  <si>
    <t>B SAPPHIRE</t>
  </si>
  <si>
    <t>1225 D</t>
  </si>
  <si>
    <t>S.S.SINK S/B  SOLITAIRE 24*20*8</t>
  </si>
  <si>
    <t>STD. (OLD)</t>
  </si>
  <si>
    <t>1225 D MATT</t>
  </si>
  <si>
    <t>S.S.SINK S/B  SOLITAIRE 24*20*8 MATT</t>
  </si>
  <si>
    <t>146-Q</t>
  </si>
  <si>
    <t>Concealed Stop Cock Spindle 15mm &amp; Body 15mm</t>
  </si>
  <si>
    <t>STD.</t>
  </si>
  <si>
    <t>1226 D</t>
  </si>
  <si>
    <t>S.S.SINK S/B SOLITAIRE 24*24*8</t>
  </si>
  <si>
    <t>CRYSTAL</t>
  </si>
  <si>
    <t>1226 D MATT</t>
  </si>
  <si>
    <t>S.S.SINK S/B SOLITAIRE 24*24*8 (MATT)</t>
  </si>
  <si>
    <t>1230 D</t>
  </si>
  <si>
    <t>S.S SINK S/B+D/B BRONZE 32*20*8</t>
  </si>
  <si>
    <t>1230 D MATT</t>
  </si>
  <si>
    <t>S.S SINK S/B+D/B BRONZE 32*20*8 (MATT)</t>
  </si>
  <si>
    <t>148-Q</t>
  </si>
  <si>
    <t>1232 DMAT</t>
  </si>
  <si>
    <t>Concealed Stop Cock Spindle 20mm &amp; Body 20mm</t>
  </si>
  <si>
    <t>S.S.SINK D/B SOLITAIRE 32*20*8 MATT</t>
  </si>
  <si>
    <t>1239 D</t>
  </si>
  <si>
    <t>S.S. SINK S/B SOLITAIRE 36*18*8</t>
  </si>
  <si>
    <t>ASTRA</t>
  </si>
  <si>
    <t>1239 D MATT</t>
  </si>
  <si>
    <t>S.S. SINK S/B SOLITAIRE 36*18*8 matt</t>
  </si>
  <si>
    <t>APEX</t>
  </si>
  <si>
    <t>1240 D</t>
  </si>
  <si>
    <t>S.S.SINK S/B SOLITAIRE 37*18*8</t>
  </si>
  <si>
    <t>EBON</t>
  </si>
  <si>
    <t>1240-D MATT</t>
  </si>
  <si>
    <t>S.S.SINK S/B SOLITAIRE matt 37*18*8</t>
  </si>
  <si>
    <t>PD-18</t>
  </si>
  <si>
    <t>1242 D</t>
  </si>
  <si>
    <t>S.S.SINK D/B SOLITAIRE 37*18*8</t>
  </si>
  <si>
    <t>1242 D MATT</t>
  </si>
  <si>
    <t>S.S.SINK D/B SOLITAIRE 37*18*8 MATT</t>
  </si>
  <si>
    <t>1244 D</t>
  </si>
  <si>
    <t>S.S.SINK S/B SOLITAIRE 41*20*8</t>
  </si>
  <si>
    <t>QUADRA</t>
  </si>
  <si>
    <t>1244 D MATT</t>
  </si>
  <si>
    <t>S.S.SINK S/B SOLITAIRE 41*20*8 (MATT)</t>
  </si>
  <si>
    <t>146-D</t>
  </si>
  <si>
    <t>1250 D</t>
  </si>
  <si>
    <t>S.S.SINK D/B SOLITAIRE 45*20*8</t>
  </si>
  <si>
    <t>1250 D MATT</t>
  </si>
  <si>
    <t>S.S.SINK D/B SOLITAIRE 45*20*8 (MATT)</t>
  </si>
  <si>
    <t>1250 SD</t>
  </si>
  <si>
    <t>S.S.SINK D/B SOLITAIRE 45*20*10</t>
  </si>
  <si>
    <t>1250 SD MATT</t>
  </si>
  <si>
    <t>S.S.SINK D/B SOLITAIRE 45X20X10</t>
  </si>
  <si>
    <t>1250 XD</t>
  </si>
  <si>
    <t>S.S.SINK D/B 45*20*9 (ISI)</t>
  </si>
  <si>
    <t>148-D</t>
  </si>
  <si>
    <t>1250 XD MATT</t>
  </si>
  <si>
    <t>S.S.SINK D/B 45*20*9 (ISI) MAT</t>
  </si>
  <si>
    <t>1252 D</t>
  </si>
  <si>
    <t>S.S.SINK DRAIN/BOARD 45*20*8</t>
  </si>
  <si>
    <t>1252 D MATT</t>
  </si>
  <si>
    <t>S.S.SINK DRAIN/BOARD SOLITAIRE 45*20*8 M</t>
  </si>
  <si>
    <t>1316 D</t>
  </si>
  <si>
    <t>S.S.SINK 18*16*8 (204)</t>
  </si>
  <si>
    <t>121-F</t>
  </si>
  <si>
    <t>1318 D</t>
  </si>
  <si>
    <t>S.S.SINK S/B 20*17*8</t>
  </si>
  <si>
    <t>PI-18</t>
  </si>
  <si>
    <t>1324 D</t>
  </si>
  <si>
    <t>S.S.SINK 24*18*8 (204)</t>
  </si>
  <si>
    <t>1324-D</t>
  </si>
  <si>
    <t>S S SINK S/B 24X18X8 (304)</t>
  </si>
  <si>
    <t>1324-XD</t>
  </si>
  <si>
    <t>S.S.SINK S/B 24*18*9(304)</t>
  </si>
  <si>
    <t>1332 D</t>
  </si>
  <si>
    <t>S.S.SINK D/B 32*20*8 (204)</t>
  </si>
  <si>
    <t>1339 D</t>
  </si>
  <si>
    <t>S.S.SINK S/B 36*18*8 (204)</t>
  </si>
  <si>
    <t>1342D</t>
  </si>
  <si>
    <t>S.S.SINK D/B  37*18*8</t>
  </si>
  <si>
    <t>1344 D</t>
  </si>
  <si>
    <t>S.S.SINK S/B 16*14*8</t>
  </si>
  <si>
    <t>146-I</t>
  </si>
  <si>
    <t>1350 D</t>
  </si>
  <si>
    <t>S S SINK D/B 45X20X8(304)</t>
  </si>
  <si>
    <t>1352-D</t>
  </si>
  <si>
    <t>S.S.SINK S/B 20*16*8</t>
  </si>
  <si>
    <t>816 D</t>
  </si>
  <si>
    <t>S.S.SINK S/B CROMA 16*18*8</t>
  </si>
  <si>
    <t>816DM</t>
  </si>
  <si>
    <t>S.S.SINK S/B CROMA 16*18*8 MATT</t>
  </si>
  <si>
    <t>818D</t>
  </si>
  <si>
    <t>S.S.SINK S/B CROMA 17*20*8</t>
  </si>
  <si>
    <t>818DM</t>
  </si>
  <si>
    <t>S.S.SINK S/B CROMA 17*20*8 MATT</t>
  </si>
  <si>
    <t>820 D</t>
  </si>
  <si>
    <t>S.S.SINK S/B CROMA18*21*8</t>
  </si>
  <si>
    <t>820 DM</t>
  </si>
  <si>
    <t>S.S SINK S/B CROMA 21*18*8</t>
  </si>
  <si>
    <t>822 D MATT</t>
  </si>
  <si>
    <t>SINK 22*18*8 MATT</t>
  </si>
  <si>
    <t>822D</t>
  </si>
  <si>
    <t>S.S.SINK S/B CROMA 18*22*8</t>
  </si>
  <si>
    <t>823-D</t>
  </si>
  <si>
    <t>S.S.SINK S/B CROMA 21*17*8</t>
  </si>
  <si>
    <t>148-I</t>
  </si>
  <si>
    <t>824 D</t>
  </si>
  <si>
    <t>S.S.SINK S/B CROMA 24*18*8</t>
  </si>
  <si>
    <t>824 D MATT</t>
  </si>
  <si>
    <t>SINK 24*18*8 MATT</t>
  </si>
  <si>
    <t>824 SD</t>
  </si>
  <si>
    <t>S.S.SINK S/B CROMA 24*18*10</t>
  </si>
  <si>
    <t>824 SDM</t>
  </si>
  <si>
    <t>SINK MATT 24x18x10</t>
  </si>
  <si>
    <t>824 XD</t>
  </si>
  <si>
    <t>S.S.SINK S/B CROMA 24*18*9</t>
  </si>
  <si>
    <t>824XDM</t>
  </si>
  <si>
    <t>S.S SINK S/B  24*18*9</t>
  </si>
  <si>
    <t>825-D</t>
  </si>
  <si>
    <t>S.S. SINK S/B CROMA 24*20*8</t>
  </si>
  <si>
    <t>PR-18</t>
  </si>
  <si>
    <t>839 D</t>
  </si>
  <si>
    <t>S.S SINK S/B CROMA 36*18*8</t>
  </si>
  <si>
    <t>839DM</t>
  </si>
  <si>
    <t>SINK WITH DRAIN BOARD 36X18X8</t>
  </si>
  <si>
    <t>840 D</t>
  </si>
  <si>
    <t>S.S.SINK CROMA SERIES 37*18*8</t>
  </si>
  <si>
    <t>840 DM</t>
  </si>
  <si>
    <t>S.S.SINK S/B CROMA 37*18*8 MATT</t>
  </si>
  <si>
    <t>842 D</t>
  </si>
  <si>
    <t>S.S.SINK CROMA SERIES D/B 37*18*8.</t>
  </si>
  <si>
    <t>842 DM</t>
  </si>
  <si>
    <t>SINK MATT 37x18x8</t>
  </si>
  <si>
    <t>850 D</t>
  </si>
  <si>
    <t>S.S.SINK D/B CROMA 45*20*8</t>
  </si>
  <si>
    <t>146-R</t>
  </si>
  <si>
    <t>850 DM</t>
  </si>
  <si>
    <t>S.S SINK D/B CROMA 45*20*8</t>
  </si>
  <si>
    <t>850 XD</t>
  </si>
  <si>
    <t>S.S.SINK D/B CROMA 45*20*9</t>
  </si>
  <si>
    <t>850 XDM</t>
  </si>
  <si>
    <t>SINK DOUBLE BOWL 45*20*9 MATT</t>
  </si>
  <si>
    <t>852 DM</t>
  </si>
  <si>
    <t>S.S SINK S/D+D/B BRONZE 45*20*8</t>
  </si>
  <si>
    <t>852-D</t>
  </si>
  <si>
    <t>S.S.SINK CROMA SERIES 45*20*8</t>
  </si>
  <si>
    <t>911D</t>
  </si>
  <si>
    <t>S.S.SINK S/B BRONZE 18*18*8</t>
  </si>
  <si>
    <t>148-R</t>
  </si>
  <si>
    <t>911D MATT</t>
  </si>
  <si>
    <t>S.S.SINK S/B BRONZE 18*18*8 MATT</t>
  </si>
  <si>
    <t>S.S.SINK S/B BRONZE 16*18*7</t>
  </si>
  <si>
    <t>916  MATT</t>
  </si>
  <si>
    <t>S.S.SINK S/B BRONZE 16*18*7 MATT</t>
  </si>
  <si>
    <t>916 D</t>
  </si>
  <si>
    <t>S.S.SINK S/B BRONZE 16*18*8</t>
  </si>
  <si>
    <t>916 D MAT</t>
  </si>
  <si>
    <t>S.S.SINK S/B BRONZE 16*18*8 MATT</t>
  </si>
  <si>
    <t>S.S.SINK S/B BRONZE 18*18*7.</t>
  </si>
  <si>
    <t>918 D</t>
  </si>
  <si>
    <t>S.S.SINK S/B BRONZE 17*20*8</t>
  </si>
  <si>
    <t>123-NN</t>
  </si>
  <si>
    <t>Bib Cock Fancy 15mm (Foam Flow) with Flange</t>
  </si>
  <si>
    <t>918 D MATT</t>
  </si>
  <si>
    <t>S.S.SINK S/B BRONZE 17*20*8 MATT</t>
  </si>
  <si>
    <t>920 D</t>
  </si>
  <si>
    <t>S.S.SINK S/B BRONZE 18*21*8</t>
  </si>
  <si>
    <t>920 D MATT</t>
  </si>
  <si>
    <t>S.S.SINK S/B BRONZE 18*21*8 MATT</t>
  </si>
  <si>
    <t>922 D</t>
  </si>
  <si>
    <t>S.S.SINK S/B BRONZE 18*22*8</t>
  </si>
  <si>
    <t>922 D MATT</t>
  </si>
  <si>
    <t>S.S.SINK S/B BRONZE 18*22*8 MATT</t>
  </si>
  <si>
    <t>923D</t>
  </si>
  <si>
    <t>S.S SINK S/B  21*17*8</t>
  </si>
  <si>
    <t>924 D</t>
  </si>
  <si>
    <t>S.S.SINK S/B BRONZE 24*18*8</t>
  </si>
  <si>
    <t>924 D MATT</t>
  </si>
  <si>
    <t>S.S.SINK S/B BRONZE 24*18*8 MATT</t>
  </si>
  <si>
    <t>924 SD</t>
  </si>
  <si>
    <t>S.S.SINK S/B BRONZE 24*18*10,</t>
  </si>
  <si>
    <t>924 SD MATT</t>
  </si>
  <si>
    <t>S.S.SINK S/B BRONZE 24*18*10,MATT</t>
  </si>
  <si>
    <t>924 XD</t>
  </si>
  <si>
    <t>S.S.SINK S/B BRONZE 24*18*9</t>
  </si>
  <si>
    <t>924 XD MATT</t>
  </si>
  <si>
    <t>S.S.SINK S/B BRONZE 24*18*9,matt</t>
  </si>
  <si>
    <t>925 D</t>
  </si>
  <si>
    <t>S.S.SINK S/B BRONZE 24*20*8</t>
  </si>
  <si>
    <t>Bib Cock Fancy with Flange</t>
  </si>
  <si>
    <t>926 D</t>
  </si>
  <si>
    <t>S.S.SINK S/B BRONZE 24*24*8</t>
  </si>
  <si>
    <t>926 D MATT</t>
  </si>
  <si>
    <t>S.S.SINK S/B BRONZE 24*24*8 (MATT)</t>
  </si>
  <si>
    <t>124-N</t>
  </si>
  <si>
    <t>Bib Cock Long Body 15mm (Foam Flow) with Flange</t>
  </si>
  <si>
    <t>930 D</t>
  </si>
  <si>
    <t>S.S.SINK S/B+ BRONZE 32*20*8</t>
  </si>
  <si>
    <t>932 D</t>
  </si>
  <si>
    <t>S.S.SINK D/B+ BRONZE 32*20*8</t>
  </si>
  <si>
    <t>932 D MATT</t>
  </si>
  <si>
    <t>S.S.SINK D/B+ BRONZE 32X20X8</t>
  </si>
  <si>
    <t>939 D</t>
  </si>
  <si>
    <t>S.S.SINK S/B+D/B BRONZE 36*18*8</t>
  </si>
  <si>
    <t>939 DMATT</t>
  </si>
  <si>
    <t>S.S.SINK S/B+D/B BRONZE 36*18*8 MATT</t>
  </si>
  <si>
    <t>940 D</t>
  </si>
  <si>
    <t>S.S.SINK S/B+D/B BRONZE 37*18*8</t>
  </si>
  <si>
    <t>940 D MATT</t>
  </si>
  <si>
    <t>S.S.SINK S/B+D/B BRONZE 37*18*8 matt</t>
  </si>
  <si>
    <t>942 D</t>
  </si>
  <si>
    <t>S.S.SINK D/B BRONZE 37*18*8</t>
  </si>
  <si>
    <t>942 D MATT</t>
  </si>
  <si>
    <t>S.S.SINK D/B BRONZE 37*18*8 MATT</t>
  </si>
  <si>
    <t>Bib Cock Long Body with Flange</t>
  </si>
  <si>
    <t>2 Way Angle Cock with Flange</t>
  </si>
  <si>
    <t>944 D</t>
  </si>
  <si>
    <t>S.S.SINK S/B+D/B BRONZE 41*20*8</t>
  </si>
  <si>
    <t>127-N</t>
  </si>
  <si>
    <t>Bib Cock Nozzle with Flange</t>
  </si>
  <si>
    <t>944 D MATT</t>
  </si>
  <si>
    <t>S.S.SINK S/B+D/B BRONZE 41*20*8 (MATT)</t>
  </si>
  <si>
    <t>950 D</t>
  </si>
  <si>
    <t>S.S.SINK D/B BRONZE 45*20*8</t>
  </si>
  <si>
    <t>950 DMATT</t>
  </si>
  <si>
    <t>S.S.SINK D/B BRONZE 45*20*8 matt</t>
  </si>
  <si>
    <t>950 SD</t>
  </si>
  <si>
    <t>S.S.SINK D/B BRONZE 45*20*10</t>
  </si>
  <si>
    <t>950 SD MATT</t>
  </si>
  <si>
    <t>S.S.SINK D/B BRONZE 45X20X10</t>
  </si>
  <si>
    <t>950 XD</t>
  </si>
  <si>
    <t>S.S.SINK D/B BRONZE 45*20*9</t>
  </si>
  <si>
    <t>950 XD MATT</t>
  </si>
  <si>
    <t>S.S.SINK D/B BRONZE MATT45*20*9</t>
  </si>
  <si>
    <t>2 Way Bib Cock with Flange</t>
  </si>
  <si>
    <t>952 D</t>
  </si>
  <si>
    <t>129-N</t>
  </si>
  <si>
    <t>S.S.SINK S/B+D/B BRONZE 45*20*8</t>
  </si>
  <si>
    <t>2 Way Bib Cock Foam Flow with Flange</t>
  </si>
  <si>
    <t>952 D MATT</t>
  </si>
  <si>
    <t>S.S.SINK S/B+D/B BRONZE 45*20*8 (MATT)</t>
  </si>
  <si>
    <t>FT-02</t>
  </si>
  <si>
    <t>FLOOR TRAP 3"(80 mm)</t>
  </si>
  <si>
    <t>FT-02 MATT</t>
  </si>
  <si>
    <t>FLOOR TRAP 3" (80 MM) MATT</t>
  </si>
  <si>
    <t>FT-03</t>
  </si>
  <si>
    <t>FLOOR TRAP 4"(102 Mm)</t>
  </si>
  <si>
    <t>FT-03 Matt</t>
  </si>
  <si>
    <t>FLOOR TRAP 3"(75 Mm) Matt</t>
  </si>
  <si>
    <t>FT-04</t>
  </si>
  <si>
    <t>FLOOR TRAP 4" With Waste Hole(102 Mm)</t>
  </si>
  <si>
    <t>Angle Cock with Flange</t>
  </si>
  <si>
    <t>FT-04 matt</t>
  </si>
  <si>
    <t>FLOOR TRAP 4"(100 mm) matt finished</t>
  </si>
  <si>
    <t>130-N</t>
  </si>
  <si>
    <t>Pillar Cock Foam Flow with Flange</t>
  </si>
  <si>
    <t>FT-05</t>
  </si>
  <si>
    <t>FLOOR TRAP 4 1/2"(114 Mm)</t>
  </si>
  <si>
    <t>FT-05M</t>
  </si>
  <si>
    <t>FLOOR TRAP 4 1/2" (114MM)MATT</t>
  </si>
  <si>
    <t>FT-06</t>
  </si>
  <si>
    <t>FLOOR TRAP 4 1/2"(114Mm.)With Waste Hole</t>
  </si>
  <si>
    <t>FT-06 MATT</t>
  </si>
  <si>
    <t>FLOOR TRAP 4 1/2"(114 Mm)MATT With Hole</t>
  </si>
  <si>
    <t>FT-07</t>
  </si>
  <si>
    <t>FLOOR TRAP 5" W.H (127 mm)</t>
  </si>
  <si>
    <t>FT-07 MATT</t>
  </si>
  <si>
    <t>FLOOR TRAP 5" W.H (127 Mm)- MATT</t>
  </si>
  <si>
    <t>FT-08</t>
  </si>
  <si>
    <t>FLOOR TRAP 5"(127 Mm) With Waste Hole</t>
  </si>
  <si>
    <t>FT-08 matt</t>
  </si>
  <si>
    <t>FLOOR TRAP 5"(125 mm) Waste Hole matt</t>
  </si>
  <si>
    <t>Pillar Cock with Flange</t>
  </si>
  <si>
    <t>Bib Cock (Foam Flow) with Flange</t>
  </si>
  <si>
    <t>132-N</t>
  </si>
  <si>
    <t>Sink Cock (W/M) Foam Flow with Flange</t>
  </si>
  <si>
    <t>FT-20</t>
  </si>
  <si>
    <t>COCKROACH TRAPS Round (101 Mm)</t>
  </si>
  <si>
    <t>FT-20 MATT</t>
  </si>
  <si>
    <t>COCKROACH TRAPS round (101 mm) MATT</t>
  </si>
  <si>
    <t>FT-21</t>
  </si>
  <si>
    <t>COCKROACH TRAPS (101 X 101 mm)</t>
  </si>
  <si>
    <t>FT-21 Matt</t>
  </si>
  <si>
    <t>COCKROACH TRAPS (101 X 101 mm) Matt</t>
  </si>
  <si>
    <t>FT-22</t>
  </si>
  <si>
    <t>COCKROACH TRAPS ROUND WITH WASTE HOLE</t>
  </si>
  <si>
    <t>FT-22M</t>
  </si>
  <si>
    <t>COCKROACH TRAPS ROUND MATT</t>
  </si>
  <si>
    <t>FT-23</t>
  </si>
  <si>
    <t>COCKROACH TRAPS(101x101m WITH WASTE HOLE</t>
  </si>
  <si>
    <t>FT-24</t>
  </si>
  <si>
    <t>COCKROACH TRAPS (127 X 127 mm)</t>
  </si>
  <si>
    <t>Sink Cock (W/M) with Flange</t>
  </si>
  <si>
    <t>Bib Cock Fancy (Foam Flow) with Flange</t>
  </si>
  <si>
    <t>1322-N</t>
  </si>
  <si>
    <t>Sink Cock Swan Neck (W/M) Small Spout Foam Flow with Flange</t>
  </si>
  <si>
    <t>FT-24 MATT</t>
  </si>
  <si>
    <t>COCKROACH TRAPS (127 X 127 Mm) -MATT</t>
  </si>
  <si>
    <t>FT-25</t>
  </si>
  <si>
    <t>COCKROACH TRAPS(127X127mm) with Waste Ho</t>
  </si>
  <si>
    <t>FT-25M</t>
  </si>
  <si>
    <t>COCKROACH TRAPS(127X127mm) MATT (W.HOLE)</t>
  </si>
  <si>
    <t>FT-27</t>
  </si>
  <si>
    <t>COCKROACH TRAP ROUND (127 mm)</t>
  </si>
  <si>
    <t>FT-27 MATT</t>
  </si>
  <si>
    <t>COCKROACH TRAP ROUND (127 mm) MATT</t>
  </si>
  <si>
    <t>FT-28</t>
  </si>
  <si>
    <t>Cockroach Trap Round(125 Mm) With Waste</t>
  </si>
  <si>
    <t>FT-28 MATT</t>
  </si>
  <si>
    <t>COCKROACH TRAP ROUND(125MM)WITH WASTE(M)</t>
  </si>
  <si>
    <t>FT-29</t>
  </si>
  <si>
    <t>Cockroach Traps (150 X 150mm)with flat b</t>
  </si>
  <si>
    <t>1322</t>
  </si>
  <si>
    <t>Sink Cock Small Spout (W/M) with Flange</t>
  </si>
  <si>
    <t>FT-29MATT</t>
  </si>
  <si>
    <t>Cockroach Traps (150 X 150mm)MATT</t>
  </si>
  <si>
    <t>Bib Cock Fancy (Foam Flow) with New Flange &amp; Nipple</t>
  </si>
  <si>
    <t>133-N</t>
  </si>
  <si>
    <t>Sink Cock Swan Neck (T/M) Long Spout Foam Flow with Flange</t>
  </si>
  <si>
    <t>FT-30</t>
  </si>
  <si>
    <t>COCKROACH TRAPS (150 X 150 mm)</t>
  </si>
  <si>
    <t>FT-30 Matt</t>
  </si>
  <si>
    <t>COCKROACH TRAPS (150 X 150 mm) Matt.</t>
  </si>
  <si>
    <t>FT-31</t>
  </si>
  <si>
    <t>COCKROACH TRAPS (150 X 150 mm)with Waste</t>
  </si>
  <si>
    <t>FT-31M</t>
  </si>
  <si>
    <t>COCKROACH TRAPS (150 X 150 mm) MATT</t>
  </si>
  <si>
    <t>123-F</t>
  </si>
  <si>
    <t>FT-32</t>
  </si>
  <si>
    <t>COCKROACH TRAPS (150 X 150 m)with Waste</t>
  </si>
  <si>
    <t>FT-32 MATT</t>
  </si>
  <si>
    <t>COCKROACH TRAPS (150 X 150 m) MATT</t>
  </si>
  <si>
    <t>FT-45</t>
  </si>
  <si>
    <t>Square Trap (150 X 150mm)with Hinge</t>
  </si>
  <si>
    <t>FT-45 MATT</t>
  </si>
  <si>
    <t>FLOOR TRAP 4"(100 Mm) MATT</t>
  </si>
  <si>
    <t>Sink Cock Long Spout (T/M) with Flange</t>
  </si>
  <si>
    <t>134-N</t>
  </si>
  <si>
    <t>Sink Mixer Foam Flow with Flange</t>
  </si>
  <si>
    <t>FT-52</t>
  </si>
  <si>
    <t>VERTICAL GRATING 4"(100 X 100 mm)</t>
  </si>
  <si>
    <t>FT-52M</t>
  </si>
  <si>
    <t>VERTICAL GRATING 4"  (100 X 100 Mm)</t>
  </si>
  <si>
    <t>FT-53</t>
  </si>
  <si>
    <t>VERTICAL GRATING 5"(125 X 125 Mm)</t>
  </si>
  <si>
    <t>FT-53M</t>
  </si>
  <si>
    <t>VERTICAL GRATING 5" (125*125MM)MATT</t>
  </si>
  <si>
    <t>FT-54</t>
  </si>
  <si>
    <t>VERTICAL GRATING 6"(150 X 150 mm)</t>
  </si>
  <si>
    <t>FT-54 MATT</t>
  </si>
  <si>
    <t>VERTICAL GRATING 6"(150 X 150 Mm)-MATT</t>
  </si>
  <si>
    <t>FT-61</t>
  </si>
  <si>
    <t>GRATING 3"(80 mm)</t>
  </si>
  <si>
    <t>FT-61M</t>
  </si>
  <si>
    <t>GRATING 3 " 80MM</t>
  </si>
  <si>
    <t>Sink Mixer with Flange</t>
  </si>
  <si>
    <t>Bib Cock Fancy with New Flange &amp; Nipple</t>
  </si>
  <si>
    <t>135-N</t>
  </si>
  <si>
    <t>Wall Mixer Foam Flow with Flange</t>
  </si>
  <si>
    <t>FT-62</t>
  </si>
  <si>
    <t>GRATING 4"(102 mm)</t>
  </si>
  <si>
    <t>FT-62M</t>
  </si>
  <si>
    <t>GRATING 4"(102 mm)matt</t>
  </si>
  <si>
    <t>FT-63</t>
  </si>
  <si>
    <t>GRATING 4"(100 mm)</t>
  </si>
  <si>
    <t>FT-63M</t>
  </si>
  <si>
    <t>GRATING 4"(100 mm) MATT</t>
  </si>
  <si>
    <t>FT-64</t>
  </si>
  <si>
    <t>GRATING 5"(127 mm)</t>
  </si>
  <si>
    <t>FT-64 MATT</t>
  </si>
  <si>
    <t>GRATING 5"(127 mm)MATT</t>
  </si>
  <si>
    <t>FT-65</t>
  </si>
  <si>
    <t>GRATING 5"(125 Mm) With Waste Hole</t>
  </si>
  <si>
    <t>FT-65 MATT</t>
  </si>
  <si>
    <t>GRATING 5"(125 mm) with Waste Hole MATT</t>
  </si>
  <si>
    <t>Wall Mixer with Flange</t>
  </si>
  <si>
    <t>Bib Cock Long Body (Foam Flow) with Flange</t>
  </si>
  <si>
    <t>1374-N</t>
  </si>
  <si>
    <t>FT-70</t>
  </si>
  <si>
    <t>2 in 1 Telephonic Wall Mixer with Crutch &amp; Hand Shower with 1.5 Mtr Tube</t>
  </si>
  <si>
    <t>ROUND TRAP 4"(101 mm) with waste hole</t>
  </si>
  <si>
    <t>FT-70M</t>
  </si>
  <si>
    <t>ROUND TRAP 4" (101 Mm)</t>
  </si>
  <si>
    <t>FT-71</t>
  </si>
  <si>
    <t>ROUND TRAP 5"(127 mm) with waste hole</t>
  </si>
  <si>
    <t>FT-71M</t>
  </si>
  <si>
    <t>ROUND TRAP 5"(127 mm)  matt</t>
  </si>
  <si>
    <t>FT-72</t>
  </si>
  <si>
    <t>ROUND TRAP 5"(125 Mm) With Waste Hole</t>
  </si>
  <si>
    <t>FT-72 MATT</t>
  </si>
  <si>
    <t>ROUND TRAP 5"(125 MM) WITH WASTE HOLE(M)</t>
  </si>
  <si>
    <t>FT-73</t>
  </si>
  <si>
    <t>SQUARE TRAP 4"(101 X 101mm)</t>
  </si>
  <si>
    <t>FT-73 MATT</t>
  </si>
  <si>
    <t>SQUARE TRAP 4"(101 X 101mm)-MATT</t>
  </si>
  <si>
    <t>1374</t>
  </si>
  <si>
    <t>2 in 1 Telephonic Wall Mixer</t>
  </si>
  <si>
    <t>Bib Cock Long Body Foam Flow with Flange</t>
  </si>
  <si>
    <t>FT-74</t>
  </si>
  <si>
    <t>1375-N</t>
  </si>
  <si>
    <t>SQUARE TRAP 5"(127 X 127mm)</t>
  </si>
  <si>
    <t>Wall Mixer L Bend Foam Flow with Flange</t>
  </si>
  <si>
    <t>FT-74 MATT</t>
  </si>
  <si>
    <t>SQUARE TRAP 5"(127 X 127mm)-MATT</t>
  </si>
  <si>
    <t>FT-75</t>
  </si>
  <si>
    <t>SQUARE TRAP 5" WITH HOLE (127 X 127mm)</t>
  </si>
  <si>
    <t>FT-75 MATT</t>
  </si>
  <si>
    <t>SQUARE TRAP 5" WITH HOLE(127X127mm) MATT</t>
  </si>
  <si>
    <t>FT-76</t>
  </si>
  <si>
    <t>SQUARE TRAP 5"(150x 150 Mm)</t>
  </si>
  <si>
    <t>FT-76 M</t>
  </si>
  <si>
    <t>SQUARE TRAP 5"(150x 150 MM ) MAT</t>
  </si>
  <si>
    <t>FT-77</t>
  </si>
  <si>
    <t>SQUARE TRAP 5"(150X150 Mm Waste Hole)</t>
  </si>
  <si>
    <t>FT-77 matt</t>
  </si>
  <si>
    <t>SQUARE TRAP 5"(150x 150 mm)waste hole,.</t>
  </si>
  <si>
    <t>1375</t>
  </si>
  <si>
    <t>Wall Mixer L Bend with Flange</t>
  </si>
  <si>
    <t>144-N</t>
  </si>
  <si>
    <t>FT-78</t>
  </si>
  <si>
    <t>SQUARE TRAP (150 X 150) MM</t>
  </si>
  <si>
    <t>FT-78 MATT</t>
  </si>
  <si>
    <t>SQUARE TRAP (150 X 150) MM-MATT</t>
  </si>
  <si>
    <t>FT-79</t>
  </si>
  <si>
    <t>SQUARE TRAP(150x 150 Mm)5Mm Boader</t>
  </si>
  <si>
    <t>FT-79 MATT</t>
  </si>
  <si>
    <t>SQUARE TRAP(150x 150 mm)5mmBoader,matt.</t>
  </si>
  <si>
    <t>H817 D</t>
  </si>
  <si>
    <t>SINK 457X406X228</t>
  </si>
  <si>
    <t>123-N</t>
  </si>
  <si>
    <t>H817 DD</t>
  </si>
  <si>
    <t>SINK 457X406X228 MM</t>
  </si>
  <si>
    <t>H826 D</t>
  </si>
  <si>
    <t>SINK 533X457X228 MM</t>
  </si>
  <si>
    <t>H826 DD</t>
  </si>
  <si>
    <t>SINK 533X457X228 M.M</t>
  </si>
  <si>
    <t>H821 D</t>
  </si>
  <si>
    <t>SINK 610X460X228 M.M</t>
  </si>
  <si>
    <t>145-N</t>
  </si>
  <si>
    <t>2 Way Angle Cock Foam Flow with Flange</t>
  </si>
  <si>
    <t>H821 DD</t>
  </si>
  <si>
    <t>H843 D</t>
  </si>
  <si>
    <t>SINK 940X457X228 M.M</t>
  </si>
  <si>
    <t>H843 DD</t>
  </si>
  <si>
    <t>SINK 940X457X228MM</t>
  </si>
  <si>
    <t>H852 D</t>
  </si>
  <si>
    <t>SINK 1143X508X228 MM</t>
  </si>
  <si>
    <t>H852 DD</t>
  </si>
  <si>
    <t>SINK 1143X508X228 MM.</t>
  </si>
  <si>
    <t>P-310</t>
  </si>
  <si>
    <t>Kitchen Plate Rack 24*24*10</t>
  </si>
  <si>
    <t>P-330</t>
  </si>
  <si>
    <t>Kitchen Plate Rack 24*30*10</t>
  </si>
  <si>
    <t>Bib Cock Standard (Female) with Flange</t>
  </si>
  <si>
    <t>P-336</t>
  </si>
  <si>
    <t>Kitchen Plate Rack 24*36*10</t>
  </si>
  <si>
    <t>147-N</t>
  </si>
  <si>
    <t>Pillar Cock Swan Neck Square Spout Foam Flow with Flange</t>
  </si>
  <si>
    <t>P-340</t>
  </si>
  <si>
    <t>Kitchen Plate Rack 31*24*10</t>
  </si>
  <si>
    <t>P-346</t>
  </si>
  <si>
    <t>Kitchen Plate Rack 31*30*10</t>
  </si>
  <si>
    <t>P-348</t>
  </si>
  <si>
    <t>Kitchen Plate Rack 31*36*10</t>
  </si>
  <si>
    <t>P-350</t>
  </si>
  <si>
    <t>KITCHEN PLATE RACK 36*36*10</t>
  </si>
  <si>
    <t>P-410</t>
  </si>
  <si>
    <t>KITICHEN PLATE RACK 24*24*10</t>
  </si>
  <si>
    <t>P-430</t>
  </si>
  <si>
    <t>KITICHEN PLATE RACK 24*30*10</t>
  </si>
  <si>
    <t>P-436</t>
  </si>
  <si>
    <t>KITICHEN PLATE RACK 24*36*10</t>
  </si>
  <si>
    <t>Pillar Cock Swan Neck (T/M) with Flange</t>
  </si>
  <si>
    <t>Bib Cock Standard 20mm with Flange</t>
  </si>
  <si>
    <t>P-440</t>
  </si>
  <si>
    <t>KITICHEN PLATE RACK 31*24*10</t>
  </si>
  <si>
    <t>123-U</t>
  </si>
  <si>
    <t>P-446</t>
  </si>
  <si>
    <t>KITICHEN PLATE RACK 31*30*10</t>
  </si>
  <si>
    <t>P-448</t>
  </si>
  <si>
    <t>KITICHEN PLATE RACK 31*36*10</t>
  </si>
  <si>
    <t>P-450</t>
  </si>
  <si>
    <t>KITICHEN PLATE RACK 36*36*10</t>
  </si>
  <si>
    <t>SA-03</t>
  </si>
  <si>
    <t>SINK COUPLING</t>
  </si>
  <si>
    <t>SA-04</t>
  </si>
  <si>
    <t>SINK COUPLING (304 SS)</t>
  </si>
  <si>
    <t>SA-05</t>
  </si>
  <si>
    <t>DOUBLE SINK CONNECTOR</t>
  </si>
  <si>
    <t>PFT-1</t>
  </si>
  <si>
    <t>COCKROACH TRAP - ROUND (DIA 101 MM)</t>
  </si>
  <si>
    <t>PFT-2</t>
  </si>
  <si>
    <t>Bib Cock with Flange</t>
  </si>
  <si>
    <t>124-U</t>
  </si>
  <si>
    <t>PFT-3</t>
  </si>
  <si>
    <t>COCKROACH TRAP - 127 X 127 MM</t>
  </si>
  <si>
    <t>PFT-4</t>
  </si>
  <si>
    <t>PFT-5</t>
  </si>
  <si>
    <t>COCKROACH TRAP-150 X150 MM WITH FLAT BORDER</t>
  </si>
  <si>
    <t>PFT-6</t>
  </si>
  <si>
    <t>PFT-7</t>
  </si>
  <si>
    <t>SQUARE TRAP-150 X 150 MM WITH 5 MM BORDER</t>
  </si>
  <si>
    <t>PFT-8</t>
  </si>
  <si>
    <t>PFT-9</t>
  </si>
  <si>
    <t>SQUARE TRAP-150 X 150 MM WITH 5 MM BORDER &amp; WASTE HOLE</t>
  </si>
  <si>
    <t>PFT-10</t>
  </si>
  <si>
    <t>Center Hole Basin Mixer</t>
  </si>
  <si>
    <t>127-U</t>
  </si>
  <si>
    <t>PFT-11</t>
  </si>
  <si>
    <t>ROUND TRAP-5 INCH (127 MM)</t>
  </si>
  <si>
    <t>PFT-12</t>
  </si>
  <si>
    <t>PFT-13</t>
  </si>
  <si>
    <t>ROUND TRAP-5 INCH (127 MM) WITH WASTE HOLE</t>
  </si>
  <si>
    <t>PFT-14</t>
  </si>
  <si>
    <t>PFT-15</t>
  </si>
  <si>
    <t>SQUARE TRAP FLATE BORDER (150 X 150 MM)</t>
  </si>
  <si>
    <t>PFT-16</t>
  </si>
  <si>
    <t>PFT-17</t>
  </si>
  <si>
    <t>SQUARE TRAP (5MM BORDER) 150 X 150 MM WITH WASTE HOLE</t>
  </si>
  <si>
    <t>Concealed Stop Cock 15mm</t>
  </si>
  <si>
    <t>PFT-18</t>
  </si>
  <si>
    <t>129-U</t>
  </si>
  <si>
    <t>2 Way Bib Cock (Foam Flow) with Flange</t>
  </si>
  <si>
    <t>PFT-19</t>
  </si>
  <si>
    <t>FLOOR TRAPS 150 X 150 MM</t>
  </si>
  <si>
    <t>PFT-20</t>
  </si>
  <si>
    <t>SQUARE TRAP- 150 X 150 MM</t>
  </si>
  <si>
    <t>PFT-21</t>
  </si>
  <si>
    <t>PFT-22</t>
  </si>
  <si>
    <t>FLOOR TRAP 4 INCH (102 MM)</t>
  </si>
  <si>
    <t>PFT-23</t>
  </si>
  <si>
    <t>PFT-24</t>
  </si>
  <si>
    <t>FLOOR TRAP 4 INCH (102 MM) WITH WASTE HOLE</t>
  </si>
  <si>
    <t>PFT-25</t>
  </si>
  <si>
    <t>Concealed Stop Cock 15mm with Brass Body</t>
  </si>
  <si>
    <t>PFT-26</t>
  </si>
  <si>
    <t>SQUARE TRAP - 4 1/2 INCH (114 MM)</t>
  </si>
  <si>
    <t>130-U</t>
  </si>
  <si>
    <t>Pillar Cock (Foam Flow) with Flange</t>
  </si>
  <si>
    <t>PFT-27</t>
  </si>
  <si>
    <t>PFT-28</t>
  </si>
  <si>
    <t>FLOOR TRAP - 5 INCH (127MM)</t>
  </si>
  <si>
    <t>PFT-29</t>
  </si>
  <si>
    <t>PFT-30</t>
  </si>
  <si>
    <t>FLOOR TRAP - 5 INCH (127MM) WITH WASTE HOLE</t>
  </si>
  <si>
    <t>PFT-31</t>
  </si>
  <si>
    <t>Concealed Stop Cock 20mm</t>
  </si>
  <si>
    <t>132-U</t>
  </si>
  <si>
    <t>Sink Cock (W/M) (Foam Flow) with Flange</t>
  </si>
  <si>
    <t>Concealed Stop Cock 20mm with Brass Body</t>
  </si>
  <si>
    <t>1322-U</t>
  </si>
  <si>
    <t>133-U</t>
  </si>
  <si>
    <t>Pillar Cock 12" Tall Height with Flange</t>
  </si>
  <si>
    <t>134-U</t>
  </si>
  <si>
    <t>124-F</t>
  </si>
  <si>
    <t>Pillar Cock Fancy (R.H.) with Flange</t>
  </si>
  <si>
    <t>135-U</t>
  </si>
  <si>
    <t>Pillar Cock Fancy with Flange</t>
  </si>
  <si>
    <t>1374-U</t>
  </si>
  <si>
    <t>Pillar Cock Swan Neck (T/M) Square Spout with Flange</t>
  </si>
  <si>
    <t>1375-U</t>
  </si>
  <si>
    <t>Wall Mixer (Foam Flow) with L Bend</t>
  </si>
  <si>
    <t>144-U</t>
  </si>
  <si>
    <t>145-U</t>
  </si>
  <si>
    <t>Single Lever Basin Mixer</t>
  </si>
  <si>
    <t>147-U</t>
  </si>
  <si>
    <t>Pillar Cock Swan Neck Foam Flow with Flange</t>
  </si>
  <si>
    <t>150-U</t>
  </si>
  <si>
    <t>Center Hole Basin Mixer Foam Flow</t>
  </si>
  <si>
    <t>123-Q</t>
  </si>
  <si>
    <t>Bib Cock Fancy 15mm Foam Flow with Flange</t>
  </si>
  <si>
    <t>124-Q</t>
  </si>
  <si>
    <t>127-Q</t>
  </si>
  <si>
    <t>Stop Cock 15mm (F/T)</t>
  </si>
  <si>
    <t>129-Q</t>
  </si>
  <si>
    <t>Stop Cock 15mm (M/T)</t>
  </si>
  <si>
    <t>130-Q</t>
  </si>
  <si>
    <t>Stop Cock 15mm with Nozzle</t>
  </si>
  <si>
    <t>131-Q</t>
  </si>
  <si>
    <t>Stop Cock 20mm (F/T)</t>
  </si>
  <si>
    <t>132-Q</t>
  </si>
  <si>
    <t>Urinal Fish 32mm</t>
  </si>
  <si>
    <t>1322-Q</t>
  </si>
  <si>
    <t>Urinal Spreader 15mm</t>
  </si>
  <si>
    <t>133-Q</t>
  </si>
  <si>
    <t>134-Q</t>
  </si>
  <si>
    <t>135-Q</t>
  </si>
  <si>
    <t>Washing Machine Tap with Flange</t>
  </si>
  <si>
    <t>1374-Q</t>
  </si>
  <si>
    <t>1375-Q</t>
  </si>
  <si>
    <t>Wall Mixer L Bend Foam Flow With Flange</t>
  </si>
  <si>
    <t>144-Q</t>
  </si>
  <si>
    <t>145-Q</t>
  </si>
  <si>
    <t>147-Q</t>
  </si>
  <si>
    <t>146-QB</t>
  </si>
  <si>
    <t>146-B</t>
  </si>
  <si>
    <t>148-QB</t>
  </si>
  <si>
    <t>148-B</t>
  </si>
  <si>
    <t>150-Q</t>
  </si>
  <si>
    <t>400-Q</t>
  </si>
  <si>
    <t>Single Lever Basin Mixer Foam Flow</t>
  </si>
  <si>
    <t>121-R</t>
  </si>
  <si>
    <t>Bib Cock Long Nose 15mm (Foam Flow) with Flange</t>
  </si>
  <si>
    <t>122-R</t>
  </si>
  <si>
    <t>Bib Cock 15mm (Foam Flow) with Flange</t>
  </si>
  <si>
    <t>123-R</t>
  </si>
  <si>
    <t>124-R</t>
  </si>
  <si>
    <t>Bib Cock Long Smart Body 15mm with Flange</t>
  </si>
  <si>
    <t>1311</t>
  </si>
  <si>
    <t>129-R</t>
  </si>
  <si>
    <t>130-R</t>
  </si>
  <si>
    <t>130-RN</t>
  </si>
  <si>
    <t>Pillar Cock Fancy 15mm (Foam Flow) with Flange</t>
  </si>
  <si>
    <t>132-R</t>
  </si>
  <si>
    <t>1322-R</t>
  </si>
  <si>
    <t>133-R</t>
  </si>
  <si>
    <t>134-R</t>
  </si>
  <si>
    <t>135-R</t>
  </si>
  <si>
    <t>1374-R</t>
  </si>
  <si>
    <t>1375-R</t>
  </si>
  <si>
    <t>144-R</t>
  </si>
  <si>
    <t>145-R</t>
  </si>
  <si>
    <t>147-R</t>
  </si>
  <si>
    <t>147-RQ</t>
  </si>
  <si>
    <t>150-R</t>
  </si>
  <si>
    <t>400-R</t>
  </si>
  <si>
    <t>146-RB</t>
  </si>
  <si>
    <t>148-RB</t>
  </si>
  <si>
    <t>121-L</t>
  </si>
  <si>
    <t>Bib Cock Long Nose (Foam Flow) with Flange</t>
  </si>
  <si>
    <t>122-L</t>
  </si>
  <si>
    <t>123-L</t>
  </si>
  <si>
    <t>124-L</t>
  </si>
  <si>
    <t>Bib Cock Long Body (Smart) Foam Flow with Flange</t>
  </si>
  <si>
    <t>129-L</t>
  </si>
  <si>
    <t>130-L</t>
  </si>
  <si>
    <t>131-L</t>
  </si>
  <si>
    <t>Pillar Cock Fancy 15mm with (Foam Flow) with Flange</t>
  </si>
  <si>
    <t>132-L</t>
  </si>
  <si>
    <t>1322-L</t>
  </si>
  <si>
    <t>133-L</t>
  </si>
  <si>
    <t>134-L</t>
  </si>
  <si>
    <t>135-L</t>
  </si>
  <si>
    <t>1374-L</t>
  </si>
  <si>
    <t>1375-L</t>
  </si>
  <si>
    <t>144-L</t>
  </si>
  <si>
    <t>145-L</t>
  </si>
  <si>
    <t>147-L</t>
  </si>
  <si>
    <t>147-LQ</t>
  </si>
  <si>
    <t>150-L</t>
  </si>
  <si>
    <t>121-A</t>
  </si>
  <si>
    <t>Bib Cock Standard 15mm New Body with Flange</t>
  </si>
  <si>
    <t>121-AF</t>
  </si>
  <si>
    <t>123-A</t>
  </si>
  <si>
    <t>Bib Cock Fancy 15mm with Flange</t>
  </si>
  <si>
    <t>123-AF</t>
  </si>
  <si>
    <t>123-AN</t>
  </si>
  <si>
    <t>Bib Cock Fancy 15mm with New Flange &amp; Nipple</t>
  </si>
  <si>
    <t>124-A</t>
  </si>
  <si>
    <t>Bib Cock Long Body 15mm with Flange</t>
  </si>
  <si>
    <t>124-AF</t>
  </si>
  <si>
    <t>127-A</t>
  </si>
  <si>
    <t>Garden Tap Bib Cock with Nozzle 15mm with Flange</t>
  </si>
  <si>
    <t>129-A</t>
  </si>
  <si>
    <t>2 Way Bib Cock 15mm (Foam Flow) with Flange</t>
  </si>
  <si>
    <t>130-A</t>
  </si>
  <si>
    <t>Pillar Cock 15mm Foam Flow with Flange</t>
  </si>
  <si>
    <t>131-A</t>
  </si>
  <si>
    <t>132-A</t>
  </si>
  <si>
    <t>Sink Cock (Swing Arm) W/M Foam Flow with Flange</t>
  </si>
  <si>
    <t>133-A</t>
  </si>
  <si>
    <t>Sink Cock (Swing Arm) T/M Foam Flow with Flange</t>
  </si>
  <si>
    <t>134-A</t>
  </si>
  <si>
    <t>135-A</t>
  </si>
  <si>
    <t>1374-A</t>
  </si>
  <si>
    <t>1375-A</t>
  </si>
  <si>
    <t>Wall Mixer Foam Flow L Bend With Flange</t>
  </si>
  <si>
    <t>141-A</t>
  </si>
  <si>
    <t>141-AN</t>
  </si>
  <si>
    <t>Stop Cock with Nozzle 15mm</t>
  </si>
  <si>
    <t>141-N</t>
  </si>
  <si>
    <t>142-A</t>
  </si>
  <si>
    <t>143-A</t>
  </si>
  <si>
    <t>144-A</t>
  </si>
  <si>
    <t>145-A</t>
  </si>
  <si>
    <t>2 Way Angle Cock 15mm with Flange</t>
  </si>
  <si>
    <t>146-A</t>
  </si>
  <si>
    <t>148-A</t>
  </si>
  <si>
    <t>4%+2%</t>
  </si>
  <si>
    <t>Range</t>
  </si>
  <si>
    <t>Code</t>
  </si>
  <si>
    <t>SUPERIOR BODY CONCEALED STOP COCK WITH FITTING</t>
  </si>
  <si>
    <t>5th Mar, 2026</t>
  </si>
  <si>
    <t>01st Sep, 2026</t>
  </si>
  <si>
    <t>Diff. in %age</t>
  </si>
  <si>
    <t>147-A</t>
  </si>
  <si>
    <t>01st May, 2026</t>
  </si>
  <si>
    <t>147-AQ</t>
  </si>
  <si>
    <t>149-A</t>
  </si>
  <si>
    <t>150-A</t>
  </si>
  <si>
    <t>121-AB</t>
  </si>
  <si>
    <t>121-ABF</t>
  </si>
  <si>
    <t>STANDARD (Old Handle)</t>
  </si>
  <si>
    <t>146-BO</t>
  </si>
  <si>
    <t>123-AB</t>
  </si>
  <si>
    <t>148-BO</t>
  </si>
  <si>
    <t>146-HB</t>
  </si>
  <si>
    <t>123-ABF</t>
  </si>
  <si>
    <t>148-HB</t>
  </si>
  <si>
    <t>146-DB</t>
  </si>
  <si>
    <t>148-DB</t>
  </si>
  <si>
    <t>123-ABN</t>
  </si>
  <si>
    <t>124-AB</t>
  </si>
  <si>
    <t>124-ABF</t>
  </si>
  <si>
    <t>127-AB</t>
  </si>
  <si>
    <t>129-AB</t>
  </si>
  <si>
    <t>130-AB</t>
  </si>
  <si>
    <t>131-AB</t>
  </si>
  <si>
    <t>132-AB</t>
  </si>
  <si>
    <t>133-AB</t>
  </si>
  <si>
    <t>134-AB</t>
  </si>
  <si>
    <t>135-AB</t>
  </si>
  <si>
    <t>1374-AB</t>
  </si>
  <si>
    <t>1375-AB</t>
  </si>
  <si>
    <t>141-AB</t>
  </si>
  <si>
    <t>141-ABN</t>
  </si>
  <si>
    <t>142-AB</t>
  </si>
  <si>
    <t>143-AB</t>
  </si>
  <si>
    <t>144-AB</t>
  </si>
  <si>
    <t>145-AB</t>
  </si>
  <si>
    <t>146-AB</t>
  </si>
  <si>
    <t>148-AB</t>
  </si>
  <si>
    <t>147-AB</t>
  </si>
  <si>
    <t>147-ABQ</t>
  </si>
  <si>
    <t>Cat No.</t>
  </si>
  <si>
    <t>Name</t>
  </si>
  <si>
    <t>COUPON</t>
  </si>
  <si>
    <t>Master Box</t>
  </si>
  <si>
    <t>Master Box Packing</t>
  </si>
  <si>
    <t xml:space="preserve">Novo Series </t>
  </si>
  <si>
    <t>149-AB</t>
  </si>
  <si>
    <t>150-AB</t>
  </si>
  <si>
    <t>121-O</t>
  </si>
  <si>
    <t>Bib Cock Standard 15mm (Old Handle) with Flange</t>
  </si>
  <si>
    <t>121-OF</t>
  </si>
  <si>
    <t>122-O</t>
  </si>
  <si>
    <t>Bib Cock Standard (Female) 15mm with Flange</t>
  </si>
  <si>
    <t>123-O</t>
  </si>
  <si>
    <t xml:space="preserve">Ultra Series </t>
  </si>
  <si>
    <t>123-OF</t>
  </si>
  <si>
    <t>123-ON</t>
  </si>
  <si>
    <t>124-O</t>
  </si>
  <si>
    <t>Bib Cock Long Body 15mm (Old Handle) with Flange</t>
  </si>
  <si>
    <t>124-OF</t>
  </si>
  <si>
    <t xml:space="preserve">Quadra Series </t>
  </si>
  <si>
    <t>125-O</t>
  </si>
  <si>
    <t>127-O</t>
  </si>
  <si>
    <t>Bib Cock 15mm Nozzle With Flange</t>
  </si>
  <si>
    <t>129-O</t>
  </si>
  <si>
    <t>130-O</t>
  </si>
  <si>
    <t>Pillar Cock 15mm (Old Handle) with Flange</t>
  </si>
  <si>
    <t>131-O</t>
  </si>
  <si>
    <t>Pillar Cock 15mm (Old Handle) (Foam Flow) with Flange</t>
  </si>
  <si>
    <t xml:space="preserve">Ovian Series </t>
  </si>
  <si>
    <t>132-O</t>
  </si>
  <si>
    <t>132-OT</t>
  </si>
  <si>
    <t>Sink Cock Swan Neck Small Spout Foam Flow with Flange</t>
  </si>
  <si>
    <t>133-O</t>
  </si>
  <si>
    <t>134-O</t>
  </si>
  <si>
    <t>Sink Mixer (Foam Flow) with Flange</t>
  </si>
  <si>
    <t>1374-O</t>
  </si>
  <si>
    <t>1375-O</t>
  </si>
  <si>
    <t xml:space="preserve">Lagoona Series </t>
  </si>
  <si>
    <t>141-O</t>
  </si>
  <si>
    <t>Stop Cock 15mm (M/T) Old Handle</t>
  </si>
  <si>
    <t>142-O</t>
  </si>
  <si>
    <t>Stop Cock 15mm (F/T) Old Handle</t>
  </si>
  <si>
    <t>143-O</t>
  </si>
  <si>
    <t>Stop Cock 20mm (F/T) Old Handle</t>
  </si>
  <si>
    <t>144-O</t>
  </si>
  <si>
    <t>Angle Cock 15mm (Old Handle) with Flange</t>
  </si>
  <si>
    <t>145-O</t>
  </si>
  <si>
    <t xml:space="preserve">Sapphire Series </t>
  </si>
  <si>
    <t>146-O</t>
  </si>
  <si>
    <t>15mm Concealed Stop Cock</t>
  </si>
  <si>
    <t>148-O</t>
  </si>
  <si>
    <t>20mm Concealed Stop Cock</t>
  </si>
  <si>
    <t>147-O</t>
  </si>
  <si>
    <t>147-OSQ</t>
  </si>
  <si>
    <t>149-O</t>
  </si>
  <si>
    <t>150-O</t>
  </si>
  <si>
    <t xml:space="preserve">Black Sapphire Series </t>
  </si>
  <si>
    <t>121-OSF</t>
  </si>
  <si>
    <t xml:space="preserve">STANDARD Series Old Handle </t>
  </si>
  <si>
    <t>Bib Cock with Nozzle 15mm with Flange</t>
  </si>
  <si>
    <t>Pillar Cock 15mm with Flange</t>
  </si>
  <si>
    <t>131-N</t>
  </si>
  <si>
    <t>Pillar Cock 15mm (Foam Flow) with Flange</t>
  </si>
  <si>
    <t>133-NEW</t>
  </si>
  <si>
    <t>132-T</t>
  </si>
  <si>
    <t xml:space="preserve">STANDARD Series </t>
  </si>
  <si>
    <t>1374-S</t>
  </si>
  <si>
    <t>1375-S</t>
  </si>
  <si>
    <t>147-SQ</t>
  </si>
  <si>
    <t>149-N</t>
  </si>
  <si>
    <t xml:space="preserve">Crystal Series </t>
  </si>
  <si>
    <t>121-K</t>
  </si>
  <si>
    <t>Bib Cock 15mm with Flange</t>
  </si>
  <si>
    <t>121-KF</t>
  </si>
  <si>
    <t>123-K</t>
  </si>
  <si>
    <t>123-KF</t>
  </si>
  <si>
    <t>123-KN</t>
  </si>
  <si>
    <t>124-K</t>
  </si>
  <si>
    <t>124-KF</t>
  </si>
  <si>
    <t>Bib Cock Long Body Foam Flow 15 mm with Flange</t>
  </si>
  <si>
    <t>127-K</t>
  </si>
  <si>
    <t>129-K</t>
  </si>
  <si>
    <t>2 Way Bib Cock 15mm Foam Flow with Flange</t>
  </si>
  <si>
    <t>130-K</t>
  </si>
  <si>
    <t>131-K</t>
  </si>
  <si>
    <t>1311-K</t>
  </si>
  <si>
    <t>132-K</t>
  </si>
  <si>
    <t>Sink Cock Swing Arm Foam Flow with Flange</t>
  </si>
  <si>
    <t>133-K</t>
  </si>
  <si>
    <t>Sink Cock Swing Arm (T/M) Foam Flow with Flange</t>
  </si>
  <si>
    <t>134-K</t>
  </si>
  <si>
    <t>Sink Mixer Foam Flow With Flange</t>
  </si>
  <si>
    <t>135-K</t>
  </si>
  <si>
    <t>Wall Mixer Foam Flow With Flange</t>
  </si>
  <si>
    <t>1374-K</t>
  </si>
  <si>
    <t>1375-K</t>
  </si>
  <si>
    <t>141-K</t>
  </si>
  <si>
    <t>142-K</t>
  </si>
  <si>
    <t>144-K</t>
  </si>
  <si>
    <t>Angle Cock 15mm with Flange</t>
  </si>
  <si>
    <t>145-K</t>
  </si>
  <si>
    <t>2 Way Angle Cock with Flange 15mm</t>
  </si>
  <si>
    <t>146-K</t>
  </si>
  <si>
    <t>147-K</t>
  </si>
  <si>
    <t>147-KQ</t>
  </si>
  <si>
    <t>1491-K</t>
  </si>
  <si>
    <t>150-K</t>
  </si>
  <si>
    <t xml:space="preserve">Cobra Series </t>
  </si>
  <si>
    <t>121-C</t>
  </si>
  <si>
    <t>121-CF</t>
  </si>
  <si>
    <t>123-C</t>
  </si>
  <si>
    <t>123-CF</t>
  </si>
  <si>
    <t>123-CN</t>
  </si>
  <si>
    <t>124-C</t>
  </si>
  <si>
    <t>124-CF</t>
  </si>
  <si>
    <t>127-C</t>
  </si>
  <si>
    <t>129-C</t>
  </si>
  <si>
    <t>130-C</t>
  </si>
  <si>
    <t>131-C</t>
  </si>
  <si>
    <t>1311-C</t>
  </si>
  <si>
    <t>132-C</t>
  </si>
  <si>
    <t>1323-C</t>
  </si>
  <si>
    <t>NEW</t>
  </si>
  <si>
    <t>133-C</t>
  </si>
  <si>
    <t>134-C</t>
  </si>
  <si>
    <t>1861</t>
  </si>
  <si>
    <t>135-C</t>
  </si>
  <si>
    <t>1374-C</t>
  </si>
  <si>
    <t>1375-C</t>
  </si>
  <si>
    <t>141-C</t>
  </si>
  <si>
    <t>142-C</t>
  </si>
  <si>
    <t>143-C</t>
  </si>
  <si>
    <t>144-C</t>
  </si>
  <si>
    <t>145-C</t>
  </si>
  <si>
    <t>146-C</t>
  </si>
  <si>
    <t>147-C</t>
  </si>
  <si>
    <t>147-CQ</t>
  </si>
  <si>
    <t>1491-C</t>
  </si>
  <si>
    <t>150-C</t>
  </si>
  <si>
    <t xml:space="preserve">Diamond Series </t>
  </si>
  <si>
    <t>121-P</t>
  </si>
  <si>
    <t>121-PF</t>
  </si>
  <si>
    <t>123-P</t>
  </si>
  <si>
    <t>123-FP</t>
  </si>
  <si>
    <t>123-PN</t>
  </si>
  <si>
    <t>124-P</t>
  </si>
  <si>
    <t>124-FP</t>
  </si>
  <si>
    <t>127-P</t>
  </si>
  <si>
    <t>129-P</t>
  </si>
  <si>
    <t>130-P</t>
  </si>
  <si>
    <t>131-P</t>
  </si>
  <si>
    <t>132-P</t>
  </si>
  <si>
    <t>133-P</t>
  </si>
  <si>
    <t>134-P</t>
  </si>
  <si>
    <t>135-P</t>
  </si>
  <si>
    <t>1374-SP</t>
  </si>
  <si>
    <t>1375-SP</t>
  </si>
  <si>
    <t>141-P</t>
  </si>
  <si>
    <t>141-NP</t>
  </si>
  <si>
    <t>142-P</t>
  </si>
  <si>
    <t>143-P</t>
  </si>
  <si>
    <t>144-P</t>
  </si>
  <si>
    <t>145-P</t>
  </si>
  <si>
    <t>146-P</t>
  </si>
  <si>
    <t>148-P</t>
  </si>
  <si>
    <t>147-P</t>
  </si>
  <si>
    <t>147-PQ</t>
  </si>
  <si>
    <t>149-NP</t>
  </si>
  <si>
    <t>150-P</t>
  </si>
  <si>
    <t xml:space="preserve">Helix Series </t>
  </si>
  <si>
    <t>121-H</t>
  </si>
  <si>
    <t>Bib Cock Standard 15mm with Flange</t>
  </si>
  <si>
    <t>121-HF</t>
  </si>
  <si>
    <t>123-H</t>
  </si>
  <si>
    <t>123-FH</t>
  </si>
  <si>
    <t>123-HN</t>
  </si>
  <si>
    <t>Bib Cock Fancy 15mm Foam Flow with New Flange &amp; Nipple</t>
  </si>
  <si>
    <t>124-H</t>
  </si>
  <si>
    <t>124-FH</t>
  </si>
  <si>
    <t>127-H</t>
  </si>
  <si>
    <t>129-H</t>
  </si>
  <si>
    <t>130-H</t>
  </si>
  <si>
    <t>131-H</t>
  </si>
  <si>
    <t>1311-H</t>
  </si>
  <si>
    <t>132-H</t>
  </si>
  <si>
    <t>1322-HN</t>
  </si>
  <si>
    <t>ages</t>
  </si>
  <si>
    <t>133-H</t>
  </si>
  <si>
    <t>134-H</t>
  </si>
  <si>
    <t>1374-H</t>
  </si>
  <si>
    <t>1375-H</t>
  </si>
  <si>
    <t>141-H</t>
  </si>
  <si>
    <t>142-H</t>
  </si>
  <si>
    <t>143-H</t>
  </si>
  <si>
    <t>144-H</t>
  </si>
  <si>
    <t>145-H</t>
  </si>
  <si>
    <t>2 Way Angle Cock 15mm (with Flange)</t>
  </si>
  <si>
    <t>146-H</t>
  </si>
  <si>
    <t>Novo Series</t>
  </si>
  <si>
    <t>147-H</t>
  </si>
  <si>
    <t>147-HQ</t>
  </si>
  <si>
    <t>2 in 1 Telephonic Wall Mixer with Crutch (Hand Shower with 1.5 Mtr Tube)</t>
  </si>
  <si>
    <t>Pillar Cock Swan Neck Foam Flow Square Spout with Flange</t>
  </si>
  <si>
    <t>148-H</t>
  </si>
  <si>
    <t>1491-H</t>
  </si>
  <si>
    <t>Novo Royal Series</t>
  </si>
  <si>
    <t>1374-NR</t>
  </si>
  <si>
    <t>150-H</t>
  </si>
  <si>
    <t>Novo Peach Series</t>
  </si>
  <si>
    <t>1374-NP</t>
  </si>
  <si>
    <t xml:space="preserve">Erosa Series </t>
  </si>
  <si>
    <t>Novo Gold Series</t>
  </si>
  <si>
    <t>1374-NG</t>
  </si>
  <si>
    <t>121-LSF</t>
  </si>
  <si>
    <t>Novo Wine Series</t>
  </si>
  <si>
    <t>123-LS</t>
  </si>
  <si>
    <t>1374-NW</t>
  </si>
  <si>
    <t>123-LSF</t>
  </si>
  <si>
    <t>Novo Black Series</t>
  </si>
  <si>
    <t>123-LSN</t>
  </si>
  <si>
    <t>1374-NBB</t>
  </si>
  <si>
    <t>124-LS</t>
  </si>
  <si>
    <t>Novo Dark Blue Series</t>
  </si>
  <si>
    <t>124-LSF</t>
  </si>
  <si>
    <t>1374-NB</t>
  </si>
  <si>
    <t>127-LS</t>
  </si>
  <si>
    <t>129-LS</t>
  </si>
  <si>
    <t>Ultra Series</t>
  </si>
  <si>
    <t>130-LS</t>
  </si>
  <si>
    <t>131-LS</t>
  </si>
  <si>
    <t xml:space="preserve">Ultra Wine Series </t>
  </si>
  <si>
    <t>1374-UW</t>
  </si>
  <si>
    <t>132-LS</t>
  </si>
  <si>
    <t>Sink Cock (Swing Arm) W/M (Foam Flow) with Flange</t>
  </si>
  <si>
    <t>132-LST</t>
  </si>
  <si>
    <t>Sink Cock Swan Neck Small Spout (Foam Flow) with Flange</t>
  </si>
  <si>
    <t xml:space="preserve">Ultra Gold Series </t>
  </si>
  <si>
    <t>1374-UG</t>
  </si>
  <si>
    <t>133-LS</t>
  </si>
  <si>
    <t>Sink Cock (Swing Arm) T/M (Foam Flow) with Flange</t>
  </si>
  <si>
    <t>134-LS</t>
  </si>
  <si>
    <t xml:space="preserve">Ultra Royal Series </t>
  </si>
  <si>
    <t>1374-UR</t>
  </si>
  <si>
    <t>1374-LS</t>
  </si>
  <si>
    <t>1375-LS</t>
  </si>
  <si>
    <t>Wall Mixer L Bend (Foam Flow) With Flange</t>
  </si>
  <si>
    <t xml:space="preserve">Ultra Peach Series </t>
  </si>
  <si>
    <t>1374-UP</t>
  </si>
  <si>
    <t>141-LS</t>
  </si>
  <si>
    <t>142-LS</t>
  </si>
  <si>
    <t xml:space="preserve">Ultra Black Series </t>
  </si>
  <si>
    <t>143-LS</t>
  </si>
  <si>
    <t>1374-UB</t>
  </si>
  <si>
    <t>144-LS</t>
  </si>
  <si>
    <t>145-LS</t>
  </si>
  <si>
    <t>146-LS</t>
  </si>
  <si>
    <t>148-LS</t>
  </si>
  <si>
    <t>147-LS</t>
  </si>
  <si>
    <t>Pillar Cock Swan Neck (Foam Flow) with Flange</t>
  </si>
  <si>
    <t>Quadra Royal Series</t>
  </si>
  <si>
    <t>131-QR</t>
  </si>
  <si>
    <t>147-LSQ</t>
  </si>
  <si>
    <t>Pillar Cock Swan Neck Square Spout (Foam Flow) with Flange</t>
  </si>
  <si>
    <t>1374-QR</t>
  </si>
  <si>
    <t>149-LS</t>
  </si>
  <si>
    <t>150-LS</t>
  </si>
  <si>
    <t>Center Hole Basin Mixer (Foam Flow)</t>
  </si>
  <si>
    <t>Quadra Peach Series</t>
  </si>
  <si>
    <t>131-QP</t>
  </si>
  <si>
    <t>1374-QP</t>
  </si>
  <si>
    <t xml:space="preserve">Luxor Series </t>
  </si>
  <si>
    <t>Quadra Gold Series</t>
  </si>
  <si>
    <t>P-121</t>
  </si>
  <si>
    <t>Metallic ABS Bib Cock 15mm with Flange</t>
  </si>
  <si>
    <t>131-QG</t>
  </si>
  <si>
    <t>1374-QG</t>
  </si>
  <si>
    <t>P-124</t>
  </si>
  <si>
    <t>Metallic ABS Long Body 15mm with Flange</t>
  </si>
  <si>
    <t>Quadra Wine Series</t>
  </si>
  <si>
    <t>P-144</t>
  </si>
  <si>
    <t>131-QW</t>
  </si>
  <si>
    <t>Metallic ABS Angle Cock 15mm with Flange</t>
  </si>
  <si>
    <t>1374-QW</t>
  </si>
  <si>
    <t>Quadra Black Series</t>
  </si>
  <si>
    <t xml:space="preserve">Glory Series </t>
  </si>
  <si>
    <t>131-QB</t>
  </si>
  <si>
    <t>PS-121</t>
  </si>
  <si>
    <t>1374-QB</t>
  </si>
  <si>
    <t>Quadra Dark Blue Series</t>
  </si>
  <si>
    <t>PS-124</t>
  </si>
  <si>
    <t>131-QAB</t>
  </si>
  <si>
    <t>1374-QAB</t>
  </si>
  <si>
    <t>PS-144</t>
  </si>
  <si>
    <t xml:space="preserve">Special Cock Series </t>
  </si>
  <si>
    <t>T-Handle with Flange</t>
  </si>
  <si>
    <t xml:space="preserve">Ovian Gold Series </t>
  </si>
  <si>
    <t>1374-RG</t>
  </si>
  <si>
    <t>120-W</t>
  </si>
  <si>
    <t>T-Handle without Flange</t>
  </si>
  <si>
    <t xml:space="preserve">Ovian Royal Series </t>
  </si>
  <si>
    <t>124-T</t>
  </si>
  <si>
    <t>Bib Cock Long Body T-Handle</t>
  </si>
  <si>
    <t>1374-RR</t>
  </si>
  <si>
    <t>144-T</t>
  </si>
  <si>
    <t>Angle Cock 15mm (T. Handle) with Flange</t>
  </si>
  <si>
    <t xml:space="preserve">Ovian Peach Series </t>
  </si>
  <si>
    <t>124-W</t>
  </si>
  <si>
    <t>Bib Cock 15mm Long Body T-Handle with Flange</t>
  </si>
  <si>
    <t>1374-RP</t>
  </si>
  <si>
    <t>124-WS</t>
  </si>
  <si>
    <t>Bib Cock 15mm Long Body T-Handle without Flange</t>
  </si>
  <si>
    <t xml:space="preserve">Ovian Wine Series </t>
  </si>
  <si>
    <t>120-S</t>
  </si>
  <si>
    <t>T. Handle with Flange</t>
  </si>
  <si>
    <t>1374-RW</t>
  </si>
  <si>
    <t>120-WS</t>
  </si>
  <si>
    <t>T. Handle without Flange</t>
  </si>
  <si>
    <t>123-S</t>
  </si>
  <si>
    <t>Bib Cock Fancy (15mm) with Flange</t>
  </si>
  <si>
    <t>123-WS</t>
  </si>
  <si>
    <t>Bib Cock Fancy (15mm) without Flange</t>
  </si>
  <si>
    <t>125-S</t>
  </si>
  <si>
    <t>Bib Cock Long Smart Body (15 mm) with Flange</t>
  </si>
  <si>
    <t xml:space="preserve">Lagoona Gold Series </t>
  </si>
  <si>
    <t>1374-LG</t>
  </si>
  <si>
    <t>125-WS</t>
  </si>
  <si>
    <t>Bib Cock Long Smart Body (15 mm) without Flange</t>
  </si>
  <si>
    <t>120-M</t>
  </si>
  <si>
    <t>Bib Cock Standard 15mm (M. Handle) with Flange</t>
  </si>
  <si>
    <t xml:space="preserve">Lagoona Royal Series </t>
  </si>
  <si>
    <t>1374-LR</t>
  </si>
  <si>
    <t>120-C</t>
  </si>
  <si>
    <t>Bib Cock 15mm (Cobra) with Flange</t>
  </si>
  <si>
    <t>120-R</t>
  </si>
  <si>
    <t>Bib Cock 15mm (Roman) with Flange</t>
  </si>
  <si>
    <t xml:space="preserve">Lagoona Peach Series </t>
  </si>
  <si>
    <t>1374-LP</t>
  </si>
  <si>
    <t>228-QS</t>
  </si>
  <si>
    <t>Bib Cock Long Body T-Handle with Flange</t>
  </si>
  <si>
    <t>228-QW</t>
  </si>
  <si>
    <t>Bib Cock Long Body T-Handle without Flange</t>
  </si>
  <si>
    <t xml:space="preserve">Lagoona Wine Series </t>
  </si>
  <si>
    <t>1374-LW</t>
  </si>
  <si>
    <t>228-QT</t>
  </si>
  <si>
    <t>Delta Series</t>
  </si>
  <si>
    <t>228-Q</t>
  </si>
  <si>
    <t>131-D</t>
  </si>
  <si>
    <t>1374-D</t>
  </si>
  <si>
    <t xml:space="preserve">Push Cock Series </t>
  </si>
  <si>
    <t>Delta Wine Series</t>
  </si>
  <si>
    <t>Push Cock 20mm (F/T) with Spout</t>
  </si>
  <si>
    <t>131-DW</t>
  </si>
  <si>
    <t>1374-DW</t>
  </si>
  <si>
    <t>136-L</t>
  </si>
  <si>
    <t>Lift Cock 15mm</t>
  </si>
  <si>
    <t>MS Reducer for Push Cock 15 x 20mm</t>
  </si>
  <si>
    <t>Delta Gold Series</t>
  </si>
  <si>
    <t>131-DG</t>
  </si>
  <si>
    <t>Push Cock with reducer 15 x 20mm</t>
  </si>
  <si>
    <t>1374-DG</t>
  </si>
  <si>
    <t>Push Cock 15mm (F/T)</t>
  </si>
  <si>
    <t>Delta Royal Series</t>
  </si>
  <si>
    <t>139-M</t>
  </si>
  <si>
    <t>Push Cock 15mm (M/T)</t>
  </si>
  <si>
    <t>131-DR</t>
  </si>
  <si>
    <t>Push Cock 15mm with Spout</t>
  </si>
  <si>
    <t>1374-DR</t>
  </si>
  <si>
    <t>1391-M</t>
  </si>
  <si>
    <t>Push Cock 15mm with Spout (M/T)</t>
  </si>
  <si>
    <t>Delta Peach Series</t>
  </si>
  <si>
    <t>Urinal Cock 15mm</t>
  </si>
  <si>
    <t>131-DP</t>
  </si>
  <si>
    <t>1374-DP</t>
  </si>
  <si>
    <t>SPECIAL SERIES</t>
  </si>
  <si>
    <t>Delta Black Series</t>
  </si>
  <si>
    <t>131-DB</t>
  </si>
  <si>
    <t>1374-DB</t>
  </si>
  <si>
    <t xml:space="preserve">Delta Series </t>
  </si>
  <si>
    <t>Luxor Series</t>
  </si>
  <si>
    <t>Metallic ABS Bib Cock 15mm without Flange</t>
  </si>
  <si>
    <t>123-D</t>
  </si>
  <si>
    <t>Bib Cock Fancy 15mm Foam Flow With Flange</t>
  </si>
  <si>
    <t>124-D</t>
  </si>
  <si>
    <t>127-D</t>
  </si>
  <si>
    <t>Glory Series</t>
  </si>
  <si>
    <t>129-D</t>
  </si>
  <si>
    <t>130-D</t>
  </si>
  <si>
    <t>132-D</t>
  </si>
  <si>
    <t>Sapphire Series</t>
  </si>
  <si>
    <t>1322-D</t>
  </si>
  <si>
    <t>Sink Cock Swing Arm Short (W/M) Square Spout Foam Flow with Flange</t>
  </si>
  <si>
    <t>133-D</t>
  </si>
  <si>
    <t>Sink Cock Swan Neck (T/M) Foam Flow With Flange</t>
  </si>
  <si>
    <t>134-D</t>
  </si>
  <si>
    <t>Black Sapphire Series</t>
  </si>
  <si>
    <t>135-D</t>
  </si>
  <si>
    <t>1375-D</t>
  </si>
  <si>
    <t>Wall Mixer Foam Flow L Bend</t>
  </si>
  <si>
    <t>144-D</t>
  </si>
  <si>
    <t>145-D</t>
  </si>
  <si>
    <t>147-D</t>
  </si>
  <si>
    <t>1374-SF</t>
  </si>
  <si>
    <t>Crystal Series</t>
  </si>
  <si>
    <t>150-D</t>
  </si>
  <si>
    <t xml:space="preserve">Ibix Series </t>
  </si>
  <si>
    <t>121-I</t>
  </si>
  <si>
    <t>122-I</t>
  </si>
  <si>
    <t>123-I</t>
  </si>
  <si>
    <t>Helix Series</t>
  </si>
  <si>
    <t>124-I</t>
  </si>
  <si>
    <t>129-I</t>
  </si>
  <si>
    <t>130-I</t>
  </si>
  <si>
    <t>Helix Wine Series</t>
  </si>
  <si>
    <t>131-I</t>
  </si>
  <si>
    <t>121-FHW</t>
  </si>
  <si>
    <t>1374-HW</t>
  </si>
  <si>
    <t>132-I</t>
  </si>
  <si>
    <t>Sink Cock Foam Flow with Flange</t>
  </si>
  <si>
    <t>Helix Gold Series</t>
  </si>
  <si>
    <t>1322-I</t>
  </si>
  <si>
    <t>121-FHG</t>
  </si>
  <si>
    <t>1374-HG</t>
  </si>
  <si>
    <t>133-I</t>
  </si>
  <si>
    <t>Sink Cock (T/M) Long Spout Foam Flow with Flange</t>
  </si>
  <si>
    <t>Helix Royal Series</t>
  </si>
  <si>
    <t>1374-I</t>
  </si>
  <si>
    <t>121-FHR</t>
  </si>
  <si>
    <t>1374-HR</t>
  </si>
  <si>
    <t>1375-I</t>
  </si>
  <si>
    <t>144-I</t>
  </si>
  <si>
    <t>Helix Peach Series</t>
  </si>
  <si>
    <t>121-FHP</t>
  </si>
  <si>
    <t>145-I</t>
  </si>
  <si>
    <t>1374-HP</t>
  </si>
  <si>
    <t>147-I</t>
  </si>
  <si>
    <t>147-IQ</t>
  </si>
  <si>
    <t>150-I</t>
  </si>
  <si>
    <t>400-I</t>
  </si>
  <si>
    <t xml:space="preserve">Ibix Royal Series </t>
  </si>
  <si>
    <t>1374-IR</t>
  </si>
  <si>
    <t xml:space="preserve">Vitro Series </t>
  </si>
  <si>
    <t xml:space="preserve">Ibix Gold Series </t>
  </si>
  <si>
    <t>121-V</t>
  </si>
  <si>
    <t>1374-IG</t>
  </si>
  <si>
    <t>121-VF</t>
  </si>
  <si>
    <t xml:space="preserve">Ibix Wine Series </t>
  </si>
  <si>
    <t>1374-IW</t>
  </si>
  <si>
    <t>124-V</t>
  </si>
  <si>
    <t>127-V</t>
  </si>
  <si>
    <t xml:space="preserve">Ibix Peach Series </t>
  </si>
  <si>
    <t>1374-IP</t>
  </si>
  <si>
    <t>129-V</t>
  </si>
  <si>
    <t>130-V</t>
  </si>
  <si>
    <t>132-V</t>
  </si>
  <si>
    <t>Vitro Gold Series</t>
  </si>
  <si>
    <t>1322-V</t>
  </si>
  <si>
    <t>Sink Cock Swing Arm Short (W/M) Foam Flow with Flange</t>
  </si>
  <si>
    <t>121-VFG</t>
  </si>
  <si>
    <t>133-V</t>
  </si>
  <si>
    <t>Vitro Wine Series</t>
  </si>
  <si>
    <t>134-V</t>
  </si>
  <si>
    <t>121-VFW</t>
  </si>
  <si>
    <t>135-V</t>
  </si>
  <si>
    <t>Vitro Royal Series</t>
  </si>
  <si>
    <t>1375-V</t>
  </si>
  <si>
    <t>121-VFR</t>
  </si>
  <si>
    <t>144-V</t>
  </si>
  <si>
    <t>Vitro Peach Series</t>
  </si>
  <si>
    <t>145-V</t>
  </si>
  <si>
    <t>121-VFP</t>
  </si>
  <si>
    <t>147-V</t>
  </si>
  <si>
    <t>Pillar Cock Swan Neck (T/M) Foam Flow with Flange</t>
  </si>
  <si>
    <t>Flora Series</t>
  </si>
  <si>
    <t>149-V</t>
  </si>
  <si>
    <t>121-SF</t>
  </si>
  <si>
    <t xml:space="preserve">Flora Series </t>
  </si>
  <si>
    <t>Flora Royal Series</t>
  </si>
  <si>
    <t>121-S</t>
  </si>
  <si>
    <t>121-SFR</t>
  </si>
  <si>
    <t>1374-SFR</t>
  </si>
  <si>
    <t>Flora Wine Series</t>
  </si>
  <si>
    <t>124-S</t>
  </si>
  <si>
    <t>121-SFW</t>
  </si>
  <si>
    <t>124-SF</t>
  </si>
  <si>
    <t>Bib Cock Long Body 15mm Foam Flow with Flange</t>
  </si>
  <si>
    <t>1374-SFW</t>
  </si>
  <si>
    <t>127-S</t>
  </si>
  <si>
    <t>Flora Gold Series</t>
  </si>
  <si>
    <t>121-SFG</t>
  </si>
  <si>
    <t>129-S</t>
  </si>
  <si>
    <t>130-S</t>
  </si>
  <si>
    <t>132-S</t>
  </si>
  <si>
    <t>1374-SFG</t>
  </si>
  <si>
    <t>1322-S</t>
  </si>
  <si>
    <t>Flora Peach Series</t>
  </si>
  <si>
    <t>121-SFP</t>
  </si>
  <si>
    <t>133-S</t>
  </si>
  <si>
    <t>Sink Cock Foam Flow Swing Arm Long (T/M) with Flange</t>
  </si>
  <si>
    <t>1374-SFP</t>
  </si>
  <si>
    <t>134-S</t>
  </si>
  <si>
    <t>135-S</t>
  </si>
  <si>
    <t>Astra Series</t>
  </si>
  <si>
    <t>* (This New Range Introduced of Same Ryan Range in Fern)</t>
  </si>
  <si>
    <t>121-ASF</t>
  </si>
  <si>
    <t>1374-ASF</t>
  </si>
  <si>
    <t>1375-SF</t>
  </si>
  <si>
    <t>Apex Series</t>
  </si>
  <si>
    <t>* (This New Range Introduced of Same Stella Range in Fern)</t>
  </si>
  <si>
    <t>144-S</t>
  </si>
  <si>
    <t>121-APF</t>
  </si>
  <si>
    <t>145-S</t>
  </si>
  <si>
    <t>1374-APF</t>
  </si>
  <si>
    <t>147-S</t>
  </si>
  <si>
    <t>Pillar Cock Foam Flow Swan Neck (T/M) with Flange</t>
  </si>
  <si>
    <t>Ebon Series</t>
  </si>
  <si>
    <t>149-S</t>
  </si>
  <si>
    <t>Washing Machine Tap With Flange</t>
  </si>
  <si>
    <t>121-EBF</t>
  </si>
  <si>
    <t>1374-EBF</t>
  </si>
  <si>
    <t xml:space="preserve">Astra Series </t>
  </si>
  <si>
    <t>Black Pearl Series</t>
  </si>
  <si>
    <t>121-BF</t>
  </si>
  <si>
    <t>121-AS</t>
  </si>
  <si>
    <t>1374-B</t>
  </si>
  <si>
    <t>Grand Series</t>
  </si>
  <si>
    <t>121-EF</t>
  </si>
  <si>
    <t>124-AS</t>
  </si>
  <si>
    <t>1374-E</t>
  </si>
  <si>
    <t>127-AS</t>
  </si>
  <si>
    <t>Roman Series</t>
  </si>
  <si>
    <t>129-AS</t>
  </si>
  <si>
    <t>130-AS</t>
  </si>
  <si>
    <t>Erosa Series</t>
  </si>
  <si>
    <t>132-AS</t>
  </si>
  <si>
    <t>1322-AS</t>
  </si>
  <si>
    <t>133-AS</t>
  </si>
  <si>
    <t>134-AS</t>
  </si>
  <si>
    <t>135-AS</t>
  </si>
  <si>
    <t>Bib Cock Long Body 15mm (Erosa) with Flange</t>
  </si>
  <si>
    <t>1375-ASF</t>
  </si>
  <si>
    <t>Wall Mixer Foam Flow L Bend with Flange</t>
  </si>
  <si>
    <t>144-AS</t>
  </si>
  <si>
    <t>Pillar Cock 15mm (Erosa) with Flange</t>
  </si>
  <si>
    <t>145-AS</t>
  </si>
  <si>
    <t>Pillar Cock 15mm (Erosa) (Foam Flow) with Flange</t>
  </si>
  <si>
    <t>147-AS</t>
  </si>
  <si>
    <t>149-AS</t>
  </si>
  <si>
    <t xml:space="preserve">Apex Series </t>
  </si>
  <si>
    <t>121-AP</t>
  </si>
  <si>
    <t>Stop Cock 15mm (M/T) Erosa</t>
  </si>
  <si>
    <t>Stop Cock 15mm (F/T) Erosa</t>
  </si>
  <si>
    <t>Stop Cock 20mm (F/T) Erosa</t>
  </si>
  <si>
    <t>Angle Cock 15mm (Erosa) with Flange</t>
  </si>
  <si>
    <t>124-AP</t>
  </si>
  <si>
    <t>127-AP</t>
  </si>
  <si>
    <t>129-AP</t>
  </si>
  <si>
    <t>130-AP</t>
  </si>
  <si>
    <t>132-AP</t>
  </si>
  <si>
    <t>1322-AP</t>
  </si>
  <si>
    <t>Erosa Gold Series</t>
  </si>
  <si>
    <t>133-AP</t>
  </si>
  <si>
    <t>121-FG</t>
  </si>
  <si>
    <t>134-AP</t>
  </si>
  <si>
    <t>121-LSFG</t>
  </si>
  <si>
    <t>135-AP</t>
  </si>
  <si>
    <t>123-LSG</t>
  </si>
  <si>
    <t>123-LSFG</t>
  </si>
  <si>
    <t>123-LSNG</t>
  </si>
  <si>
    <t>1375-APF</t>
  </si>
  <si>
    <t>124-LSG</t>
  </si>
  <si>
    <t>144-AP</t>
  </si>
  <si>
    <t>124-LSFG</t>
  </si>
  <si>
    <t>145-AP</t>
  </si>
  <si>
    <t>127-LSG</t>
  </si>
  <si>
    <t>129-LSG</t>
  </si>
  <si>
    <t>147-AP</t>
  </si>
  <si>
    <t>130-LSG</t>
  </si>
  <si>
    <t>149-AP</t>
  </si>
  <si>
    <t>131-LSG</t>
  </si>
  <si>
    <t>132-LSG</t>
  </si>
  <si>
    <t>132-LSTG</t>
  </si>
  <si>
    <t xml:space="preserve">Ebon Series </t>
  </si>
  <si>
    <t>133-LSG</t>
  </si>
  <si>
    <t>134-LSG</t>
  </si>
  <si>
    <t>1374-LSG</t>
  </si>
  <si>
    <t>121-EB</t>
  </si>
  <si>
    <t>1375-LSG</t>
  </si>
  <si>
    <t>141-LSG</t>
  </si>
  <si>
    <t>142-LSG</t>
  </si>
  <si>
    <t>124-EB</t>
  </si>
  <si>
    <t>143-LSG</t>
  </si>
  <si>
    <t>127-EB</t>
  </si>
  <si>
    <t>144-LSG</t>
  </si>
  <si>
    <t>145-LSG</t>
  </si>
  <si>
    <t>129-EB</t>
  </si>
  <si>
    <t>146-LSG</t>
  </si>
  <si>
    <t>130-EB</t>
  </si>
  <si>
    <t>148-LSG</t>
  </si>
  <si>
    <t>147-LSG</t>
  </si>
  <si>
    <t>132-EB</t>
  </si>
  <si>
    <t>147-LSQG</t>
  </si>
  <si>
    <t>1322-EB</t>
  </si>
  <si>
    <t>149-LSG</t>
  </si>
  <si>
    <t>133-EB</t>
  </si>
  <si>
    <t>150-LSG</t>
  </si>
  <si>
    <t>134-EB</t>
  </si>
  <si>
    <t>Erosa Blue Series</t>
  </si>
  <si>
    <t>135-EB</t>
  </si>
  <si>
    <t>121-FB</t>
  </si>
  <si>
    <t>121-LSFB</t>
  </si>
  <si>
    <t>1375-EBF</t>
  </si>
  <si>
    <t>123-LSB</t>
  </si>
  <si>
    <t>144-EB</t>
  </si>
  <si>
    <t>123-LSFB</t>
  </si>
  <si>
    <t>123-LSNB</t>
  </si>
  <si>
    <t>124-LSB</t>
  </si>
  <si>
    <t>124-LSFB</t>
  </si>
  <si>
    <t>145-EB</t>
  </si>
  <si>
    <t>127-LSB</t>
  </si>
  <si>
    <t>147-EB</t>
  </si>
  <si>
    <t>129-LSB</t>
  </si>
  <si>
    <t>130-LSB</t>
  </si>
  <si>
    <t>149-EB</t>
  </si>
  <si>
    <t>131-LSB</t>
  </si>
  <si>
    <t>132-LSB</t>
  </si>
  <si>
    <t xml:space="preserve">Black Pearl Series </t>
  </si>
  <si>
    <t>132-LSTB</t>
  </si>
  <si>
    <t>133-LSB</t>
  </si>
  <si>
    <t>134-LSB</t>
  </si>
  <si>
    <t>121-B</t>
  </si>
  <si>
    <t>1374-LSB</t>
  </si>
  <si>
    <t>1375-LSB</t>
  </si>
  <si>
    <t>141-LSB</t>
  </si>
  <si>
    <t>142-LSB</t>
  </si>
  <si>
    <t>124-B</t>
  </si>
  <si>
    <t>143-LSB</t>
  </si>
  <si>
    <t>144-LSB</t>
  </si>
  <si>
    <t>124-BF</t>
  </si>
  <si>
    <t>145-LSB</t>
  </si>
  <si>
    <t>146-LSB</t>
  </si>
  <si>
    <t>127-B</t>
  </si>
  <si>
    <t>148-LSB</t>
  </si>
  <si>
    <t>147-LSB</t>
  </si>
  <si>
    <t>129-B</t>
  </si>
  <si>
    <t>147-LSQB</t>
  </si>
  <si>
    <t>130-B</t>
  </si>
  <si>
    <t>149-LSB</t>
  </si>
  <si>
    <t>150-LSB</t>
  </si>
  <si>
    <t>132-B</t>
  </si>
  <si>
    <t>Ball Cocks</t>
  </si>
  <si>
    <t>1322-B</t>
  </si>
  <si>
    <t>153-S</t>
  </si>
  <si>
    <t>Ball Cock 25mm with 20mm Aluminium Rod and 15mm Ball (HDPE with Brass Nut)</t>
  </si>
  <si>
    <t>133-B</t>
  </si>
  <si>
    <t>Sink Cock - Swing Arm Long (T/M) Foam Flow with Flange</t>
  </si>
  <si>
    <t>Bathroom Mirror &amp; Cabinet</t>
  </si>
  <si>
    <t>134-B</t>
  </si>
  <si>
    <t>550-F</t>
  </si>
  <si>
    <t>Bathroom Mirror Frame (400x500mm)</t>
  </si>
  <si>
    <t>135-B</t>
  </si>
  <si>
    <t>Push Cock Series</t>
  </si>
  <si>
    <t>1375-B</t>
  </si>
  <si>
    <t>Showers &amp; Accessories</t>
  </si>
  <si>
    <t>Over Head Shower Square (5") without Arm</t>
  </si>
  <si>
    <t>144-B</t>
  </si>
  <si>
    <t>Over Head Shower Round (5") without Arm</t>
  </si>
  <si>
    <t>145-B</t>
  </si>
  <si>
    <t>Shower Sets</t>
  </si>
  <si>
    <t>O.H. Shower Square (5") with Arm &amp; Flange (1178+1841)</t>
  </si>
  <si>
    <t>147-B</t>
  </si>
  <si>
    <t>O.H. Shower Round (5") with Arm &amp; Flange (1180+184)</t>
  </si>
  <si>
    <t>149-B</t>
  </si>
  <si>
    <t>Removed Items</t>
  </si>
  <si>
    <t>Lagoona Series</t>
  </si>
  <si>
    <t>400-L</t>
  </si>
  <si>
    <t xml:space="preserve">Grand Series </t>
  </si>
  <si>
    <t>REMOVED</t>
  </si>
  <si>
    <t>121-E</t>
  </si>
  <si>
    <t>123-E</t>
  </si>
  <si>
    <t>124-ASF</t>
  </si>
  <si>
    <t>123-EF</t>
  </si>
  <si>
    <t>123-EN</t>
  </si>
  <si>
    <t>124-APF</t>
  </si>
  <si>
    <t>124-E</t>
  </si>
  <si>
    <t>124-EBF</t>
  </si>
  <si>
    <t>124-EF</t>
  </si>
  <si>
    <t xml:space="preserve">Quadra Black Series </t>
  </si>
  <si>
    <t>127-E</t>
  </si>
  <si>
    <t>400-QB</t>
  </si>
  <si>
    <t>129-E</t>
  </si>
  <si>
    <t>400-LR</t>
  </si>
  <si>
    <t>130-E</t>
  </si>
  <si>
    <t>400-LG</t>
  </si>
  <si>
    <t>132-E</t>
  </si>
  <si>
    <t>Sink Cock (W/M) Long Spout Foam Flow with Flange</t>
  </si>
  <si>
    <t>133-E</t>
  </si>
  <si>
    <t>400-LW</t>
  </si>
  <si>
    <t>134-E</t>
  </si>
  <si>
    <t>Sink Mixer (Foam Flow) With Flange</t>
  </si>
  <si>
    <t>400-LP</t>
  </si>
  <si>
    <t>135-E</t>
  </si>
  <si>
    <t>Wall Mixer (Foam Flow) With Flange</t>
  </si>
  <si>
    <t xml:space="preserve">Vitro Black Series </t>
  </si>
  <si>
    <t>121-VB</t>
  </si>
  <si>
    <t>124-VB</t>
  </si>
  <si>
    <t>1375-E</t>
  </si>
  <si>
    <t>127-VB</t>
  </si>
  <si>
    <t>129-VB</t>
  </si>
  <si>
    <t>141-E</t>
  </si>
  <si>
    <t>130-VB</t>
  </si>
  <si>
    <t>132-VB</t>
  </si>
  <si>
    <t>142-E</t>
  </si>
  <si>
    <t>1322-VB</t>
  </si>
  <si>
    <t>143-E</t>
  </si>
  <si>
    <t>133-VB</t>
  </si>
  <si>
    <t>134-VB</t>
  </si>
  <si>
    <t>144-E</t>
  </si>
  <si>
    <t>135-VB</t>
  </si>
  <si>
    <t>1375-VB</t>
  </si>
  <si>
    <t>Wall Mixer with L Bend</t>
  </si>
  <si>
    <t>145-E</t>
  </si>
  <si>
    <t>144-VB</t>
  </si>
  <si>
    <t>146-E</t>
  </si>
  <si>
    <t>145-VB</t>
  </si>
  <si>
    <t>147-VB</t>
  </si>
  <si>
    <t>148-E</t>
  </si>
  <si>
    <t>149-VB</t>
  </si>
  <si>
    <t>147-E</t>
  </si>
  <si>
    <t>147-EQ</t>
  </si>
  <si>
    <t>149-E</t>
  </si>
  <si>
    <t>150-E</t>
  </si>
  <si>
    <t xml:space="preserve">Roman Series </t>
  </si>
  <si>
    <t>Bib Cock Fancy 15mm (R. H.) with Flange</t>
  </si>
  <si>
    <t>1231-F</t>
  </si>
  <si>
    <t>Bib Cock Fancy 15mm (R. H.) (Foam Flow) with Flange</t>
  </si>
  <si>
    <t>1231-N</t>
  </si>
  <si>
    <t>Bib Cock Fancy 15mm (R. H.) with New Flange &amp; Nipple</t>
  </si>
  <si>
    <t>Bib Cock Long Body 15mm (R. H.) with Flange</t>
  </si>
  <si>
    <t>1241-F</t>
  </si>
  <si>
    <t>Bib Cock Long Body 15mm (R. H.) (Foam Flow) with Flange</t>
  </si>
  <si>
    <t>2 Way Bib Cock 15mm (R. H.) Foam Flow with Flange</t>
  </si>
  <si>
    <t>Pillar Cock Fancy 15mm (R. H.) Foam Flow With Flange</t>
  </si>
  <si>
    <t>1311-N</t>
  </si>
  <si>
    <t>Pillar Cock 15mm (R. H.) Foam Flow with Flange</t>
  </si>
  <si>
    <t>Sink Cock (R. H.) Swing Arm W/M Foam Flow with Flange</t>
  </si>
  <si>
    <t>Sink Cock (R. H.) Swan Neck W/M Foam Flow with Flange</t>
  </si>
  <si>
    <t>Sink Cock (R. H.) Swing Arm T/M Foam Flow with Flange</t>
  </si>
  <si>
    <t>Sink Mixer (R. H.) Foam Flow With Flange</t>
  </si>
  <si>
    <t>Wall Mixer (R. H.) Foam Flow With Flange</t>
  </si>
  <si>
    <t>Wall Mixer L Bend (R. H.) Foam Flow With Flange</t>
  </si>
  <si>
    <t>Stop Cock 15mm (M/T) R. H.</t>
  </si>
  <si>
    <t>Stop Cock 15mm (F/T) R. H.</t>
  </si>
  <si>
    <t>Stop Cock 20mm (F/T) R. H.</t>
  </si>
  <si>
    <t>Angle Cock 15mm (R. H.) with Flange</t>
  </si>
  <si>
    <t>2 in 1 Angle Cock 15mm (R. H.) with Flange</t>
  </si>
  <si>
    <t>Concealed Stop Cock 15mm (R. H.)</t>
  </si>
  <si>
    <t>Concealed Stop Cock 20mm (R. H.)</t>
  </si>
  <si>
    <t>Pillar Cock Swan Neck (R. H.) Foam Flow with Flange</t>
  </si>
  <si>
    <t>1471-Q</t>
  </si>
  <si>
    <t>Pillar Cock Swan Neck Square Spout (R. H.) Foam Flow with Flange</t>
  </si>
  <si>
    <t>Washing Machine Tap (R. H.) with Flange</t>
  </si>
  <si>
    <t>Center Hole Basin Mixer (R. H.) Foam Flow</t>
  </si>
  <si>
    <t>Waste Coupling</t>
  </si>
  <si>
    <t>Waste Coupling 31/32mm (H/T)</t>
  </si>
  <si>
    <t>Waste Coupling 38/40mm (F/T)</t>
  </si>
  <si>
    <t>Waste Coupling 31/32mm (F/T)</t>
  </si>
  <si>
    <t>Urinal Waste Coupling 31/32mm</t>
  </si>
  <si>
    <t>Bottle Trap 31/32mm with Two Pieces Extension Pipe 6 inch (150mm)</t>
  </si>
  <si>
    <t>Bottle Trap 38/40mm with Two Pieces Extension Pipe 6 inch (150mm)</t>
  </si>
  <si>
    <t>P Trap 12x12 inch 32mm</t>
  </si>
  <si>
    <t>Bottle Trap Extension Pipe 6 inch (150mm)</t>
  </si>
  <si>
    <t>Grating Round 100mm</t>
  </si>
  <si>
    <t>Square Grating (Slit) 100mm (4 inch)</t>
  </si>
  <si>
    <t>Grating Doom 125mm (5 inch)</t>
  </si>
  <si>
    <t>Grating Doom Waste Hole 125mm (5 inch)</t>
  </si>
  <si>
    <t>Grating Round 140mm (5.5 inch)</t>
  </si>
  <si>
    <t>Grating Square 150mm (6 inch)</t>
  </si>
  <si>
    <t>Grating Square with Hole 150mm (6 inch)</t>
  </si>
  <si>
    <t>Cockroach Fittings for Grating Square</t>
  </si>
  <si>
    <t>Square Grating (Slit) 150mm (6x6")</t>
  </si>
  <si>
    <t>Cockroach Trap with Water Seal 150x150mm (6x6") without Hole</t>
  </si>
  <si>
    <t>119-W</t>
  </si>
  <si>
    <t>Cockroach Trap with Water Seal 150x150mm (6x6") with Hole</t>
  </si>
  <si>
    <t>Cockroach Trap Special 150x150mm (6x6")</t>
  </si>
  <si>
    <t>Swiveling Shower 75mm (3 inch) Without Arm</t>
  </si>
  <si>
    <t>Over Head Shower Round 75mm (3 inch) Without Arm</t>
  </si>
  <si>
    <t>Over Head Shower Round 150mm (6 inch) without Arm</t>
  </si>
  <si>
    <t>Over Head Shower 75mm (3 inch) without Arm</t>
  </si>
  <si>
    <t>Over Head Shower Round 100mm (4 inch) (Adjustable) without Arm</t>
  </si>
  <si>
    <t>Over Head Shower Round (4") without Arm</t>
  </si>
  <si>
    <t>Over Head Shower Square (4"X4") Without Arm</t>
  </si>
  <si>
    <t>Over Head Shower Square 150x150mm (6x6 inch) without Arm</t>
  </si>
  <si>
    <t>Hand Shower with 1.50 Mtr. Tube &amp; Hook</t>
  </si>
  <si>
    <t>Hand Shower with 1.50 Mtr. Tube with Hook</t>
  </si>
  <si>
    <t>Shower Arm - Round 225mm with Flange</t>
  </si>
  <si>
    <t>Shower Arm - Square 225mm with Flange</t>
  </si>
  <si>
    <t>Shower Arm - Square 300mm with Flange</t>
  </si>
  <si>
    <t>Smart Shelf 300mm (12 inch)</t>
  </si>
  <si>
    <t>The Shelf 450mm (18 inch)</t>
  </si>
  <si>
    <t>Corner Shelf 200mm (8 inch)</t>
  </si>
  <si>
    <t>Liquid Soap Container</t>
  </si>
  <si>
    <t>Soap Dish - Oval</t>
  </si>
  <si>
    <t>Soap Dish/Holder - Square</t>
  </si>
  <si>
    <t>Towel Ring - Quad</t>
  </si>
  <si>
    <t>Towel Ring - Round</t>
  </si>
  <si>
    <t>Toilet Paper Holder</t>
  </si>
  <si>
    <t>Tooth Brush Holder</t>
  </si>
  <si>
    <t>Towel Rail 18 inch (450mm)</t>
  </si>
  <si>
    <t>Towel Rail 24 inch (600mm)</t>
  </si>
  <si>
    <t>Robe Hook</t>
  </si>
  <si>
    <t>Towel Rack 24 inch (600mm)</t>
  </si>
  <si>
    <t>Round Flange 15mm</t>
  </si>
  <si>
    <t>126-SQ</t>
  </si>
  <si>
    <t>Square Flange 15mm</t>
  </si>
  <si>
    <t>492-W</t>
  </si>
  <si>
    <t>ABS Soap Dispenser Oval 400ml White</t>
  </si>
  <si>
    <t>493-W</t>
  </si>
  <si>
    <t>ABS Soap Dispenser Round 400ml White</t>
  </si>
  <si>
    <t>181-C</t>
  </si>
  <si>
    <t>Swiveling Shower 15mm + Shower Arm 225mm (181+184)</t>
  </si>
  <si>
    <t>1813-C</t>
  </si>
  <si>
    <t>O.H. Shower Round 75mm (3" + Shower Arm 225mm Square (1813+1841)</t>
  </si>
  <si>
    <t>1815-C</t>
  </si>
  <si>
    <t>Over Head Shower Round (4") with Arm (1815+184)</t>
  </si>
  <si>
    <t>1817-C</t>
  </si>
  <si>
    <t>Over Head Shower Square (4"X4") with Arm (1817+1841)</t>
  </si>
  <si>
    <t>1821-C</t>
  </si>
  <si>
    <t>O.H. Shower Square 150x150mm (6x6 inch) + Shower Arm 300mm Square (1821+1842)</t>
  </si>
  <si>
    <t>1813-B</t>
  </si>
  <si>
    <t>O.H. Shower Round 75mm (3 inch) + Shower Arm 225mm with Flange (1813+184)</t>
  </si>
  <si>
    <t>1814-C</t>
  </si>
  <si>
    <t>O.H. Shower Round 100mm (4 inch) + Shower Arm 225mm with Flange (1814+184)</t>
  </si>
  <si>
    <t>1814N-C</t>
  </si>
  <si>
    <t>O.H. Shower Round 100mm (4 inch) + Shower Arm 225mm with Flange (1814+1841)</t>
  </si>
  <si>
    <t>1811N-C</t>
  </si>
  <si>
    <t>O.H. Shower Round 100mm (4 inch) + Shower Arm 225mm with Flange (1811+1841)</t>
  </si>
  <si>
    <t>1811-C</t>
  </si>
  <si>
    <t>O.H. Shower Round 100mm (4 inch) + Shower Arm 225mm with Flange (1811+184)</t>
  </si>
  <si>
    <t>1178-C</t>
  </si>
  <si>
    <t>Cat No. Change</t>
  </si>
  <si>
    <t>1179-C</t>
  </si>
  <si>
    <t>1180-C</t>
  </si>
  <si>
    <t>1181-C</t>
  </si>
  <si>
    <t>1816-C</t>
  </si>
  <si>
    <t>Over Head Shower Round 150mm (6") with Arm (1816+184)</t>
  </si>
  <si>
    <t>Flush Valves</t>
  </si>
  <si>
    <t>Flush Valve 25mm (Lever Type)</t>
  </si>
  <si>
    <t>Flush Valve 25mm (Push Type)</t>
  </si>
  <si>
    <t>Faucets &amp; Jet Sprays</t>
  </si>
  <si>
    <t>2 in 1 Faucet (1 Mtr Tube) with Hook</t>
  </si>
  <si>
    <t>2 in 1 Faucet Special (1 Mtr Tube) with Hook</t>
  </si>
  <si>
    <t>2 in 1 Faucet (1.5 Mtr Tube) with Hook</t>
  </si>
  <si>
    <t>2 in 1 Faucet (Body)</t>
  </si>
  <si>
    <t>Jet Spray with 1 Mtr Tube</t>
  </si>
  <si>
    <t>Jet Spray with 1.5 Mtr Tube</t>
  </si>
  <si>
    <t>Jet Spray L-Type with 1 Mtr Tube</t>
  </si>
  <si>
    <t>Jet Spray L-Type with 1.5 Mtr Tube</t>
  </si>
  <si>
    <t>180-A</t>
  </si>
  <si>
    <t>2 In 1 Faucet (1 Mtr Tube) with Hook</t>
  </si>
  <si>
    <t>180-B</t>
  </si>
  <si>
    <t>2 In 1 Faucet (1.5 Mtr Tube) with Hook</t>
  </si>
  <si>
    <t>HF-190</t>
  </si>
  <si>
    <t>Health Faucet with 1Mtr. Braided Tube &amp; Hook</t>
  </si>
  <si>
    <t>HF-191</t>
  </si>
  <si>
    <t>Health Faucet with 1.5Mtr. Braided Tube &amp; Hook</t>
  </si>
  <si>
    <t>PH-1</t>
  </si>
  <si>
    <t>Health Faucet Round Hook</t>
  </si>
  <si>
    <t>PH-2</t>
  </si>
  <si>
    <t>Health Faucet Square Hook</t>
  </si>
  <si>
    <t>Hardware Items</t>
  </si>
  <si>
    <t>Door Handel 4"/125mm</t>
  </si>
  <si>
    <t>Door Handel 6"/150mm</t>
  </si>
  <si>
    <t>Butt Hinge 3"/75x60mm</t>
  </si>
  <si>
    <t>Butt Hinge 4"/100x75mm</t>
  </si>
  <si>
    <t>Reflex Hinge L &amp; R 3"/75mm</t>
  </si>
  <si>
    <t>Tower Bolt 4"/100mm</t>
  </si>
  <si>
    <t>Tower Bolt 6"/150mm</t>
  </si>
  <si>
    <t>Tower Bolt 8"/200mm</t>
  </si>
  <si>
    <t>Tank Nipples</t>
  </si>
  <si>
    <t>Tank Nipple 15mm</t>
  </si>
  <si>
    <t>Tank Nipple 20mm</t>
  </si>
  <si>
    <t>Tank Nipple 25mm</t>
  </si>
  <si>
    <t>Tank Nipple 32mm</t>
  </si>
  <si>
    <t>Tank Nipple 40mm</t>
  </si>
  <si>
    <t>Tank Nipple 50mm</t>
  </si>
  <si>
    <t>Extension Nipple 15mm</t>
  </si>
  <si>
    <t>Hexa Nipple 15mm</t>
  </si>
  <si>
    <t>EPT-01</t>
  </si>
  <si>
    <t>End Plug Black (1/2")</t>
  </si>
  <si>
    <t>Water Tank Line Filter</t>
  </si>
  <si>
    <t>LF-152</t>
  </si>
  <si>
    <t>3/4" Y Type Line Filter 20mm</t>
  </si>
  <si>
    <t>LF-153</t>
  </si>
  <si>
    <t>1" Y Type Line Filter 25mm</t>
  </si>
  <si>
    <t>LF-154</t>
  </si>
  <si>
    <t>1-1/4" Y Type Line Filter 32mm</t>
  </si>
  <si>
    <t>LF-155</t>
  </si>
  <si>
    <t>1-1/2" Y Type Line Filter 40mm</t>
  </si>
  <si>
    <t>LF-156</t>
  </si>
  <si>
    <t>2" Y Type Line Filter 50mm</t>
  </si>
  <si>
    <t>LF-157</t>
  </si>
  <si>
    <t>2-1/2" Y Type Line Filter 63mm</t>
  </si>
  <si>
    <t>LFP-156</t>
  </si>
  <si>
    <t>2" Y Type Line Filter Part 50mm</t>
  </si>
  <si>
    <t>Bathroom Mirror &amp; Cabinet (P.T.M.T. Alloy &amp; PP &amp; PPCP)</t>
  </si>
  <si>
    <t>Mirror Cabinet 330x430mm</t>
  </si>
  <si>
    <t>551-F</t>
  </si>
  <si>
    <t>Cabinet Without Mirror 330x430mm</t>
  </si>
  <si>
    <t>Bathroom Mirror (600x600mm)</t>
  </si>
  <si>
    <t>553-F</t>
  </si>
  <si>
    <t>Bathroom Mirror Frame (600x600mm) without Mirror</t>
  </si>
  <si>
    <t>Mirror Cabinet 400x500mm</t>
  </si>
  <si>
    <t>Mirror Cabinet 622x422mm</t>
  </si>
  <si>
    <t>555-F</t>
  </si>
  <si>
    <t>Cabinet without Mirror 622x422mm</t>
  </si>
  <si>
    <t>Bathroom Mirror Cabinet 500x400mm</t>
  </si>
  <si>
    <t>Bathroom Mirror Cabinet 450x350mm</t>
  </si>
  <si>
    <t>557-F</t>
  </si>
  <si>
    <t>Cabinet without Mirror 450x350mm</t>
  </si>
  <si>
    <t>Double Door Mirror Cabinet with PP &amp; PPCP Materials 595x343x250mm</t>
  </si>
  <si>
    <t>Double Door Cabinet with PP &amp; PPCP Materials 595x343x250mm</t>
  </si>
  <si>
    <t>Single Door Cabinet with PP &amp; PPCP Materials 300x343x250mm</t>
  </si>
  <si>
    <t>664-M</t>
  </si>
  <si>
    <t>Single Door Mirror Cabinet with PP &amp; PPCP Materials 300x343x250mm</t>
  </si>
  <si>
    <t>Triple Door Cabinet with PP &amp; PPCP Materials 848x343x250mm</t>
  </si>
  <si>
    <t>Triple Door Mirror Cabinet with PP &amp; PPCP Materials 848x343x250mm</t>
  </si>
  <si>
    <t>Mirror Cabinet with Shelf with PP &amp; PPCP Materials 540x340x130mm</t>
  </si>
  <si>
    <t>151-S</t>
  </si>
  <si>
    <t>Ball Cock with Rod &amp; Small Ball 15mm</t>
  </si>
  <si>
    <t>Ball Cock with Rod &amp; Ball 15mm</t>
  </si>
  <si>
    <t>Ball Cock with Rod &amp; Ball 20mm</t>
  </si>
  <si>
    <t>Ball Cock with Rod &amp; Ball 25mm</t>
  </si>
  <si>
    <t>Ball Cock with Rod &amp; Ball 32mm</t>
  </si>
  <si>
    <t>Ball Cock with Rod &amp; Ball 40mm</t>
  </si>
  <si>
    <t>Ball Cock with Rod &amp; Ball 50mm</t>
  </si>
  <si>
    <t>Ball Cock Body without Rod &amp; Ball 15mm</t>
  </si>
  <si>
    <t>Ball Cock Body without Rod &amp; Ball 20mm</t>
  </si>
  <si>
    <t>Ball Cock Body without Rod &amp; Ball 25mm</t>
  </si>
  <si>
    <t>Ball Cock Body without Rod &amp; Ball 32mm</t>
  </si>
  <si>
    <t>Ball Cock Body without Rod &amp; Ball 38/40mm</t>
  </si>
  <si>
    <t>Ball Cock Body without Rod &amp; Ball 50mm</t>
  </si>
  <si>
    <t>Ball Cock Rod (Aluminium) 15mm</t>
  </si>
  <si>
    <t>Ball Cock Rod (Aluminium) 20mm</t>
  </si>
  <si>
    <t>Ball Cock Rod (Aluminium) 25mm</t>
  </si>
  <si>
    <t>Ball Cock Rod (Aluminium) 32mm</t>
  </si>
  <si>
    <t>Ball Cock Rod (Aluminium) 38/40mm</t>
  </si>
  <si>
    <t>Ball Cock Rod (Aluminium) 50mm</t>
  </si>
  <si>
    <t>Ball Cock Ball (HDPE with Brass Nut) 15mm</t>
  </si>
  <si>
    <t>Ball Cock Ball (HDPE with Brass Nut) 20mm</t>
  </si>
  <si>
    <t>Ball Cock Ball (HDPE with Brass Nut) 25mm</t>
  </si>
  <si>
    <t>Ball Cock Ball (HDPE with Brass Nut) 38/40mm</t>
  </si>
  <si>
    <t>Ball Cock Ball (HDPE with Brass Nut) 50mm</t>
  </si>
  <si>
    <t>Brass Ball Cocks ISI</t>
  </si>
  <si>
    <t>COST AUG'2026</t>
  </si>
  <si>
    <t>I-151</t>
  </si>
  <si>
    <t>I-152</t>
  </si>
  <si>
    <t>I-153</t>
  </si>
  <si>
    <t>I-155</t>
  </si>
  <si>
    <t>I-161</t>
  </si>
  <si>
    <t>Ball Cock Body (without Rod &amp; Ball) 15mm</t>
  </si>
  <si>
    <t>I-162</t>
  </si>
  <si>
    <t>Ball Cock Body (without Rod &amp; Ball) 20mm</t>
  </si>
  <si>
    <t>I-163</t>
  </si>
  <si>
    <t>Ball Cock Body (without Rod &amp; Ball) 25mm</t>
  </si>
  <si>
    <t>I-164</t>
  </si>
  <si>
    <t>Ball Cock Body (without Rod &amp; Ball) 40mm</t>
  </si>
  <si>
    <t>I-167</t>
  </si>
  <si>
    <t>Ball Cock Rod Brass 15mm</t>
  </si>
  <si>
    <t>I-168</t>
  </si>
  <si>
    <t>Ball Cock Rod Brass 20mm</t>
  </si>
  <si>
    <t>I-169</t>
  </si>
  <si>
    <t>Ball Cock Rod Brass 25mm</t>
  </si>
  <si>
    <t>I-171</t>
  </si>
  <si>
    <t>Ball Cock Rod Brass 40mm</t>
  </si>
  <si>
    <t>I-173</t>
  </si>
  <si>
    <t>I-174</t>
  </si>
  <si>
    <t>I-175</t>
  </si>
  <si>
    <t>I-177</t>
  </si>
  <si>
    <t>Ball Cock Ball (HDPE with Brass Nut) 40mm</t>
  </si>
  <si>
    <t>Teflon Tape</t>
  </si>
  <si>
    <t>TTS - 01</t>
  </si>
  <si>
    <t>Teflon Thread Seal (10 mtr. L) 12mm</t>
  </si>
  <si>
    <t>TTS - 02</t>
  </si>
  <si>
    <t>Teflon Thread Seal (10 mtr. L) 19mm</t>
  </si>
  <si>
    <t>TTS - 03</t>
  </si>
  <si>
    <t>P.V.C. Connections</t>
  </si>
  <si>
    <t>P.V.C. Connection (Standard Series 1 Pc Packing) 12"/300mm</t>
  </si>
  <si>
    <t>P.V.C. Connection (Standard Series 1 Pc Packing) 15"/375mm</t>
  </si>
  <si>
    <t>P.V.C. Connection (Standard Series 1 Pc Packing) 18"/450mm</t>
  </si>
  <si>
    <t>P.V.C. Connection (Standard Series 1 Pc Packing) 24"/600mm</t>
  </si>
  <si>
    <t>P.V.C. Connection (Standard Series 1 Pc Packing) 30"/750mm</t>
  </si>
  <si>
    <t>P.V.C. Connection (Standard Series 1 Pc Packing) 36"/900mm</t>
  </si>
  <si>
    <t>328-C</t>
  </si>
  <si>
    <t>P.V.C. Connection (Standard Series 1 Pc Packing) 40"/100mm</t>
  </si>
  <si>
    <t>P.V.C. Connection (Standard Series 1 Pc Packing) 48"/1200mm</t>
  </si>
  <si>
    <t>P.V.C. Connection (Standard Series 2 Pcs. Packing) 60"/1520mm</t>
  </si>
  <si>
    <t>323-H</t>
  </si>
  <si>
    <t>P.V.C. Braided Connection Pipe (Hot Water Supply) 18"/450mm</t>
  </si>
  <si>
    <t>324-H</t>
  </si>
  <si>
    <t>P.V.C. Braided Connection Pipe (Hot Water Supply) 24"/600mm</t>
  </si>
  <si>
    <t>325-H</t>
  </si>
  <si>
    <t>P.V.C. Braided Connection Pipe (Hot Water Supply) 30"/750mm</t>
  </si>
  <si>
    <t>326-H</t>
  </si>
  <si>
    <t>P.V.C. Braided Connection Pipe (Hot Water Supply) 36"/900mm</t>
  </si>
  <si>
    <t>P.V.C. Connections (Plain Nut Round)</t>
  </si>
  <si>
    <t>322 K</t>
  </si>
  <si>
    <t>P.V.C. Connection (Single Piece Packing) 15"/375mm</t>
  </si>
  <si>
    <t>323 K</t>
  </si>
  <si>
    <t>P.V.C. Connection (Single Piece Packing) 18"/450mm</t>
  </si>
  <si>
    <t>324 K</t>
  </si>
  <si>
    <t>P.V.C. Connection (Single Piece Packing) 24"/600mm</t>
  </si>
  <si>
    <t>325 K</t>
  </si>
  <si>
    <t>P.V.C. Connection (Single Piece Packing) 30"/750mm</t>
  </si>
  <si>
    <t>326 K</t>
  </si>
  <si>
    <t>P.V.C. Connection (Single Piece Packing) 36"/900mm</t>
  </si>
  <si>
    <t>348 K</t>
  </si>
  <si>
    <t>P.V.C. Connection (Single Piece Packing) 48"/1200mm</t>
  </si>
  <si>
    <t>Waste Pipes</t>
  </si>
  <si>
    <t>Corrugated Waste Pipe 31x32x900mm</t>
  </si>
  <si>
    <t>Corrugated Waste Pipe 38x40x900mm</t>
  </si>
  <si>
    <t>Corrugated Waste Pipe 31x32x1150mm</t>
  </si>
  <si>
    <t>Corrugated Waste Pipe 38x40x1150mm</t>
  </si>
  <si>
    <t>P.V.C. Solid Waste Pipe 31x32x900mm</t>
  </si>
  <si>
    <t>P.V.C. Solid Waste Pipe 38x40x900mm</t>
  </si>
  <si>
    <t>Corrugated Urinal Waste Pipe 50x900mm</t>
  </si>
  <si>
    <t>Corrugated Urinal Waste Pipe 50x1150mm</t>
  </si>
  <si>
    <t>P.V.C. Urinal Waste Pipe 50x800mm</t>
  </si>
  <si>
    <t>CWP-01</t>
  </si>
  <si>
    <t>Corrugated Waste Pipe Roll 32mm x 30 Mtr (Standard)</t>
  </si>
  <si>
    <t>CWP-02</t>
  </si>
  <si>
    <t>Corrugated Waste Pipe Roll 32mm x 30 Mtr (Heavy)</t>
  </si>
  <si>
    <t>Washing Machine</t>
  </si>
  <si>
    <t>Corrugated Pipe (Inlet) Extra Long 20x1500mm</t>
  </si>
  <si>
    <t>Corrugated Pipe (Inlet) Extra Long 20x3000mm</t>
  </si>
  <si>
    <t>Corrugated Pipe (Outlet) Extra Long 36x1500mm</t>
  </si>
  <si>
    <t>Corrugated Pipe (Outlet) Extra Long 36x3000mm</t>
  </si>
  <si>
    <t>Fully Auto Matic Wash Machine 1.5 Mtr</t>
  </si>
  <si>
    <t>Fully Auto Matic Wash Machine 2 Mtr</t>
  </si>
  <si>
    <t>Fully Auto Matic Wash Machine 3 Mtr</t>
  </si>
  <si>
    <t>Collapsible Waste Pipe</t>
  </si>
  <si>
    <t>Collapsible Waste Pipe (31x32x850mm) 40mm Pipe Pitch</t>
  </si>
  <si>
    <t>3272-C</t>
  </si>
  <si>
    <t>Collapsible Waste Pipe (31x32x850mm) 43mm Pipe Pitch</t>
  </si>
  <si>
    <t>3274-C</t>
  </si>
  <si>
    <t>Collapsible Waste Pipe (38x40x850mm) 40mm Pipe Pitch</t>
  </si>
  <si>
    <t>Collapsible Waste Pipe (31x32x1100mm) 43mm Pipe Pitch</t>
  </si>
  <si>
    <t>3272-B</t>
  </si>
  <si>
    <t>Collapsible Waste Pipe (31x32x850mm) 40mm Pipe Pitch Black Tail</t>
  </si>
  <si>
    <t>3272-BC</t>
  </si>
  <si>
    <t>3274-B</t>
  </si>
  <si>
    <t>Collapsible Waste Pipe (31x32x850mm) 43mm Pipe Pitch Black Tail</t>
  </si>
  <si>
    <t>3274-BC</t>
  </si>
  <si>
    <t>3275-B</t>
  </si>
  <si>
    <t>P.V.C. Flexible 2 in 1 Double Waste Pipe 1-1/4" for Kitchen Sink</t>
  </si>
  <si>
    <t>Special Cock</t>
  </si>
  <si>
    <t>Push Cock</t>
  </si>
  <si>
    <t xml:space="preserve">Novo Royal Series </t>
  </si>
  <si>
    <t>123-NNR</t>
  </si>
  <si>
    <t>124-NR</t>
  </si>
  <si>
    <t>Long Body Bib Cock (Foam Flow) with Flange</t>
  </si>
  <si>
    <t>127-NR</t>
  </si>
  <si>
    <t>129-NR</t>
  </si>
  <si>
    <t>130-NR</t>
  </si>
  <si>
    <t>132-NR</t>
  </si>
  <si>
    <t>1322-NR</t>
  </si>
  <si>
    <t>Sink Cock Swan Neck Small Spout (Foam Flow) With Flange</t>
  </si>
  <si>
    <t>133-NR</t>
  </si>
  <si>
    <t>Sink Cock Swan Neck (T/M) Square Spout (Foam Flow) with Flange</t>
  </si>
  <si>
    <t>134-NR</t>
  </si>
  <si>
    <t>135-NR</t>
  </si>
  <si>
    <t>Wall Mixer (Foam Flow) with Flange</t>
  </si>
  <si>
    <t>1375-NR</t>
  </si>
  <si>
    <t>144-NR</t>
  </si>
  <si>
    <t>145-NR</t>
  </si>
  <si>
    <t>2 Way Angle Cock (Foam Flow) with Flange</t>
  </si>
  <si>
    <t>147-NR</t>
  </si>
  <si>
    <t xml:space="preserve">Novo Gold Series </t>
  </si>
  <si>
    <t>123-NNG</t>
  </si>
  <si>
    <t>124-NG</t>
  </si>
  <si>
    <t>Cistern</t>
  </si>
  <si>
    <t>127-NG</t>
  </si>
  <si>
    <t>Smart Flush Cistern</t>
  </si>
  <si>
    <t>129-NG</t>
  </si>
  <si>
    <t>130-NG</t>
  </si>
  <si>
    <t>132-NG</t>
  </si>
  <si>
    <t>1322-NG</t>
  </si>
  <si>
    <t>133-NG</t>
  </si>
  <si>
    <t>134-NG</t>
  </si>
  <si>
    <t>135-NG</t>
  </si>
  <si>
    <t>501S</t>
  </si>
  <si>
    <t>Saga Flush Cistern</t>
  </si>
  <si>
    <t>Dual Flush Cistern (10 Ltr.)</t>
  </si>
  <si>
    <t>Vintage Single Flush Cistern (10 Ltr.)</t>
  </si>
  <si>
    <t>1375-NG</t>
  </si>
  <si>
    <t>Vintage Dual Flush Cistern (5/10 Ltr.)</t>
  </si>
  <si>
    <t>144-NG</t>
  </si>
  <si>
    <t>Elantra Dual Flush Cistern (3/6 Ltr.)</t>
  </si>
  <si>
    <t>Urbona Single Flush Cistern (6 Ltr.)</t>
  </si>
  <si>
    <t>145-NG</t>
  </si>
  <si>
    <t>Urbona Dual Flush Cistern (3/6 Ltr.)-ISI</t>
  </si>
  <si>
    <t>147-NG</t>
  </si>
  <si>
    <t>Gracia Flush Cistern (10 Ltr.)</t>
  </si>
  <si>
    <t>Macasa Single Flush Cistern</t>
  </si>
  <si>
    <t>Macasa Dual Flush Cistern (10 Ltr.)</t>
  </si>
  <si>
    <t xml:space="preserve">Novo Wine Series </t>
  </si>
  <si>
    <t>123-NNW</t>
  </si>
  <si>
    <t>Divine Single Flush Cistern (10 Ltr.)</t>
  </si>
  <si>
    <t>Cairo Dual Flush Cistern (10 Ltr.)</t>
  </si>
  <si>
    <t>Iris Single Flush Cistern (10 Ltr.)</t>
  </si>
  <si>
    <t>124-NW</t>
  </si>
  <si>
    <t>Stella Single Flush Cistern (10 Ltr.)</t>
  </si>
  <si>
    <t>501N</t>
  </si>
  <si>
    <t>Aquifer Flush Cistern with Center Push</t>
  </si>
  <si>
    <t>127-NW</t>
  </si>
  <si>
    <t>503N</t>
  </si>
  <si>
    <t>Glecy Flush Cistern with Center Push</t>
  </si>
  <si>
    <t>129-NW</t>
  </si>
  <si>
    <t>701N</t>
  </si>
  <si>
    <t>Gala Flush Cistern with Center Push</t>
  </si>
  <si>
    <t>130-NW</t>
  </si>
  <si>
    <t>132-NW</t>
  </si>
  <si>
    <t>Mute Series - Soft Close</t>
  </si>
  <si>
    <t>1322-NW</t>
  </si>
  <si>
    <t>M-Gold Soft Close-ISI</t>
  </si>
  <si>
    <t>133-NW</t>
  </si>
  <si>
    <t>M-Premium Soft Close</t>
  </si>
  <si>
    <t>134-NW</t>
  </si>
  <si>
    <t>M-Cascade Soft Close</t>
  </si>
  <si>
    <t>M-Pulse Soft Close</t>
  </si>
  <si>
    <t>135-NW</t>
  </si>
  <si>
    <t>Toilet Seat Covers</t>
  </si>
  <si>
    <t>1375-NW</t>
  </si>
  <si>
    <t>Cosmo</t>
  </si>
  <si>
    <t>144-NW</t>
  </si>
  <si>
    <t>Ultra Cascade</t>
  </si>
  <si>
    <t>145-NW</t>
  </si>
  <si>
    <t>Royal Jet without Pipe</t>
  </si>
  <si>
    <t>147-NW</t>
  </si>
  <si>
    <t>514-T</t>
  </si>
  <si>
    <t>Royal Jet with Pipe</t>
  </si>
  <si>
    <t>Waves-ISI</t>
  </si>
  <si>
    <t xml:space="preserve">Novo Peach Series </t>
  </si>
  <si>
    <t>Vintage</t>
  </si>
  <si>
    <t>123-NNP</t>
  </si>
  <si>
    <t>516-S</t>
  </si>
  <si>
    <t>Vintage Deluxe</t>
  </si>
  <si>
    <t>Anglo Indian</t>
  </si>
  <si>
    <t>124-NP</t>
  </si>
  <si>
    <t>Saga</t>
  </si>
  <si>
    <t>127-NP</t>
  </si>
  <si>
    <t>Glaze</t>
  </si>
  <si>
    <t>129-NP</t>
  </si>
  <si>
    <t>Concealed Cistern</t>
  </si>
  <si>
    <t>130-NP</t>
  </si>
  <si>
    <t>Twin Flush Concealed Cistern without Top Push Knob (Suitable for all wall hung Wcs)</t>
  </si>
  <si>
    <t>132-NP</t>
  </si>
  <si>
    <t>Actuator Knob Square Type Gloss Finished</t>
  </si>
  <si>
    <t>1322-NP</t>
  </si>
  <si>
    <t>Actuator Knob Round Type Gloss Finished</t>
  </si>
  <si>
    <t>133-NP</t>
  </si>
  <si>
    <t>134-NP</t>
  </si>
  <si>
    <t>Cistern's &amp; Seat Cover's Accessories</t>
  </si>
  <si>
    <t>135-NP</t>
  </si>
  <si>
    <t>SP-02</t>
  </si>
  <si>
    <t>Syphon Single Flush</t>
  </si>
  <si>
    <t>1375-NP</t>
  </si>
  <si>
    <t>LB-01</t>
  </si>
  <si>
    <t>Cistern Long-Bend</t>
  </si>
  <si>
    <t>SB-01</t>
  </si>
  <si>
    <t>144-NP</t>
  </si>
  <si>
    <t>Cistern Short-Bend</t>
  </si>
  <si>
    <t>CB-02</t>
  </si>
  <si>
    <t>Cistern Long-Bend (2 Pc Pack)</t>
  </si>
  <si>
    <t>145-NP</t>
  </si>
  <si>
    <t>CS-01</t>
  </si>
  <si>
    <t>Cistern Handle</t>
  </si>
  <si>
    <t>CH-01</t>
  </si>
  <si>
    <t>Cistern Handle Lever</t>
  </si>
  <si>
    <t>147-NP</t>
  </si>
  <si>
    <t>DB-02</t>
  </si>
  <si>
    <t>Ball Cock+Ball (ISI)</t>
  </si>
  <si>
    <t>DB-02 L</t>
  </si>
  <si>
    <t xml:space="preserve">Novo Dark Blue Series </t>
  </si>
  <si>
    <t>123-NNB</t>
  </si>
  <si>
    <t>DB-04</t>
  </si>
  <si>
    <t>Ball Cock</t>
  </si>
  <si>
    <t>DB-01</t>
  </si>
  <si>
    <t>Dual Push Button</t>
  </si>
  <si>
    <t>CF-01</t>
  </si>
  <si>
    <t>Comp Internal Fitting for Single Flush Cistern</t>
  </si>
  <si>
    <t>CF-03</t>
  </si>
  <si>
    <t>Comp Internal Fitting for Dual Flush Cistern</t>
  </si>
  <si>
    <t>124-NB</t>
  </si>
  <si>
    <t>DF-01</t>
  </si>
  <si>
    <t>Syphon Dual Flush</t>
  </si>
  <si>
    <t>127-NB</t>
  </si>
  <si>
    <t>SF-01</t>
  </si>
  <si>
    <t>Complete Internal Fitting for Single Piece - Premium</t>
  </si>
  <si>
    <t>SF-02</t>
  </si>
  <si>
    <t>Complete Internal Fitting for Single Piece - Standard</t>
  </si>
  <si>
    <t>129-NB</t>
  </si>
  <si>
    <t>130-NB</t>
  </si>
  <si>
    <t>P.T.M.T. Spindles Set Accessories</t>
  </si>
  <si>
    <t>132-NB</t>
  </si>
  <si>
    <t>H-1</t>
  </si>
  <si>
    <t>Standard Range-Old Handle</t>
  </si>
  <si>
    <t>1322-NB</t>
  </si>
  <si>
    <t>H-2</t>
  </si>
  <si>
    <t>Standard Range-New Handle</t>
  </si>
  <si>
    <t>H-3</t>
  </si>
  <si>
    <t>Ibix Series Handle</t>
  </si>
  <si>
    <t>133-NB</t>
  </si>
  <si>
    <t>H-4</t>
  </si>
  <si>
    <t>Roman Range Handle</t>
  </si>
  <si>
    <t>134-NB</t>
  </si>
  <si>
    <t>H-5</t>
  </si>
  <si>
    <t>Quadra Series Handle</t>
  </si>
  <si>
    <t>Complete Internal Fitting</t>
  </si>
  <si>
    <t>135-NB</t>
  </si>
  <si>
    <t>Bonat-Outer Mohra</t>
  </si>
  <si>
    <t>Valve Spindle Set (15mm)</t>
  </si>
  <si>
    <t>1375-NB</t>
  </si>
  <si>
    <t>Ball Cock Chutki 15mm</t>
  </si>
  <si>
    <t>144-NB</t>
  </si>
  <si>
    <t>Ball Cock Chutki 20mm</t>
  </si>
  <si>
    <t>Ball Cock Chutki 25mm</t>
  </si>
  <si>
    <t>145-NB</t>
  </si>
  <si>
    <t>Ball Cock Chutki 32mm</t>
  </si>
  <si>
    <t>Ball Cock Chutki 40mm</t>
  </si>
  <si>
    <t>147-NB</t>
  </si>
  <si>
    <t>Ball Cock Chutki 50mm</t>
  </si>
  <si>
    <t xml:space="preserve">Novo Black Series </t>
  </si>
  <si>
    <t>123-NNBB</t>
  </si>
  <si>
    <t>124-NBB</t>
  </si>
  <si>
    <t>127-NBB</t>
  </si>
  <si>
    <t>129-NBB</t>
  </si>
  <si>
    <t>130-NBB</t>
  </si>
  <si>
    <t>132-NBB</t>
  </si>
  <si>
    <t>1322-NBB</t>
  </si>
  <si>
    <t>133-NBB</t>
  </si>
  <si>
    <t>134-NBB</t>
  </si>
  <si>
    <t>135-NBB</t>
  </si>
  <si>
    <t>1375-NBB</t>
  </si>
  <si>
    <t>144-NBB</t>
  </si>
  <si>
    <t>145-NBB</t>
  </si>
  <si>
    <t>147-NBB</t>
  </si>
  <si>
    <t>123-UW</t>
  </si>
  <si>
    <t>124-UW</t>
  </si>
  <si>
    <t>127-UW</t>
  </si>
  <si>
    <t>129-UW</t>
  </si>
  <si>
    <t>130-UW</t>
  </si>
  <si>
    <t>132-UW</t>
  </si>
  <si>
    <t>1322-UW</t>
  </si>
  <si>
    <t>133-UW</t>
  </si>
  <si>
    <t>Sink Cock Swan Neck (T/M) (Foam Flow) with Flange</t>
  </si>
  <si>
    <t>134-UW</t>
  </si>
  <si>
    <t>135-UW</t>
  </si>
  <si>
    <t>1375-UW</t>
  </si>
  <si>
    <t>144-UW</t>
  </si>
  <si>
    <t>145-UW</t>
  </si>
  <si>
    <t>147-UW</t>
  </si>
  <si>
    <t>150-UW</t>
  </si>
  <si>
    <t>123-UG</t>
  </si>
  <si>
    <t>124-UG</t>
  </si>
  <si>
    <t>127-UG</t>
  </si>
  <si>
    <t>129-UG</t>
  </si>
  <si>
    <t>130-UG</t>
  </si>
  <si>
    <t>132-UG</t>
  </si>
  <si>
    <t>1322-UG</t>
  </si>
  <si>
    <t>133-UG</t>
  </si>
  <si>
    <t>134-UG</t>
  </si>
  <si>
    <t>135-UG</t>
  </si>
  <si>
    <t>1375-UG</t>
  </si>
  <si>
    <t>144-UG</t>
  </si>
  <si>
    <t>145-UG</t>
  </si>
  <si>
    <t>147-UG</t>
  </si>
  <si>
    <t>150-UG</t>
  </si>
  <si>
    <t>123-UR</t>
  </si>
  <si>
    <t>124-UR</t>
  </si>
  <si>
    <t>127-UR</t>
  </si>
  <si>
    <t>129-UR</t>
  </si>
  <si>
    <t>130-UR</t>
  </si>
  <si>
    <t>132-UR</t>
  </si>
  <si>
    <t>1322-UR</t>
  </si>
  <si>
    <t>133-UR</t>
  </si>
  <si>
    <t>134-UR</t>
  </si>
  <si>
    <t>135-UR</t>
  </si>
  <si>
    <t>1375-UR</t>
  </si>
  <si>
    <t>144-UR</t>
  </si>
  <si>
    <t>145-UR</t>
  </si>
  <si>
    <t>147-UR</t>
  </si>
  <si>
    <t>150-UR</t>
  </si>
  <si>
    <t>123-UP</t>
  </si>
  <si>
    <t>124-UP</t>
  </si>
  <si>
    <t>127-UP</t>
  </si>
  <si>
    <t>129-UP</t>
  </si>
  <si>
    <t>130-UP</t>
  </si>
  <si>
    <t>132-UP</t>
  </si>
  <si>
    <t>1322-UP</t>
  </si>
  <si>
    <t>133-UP</t>
  </si>
  <si>
    <t>134-UP</t>
  </si>
  <si>
    <t>135-UP</t>
  </si>
  <si>
    <t>1375-UP</t>
  </si>
  <si>
    <t>144-UP</t>
  </si>
  <si>
    <t>145-UP</t>
  </si>
  <si>
    <t>147-UP</t>
  </si>
  <si>
    <t>150-UP</t>
  </si>
  <si>
    <t>123-UB</t>
  </si>
  <si>
    <t>124-UB</t>
  </si>
  <si>
    <t>127-UB</t>
  </si>
  <si>
    <t>129-UB</t>
  </si>
  <si>
    <t>130-UB</t>
  </si>
  <si>
    <t>132-UB</t>
  </si>
  <si>
    <t>1322-UB</t>
  </si>
  <si>
    <t>133-UB</t>
  </si>
  <si>
    <t>134-UB</t>
  </si>
  <si>
    <t>135-UB</t>
  </si>
  <si>
    <t>1375-UB</t>
  </si>
  <si>
    <t>144-UB</t>
  </si>
  <si>
    <t>145-UB</t>
  </si>
  <si>
    <t>147-UB</t>
  </si>
  <si>
    <t>150-UB</t>
  </si>
  <si>
    <t xml:space="preserve">Quadra Royal Series </t>
  </si>
  <si>
    <t>123-QR</t>
  </si>
  <si>
    <t>124-QR</t>
  </si>
  <si>
    <t>127-QR</t>
  </si>
  <si>
    <t>129-QR</t>
  </si>
  <si>
    <t>130-QR</t>
  </si>
  <si>
    <t>132-QR</t>
  </si>
  <si>
    <t>1322-QR</t>
  </si>
  <si>
    <t>Sink Cock Swing Arm Short (W/M) Square Spout (Foam Flow) with Flange</t>
  </si>
  <si>
    <t>133-QR</t>
  </si>
  <si>
    <t>134-QR</t>
  </si>
  <si>
    <t>135-QR</t>
  </si>
  <si>
    <t>1375-QR</t>
  </si>
  <si>
    <t>144-QR</t>
  </si>
  <si>
    <t>145-QR</t>
  </si>
  <si>
    <t>147-QR</t>
  </si>
  <si>
    <t>150-QR</t>
  </si>
  <si>
    <t>400-QR</t>
  </si>
  <si>
    <t>Single Lever Basin Mixer (Foam Flow)</t>
  </si>
  <si>
    <t xml:space="preserve">Quadra Peach Series </t>
  </si>
  <si>
    <t>123-QP</t>
  </si>
  <si>
    <t>124-QP</t>
  </si>
  <si>
    <t>127-QP</t>
  </si>
  <si>
    <t>129-QP</t>
  </si>
  <si>
    <t>130-QP</t>
  </si>
  <si>
    <t>132-QP</t>
  </si>
  <si>
    <t>1322-QP</t>
  </si>
  <si>
    <t>133-QP</t>
  </si>
  <si>
    <t>134-QP</t>
  </si>
  <si>
    <t>135-QP</t>
  </si>
  <si>
    <t>1375-QP</t>
  </si>
  <si>
    <t>144-QP</t>
  </si>
  <si>
    <t>145-QP</t>
  </si>
  <si>
    <t>147-QP</t>
  </si>
  <si>
    <t>150-QP</t>
  </si>
  <si>
    <t>400-QP</t>
  </si>
  <si>
    <t xml:space="preserve">Quadra Gold Series </t>
  </si>
  <si>
    <t>123-QG</t>
  </si>
  <si>
    <t>124-QG</t>
  </si>
  <si>
    <t>127-QG</t>
  </si>
  <si>
    <t>129-QG</t>
  </si>
  <si>
    <t>130-QG</t>
  </si>
  <si>
    <t>132-QG</t>
  </si>
  <si>
    <t>1322-QG</t>
  </si>
  <si>
    <t>133-QG</t>
  </si>
  <si>
    <t>134-QG</t>
  </si>
  <si>
    <t>135-QG</t>
  </si>
  <si>
    <t>1375-QG</t>
  </si>
  <si>
    <t>144-QG</t>
  </si>
  <si>
    <t>145-QG</t>
  </si>
  <si>
    <t>147-QG</t>
  </si>
  <si>
    <t>150-QG</t>
  </si>
  <si>
    <t>400-QG</t>
  </si>
  <si>
    <t xml:space="preserve">Quadra Wine Series </t>
  </si>
  <si>
    <t>123-QW</t>
  </si>
  <si>
    <t>124-QW</t>
  </si>
  <si>
    <t>127-QW</t>
  </si>
  <si>
    <t>129-QW</t>
  </si>
  <si>
    <t>130-QW</t>
  </si>
  <si>
    <t>132-QW</t>
  </si>
  <si>
    <t>1322-QW</t>
  </si>
  <si>
    <t>133-QW</t>
  </si>
  <si>
    <t>134-QW</t>
  </si>
  <si>
    <t>135-QW</t>
  </si>
  <si>
    <t>1375-QW</t>
  </si>
  <si>
    <t>144-QW</t>
  </si>
  <si>
    <t>145-QW</t>
  </si>
  <si>
    <t>147-QW</t>
  </si>
  <si>
    <t>150-QW</t>
  </si>
  <si>
    <t>400-QW</t>
  </si>
  <si>
    <t>123-QB</t>
  </si>
  <si>
    <t>S.No.</t>
  </si>
  <si>
    <t>Size (Mtr)</t>
  </si>
  <si>
    <t>Size (Inch)</t>
  </si>
  <si>
    <t>weight</t>
  </si>
  <si>
    <t>kg cost</t>
  </si>
  <si>
    <t>124-QB</t>
  </si>
  <si>
    <t>127-QB</t>
  </si>
  <si>
    <t>Garden Pipe (Milky / Milky Colour)</t>
  </si>
  <si>
    <t>129-QB</t>
  </si>
  <si>
    <t>130-QB</t>
  </si>
  <si>
    <t>GP-345-MW</t>
  </si>
  <si>
    <t>Garden Pipe Milky White Plain</t>
  </si>
  <si>
    <t>30 Mtr</t>
  </si>
  <si>
    <t>1/2"</t>
  </si>
  <si>
    <t>132-QB</t>
  </si>
  <si>
    <t>1322-QB</t>
  </si>
  <si>
    <t>133-QB</t>
  </si>
  <si>
    <t>GP-345-MY</t>
  </si>
  <si>
    <t>Garden Pipe Milky Yellow Plain</t>
  </si>
  <si>
    <t>134-QB</t>
  </si>
  <si>
    <t>GP-345-MG</t>
  </si>
  <si>
    <t>Garden Pipe Milky Green Plain</t>
  </si>
  <si>
    <t>135-QB</t>
  </si>
  <si>
    <t>GP-345-MB</t>
  </si>
  <si>
    <t>Garden Pipe Milky Blue Plain</t>
  </si>
  <si>
    <t>GP-345-MO</t>
  </si>
  <si>
    <t>1375-QB</t>
  </si>
  <si>
    <t>Garden Pipe Milky Orange Plain</t>
  </si>
  <si>
    <t>144-QB</t>
  </si>
  <si>
    <t>GP-346-MW</t>
  </si>
  <si>
    <t>3/4"</t>
  </si>
  <si>
    <t>145-QB</t>
  </si>
  <si>
    <t>GP-346-MY</t>
  </si>
  <si>
    <t>147-QB</t>
  </si>
  <si>
    <t>GP-346-MG</t>
  </si>
  <si>
    <t>150-QB</t>
  </si>
  <si>
    <t>GP-346-MB</t>
  </si>
  <si>
    <t>GP-346-MO</t>
  </si>
  <si>
    <t xml:space="preserve">Quadra Dark Blue Series </t>
  </si>
  <si>
    <t>GP-364-MW</t>
  </si>
  <si>
    <t>1"</t>
  </si>
  <si>
    <t>123-QAB</t>
  </si>
  <si>
    <t>GP-364-MG</t>
  </si>
  <si>
    <t>124-QAB</t>
  </si>
  <si>
    <t>GP-364-MB</t>
  </si>
  <si>
    <t>127-QAB</t>
  </si>
  <si>
    <t>GP-364-MO</t>
  </si>
  <si>
    <t>129-QAB</t>
  </si>
  <si>
    <t>GP-367-MW</t>
  </si>
  <si>
    <t>1-1/4"</t>
  </si>
  <si>
    <t>130-QAB</t>
  </si>
  <si>
    <t>132-QAB</t>
  </si>
  <si>
    <t>Garden Pipe (Transparent / Transparent Colour)</t>
  </si>
  <si>
    <t>133-QAB</t>
  </si>
  <si>
    <t>GP-345-TT</t>
  </si>
  <si>
    <t>Garden Pipe Transparent Plain</t>
  </si>
  <si>
    <t>134-QAB</t>
  </si>
  <si>
    <t>135-QAB</t>
  </si>
  <si>
    <t>GP-345-TY</t>
  </si>
  <si>
    <t>Garden Pipe Transparent Yellow Plain</t>
  </si>
  <si>
    <t>GP-345-TG</t>
  </si>
  <si>
    <t>Garden Pipe Transparent Green Plain</t>
  </si>
  <si>
    <t>GP-345-TB</t>
  </si>
  <si>
    <t>Garden Pipe Transparent Blue Plain</t>
  </si>
  <si>
    <t>1375-QAB</t>
  </si>
  <si>
    <t>GP-345-TO</t>
  </si>
  <si>
    <t>Garden Pipe Transparent Orange Plain</t>
  </si>
  <si>
    <t>144-QAB</t>
  </si>
  <si>
    <t>GP-346-TT</t>
  </si>
  <si>
    <t>Garden Pipe Transparent  Plain</t>
  </si>
  <si>
    <t>145-QAB</t>
  </si>
  <si>
    <t>GP-346-TG</t>
  </si>
  <si>
    <t>150-QAB</t>
  </si>
  <si>
    <t>GP-346-TB</t>
  </si>
  <si>
    <t>400-QAB</t>
  </si>
  <si>
    <t>GP-346-TO</t>
  </si>
  <si>
    <t>GP-346-TY</t>
  </si>
  <si>
    <t>GP-364-TT</t>
  </si>
  <si>
    <t>121-RG</t>
  </si>
  <si>
    <t>GP-364-TG</t>
  </si>
  <si>
    <t>GP-364-TB</t>
  </si>
  <si>
    <t>GP-364-TO</t>
  </si>
  <si>
    <t>GP-367-TT</t>
  </si>
  <si>
    <t>122-RG</t>
  </si>
  <si>
    <t>123-RG</t>
  </si>
  <si>
    <t>Garden Pipe Heavy (Milky White / Transparent Plain)</t>
  </si>
  <si>
    <t>GP-345-MW/H</t>
  </si>
  <si>
    <t>Garden Pipe Milky White Plain (HEAVY)</t>
  </si>
  <si>
    <t>124-RG</t>
  </si>
  <si>
    <t>129-RG</t>
  </si>
  <si>
    <t>GP-345-TT/H</t>
  </si>
  <si>
    <t>Garden Pipe Transparent Plain (HEAVY)</t>
  </si>
  <si>
    <t>GP-346-MW/H</t>
  </si>
  <si>
    <t>130-RG</t>
  </si>
  <si>
    <t>GP-346-TT/H</t>
  </si>
  <si>
    <t>130-RNG</t>
  </si>
  <si>
    <t>GP-364-MW/H</t>
  </si>
  <si>
    <t>132-RG</t>
  </si>
  <si>
    <t>GP-364-TT/H</t>
  </si>
  <si>
    <t>Sink Cock (W/M) Long Arm (Foam Flow) with Flange</t>
  </si>
  <si>
    <t>1322-RG</t>
  </si>
  <si>
    <t>Braided Pipe (Colour)</t>
  </si>
  <si>
    <t>BR-345-TG</t>
  </si>
  <si>
    <t>Braided Pipe - Green</t>
  </si>
  <si>
    <t>133-RG</t>
  </si>
  <si>
    <t>Sink Cock (T/M) Long Arm (Foam Flow) with Flange</t>
  </si>
  <si>
    <t>134-RG</t>
  </si>
  <si>
    <t>BR-346-TG</t>
  </si>
  <si>
    <t>135-RG</t>
  </si>
  <si>
    <t>BR-364-TG</t>
  </si>
  <si>
    <t>Braided Pipe (Heavy)</t>
  </si>
  <si>
    <t>BR-345-BY</t>
  </si>
  <si>
    <t>Braided Pipe - Yellow (Heavy)</t>
  </si>
  <si>
    <t>1375-RG</t>
  </si>
  <si>
    <t>BR-346-BY</t>
  </si>
  <si>
    <t>144-RG</t>
  </si>
  <si>
    <t>BR-364-BY</t>
  </si>
  <si>
    <t>145-RG</t>
  </si>
  <si>
    <t>Braided Pipe (Transparent)</t>
  </si>
  <si>
    <t>BR-345-TT</t>
  </si>
  <si>
    <t>Braided Pipe - Transparent</t>
  </si>
  <si>
    <t>147-RG</t>
  </si>
  <si>
    <t>BR-346-TT</t>
  </si>
  <si>
    <t>BR-364-TT</t>
  </si>
  <si>
    <t>147-RQG</t>
  </si>
  <si>
    <t>150-RG</t>
  </si>
  <si>
    <t>400-RG</t>
  </si>
  <si>
    <t>121-RW</t>
  </si>
  <si>
    <t>122-RW</t>
  </si>
  <si>
    <t>123-RW</t>
  </si>
  <si>
    <t>124-RW</t>
  </si>
  <si>
    <t>129-RW</t>
  </si>
  <si>
    <t>130-RW</t>
  </si>
  <si>
    <t>130-RNW</t>
  </si>
  <si>
    <t>132-RW</t>
  </si>
  <si>
    <t>1322-RW</t>
  </si>
  <si>
    <t>133-RW</t>
  </si>
  <si>
    <t>134-RW</t>
  </si>
  <si>
    <t>135-RW</t>
  </si>
  <si>
    <t>1375-RW</t>
  </si>
  <si>
    <t>144-RW</t>
  </si>
  <si>
    <t>145-RW</t>
  </si>
  <si>
    <t>147-RW</t>
  </si>
  <si>
    <t>147-RQW</t>
  </si>
  <si>
    <t>150-RW</t>
  </si>
  <si>
    <t>400-RW</t>
  </si>
  <si>
    <t>121-RR</t>
  </si>
  <si>
    <t>122-RR</t>
  </si>
  <si>
    <t>123-RR</t>
  </si>
  <si>
    <t>124-RR</t>
  </si>
  <si>
    <t>129-RR</t>
  </si>
  <si>
    <t>130-RR</t>
  </si>
  <si>
    <t>130-RNR</t>
  </si>
  <si>
    <t>132-RR</t>
  </si>
  <si>
    <t>1322-RR</t>
  </si>
  <si>
    <t>133-RR</t>
  </si>
  <si>
    <t>134-RR</t>
  </si>
  <si>
    <t>135-RR</t>
  </si>
  <si>
    <t>1375-RR</t>
  </si>
  <si>
    <t>144-RR</t>
  </si>
  <si>
    <t>145-RR</t>
  </si>
  <si>
    <t>147-RR</t>
  </si>
  <si>
    <t>147-RQR</t>
  </si>
  <si>
    <t>150-RR</t>
  </si>
  <si>
    <t>400-RR</t>
  </si>
  <si>
    <t>121-RP</t>
  </si>
  <si>
    <t>122-RP</t>
  </si>
  <si>
    <t>123-RP</t>
  </si>
  <si>
    <t>124-RP</t>
  </si>
  <si>
    <t>129-RP</t>
  </si>
  <si>
    <t>130-RP</t>
  </si>
  <si>
    <t>130-RNP</t>
  </si>
  <si>
    <t>132-RP</t>
  </si>
  <si>
    <t>1322-RP</t>
  </si>
  <si>
    <t>133-RP</t>
  </si>
  <si>
    <t>134-RP</t>
  </si>
  <si>
    <t>135-RP</t>
  </si>
  <si>
    <t>1375-RP</t>
  </si>
  <si>
    <t>144-RP</t>
  </si>
  <si>
    <t>145-RP</t>
  </si>
  <si>
    <t>147-RP</t>
  </si>
  <si>
    <t>147-RQP</t>
  </si>
  <si>
    <t>150-RP</t>
  </si>
  <si>
    <t>400-RP</t>
  </si>
  <si>
    <t>121-LR</t>
  </si>
  <si>
    <t>122-LR</t>
  </si>
  <si>
    <t>123-LR</t>
  </si>
  <si>
    <t>124-LR</t>
  </si>
  <si>
    <t>Bib Cock Long Body (Smart) (Foam Flow) with Flange</t>
  </si>
  <si>
    <t>129-LR</t>
  </si>
  <si>
    <t>130-LR</t>
  </si>
  <si>
    <t>131-LR</t>
  </si>
  <si>
    <t>132-LR</t>
  </si>
  <si>
    <t>Sink Cock (Foam Flow) with Flange</t>
  </si>
  <si>
    <t>1322-LR</t>
  </si>
  <si>
    <t>133-LR</t>
  </si>
  <si>
    <t>Sink Cock (T/M) Long Spout (Foam Flow) with Flange</t>
  </si>
  <si>
    <t>134-LR</t>
  </si>
  <si>
    <t>135-LR</t>
  </si>
  <si>
    <t>1375-LR</t>
  </si>
  <si>
    <t>144-LR</t>
  </si>
  <si>
    <t>145-LR</t>
  </si>
  <si>
    <t>147-LR</t>
  </si>
  <si>
    <t>147-LQR</t>
  </si>
  <si>
    <t>150-LR</t>
  </si>
  <si>
    <t>New Master Box</t>
  </si>
  <si>
    <t>121-LG</t>
  </si>
  <si>
    <t>Novo Series (Bath Fittings &amp; Mixers)</t>
  </si>
  <si>
    <t>122-LG</t>
  </si>
  <si>
    <t>123-LG</t>
  </si>
  <si>
    <t>124-LG</t>
  </si>
  <si>
    <t>129-LG</t>
  </si>
  <si>
    <t>Novo Royal Series (Bath Fittings &amp; Mixers)</t>
  </si>
  <si>
    <t>130-LG</t>
  </si>
  <si>
    <t>Bib Cock Foam Flow with Flange</t>
  </si>
  <si>
    <t>Long Body Bib Cock Foam Flow with Flange</t>
  </si>
  <si>
    <t>131-LG</t>
  </si>
  <si>
    <t>Sink Cock Swan Neck Small Spout Foam Flow With Flange</t>
  </si>
  <si>
    <t>Sink Cock Swan Neck (T/M) Square Spout Foam Flow with Flange</t>
  </si>
  <si>
    <t>132-LG</t>
  </si>
  <si>
    <t>Novo Gold Series (Bath Fittings &amp; Mixers)</t>
  </si>
  <si>
    <t>1322-LG</t>
  </si>
  <si>
    <t>133-LG</t>
  </si>
  <si>
    <t>134-LG</t>
  </si>
  <si>
    <t>135-LG</t>
  </si>
  <si>
    <t>Novo Wine Series (Bath Fittings &amp; Mixers)</t>
  </si>
  <si>
    <t>1375-LG</t>
  </si>
  <si>
    <t>144-LG</t>
  </si>
  <si>
    <t>145-LG</t>
  </si>
  <si>
    <t>147-LG</t>
  </si>
  <si>
    <t>Novo Dark Blue Series (Bath Fittings &amp; Mixers)</t>
  </si>
  <si>
    <t>147-LQG</t>
  </si>
  <si>
    <t>150-LG</t>
  </si>
  <si>
    <t>Novo Black Series (Bath Fittings &amp; Mixers)</t>
  </si>
  <si>
    <t>121-LW</t>
  </si>
  <si>
    <t>122-LW</t>
  </si>
  <si>
    <t>Novo Peach Series (Bath Fittings &amp; Mixers)</t>
  </si>
  <si>
    <t>123-LW</t>
  </si>
  <si>
    <t>124-LW</t>
  </si>
  <si>
    <t>129-LW</t>
  </si>
  <si>
    <t>130-LW</t>
  </si>
  <si>
    <t>Ultra Series (Bath Fittings &amp; Mixers)</t>
  </si>
  <si>
    <t>131-LW</t>
  </si>
  <si>
    <t>132-LW</t>
  </si>
  <si>
    <t>1322-LW</t>
  </si>
  <si>
    <t>133-LW</t>
  </si>
  <si>
    <t>Ultra Wine Series (Bath Fittings &amp; Mixers)</t>
  </si>
  <si>
    <t>134-LW</t>
  </si>
  <si>
    <t>135-LW</t>
  </si>
  <si>
    <t>Ultra Gold Series (Bath Fittings &amp; Mixers)</t>
  </si>
  <si>
    <t>1375-LW</t>
  </si>
  <si>
    <t>144-LW</t>
  </si>
  <si>
    <t>145-LW</t>
  </si>
  <si>
    <t>147-LW</t>
  </si>
  <si>
    <t>147-LQW</t>
  </si>
  <si>
    <t>Ultra Royal Series (Bath Fittings &amp; Mixers)</t>
  </si>
  <si>
    <t>150-LW</t>
  </si>
  <si>
    <t>121-LP</t>
  </si>
  <si>
    <t>Ultra Peach Series (Bath Fittings &amp; Mixers)</t>
  </si>
  <si>
    <t>122-LP</t>
  </si>
  <si>
    <t>123-LP</t>
  </si>
  <si>
    <t>124-LP</t>
  </si>
  <si>
    <t>Ultra Black Series (Bath Fittings &amp; Mixers)</t>
  </si>
  <si>
    <t>129-LP</t>
  </si>
  <si>
    <t>130-LP</t>
  </si>
  <si>
    <t>131-LP</t>
  </si>
  <si>
    <t>132-LP</t>
  </si>
  <si>
    <t>Quadra Series (Bath Fittings &amp; Mixers)</t>
  </si>
  <si>
    <t>1322-LP</t>
  </si>
  <si>
    <t>133-LP</t>
  </si>
  <si>
    <t>134-LP</t>
  </si>
  <si>
    <t>135-LP</t>
  </si>
  <si>
    <t>Quadra Royal Series (Bath Fittings &amp; Mixers)</t>
  </si>
  <si>
    <t>1375-LP</t>
  </si>
  <si>
    <t>144-LP</t>
  </si>
  <si>
    <t>Sink Cock Swan Neck (T/M) Foam Flow with Flange</t>
  </si>
  <si>
    <t>145-LP</t>
  </si>
  <si>
    <t>147-LP</t>
  </si>
  <si>
    <t>Quadra Peach Series (Bath Fittings &amp; Mixers)</t>
  </si>
  <si>
    <t>147-LQP</t>
  </si>
  <si>
    <t>150-LP</t>
  </si>
  <si>
    <t xml:space="preserve">Helix Wine Series </t>
  </si>
  <si>
    <t>Quadra Gold Series (Bath Fittings &amp; Mixers)</t>
  </si>
  <si>
    <t>121-HW</t>
  </si>
  <si>
    <t>Quadra Wine Series (Bath Fittings &amp; Mixers)</t>
  </si>
  <si>
    <t>123-HW</t>
  </si>
  <si>
    <t>123-FHW</t>
  </si>
  <si>
    <t>Quadra Black Series (Bath Fittings &amp; Mixers)</t>
  </si>
  <si>
    <t>123-HNW</t>
  </si>
  <si>
    <t>Bib Cock Fancy 15mm (Foam Flow) with New Flange &amp; Nipple</t>
  </si>
  <si>
    <t>124-HW</t>
  </si>
  <si>
    <t>Bib Cock Long Body 15mm with Flange (W/F)</t>
  </si>
  <si>
    <t>Quadra Dark Blue Series (Bath Fittings &amp; Mixers)</t>
  </si>
  <si>
    <t>124-FHW</t>
  </si>
  <si>
    <t>Bib Cock Long Body 15mm (Foam Flow) with Flange (W/F)</t>
  </si>
  <si>
    <t>127-HW</t>
  </si>
  <si>
    <t>Ovian Series (Bath Fittings &amp; Mixers)</t>
  </si>
  <si>
    <t>129-HW</t>
  </si>
  <si>
    <t>130-HW</t>
  </si>
  <si>
    <t>131-HW</t>
  </si>
  <si>
    <t>1311-HW</t>
  </si>
  <si>
    <t>Ovian Gold Series (Bath Fittings &amp; Mixers)</t>
  </si>
  <si>
    <t>132-HW</t>
  </si>
  <si>
    <t>Sink Cock (W/M) Long Arm Foam Flow with Flange</t>
  </si>
  <si>
    <t>1322-HNW</t>
  </si>
  <si>
    <t>Sink Cock Swan Neck (Foam Flow) Small Spout With Flange</t>
  </si>
  <si>
    <t>Sink Cock (T/M) Long Arm Foam Flow with Flange</t>
  </si>
  <si>
    <t>133-HW</t>
  </si>
  <si>
    <t>Sink Cock (Foam Flow) (Swing Arm) (T/M) with Flange</t>
  </si>
  <si>
    <t>Ovian Wine Series (Bath Fittings &amp; Mixers)</t>
  </si>
  <si>
    <t>134-HW</t>
  </si>
  <si>
    <t>1375-HW</t>
  </si>
  <si>
    <t>Wall Mixer (Foam Flow) L Bend with Flange</t>
  </si>
  <si>
    <t>Ovian Royal Series (Bath Fittings &amp; Mixers)</t>
  </si>
  <si>
    <t>141-HW</t>
  </si>
  <si>
    <t>142-HW</t>
  </si>
  <si>
    <t>143-HW</t>
  </si>
  <si>
    <t>Ovian Peach Series (Bath Fittings &amp; Mixers)</t>
  </si>
  <si>
    <t>144-HW</t>
  </si>
  <si>
    <t>145-HW</t>
  </si>
  <si>
    <t>146-HW</t>
  </si>
  <si>
    <t>Lagoona Series (Bath Fittings &amp; Mixers)</t>
  </si>
  <si>
    <t>148-HW</t>
  </si>
  <si>
    <t>147-HW</t>
  </si>
  <si>
    <t>Pillar Cock (Foam Flow) Swan Neck with Flange</t>
  </si>
  <si>
    <t>147-HQW</t>
  </si>
  <si>
    <t>Pillar Cock Swan Neck (Foam Flow) Square Spout with Flange</t>
  </si>
  <si>
    <t>Lagoona Royal Series (Bath Fittings &amp; Mixers)</t>
  </si>
  <si>
    <t>1491-HW</t>
  </si>
  <si>
    <t>150-HW</t>
  </si>
  <si>
    <t xml:space="preserve">Helix Gold Series </t>
  </si>
  <si>
    <t>Lagoona Gold Series (Bath Fittings &amp; Mixers)</t>
  </si>
  <si>
    <t>121-HG</t>
  </si>
  <si>
    <t>123-HG</t>
  </si>
  <si>
    <t>123-FHG</t>
  </si>
  <si>
    <t>Lagoona Wine Series (Bath Fittings &amp; Mixers)</t>
  </si>
  <si>
    <t>123-HNG</t>
  </si>
  <si>
    <t>124-HG</t>
  </si>
  <si>
    <t>124-FHG</t>
  </si>
  <si>
    <t>127-HG</t>
  </si>
  <si>
    <t>Lagoona Peach Series (Bath Fittings &amp; Mixers)</t>
  </si>
  <si>
    <t>129-HG</t>
  </si>
  <si>
    <t>130-HG</t>
  </si>
  <si>
    <t>131-HG</t>
  </si>
  <si>
    <t>1311-HG</t>
  </si>
  <si>
    <t>132-HG</t>
  </si>
  <si>
    <t>Sapphire Series (Bath Fittings &amp; Mixers)</t>
  </si>
  <si>
    <t>1322-HNG</t>
  </si>
  <si>
    <t>133-HG</t>
  </si>
  <si>
    <t>134-HG</t>
  </si>
  <si>
    <t>1375-HG</t>
  </si>
  <si>
    <t>141-HG</t>
  </si>
  <si>
    <t>Black Sapphire Series (Bath Fittings &amp; Mixers)</t>
  </si>
  <si>
    <t>142-HG</t>
  </si>
  <si>
    <t>143-HG</t>
  </si>
  <si>
    <t>144-HG</t>
  </si>
  <si>
    <t>145-HG</t>
  </si>
  <si>
    <t>146-HG</t>
  </si>
  <si>
    <t>148-HG</t>
  </si>
  <si>
    <t>STANDARD Series Old Handle (Bath Fittings &amp; Mixers)</t>
  </si>
  <si>
    <t>147-HG</t>
  </si>
  <si>
    <t>147-HQG</t>
  </si>
  <si>
    <t>1491-HG</t>
  </si>
  <si>
    <t>150-HG</t>
  </si>
  <si>
    <t xml:space="preserve">Helix Royal Series </t>
  </si>
  <si>
    <t>121-HR</t>
  </si>
  <si>
    <t>STANDARD Series (Bath Fittings &amp; Mixers)</t>
  </si>
  <si>
    <t>123-HR</t>
  </si>
  <si>
    <t>123-FHR</t>
  </si>
  <si>
    <t>123-HNR</t>
  </si>
  <si>
    <t>124-HR</t>
  </si>
  <si>
    <t>124-FHR</t>
  </si>
  <si>
    <t>127-HR</t>
  </si>
  <si>
    <t>Crystal - Series (Bath Fittings &amp; Mixers)</t>
  </si>
  <si>
    <t>129-HR</t>
  </si>
  <si>
    <t>130-HR</t>
  </si>
  <si>
    <t>131-HR</t>
  </si>
  <si>
    <t>1311-HR</t>
  </si>
  <si>
    <t>132-HR</t>
  </si>
  <si>
    <t>Cobra Series (Bath Fittings &amp; Mixers)</t>
  </si>
  <si>
    <t>1322-HNR</t>
  </si>
  <si>
    <t>133-HR</t>
  </si>
  <si>
    <t>134-HR</t>
  </si>
  <si>
    <t>1375-HR</t>
  </si>
  <si>
    <t>141-HR</t>
  </si>
  <si>
    <t>Diamond Series (Bath Fittings &amp; Mixers)</t>
  </si>
  <si>
    <t>142-HR</t>
  </si>
  <si>
    <t>143-HR</t>
  </si>
  <si>
    <t>144-HR</t>
  </si>
  <si>
    <t>145-HR</t>
  </si>
  <si>
    <t>146-HR</t>
  </si>
  <si>
    <t>148-HR</t>
  </si>
  <si>
    <t>Helix Series (Bath Fittings &amp; Mixers)</t>
  </si>
  <si>
    <t>147-HR</t>
  </si>
  <si>
    <t>147-HQR</t>
  </si>
  <si>
    <t>1491-HR</t>
  </si>
  <si>
    <t>150-HR</t>
  </si>
  <si>
    <t xml:space="preserve">Helix Peach Series </t>
  </si>
  <si>
    <t>121-HP</t>
  </si>
  <si>
    <t>Helix Wine Series (Bath Fittings &amp; Mixers)</t>
  </si>
  <si>
    <t>123-HP</t>
  </si>
  <si>
    <t>Sink Cock Swan Neck Foam Flow Small Spout With Flange</t>
  </si>
  <si>
    <t>123-FHP</t>
  </si>
  <si>
    <t>123-HNP</t>
  </si>
  <si>
    <t>124-HP</t>
  </si>
  <si>
    <t>Helix Gold Series (Bath Fittings &amp; Mixers)</t>
  </si>
  <si>
    <t>124-FHP</t>
  </si>
  <si>
    <t>127-HP</t>
  </si>
  <si>
    <t>129-HP</t>
  </si>
  <si>
    <t>130-HP</t>
  </si>
  <si>
    <t>131-HP</t>
  </si>
  <si>
    <t>1311-HP</t>
  </si>
  <si>
    <t>Helix Royal Series (Bath Fittings &amp; Mixers)</t>
  </si>
  <si>
    <t>132-HP</t>
  </si>
  <si>
    <t>1322-HNP</t>
  </si>
  <si>
    <t>133-HP</t>
  </si>
  <si>
    <t>134-HP</t>
  </si>
  <si>
    <t>1375-HP</t>
  </si>
  <si>
    <t>Helix Peach Series (Bath Fittings &amp; Mixers)</t>
  </si>
  <si>
    <t>141-HP</t>
  </si>
  <si>
    <t>142-HP</t>
  </si>
  <si>
    <t>143-HP</t>
  </si>
  <si>
    <t>144-HP</t>
  </si>
  <si>
    <t>145-HP</t>
  </si>
  <si>
    <t>146-HP</t>
  </si>
  <si>
    <t>148-HP</t>
  </si>
  <si>
    <t>147-HP</t>
  </si>
  <si>
    <t>147-HQP</t>
  </si>
  <si>
    <t>1491-HP</t>
  </si>
  <si>
    <t>150-HP</t>
  </si>
  <si>
    <t>Special Cock Series (Bath Fittings &amp; Mixers)</t>
  </si>
  <si>
    <t>Push Cock Series (Bath Fittings &amp; Mixers)</t>
  </si>
  <si>
    <t xml:space="preserve">Erosa Gold Series </t>
  </si>
  <si>
    <t>Delta Series (Bath Fittings &amp; Mixers)</t>
  </si>
  <si>
    <t>Delta Wine Series (Bath Fittings &amp; Mixers)</t>
  </si>
  <si>
    <t>123-DW</t>
  </si>
  <si>
    <t>124-DW</t>
  </si>
  <si>
    <t>127-DW</t>
  </si>
  <si>
    <t>129-DW</t>
  </si>
  <si>
    <t>130-DW</t>
  </si>
  <si>
    <t>132-DW</t>
  </si>
  <si>
    <t>1322-DW</t>
  </si>
  <si>
    <t>133-DW</t>
  </si>
  <si>
    <t>134-DW</t>
  </si>
  <si>
    <t>135-DW</t>
  </si>
  <si>
    <t>1375-DW</t>
  </si>
  <si>
    <t>144-DW</t>
  </si>
  <si>
    <t>145-DW</t>
  </si>
  <si>
    <t>147-DW</t>
  </si>
  <si>
    <t>Pillar Cock Swan Neck (W/M) Square Spout Foam Flow with Flange</t>
  </si>
  <si>
    <t>150-DW</t>
  </si>
  <si>
    <t>Delta Gold Series (Bath Fittings &amp; Mixers)</t>
  </si>
  <si>
    <t>123-DG</t>
  </si>
  <si>
    <t>124-DG</t>
  </si>
  <si>
    <t>127-DG</t>
  </si>
  <si>
    <t>129-DG</t>
  </si>
  <si>
    <t>130-DG</t>
  </si>
  <si>
    <t>132-DG</t>
  </si>
  <si>
    <t>1322-DG</t>
  </si>
  <si>
    <t>133-DG</t>
  </si>
  <si>
    <t>134-DG</t>
  </si>
  <si>
    <t>135-DG</t>
  </si>
  <si>
    <t>1375-DG</t>
  </si>
  <si>
    <t>144-DG</t>
  </si>
  <si>
    <t>145-DG</t>
  </si>
  <si>
    <t>147-DG</t>
  </si>
  <si>
    <t>150-DG</t>
  </si>
  <si>
    <t>Delta Royal Series (Bath Fittings &amp; Mixers)</t>
  </si>
  <si>
    <t>123-DR</t>
  </si>
  <si>
    <t>124-DR</t>
  </si>
  <si>
    <t>127-DR</t>
  </si>
  <si>
    <t>129-DR</t>
  </si>
  <si>
    <t>130-DR</t>
  </si>
  <si>
    <t>132-DR</t>
  </si>
  <si>
    <t>1322-DR</t>
  </si>
  <si>
    <t>133-DR</t>
  </si>
  <si>
    <t>134-DR</t>
  </si>
  <si>
    <t>135-DR</t>
  </si>
  <si>
    <t>1375-DR</t>
  </si>
  <si>
    <t>144-DR</t>
  </si>
  <si>
    <t>145-DR</t>
  </si>
  <si>
    <t>147-DR</t>
  </si>
  <si>
    <t>150-DR</t>
  </si>
  <si>
    <t>Delta Peach Series (Bath Fittings &amp; Mixers)</t>
  </si>
  <si>
    <t>123-DP</t>
  </si>
  <si>
    <t>124-DP</t>
  </si>
  <si>
    <t>127-DP</t>
  </si>
  <si>
    <t>129-DP</t>
  </si>
  <si>
    <t>130-DP</t>
  </si>
  <si>
    <t>132-DP</t>
  </si>
  <si>
    <t>1322-DP</t>
  </si>
  <si>
    <t>133-DP</t>
  </si>
  <si>
    <t>134-DP</t>
  </si>
  <si>
    <t>135-DP</t>
  </si>
  <si>
    <t>1375-DP</t>
  </si>
  <si>
    <t>144-DP</t>
  </si>
  <si>
    <t>145-DP</t>
  </si>
  <si>
    <t>147-DP</t>
  </si>
  <si>
    <t>150-DP</t>
  </si>
  <si>
    <t>Delta Black Series (Bath Fittings &amp; Mixers)</t>
  </si>
  <si>
    <t>123-DB</t>
  </si>
  <si>
    <t>124-DB</t>
  </si>
  <si>
    <t>127-DB</t>
  </si>
  <si>
    <t>129-DB</t>
  </si>
  <si>
    <t>130-DB</t>
  </si>
  <si>
    <t>132-DB</t>
  </si>
  <si>
    <t>1322-DB</t>
  </si>
  <si>
    <t>133-DB</t>
  </si>
  <si>
    <t>134-DB</t>
  </si>
  <si>
    <t>135-DB</t>
  </si>
  <si>
    <t>1375-DB</t>
  </si>
  <si>
    <t>144-DB</t>
  </si>
  <si>
    <t>145-DB</t>
  </si>
  <si>
    <t>147-DB</t>
  </si>
  <si>
    <t>150-DB</t>
  </si>
  <si>
    <t>Ibix Series (Bath Fittings &amp; Mixers)</t>
  </si>
  <si>
    <t>Cat No. (Matt)</t>
  </si>
  <si>
    <t>DIMENSION</t>
  </si>
  <si>
    <t>Ibix Royal Series (Bath Fittings &amp; Mixers)</t>
  </si>
  <si>
    <t>121-IR</t>
  </si>
  <si>
    <t>122-IR</t>
  </si>
  <si>
    <t>123-IR</t>
  </si>
  <si>
    <t>124-IR</t>
  </si>
  <si>
    <t>OVERALL SIZE (MM)</t>
  </si>
  <si>
    <t>BOWL SIZE (MM)</t>
  </si>
  <si>
    <t>129-IR</t>
  </si>
  <si>
    <t>GLOSS</t>
  </si>
  <si>
    <t>130-IR</t>
  </si>
  <si>
    <t>MATT</t>
  </si>
  <si>
    <t>131-IR</t>
  </si>
  <si>
    <t>132-IR</t>
  </si>
  <si>
    <t>1322-IR</t>
  </si>
  <si>
    <t>133-IR</t>
  </si>
  <si>
    <t>SINK ACCESSORIES</t>
  </si>
  <si>
    <t>1375-IR</t>
  </si>
  <si>
    <t>144-IR</t>
  </si>
  <si>
    <t>145-IR</t>
  </si>
  <si>
    <t>147-IR</t>
  </si>
  <si>
    <t>147-IQR</t>
  </si>
  <si>
    <t>150-IR</t>
  </si>
  <si>
    <t>400-IR</t>
  </si>
  <si>
    <t>Ibix Gold Series (Bath Fittings &amp; Mixers)</t>
  </si>
  <si>
    <t>121-IG</t>
  </si>
  <si>
    <t>122-IG</t>
  </si>
  <si>
    <t>123-IG</t>
  </si>
  <si>
    <t>124-IG</t>
  </si>
  <si>
    <t>129-IG</t>
  </si>
  <si>
    <t>130-IG</t>
  </si>
  <si>
    <t>131-IG</t>
  </si>
  <si>
    <t>132-IG</t>
  </si>
  <si>
    <t>1322-IG</t>
  </si>
  <si>
    <t>133-IG</t>
  </si>
  <si>
    <t>1375-IG</t>
  </si>
  <si>
    <t>144-IG</t>
  </si>
  <si>
    <t>145-IG</t>
  </si>
  <si>
    <t>147-IG</t>
  </si>
  <si>
    <t>147-IQG</t>
  </si>
  <si>
    <t>150-IG</t>
  </si>
  <si>
    <t>400-IG</t>
  </si>
  <si>
    <t>Ibix Wine Series (Bath Fittings &amp; Mixers)</t>
  </si>
  <si>
    <t>121-IW</t>
  </si>
  <si>
    <t>122-IW</t>
  </si>
  <si>
    <t>123-IW</t>
  </si>
  <si>
    <t>124-IW</t>
  </si>
  <si>
    <t>129-IW</t>
  </si>
  <si>
    <t>130-IW</t>
  </si>
  <si>
    <t>131-IW</t>
  </si>
  <si>
    <t>132-IW</t>
  </si>
  <si>
    <t>1200 SERIES
304
SUPER
STEEL
(1.00 MM)</t>
  </si>
  <si>
    <t>1322-IW</t>
  </si>
  <si>
    <t>133-IW</t>
  </si>
  <si>
    <t>1375-IW</t>
  </si>
  <si>
    <t>-</t>
  </si>
  <si>
    <t>144-IW</t>
  </si>
  <si>
    <t>SOLO REGULAR SINGLE BOWL</t>
  </si>
  <si>
    <t>18X16X7 - 460X406X178</t>
  </si>
  <si>
    <t>16X14X7 - 406X354X178</t>
  </si>
  <si>
    <t>145-IW</t>
  </si>
  <si>
    <t>147-IW</t>
  </si>
  <si>
    <t>147-IQW</t>
  </si>
  <si>
    <t>150-IW</t>
  </si>
  <si>
    <t>400-IW</t>
  </si>
  <si>
    <t>Ibix Peach Series (Bath Fittings &amp; Mixers)</t>
  </si>
  <si>
    <t>121-IP</t>
  </si>
  <si>
    <t>122-IP</t>
  </si>
  <si>
    <t>123-IP</t>
  </si>
  <si>
    <t>124-IP</t>
  </si>
  <si>
    <t>129-IP</t>
  </si>
  <si>
    <t>130-IP</t>
  </si>
  <si>
    <t>1216-D</t>
  </si>
  <si>
    <t>1216-DM</t>
  </si>
  <si>
    <t>131-IP</t>
  </si>
  <si>
    <t>18X16X8 - 460X406X203</t>
  </si>
  <si>
    <t>16X14X8 - 406X354X203</t>
  </si>
  <si>
    <t>132-IP</t>
  </si>
  <si>
    <t>1322-IP</t>
  </si>
  <si>
    <t>133-IP</t>
  </si>
  <si>
    <t>1375-IP</t>
  </si>
  <si>
    <t>144-IP</t>
  </si>
  <si>
    <t>145-IP</t>
  </si>
  <si>
    <t>1218-D</t>
  </si>
  <si>
    <t>1218-DM</t>
  </si>
  <si>
    <t>20X17X8 - 510X430X203</t>
  </si>
  <si>
    <t>147-IP</t>
  </si>
  <si>
    <t>17X15X8 - 430X380X203</t>
  </si>
  <si>
    <t>147-IQP</t>
  </si>
  <si>
    <t>150-IP</t>
  </si>
  <si>
    <t>400-IP</t>
  </si>
  <si>
    <t>1220-D</t>
  </si>
  <si>
    <t>1220-DM</t>
  </si>
  <si>
    <t>21X18X8 - 535X460X203</t>
  </si>
  <si>
    <t>Vitro Series (Bath Fittings &amp; Mixers)</t>
  </si>
  <si>
    <t>1222-D</t>
  </si>
  <si>
    <t>1222-DM</t>
  </si>
  <si>
    <t>22X18X8 - 560X460X203</t>
  </si>
  <si>
    <t>20X16X8 - 510X406X203</t>
  </si>
  <si>
    <t xml:space="preserve">Erosa Blue Series </t>
  </si>
  <si>
    <t>1223-D</t>
  </si>
  <si>
    <t>21X17X8 - 530X430X203</t>
  </si>
  <si>
    <t>1224-D</t>
  </si>
  <si>
    <t>1224-DM</t>
  </si>
  <si>
    <t>24X18X8 - 610X460X203</t>
  </si>
  <si>
    <t>22X16X8 - 560X406X203</t>
  </si>
  <si>
    <t>Vitro Gold Series (Bath Fittings &amp; Mixers)</t>
  </si>
  <si>
    <t>121-VG</t>
  </si>
  <si>
    <t>124-VG</t>
  </si>
  <si>
    <t>127-VG</t>
  </si>
  <si>
    <t>1224-XD</t>
  </si>
  <si>
    <t>1224-XDM</t>
  </si>
  <si>
    <t>129-VG</t>
  </si>
  <si>
    <t>24X18X9 - 610X460X229</t>
  </si>
  <si>
    <t>22X16X9 - 560X406X229</t>
  </si>
  <si>
    <t>130-VG</t>
  </si>
  <si>
    <t>132-VG</t>
  </si>
  <si>
    <t>1322-VG</t>
  </si>
  <si>
    <t>133-VG</t>
  </si>
  <si>
    <t>1224-SD</t>
  </si>
  <si>
    <t>1224-SDM</t>
  </si>
  <si>
    <t>134-VG</t>
  </si>
  <si>
    <t>24X18X10 - 610X460X254</t>
  </si>
  <si>
    <t>22X16X10 - 560X406X254</t>
  </si>
  <si>
    <t>135-VG</t>
  </si>
  <si>
    <t>1375-VG</t>
  </si>
  <si>
    <t>144-VG</t>
  </si>
  <si>
    <t>145-VG</t>
  </si>
  <si>
    <t>1225-D</t>
  </si>
  <si>
    <t>147-VG</t>
  </si>
  <si>
    <t>1225-DM</t>
  </si>
  <si>
    <t>24X20X8 - 610X510X203</t>
  </si>
  <si>
    <t>149-VG</t>
  </si>
  <si>
    <t>Vitro Wine Series (Bath Fittings &amp; Mixers)</t>
  </si>
  <si>
    <t>121-VW</t>
  </si>
  <si>
    <t>124-VW</t>
  </si>
  <si>
    <t>1226-D</t>
  </si>
  <si>
    <t>1226-DM</t>
  </si>
  <si>
    <t>127-VW</t>
  </si>
  <si>
    <t>24X24X8 - 610X610X203</t>
  </si>
  <si>
    <t>22X22X8 - 560X560X203</t>
  </si>
  <si>
    <t>129-VW</t>
  </si>
  <si>
    <t>130-VW</t>
  </si>
  <si>
    <t>132-VW</t>
  </si>
  <si>
    <t>1322-VW</t>
  </si>
  <si>
    <t>133-VW</t>
  </si>
  <si>
    <t>134-VW</t>
  </si>
  <si>
    <t>135-VW</t>
  </si>
  <si>
    <t>1375-VW</t>
  </si>
  <si>
    <t>144-VW</t>
  </si>
  <si>
    <t>900 SERIES
304
SUPER
STEEL
(0.85 MM)</t>
  </si>
  <si>
    <t>145-VW</t>
  </si>
  <si>
    <t>147-VW</t>
  </si>
  <si>
    <t>911-D</t>
  </si>
  <si>
    <t>149-VW</t>
  </si>
  <si>
    <t>911-DM</t>
  </si>
  <si>
    <t>18X18X8 - 460X460X203</t>
  </si>
  <si>
    <t>405MM - 16 Inch</t>
  </si>
  <si>
    <t>Vitro Royal Series (Bath Fittings &amp; Mixers)</t>
  </si>
  <si>
    <t>121-VR</t>
  </si>
  <si>
    <t>124-VR</t>
  </si>
  <si>
    <t>127-VR</t>
  </si>
  <si>
    <t>129-VR</t>
  </si>
  <si>
    <t>130-VR</t>
  </si>
  <si>
    <t>132-VR</t>
  </si>
  <si>
    <t>1322-VR</t>
  </si>
  <si>
    <t>133-VR</t>
  </si>
  <si>
    <t>134-VR</t>
  </si>
  <si>
    <t>135-VR</t>
  </si>
  <si>
    <t>1375-VR</t>
  </si>
  <si>
    <t>916-D</t>
  </si>
  <si>
    <t>144-VR</t>
  </si>
  <si>
    <t>916-DM</t>
  </si>
  <si>
    <t>145-VR</t>
  </si>
  <si>
    <t>147-VR</t>
  </si>
  <si>
    <t>149-VR</t>
  </si>
  <si>
    <t>Vitro Peach Series (Bath Fittings &amp; Mixers)</t>
  </si>
  <si>
    <t>918-D</t>
  </si>
  <si>
    <t>918-DM</t>
  </si>
  <si>
    <t>121-VP</t>
  </si>
  <si>
    <t xml:space="preserve">20X17X8 - 510X430X203 </t>
  </si>
  <si>
    <t>124-VP</t>
  </si>
  <si>
    <t>127-VP</t>
  </si>
  <si>
    <t>129-VP</t>
  </si>
  <si>
    <t>130-VP</t>
  </si>
  <si>
    <t>920-D</t>
  </si>
  <si>
    <t>132-VP</t>
  </si>
  <si>
    <t>920-DM</t>
  </si>
  <si>
    <t>1322-VP</t>
  </si>
  <si>
    <t>133-VP</t>
  </si>
  <si>
    <t>134-VP</t>
  </si>
  <si>
    <t>135-VP</t>
  </si>
  <si>
    <t>1375-VP</t>
  </si>
  <si>
    <t>922-D</t>
  </si>
  <si>
    <t>922-DM</t>
  </si>
  <si>
    <t>144-VP</t>
  </si>
  <si>
    <t>145-VP</t>
  </si>
  <si>
    <t>147-VP</t>
  </si>
  <si>
    <t>149-VP</t>
  </si>
  <si>
    <t>923-D</t>
  </si>
  <si>
    <t>923-DM</t>
  </si>
  <si>
    <t>Vitro Black Series (Bath Fittings &amp; Mixers)</t>
  </si>
  <si>
    <t>924-D</t>
  </si>
  <si>
    <t>924-DM</t>
  </si>
  <si>
    <t>924-XD</t>
  </si>
  <si>
    <t>924-XDM</t>
  </si>
  <si>
    <t>924-SD</t>
  </si>
  <si>
    <t>924-SDM</t>
  </si>
  <si>
    <t>Flora Series (Bath Fittings &amp; Mixers)</t>
  </si>
  <si>
    <t>925-D</t>
  </si>
  <si>
    <t>925-DM</t>
  </si>
  <si>
    <t>926-D</t>
  </si>
  <si>
    <t>926-DM</t>
  </si>
  <si>
    <t>800 SERIES
304
SUPER
STEEL
(0.75 MM)</t>
  </si>
  <si>
    <t>Flora Royal Series (Bath Fittings &amp; Mixers)</t>
  </si>
  <si>
    <t>816-D</t>
  </si>
  <si>
    <t>121-SR</t>
  </si>
  <si>
    <t>816-DM</t>
  </si>
  <si>
    <t>124-SR</t>
  </si>
  <si>
    <t>124-SFR</t>
  </si>
  <si>
    <t>127-SR</t>
  </si>
  <si>
    <t>129-SR</t>
  </si>
  <si>
    <t>2 Way Bib Cock 15mm with Flange</t>
  </si>
  <si>
    <t>130-SR</t>
  </si>
  <si>
    <t>132-SR</t>
  </si>
  <si>
    <t>1322-SR</t>
  </si>
  <si>
    <t>133-SR</t>
  </si>
  <si>
    <t>134-SR</t>
  </si>
  <si>
    <t>818-D</t>
  </si>
  <si>
    <t>818-DM</t>
  </si>
  <si>
    <t>135-SR</t>
  </si>
  <si>
    <t>1375-SFR</t>
  </si>
  <si>
    <t>144-SR</t>
  </si>
  <si>
    <t>145-SR</t>
  </si>
  <si>
    <t>147-SR</t>
  </si>
  <si>
    <t>820-D</t>
  </si>
  <si>
    <t>820-DM</t>
  </si>
  <si>
    <t>149-SR</t>
  </si>
  <si>
    <t>Flora Wine Series (Bath Fittings &amp; Mixers)</t>
  </si>
  <si>
    <t>121-SW</t>
  </si>
  <si>
    <t>124-SW</t>
  </si>
  <si>
    <t>124-SFW</t>
  </si>
  <si>
    <t>822-D</t>
  </si>
  <si>
    <t>822-DM</t>
  </si>
  <si>
    <t>127-SW</t>
  </si>
  <si>
    <t>129-SW</t>
  </si>
  <si>
    <t>130-SW</t>
  </si>
  <si>
    <t>132-SW</t>
  </si>
  <si>
    <t>1322-SW</t>
  </si>
  <si>
    <t>Sink Cock Swing Arm Short (W/M) with Flange</t>
  </si>
  <si>
    <t>133-SW</t>
  </si>
  <si>
    <t>823-DM</t>
  </si>
  <si>
    <t>134-SW</t>
  </si>
  <si>
    <t>135-SW</t>
  </si>
  <si>
    <t xml:space="preserve">Erosa Black Series </t>
  </si>
  <si>
    <t>1375-SFW</t>
  </si>
  <si>
    <t>144-SW</t>
  </si>
  <si>
    <t>824-D</t>
  </si>
  <si>
    <t>145-SW</t>
  </si>
  <si>
    <t>824-DM</t>
  </si>
  <si>
    <t>121-FBB</t>
  </si>
  <si>
    <t>147-SW</t>
  </si>
  <si>
    <t>149-SW</t>
  </si>
  <si>
    <t>Flora Gold Series (Bath Fittings &amp; Mixers)</t>
  </si>
  <si>
    <t>121-SG</t>
  </si>
  <si>
    <t>824-XD</t>
  </si>
  <si>
    <t>824-XDM</t>
  </si>
  <si>
    <t>124-SG</t>
  </si>
  <si>
    <t>124-SFG</t>
  </si>
  <si>
    <t>127-SG</t>
  </si>
  <si>
    <t>129-SG</t>
  </si>
  <si>
    <t>130-SG</t>
  </si>
  <si>
    <t>121-LSFBB</t>
  </si>
  <si>
    <t>824-SD</t>
  </si>
  <si>
    <t>132-SG</t>
  </si>
  <si>
    <t>824-SDM</t>
  </si>
  <si>
    <t>1322-SG</t>
  </si>
  <si>
    <t>133-SG</t>
  </si>
  <si>
    <t>134-SG</t>
  </si>
  <si>
    <t>123-LSBB</t>
  </si>
  <si>
    <t>135-SG</t>
  </si>
  <si>
    <t>1375-SFG</t>
  </si>
  <si>
    <t>144-SG</t>
  </si>
  <si>
    <t>825-DM</t>
  </si>
  <si>
    <t>145-SG</t>
  </si>
  <si>
    <t>22X16X8 - 560X460X203</t>
  </si>
  <si>
    <t>123-LSFBB</t>
  </si>
  <si>
    <t>147-SG</t>
  </si>
  <si>
    <t>149-SG</t>
  </si>
  <si>
    <t>Flora Peach Series (Bath Fittings &amp; Mixers)</t>
  </si>
  <si>
    <t>121-SP</t>
  </si>
  <si>
    <t>124-SP</t>
  </si>
  <si>
    <t>123-LSNBB</t>
  </si>
  <si>
    <t>124-SFP</t>
  </si>
  <si>
    <t>127-SP</t>
  </si>
  <si>
    <t>129-SP</t>
  </si>
  <si>
    <t>130-SP</t>
  </si>
  <si>
    <t>132-SP</t>
  </si>
  <si>
    <t>124-LSBB</t>
  </si>
  <si>
    <t>1322-SP</t>
  </si>
  <si>
    <t>133-SP</t>
  </si>
  <si>
    <t>134-SP</t>
  </si>
  <si>
    <t>135-SP</t>
  </si>
  <si>
    <t>1375-SFP</t>
  </si>
  <si>
    <t>124-LSFBB</t>
  </si>
  <si>
    <t>144-SP</t>
  </si>
  <si>
    <t>145-SP</t>
  </si>
  <si>
    <t>147-SP</t>
  </si>
  <si>
    <t>149-SP</t>
  </si>
  <si>
    <t>127-LSBB</t>
  </si>
  <si>
    <t>Astra Series (Bath Fittings &amp; Mixers)</t>
  </si>
  <si>
    <t>600 SERIES
204
SUPER
STEEL
(0.85 MM)</t>
  </si>
  <si>
    <t>129-LSBB</t>
  </si>
  <si>
    <t>616-D</t>
  </si>
  <si>
    <t>616-DM</t>
  </si>
  <si>
    <t>130-LSBB</t>
  </si>
  <si>
    <t>Removed</t>
  </si>
  <si>
    <t>131-LSBB</t>
  </si>
  <si>
    <t>618-D</t>
  </si>
  <si>
    <t>132-LSBB</t>
  </si>
  <si>
    <t>618-DM</t>
  </si>
  <si>
    <t>Apex Series (Bath Fittings &amp; Mixers)</t>
  </si>
  <si>
    <t>132-LSTBB</t>
  </si>
  <si>
    <t>620-D</t>
  </si>
  <si>
    <t>620-DM</t>
  </si>
  <si>
    <t>133-LSBB</t>
  </si>
  <si>
    <t>622-D</t>
  </si>
  <si>
    <t>622-DM</t>
  </si>
  <si>
    <t>134-LSBB</t>
  </si>
  <si>
    <t>623-D</t>
  </si>
  <si>
    <t>623-DM</t>
  </si>
  <si>
    <t>1374-LSBB</t>
  </si>
  <si>
    <t>624-D</t>
  </si>
  <si>
    <t>624-DM</t>
  </si>
  <si>
    <t>Ebon Series (Bath Fittings &amp; Mixers)</t>
  </si>
  <si>
    <t>1375-LSBB</t>
  </si>
  <si>
    <t>624-XD</t>
  </si>
  <si>
    <t>624-XDM</t>
  </si>
  <si>
    <t>141-LSBB</t>
  </si>
  <si>
    <t>624-SD</t>
  </si>
  <si>
    <t>624-SDM</t>
  </si>
  <si>
    <t>142-LSBB</t>
  </si>
  <si>
    <t>625-D</t>
  </si>
  <si>
    <t>625-DM</t>
  </si>
  <si>
    <t>143-LSBB</t>
  </si>
  <si>
    <t>Black Pearl Series (Bath Fittings &amp; Mixers)</t>
  </si>
  <si>
    <t>144-LSBB</t>
  </si>
  <si>
    <t>1200 SERIES      304 SUPER STEEL  (1.00 MM)</t>
  </si>
  <si>
    <t>145-LSBB</t>
  </si>
  <si>
    <t>1230-D</t>
  </si>
  <si>
    <t>1230-DM</t>
  </si>
  <si>
    <t>SOLO  SINGLE BOWL DRAIN BOARD</t>
  </si>
  <si>
    <t>32X20X8 - 810X510X203</t>
  </si>
  <si>
    <t>16X14X8 - 405X354X203</t>
  </si>
  <si>
    <t>146-LSBB</t>
  </si>
  <si>
    <t>148-LSBB</t>
  </si>
  <si>
    <t>1239-D</t>
  </si>
  <si>
    <t>1239-DM</t>
  </si>
  <si>
    <t>36X18X8 - 914X460X203</t>
  </si>
  <si>
    <t>Grand Series (Bath Fittings &amp; Mixers)</t>
  </si>
  <si>
    <t>147-LSBB</t>
  </si>
  <si>
    <t>1240-D</t>
  </si>
  <si>
    <t>1240-DM</t>
  </si>
  <si>
    <t>37X18X8 - 940X460X203</t>
  </si>
  <si>
    <t>147-LSQBB</t>
  </si>
  <si>
    <t>1244-D</t>
  </si>
  <si>
    <t>1244-DM</t>
  </si>
  <si>
    <t>41X20X8 - 1040X510X203</t>
  </si>
  <si>
    <t>149-LSBB</t>
  </si>
  <si>
    <t>1252-D</t>
  </si>
  <si>
    <t>1252-DM</t>
  </si>
  <si>
    <t>45X20X8 - 1143X510X203</t>
  </si>
  <si>
    <t>150-LSBB</t>
  </si>
  <si>
    <t>900 SERIES  304 SUPER STEEL (0.85 MM)</t>
  </si>
  <si>
    <t>930-D</t>
  </si>
  <si>
    <t>930-DM</t>
  </si>
  <si>
    <t xml:space="preserve">Delta Wine Series </t>
  </si>
  <si>
    <t>Roman Series (Bath Fittings &amp; Mixers)</t>
  </si>
  <si>
    <t>939-D</t>
  </si>
  <si>
    <t>939-DM</t>
  </si>
  <si>
    <t>Bib Cock Fancy 15mm (Foam Flow) With Flange</t>
  </si>
  <si>
    <t>940-D</t>
  </si>
  <si>
    <t>940-DM</t>
  </si>
  <si>
    <t>16X14X18 - 406X354X203</t>
  </si>
  <si>
    <t>944-D</t>
  </si>
  <si>
    <t>944-DM</t>
  </si>
  <si>
    <t>20X16X18 - 510X406X203</t>
  </si>
  <si>
    <t>952-D</t>
  </si>
  <si>
    <t>952-DM</t>
  </si>
  <si>
    <t>Shower Arm 225mm with Flange</t>
  </si>
  <si>
    <t>1200 SERIES     304 SUPER STEEL  (1.00 MM)</t>
  </si>
  <si>
    <t>1232-D</t>
  </si>
  <si>
    <t>1232-DM</t>
  </si>
  <si>
    <t>DUET REGULAR DOUBLE BOWL</t>
  </si>
  <si>
    <t>1242-D</t>
  </si>
  <si>
    <t>1242-DM</t>
  </si>
  <si>
    <t>14X16X8 - 354X406X203</t>
  </si>
  <si>
    <t>1250-D</t>
  </si>
  <si>
    <t>1250-DM</t>
  </si>
  <si>
    <t>45X20X8 - 1143X510X208</t>
  </si>
  <si>
    <t>1250-XD</t>
  </si>
  <si>
    <t>1250-XDM</t>
  </si>
  <si>
    <t>45X20X9 - 1143X510X229</t>
  </si>
  <si>
    <t>20X16X9 - 510X406X229</t>
  </si>
  <si>
    <t>1250-SD</t>
  </si>
  <si>
    <t>1250-SDM</t>
  </si>
  <si>
    <t>45X20X10 - 1143X510X254</t>
  </si>
  <si>
    <t>20X16X10 - 510X406X254</t>
  </si>
  <si>
    <t>Sink Cock Swan Neck (T/M) (Foam Flow) With Flange</t>
  </si>
  <si>
    <t>900 SERIES   304 SUPER STEEL  (0.85 MM)</t>
  </si>
  <si>
    <t>932-D</t>
  </si>
  <si>
    <t>932-DM</t>
  </si>
  <si>
    <t>942-D</t>
  </si>
  <si>
    <t>942-DM</t>
  </si>
  <si>
    <t>950-D</t>
  </si>
  <si>
    <t>950-DM</t>
  </si>
  <si>
    <t>Showers &amp; Accessories Wine Series</t>
  </si>
  <si>
    <t>1813-W</t>
  </si>
  <si>
    <t>Over Head Shower Round 75mm (3 inch)</t>
  </si>
  <si>
    <t>950-XD</t>
  </si>
  <si>
    <t>950-XDM</t>
  </si>
  <si>
    <t>1813-BW</t>
  </si>
  <si>
    <t>1813-CW</t>
  </si>
  <si>
    <t>1814-W</t>
  </si>
  <si>
    <t>1814-CW</t>
  </si>
  <si>
    <t>1814N-CW</t>
  </si>
  <si>
    <t>950-SD</t>
  </si>
  <si>
    <t>950-SDM</t>
  </si>
  <si>
    <t>183-W</t>
  </si>
  <si>
    <t>20X10X10 - 510X254X254</t>
  </si>
  <si>
    <t>187-W</t>
  </si>
  <si>
    <t>188-W</t>
  </si>
  <si>
    <t>189-W</t>
  </si>
  <si>
    <t>194-W</t>
  </si>
  <si>
    <t>Showers &amp; Accessories Gold Series</t>
  </si>
  <si>
    <t>1813-G</t>
  </si>
  <si>
    <t>1813-BG</t>
  </si>
  <si>
    <t>1813-CG</t>
  </si>
  <si>
    <t>1814-G</t>
  </si>
  <si>
    <t>800 SERIES 304 SUPER STEEL (0.75)</t>
  </si>
  <si>
    <t>Wall Mixer (Foam Flow) L Bend</t>
  </si>
  <si>
    <t>1814-CG</t>
  </si>
  <si>
    <t>1814N-CG</t>
  </si>
  <si>
    <t>842-D</t>
  </si>
  <si>
    <t>842-DM</t>
  </si>
  <si>
    <t>183-G</t>
  </si>
  <si>
    <t>187-G</t>
  </si>
  <si>
    <t>188-G</t>
  </si>
  <si>
    <t>189-G</t>
  </si>
  <si>
    <t>850-D</t>
  </si>
  <si>
    <t>850-DM</t>
  </si>
  <si>
    <t>194-G</t>
  </si>
  <si>
    <t>Showers &amp; Accessories Royal Series</t>
  </si>
  <si>
    <t>1813-R</t>
  </si>
  <si>
    <t>1813-BR</t>
  </si>
  <si>
    <t>1813-CR</t>
  </si>
  <si>
    <t>850-XD</t>
  </si>
  <si>
    <t>850-XDM</t>
  </si>
  <si>
    <t>1814-R</t>
  </si>
  <si>
    <t>1814-CR</t>
  </si>
  <si>
    <t>1814N-CR</t>
  </si>
  <si>
    <t>183-R</t>
  </si>
  <si>
    <t>187-R</t>
  </si>
  <si>
    <t>188-R</t>
  </si>
  <si>
    <t>189-R</t>
  </si>
  <si>
    <t>194-R</t>
  </si>
  <si>
    <t>600 SERIES 204 SUPER STEEL (0.85)</t>
  </si>
  <si>
    <t>Showers &amp; Accessories Peach Series</t>
  </si>
  <si>
    <t>1813-P</t>
  </si>
  <si>
    <t>642-D</t>
  </si>
  <si>
    <t>642-DM</t>
  </si>
  <si>
    <t>1813-BP</t>
  </si>
  <si>
    <t>1813-CP</t>
  </si>
  <si>
    <t>1814-P</t>
  </si>
  <si>
    <t>1814-CP</t>
  </si>
  <si>
    <t>1814N-CP</t>
  </si>
  <si>
    <t>183-P</t>
  </si>
  <si>
    <t>187-P</t>
  </si>
  <si>
    <t>188-P</t>
  </si>
  <si>
    <t>189-P</t>
  </si>
  <si>
    <t>650-D</t>
  </si>
  <si>
    <t>194-P</t>
  </si>
  <si>
    <t>650-DM</t>
  </si>
  <si>
    <t>Pillar Cock Swan Neck (W/M) Square Spout (Foam Flow) with Flange</t>
  </si>
  <si>
    <t>650-XD</t>
  </si>
  <si>
    <t>650-XDM</t>
  </si>
  <si>
    <t>204 SUPER STEEL (0.85 MM)</t>
  </si>
  <si>
    <t>STAINLESS STEEL KITCHEN  PLATE RACK</t>
  </si>
  <si>
    <t>24X24X10 - 610X610X254</t>
  </si>
  <si>
    <t>24X30X10 - 610X760X254</t>
  </si>
  <si>
    <t xml:space="preserve">Delta Gold Series </t>
  </si>
  <si>
    <t>24X36X10 - 610X914X254</t>
  </si>
  <si>
    <t>31X24X10 - 786X610X254</t>
  </si>
  <si>
    <t>31X30X10 - 786X760X254</t>
  </si>
  <si>
    <t>31X36X10 - 786X914X254</t>
  </si>
  <si>
    <t>36X36X10 - 914X914X254</t>
  </si>
  <si>
    <t>2" Y Type Line Filter 63mm</t>
  </si>
  <si>
    <t>204 SUPER STEEL (0.65 MM)</t>
  </si>
  <si>
    <t>204 SUPER STEEL  (0.85 MM)</t>
  </si>
  <si>
    <t>H817-D</t>
  </si>
  <si>
    <t>HAND MADE SINGLE BOWL</t>
  </si>
  <si>
    <t>16X18X9 - 406X460X229</t>
  </si>
  <si>
    <t>14X16X9 - 355X406X229</t>
  </si>
  <si>
    <t>H826-D</t>
  </si>
  <si>
    <t>21X18X9 - 535X460X229</t>
  </si>
  <si>
    <t>18X16X9 - 460X406X229</t>
  </si>
  <si>
    <t>H821-D</t>
  </si>
  <si>
    <t>22X16X9 - 550X406X229</t>
  </si>
  <si>
    <t>304 SUPER STEEL  (0.85 MM)</t>
  </si>
  <si>
    <t>H817-DD</t>
  </si>
  <si>
    <t>H826-DD</t>
  </si>
  <si>
    <t>H821-DD</t>
  </si>
  <si>
    <t>H841-D</t>
  </si>
  <si>
    <t>HAND MADE SINGLE BOWL WITH DRAIN BOARD</t>
  </si>
  <si>
    <t>37X18X9 - 940X460X229</t>
  </si>
  <si>
    <t>Corrugated Waste Pipe 50x900mm</t>
  </si>
  <si>
    <t>Corrugated Waste Pipe 50x1150mm</t>
  </si>
  <si>
    <t>Corrugated Waste Pipe 32mm x 30 Mtr (Standard)</t>
  </si>
  <si>
    <t>Corrugated Waste Pipe 32mm x 30 Mtr (Heavy)</t>
  </si>
  <si>
    <t xml:space="preserve">Delta Royal Series </t>
  </si>
  <si>
    <t>304 SUPER STEEL (0.85 MM)</t>
  </si>
  <si>
    <t>H841-DD</t>
  </si>
  <si>
    <t>H843-D</t>
  </si>
  <si>
    <t>HAND MADE DOUBLE BOWL</t>
  </si>
  <si>
    <t>17X16X9 - 432X406X229</t>
  </si>
  <si>
    <t>H852-D</t>
  </si>
  <si>
    <t>45X20X9 - 1142X508X229</t>
  </si>
  <si>
    <t xml:space="preserve">21X18X9 - 533X460X229 </t>
  </si>
  <si>
    <t>H843-DD</t>
  </si>
  <si>
    <t>H852-DD</t>
  </si>
  <si>
    <t>Iris Single Flush cistern (10 Ltr.)</t>
  </si>
  <si>
    <t>Aquifer flush Cistern with Center Push</t>
  </si>
  <si>
    <t>Cockroach Trap - Round (DIA 101mm)</t>
  </si>
  <si>
    <t>FT-20 M</t>
  </si>
  <si>
    <t>Cockroach Trap - 101X101mm</t>
  </si>
  <si>
    <t>FT-21 M</t>
  </si>
  <si>
    <t>Cockroach Trap - Round (DIA 101mm) with Waste Hole</t>
  </si>
  <si>
    <t>FT-22 M</t>
  </si>
  <si>
    <t>Cockroach Trap - 101X101mm with Waste Hole</t>
  </si>
  <si>
    <t>FT-23 M</t>
  </si>
  <si>
    <t>Cockroach Trap - 127X127mm</t>
  </si>
  <si>
    <t>NEW SHOWERS &amp; ACCESSORIES</t>
  </si>
  <si>
    <t>FT-24 M</t>
  </si>
  <si>
    <t>1815-D</t>
  </si>
  <si>
    <t>Over Head Shower Edge Slim 4x4 Blister Set</t>
  </si>
  <si>
    <t>1816-D</t>
  </si>
  <si>
    <t xml:space="preserve">Delta Peach Series </t>
  </si>
  <si>
    <t>Over Head Shower Nova Slim 4 Blister Set (Round)</t>
  </si>
  <si>
    <t>1815-E</t>
  </si>
  <si>
    <t>Over Head Shower Edge Slim 5x5 Blister Set</t>
  </si>
  <si>
    <t>Cockroach Trap - 127X127mm With Waste Hole</t>
  </si>
  <si>
    <t>1816-E</t>
  </si>
  <si>
    <t>Over Head Shower Nova Slim 5 Blister Set (Round)</t>
  </si>
  <si>
    <t>1817-D</t>
  </si>
  <si>
    <t>Over Head Shower Mist Flow 100 mm Bilister Set</t>
  </si>
  <si>
    <t>1817-E</t>
  </si>
  <si>
    <t>Over Head Shower Mist Flow 125 mm Bilister Set</t>
  </si>
  <si>
    <t>199-GB</t>
  </si>
  <si>
    <t>Grab Bar 18" SS304+ABS</t>
  </si>
  <si>
    <t>FT-25 M</t>
  </si>
  <si>
    <t>200-GB</t>
  </si>
  <si>
    <t>Grab Bar 24" SS304+ABS</t>
  </si>
  <si>
    <t>200-GBU</t>
  </si>
  <si>
    <t>Grab Bar U Type 24" SS304+ABS</t>
  </si>
  <si>
    <t>194-SW</t>
  </si>
  <si>
    <t>Tissue Paper Dispenser White</t>
  </si>
  <si>
    <t>194-SB</t>
  </si>
  <si>
    <t>Tissue Paper Dispenser Black</t>
  </si>
  <si>
    <t>187-CR</t>
  </si>
  <si>
    <t>ABS Health Faucet with 1Mtr Tube &amp; Hook</t>
  </si>
  <si>
    <t>187-CA</t>
  </si>
  <si>
    <t>187-CB</t>
  </si>
  <si>
    <t>Cockroach Trap - Round (DIA 127mm)</t>
  </si>
  <si>
    <t>187-CE</t>
  </si>
  <si>
    <t>187-CD</t>
  </si>
  <si>
    <t>Brass Health Faucet with 1Mtr Tube &amp; Hook</t>
  </si>
  <si>
    <t>P-451</t>
  </si>
  <si>
    <t>ABS Health Faucet with 1Mtr PVC Tube &amp; Hook</t>
  </si>
  <si>
    <t>P-452</t>
  </si>
  <si>
    <t>ABS Health Faucet with 1.5Mtr PVC Tube &amp; Hook</t>
  </si>
  <si>
    <t>FT-27 M</t>
  </si>
  <si>
    <t>P-453</t>
  </si>
  <si>
    <t>ABS Health Faucet with Hook</t>
  </si>
  <si>
    <t>P-454</t>
  </si>
  <si>
    <t>P-455</t>
  </si>
  <si>
    <t>P-456</t>
  </si>
  <si>
    <t>187-CBB</t>
  </si>
  <si>
    <t>Chrome Plated ABS Health Faucet Croma with 1Mtr SS Tube &amp; Hook in Blister Packing</t>
  </si>
  <si>
    <t>187-CEB</t>
  </si>
  <si>
    <t>Chrome Plated ABS Health Faucet Milano with 1Mtr SS Tube &amp; Hook in Blister Packing</t>
  </si>
  <si>
    <t>Cockroach Trap - Round (DIA 127mm) with Waste Hole</t>
  </si>
  <si>
    <t>187-CDB</t>
  </si>
  <si>
    <t>Chrome Plated ABS Health Faucet EVA with 1Mtr PVC Tube &amp; Hook in Blister Packing</t>
  </si>
  <si>
    <t>187-CRB</t>
  </si>
  <si>
    <t>Chrome Plated ABS Health Faucet Dolphin with 1Mtr SS Tube &amp; Hook in Blister Packing</t>
  </si>
  <si>
    <t>101-C</t>
  </si>
  <si>
    <t>SS Waste Coupling Light (Half Thread) 32mm</t>
  </si>
  <si>
    <t>103-C</t>
  </si>
  <si>
    <t>SS Waste Coupling Light (Full Thread) 32mm</t>
  </si>
  <si>
    <t>521-CP</t>
  </si>
  <si>
    <t>SS-202 Jet Spray (Butterfly) with 1Mtr Tube</t>
  </si>
  <si>
    <t>FT-28 M</t>
  </si>
  <si>
    <t>522-CP</t>
  </si>
  <si>
    <t>SS-202 Jet Spray (L-Bend) with 1Mtr Tube</t>
  </si>
  <si>
    <t>523-CP</t>
  </si>
  <si>
    <t>SS Jet Spray (American) with 1Mtr Tube</t>
  </si>
  <si>
    <t>192-C</t>
  </si>
  <si>
    <t>Corner Glass Shelf 200mm (Brass Bracket)</t>
  </si>
  <si>
    <t>192-CA</t>
  </si>
  <si>
    <t>Corner Glass Shelf 300mm (Brass Bracket)</t>
  </si>
  <si>
    <t>191-C</t>
  </si>
  <si>
    <t>Glass Shelf 500X125mm</t>
  </si>
  <si>
    <t>190-C</t>
  </si>
  <si>
    <t>Glass Shelf 300mm (12")</t>
  </si>
  <si>
    <t>Cockroach Trap - 150X150mm with Flat Border</t>
  </si>
  <si>
    <t>190-CA</t>
  </si>
  <si>
    <t>Glass Shelf 300mm (ABS) 200X125X600</t>
  </si>
  <si>
    <t>192-CB</t>
  </si>
  <si>
    <t>Corner Glass Shelf</t>
  </si>
  <si>
    <t>1901-CA</t>
  </si>
  <si>
    <t>Glass Shelf 500X60mm</t>
  </si>
  <si>
    <t>1921-CA</t>
  </si>
  <si>
    <t>Corner Glass Shelf 200mm</t>
  </si>
  <si>
    <t>196-CP</t>
  </si>
  <si>
    <t>Toilet Brush Holder ABS</t>
  </si>
  <si>
    <t>FT-29 M</t>
  </si>
  <si>
    <t>144-CP</t>
  </si>
  <si>
    <t>CP Angle Cock 15mm (PRJ) with Flange</t>
  </si>
  <si>
    <t>244-CP</t>
  </si>
  <si>
    <t>Angle Cock 15mm (Muse) with Flange</t>
  </si>
  <si>
    <t>344-CP</t>
  </si>
  <si>
    <t>Angle Cock 15mm (Tulip) with Flange</t>
  </si>
  <si>
    <t>444-CP</t>
  </si>
  <si>
    <t>Angle Cock 15mm (Spiro) with Flange</t>
  </si>
  <si>
    <t>544-CP</t>
  </si>
  <si>
    <t>Cockroach Trap - 150X150mm with Waste Hole/Flat Border</t>
  </si>
  <si>
    <t>644-CP</t>
  </si>
  <si>
    <t>FT-30 M</t>
  </si>
  <si>
    <t>Square Trap - 150x150mm with 5mm Border</t>
  </si>
  <si>
    <t>FT-31 M</t>
  </si>
  <si>
    <t>Square Trap - 150x150mm with 5mm Border &amp; Waste Hole</t>
  </si>
  <si>
    <t>FT-32 M</t>
  </si>
  <si>
    <t>Cockroach Trap - 4" (101 mm)</t>
  </si>
  <si>
    <t>Showers Sets</t>
  </si>
  <si>
    <t>FT-70 M</t>
  </si>
  <si>
    <t>Round Trap - 5" (127mm)</t>
  </si>
  <si>
    <t>FT-71 M</t>
  </si>
  <si>
    <t xml:space="preserve">Round Trap - 5" (127mm) with Waste Hole </t>
  </si>
  <si>
    <t>FT-72 M</t>
  </si>
  <si>
    <t xml:space="preserve">Delta Black Series </t>
  </si>
  <si>
    <t>FT- 73</t>
  </si>
  <si>
    <t>Square Trap - 101x101mm</t>
  </si>
  <si>
    <t>FT-73 M</t>
  </si>
  <si>
    <t>Square Trap - 127 X 127mm</t>
  </si>
  <si>
    <t>FT-74 M</t>
  </si>
  <si>
    <t>Square Trap - 127 x 127mm with Waste Hole</t>
  </si>
  <si>
    <t>FT-75 M</t>
  </si>
  <si>
    <t>Square Trap - Flat Border (150 x 150mm)</t>
  </si>
  <si>
    <t>Square Trap - Flat Border (150 x 150mm) with Waste Hole</t>
  </si>
  <si>
    <t>FT-77 M</t>
  </si>
  <si>
    <t>Square Trap - (5mm Border) 150 x 150mm</t>
  </si>
  <si>
    <t>FT-78 M</t>
  </si>
  <si>
    <t>Square Trap - (5mm Border) 150 x 150 mm with Waste Hole</t>
  </si>
  <si>
    <t>FT-79 M</t>
  </si>
  <si>
    <t>FT-42</t>
  </si>
  <si>
    <t>Floor Traps 150 x 150 mm</t>
  </si>
  <si>
    <t>Square Trap - 150 x 150mm</t>
  </si>
  <si>
    <t>FT-45 M</t>
  </si>
  <si>
    <t>Floor Traps 3 " (80mm)</t>
  </si>
  <si>
    <t>FT-02 M</t>
  </si>
  <si>
    <t>Floor Traps 4 " (102mm)</t>
  </si>
  <si>
    <t>FT-03 M</t>
  </si>
  <si>
    <t>Floor Traps 4 " (102mm) with Waste Hole</t>
  </si>
  <si>
    <t>FT-04 M</t>
  </si>
  <si>
    <t>Square Trap - 4 1/2" (114mm)</t>
  </si>
  <si>
    <t>FT-05 M</t>
  </si>
  <si>
    <t>Floor Trap - 4 1/2" (114mm) with Waste Hole</t>
  </si>
  <si>
    <t>FT-06 M</t>
  </si>
  <si>
    <t>Floor Trap - 5 " (127mm)</t>
  </si>
  <si>
    <t>FT-07 M</t>
  </si>
  <si>
    <t>Floor Trap - 5 " (127mm) with Waste Hole</t>
  </si>
  <si>
    <t>FT-08 M</t>
  </si>
  <si>
    <t>Grating - 3" 80mm</t>
  </si>
  <si>
    <t>FT-61 M</t>
  </si>
  <si>
    <t>Grating - 4" 102mm</t>
  </si>
  <si>
    <t>FT-62 M</t>
  </si>
  <si>
    <t>Grating - 4" 102mm with Hole</t>
  </si>
  <si>
    <t>FT-63 M</t>
  </si>
  <si>
    <t>Grating - 5" 127mm</t>
  </si>
  <si>
    <t>FT-64 M</t>
  </si>
  <si>
    <t>Grating - 5" (127mm) with Waste Hole</t>
  </si>
  <si>
    <t>FT-65 M</t>
  </si>
  <si>
    <t>Verticle Grating - 4 " (100 x 100mm)</t>
  </si>
  <si>
    <t>FT-52 M</t>
  </si>
  <si>
    <t>Verticle Grating - 5 " (125 X125mm)</t>
  </si>
  <si>
    <t>FT-53 M</t>
  </si>
  <si>
    <t>Verticle Grating - 6 " (150 x 150mm)</t>
  </si>
  <si>
    <t>FT-54 M</t>
  </si>
  <si>
    <t xml:space="preserve">Vitro Gold Series </t>
  </si>
  <si>
    <t>Sink Cock Swing Arm Short (W/M) (Foam Flow) with Flange</t>
  </si>
  <si>
    <t xml:space="preserve">Vitro Wine Series </t>
  </si>
  <si>
    <t xml:space="preserve">Vitro Royal Series </t>
  </si>
  <si>
    <t xml:space="preserve">Vitro Peach Series </t>
  </si>
  <si>
    <t xml:space="preserve">Flora Royal Series </t>
  </si>
  <si>
    <t>Wall Mixer (Foam Flow) L Bend With Flange</t>
  </si>
  <si>
    <t xml:space="preserve">Flora Wine Series </t>
  </si>
  <si>
    <t xml:space="preserve">Flora Gold Series </t>
  </si>
  <si>
    <t xml:space="preserve">Flora Peach Series </t>
  </si>
  <si>
    <t>Shower Sets Royal Series</t>
  </si>
  <si>
    <t>1821-CR</t>
  </si>
  <si>
    <t>Shower Sets Wine Series</t>
  </si>
  <si>
    <t>1821-CW</t>
  </si>
  <si>
    <t>Shower Sets Peach Series</t>
  </si>
  <si>
    <t>1821-CP</t>
  </si>
  <si>
    <t>Shower Sets Gold Series</t>
  </si>
  <si>
    <t>1821-CG</t>
  </si>
  <si>
    <t>Mute Series</t>
  </si>
  <si>
    <t>Spindles Set Accessories</t>
  </si>
  <si>
    <t>PTMT (COLOUR)</t>
  </si>
  <si>
    <t>Novo Royal</t>
  </si>
  <si>
    <t>Novo Gold</t>
  </si>
  <si>
    <t>Novo Wine</t>
  </si>
  <si>
    <t>Novo Peach</t>
  </si>
  <si>
    <t>Novo Dark Blue</t>
  </si>
  <si>
    <t>Novo Black</t>
  </si>
  <si>
    <t>Ultra Wine</t>
  </si>
  <si>
    <t>Ultra Gold</t>
  </si>
  <si>
    <t>Ultra Royal</t>
  </si>
  <si>
    <t>Ultra Peach</t>
  </si>
  <si>
    <t>Ultra Black</t>
  </si>
  <si>
    <t>Quadra Royal</t>
  </si>
  <si>
    <t>Quadra Peach</t>
  </si>
  <si>
    <t>Quadra Gold</t>
  </si>
  <si>
    <t>Quadra Wine</t>
  </si>
  <si>
    <t>Quadra Black</t>
  </si>
  <si>
    <t>Quadra Dark Blue</t>
  </si>
  <si>
    <t>Ovian Gold</t>
  </si>
  <si>
    <t>Ovian Wine</t>
  </si>
  <si>
    <t>Ovian Royal</t>
  </si>
  <si>
    <t>Ovian Peach</t>
  </si>
  <si>
    <t>Lagoona Royal</t>
  </si>
  <si>
    <t>Lagoona Gold</t>
  </si>
  <si>
    <t>Lagoona Wine</t>
  </si>
  <si>
    <t>Lagoona Peach</t>
  </si>
  <si>
    <t>Helix Wine</t>
  </si>
  <si>
    <t>Helix Gold</t>
  </si>
  <si>
    <t>Helix Royal</t>
  </si>
  <si>
    <t>Helix Peach</t>
  </si>
  <si>
    <t>Erosa Gold</t>
  </si>
  <si>
    <t>Erosa Blue</t>
  </si>
  <si>
    <t>Delta Wine</t>
  </si>
  <si>
    <t>Delta Gold</t>
  </si>
  <si>
    <t>Delta Royal</t>
  </si>
  <si>
    <t>Delta Peach</t>
  </si>
  <si>
    <t>Delta Black</t>
  </si>
  <si>
    <t>Ibix Royal</t>
  </si>
  <si>
    <t>Ibix Gold</t>
  </si>
  <si>
    <t>Ibix Wine</t>
  </si>
  <si>
    <t>Ibix Peach</t>
  </si>
  <si>
    <t>Vitro Gold</t>
  </si>
  <si>
    <t>Vitro Wine</t>
  </si>
  <si>
    <t>Vitro Royal</t>
  </si>
  <si>
    <t>Vitro Peach</t>
  </si>
  <si>
    <t>Flora Royal</t>
  </si>
  <si>
    <t>Flora Wine</t>
  </si>
  <si>
    <t>Flora Gold</t>
  </si>
  <si>
    <t>Flora Peach</t>
  </si>
  <si>
    <t>Showers &amp; Accessories Wine</t>
  </si>
  <si>
    <t>Showers &amp; Accessories Gold</t>
  </si>
  <si>
    <t>Showers &amp; Accessories Royal</t>
  </si>
  <si>
    <t>Showers &amp; Accessories Peach</t>
  </si>
  <si>
    <t>Shower Sets Royal</t>
  </si>
  <si>
    <t>Shower Sets Wine</t>
  </si>
  <si>
    <t>Shower Sets Peach</t>
  </si>
  <si>
    <t>Shower Sets Gold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</si>
</sst>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dd/mm/yyyy"/>
    <numFmt numFmtId="166" formatCode="d mmm, yyyy"/>
  </numFmts>
  <fonts count="51">
    <font>
      <sz val="10.0"/>
      <color rgb="FF000000"/>
      <name val="Calibri"/>
      <scheme val="minor"/>
    </font>
    <font>
      <color theme="1"/>
      <name val="Calibri"/>
      <scheme val="minor"/>
    </font>
    <font>
      <sz val="12.0"/>
      <color theme="1"/>
      <name val="Calibri"/>
      <scheme val="minor"/>
    </font>
    <font>
      <b/>
      <i/>
      <u/>
      <sz val="15.0"/>
      <color rgb="FF0000FF"/>
      <name val="Arial"/>
    </font>
    <font/>
    <font>
      <sz val="11.0"/>
      <color theme="1"/>
      <name val="Arial"/>
    </font>
    <font>
      <b/>
      <i/>
      <sz val="12.0"/>
      <color theme="1"/>
      <name val="Arial"/>
    </font>
    <font>
      <sz val="12.0"/>
      <color theme="1"/>
      <name val="Arial"/>
    </font>
    <font>
      <sz val="11.0"/>
      <color theme="1"/>
      <name val="Calibri"/>
      <scheme val="minor"/>
    </font>
    <font>
      <b/>
      <i/>
      <sz val="12.0"/>
      <color rgb="FF980000"/>
      <name val="Arial"/>
    </font>
    <font>
      <sz val="11.0"/>
      <color rgb="FF980000"/>
      <name val="Calibri"/>
      <scheme val="minor"/>
    </font>
    <font>
      <color rgb="FFFFFFFF"/>
      <name val="Calibri"/>
      <scheme val="minor"/>
    </font>
    <font>
      <b/>
      <sz val="15.0"/>
      <color theme="1"/>
      <name val="Calibri"/>
      <scheme val="minor"/>
    </font>
    <font>
      <b/>
      <i/>
      <sz val="13.0"/>
      <color rgb="FF0000FF"/>
      <name val="Roboto"/>
    </font>
    <font>
      <b/>
      <i/>
      <sz val="15.0"/>
      <color rgb="FF0000FF"/>
      <name val="Roboto"/>
    </font>
    <font>
      <sz val="12.0"/>
      <color theme="1"/>
      <name val="Calibri"/>
    </font>
    <font>
      <sz val="12.0"/>
      <color rgb="FFFFFFFF"/>
      <name val="Arial"/>
    </font>
    <font>
      <b/>
      <sz val="12.0"/>
      <color theme="1"/>
      <name val="Arial"/>
    </font>
    <font>
      <sz val="12.0"/>
      <color rgb="FF000000"/>
      <name val="Arial"/>
    </font>
    <font>
      <b/>
      <i/>
      <sz val="15.0"/>
      <color rgb="FF000000"/>
      <name val="Roboto"/>
    </font>
    <font>
      <color rgb="FF000000"/>
      <name val="Calibri"/>
      <scheme val="minor"/>
    </font>
    <font>
      <b/>
      <sz val="15.0"/>
      <color rgb="FFFFFFFF"/>
      <name val="Arial"/>
    </font>
    <font>
      <b/>
      <sz val="15.0"/>
      <color rgb="FF000000"/>
      <name val="Arial"/>
    </font>
    <font>
      <i/>
      <sz val="12.0"/>
      <color theme="1"/>
      <name val="Arial"/>
    </font>
    <font>
      <color theme="1"/>
      <name val="Calibri"/>
    </font>
    <font>
      <b/>
      <i/>
      <sz val="15.0"/>
      <color rgb="FF0000FF"/>
      <name val="Arial"/>
    </font>
    <font>
      <color rgb="FF000000"/>
      <name val="Calibri"/>
    </font>
    <font>
      <b/>
      <i/>
      <sz val="15.0"/>
      <color rgb="FFFFFFFF"/>
      <name val="Roboto"/>
    </font>
    <font>
      <color theme="1"/>
      <name val="Arial"/>
    </font>
    <font>
      <b/>
      <sz val="11.0"/>
      <color rgb="FFFFFFFF"/>
      <name val="Arial"/>
    </font>
    <font>
      <b/>
      <sz val="12.0"/>
      <color rgb="FFFF0000"/>
      <name val="Arial"/>
    </font>
    <font>
      <sz val="11.0"/>
      <color theme="1"/>
      <name val="Calibri"/>
    </font>
    <font>
      <b/>
      <sz val="11.0"/>
      <color theme="1"/>
      <name val="Arial"/>
    </font>
    <font>
      <sz val="10.0"/>
      <color rgb="FF0000FF"/>
      <name val="Roboto"/>
    </font>
    <font>
      <b/>
      <i/>
      <sz val="16.0"/>
      <color rgb="FF0000FF"/>
      <name val="Roboto"/>
    </font>
    <font>
      <sz val="11.0"/>
      <color rgb="FF000000"/>
      <name val="Calibri"/>
    </font>
    <font>
      <b/>
      <sz val="15.0"/>
      <color theme="1"/>
      <name val="Calibri"/>
    </font>
    <font>
      <b/>
      <sz val="15.0"/>
      <color rgb="FF0000FF"/>
      <name val="Calibri"/>
      <scheme val="minor"/>
    </font>
    <font>
      <b/>
      <sz val="12.0"/>
      <color rgb="FFFFFFFF"/>
      <name val="Arial"/>
    </font>
    <font>
      <b/>
      <sz val="15.0"/>
      <color theme="1"/>
      <name val="Arial"/>
    </font>
    <font>
      <sz val="11.0"/>
      <color rgb="FFFFFFFF"/>
      <name val="Arial"/>
    </font>
    <font>
      <sz val="11.0"/>
      <color rgb="FF000000"/>
      <name val="Arial"/>
    </font>
    <font>
      <b/>
      <sz val="11.0"/>
      <color rgb="FFFF0000"/>
      <name val="Arial"/>
    </font>
    <font>
      <b/>
      <sz val="13.0"/>
      <color rgb="FF000000"/>
      <name val="Arial"/>
    </font>
    <font>
      <b/>
      <sz val="13.0"/>
      <color theme="1"/>
      <name val="Arial"/>
    </font>
    <font>
      <b/>
      <sz val="13.0"/>
      <color theme="1"/>
      <name val="Calibri"/>
      <scheme val="minor"/>
    </font>
    <font>
      <b/>
      <sz val="12.0"/>
      <color theme="1"/>
      <name val="Calibri"/>
      <scheme val="minor"/>
    </font>
    <font>
      <b/>
      <sz val="17.0"/>
      <color theme="1"/>
      <name val="Calibri"/>
      <scheme val="minor"/>
    </font>
    <font>
      <b/>
      <color theme="1"/>
      <name val="Calibri"/>
      <scheme val="minor"/>
    </font>
    <font>
      <b/>
      <sz val="10.0"/>
      <color rgb="FF000000"/>
      <name val="Arial"/>
    </font>
    <font>
      <sz val="15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980000"/>
        <bgColor rgb="FF980000"/>
      </patternFill>
    </fill>
    <fill>
      <patternFill patternType="solid">
        <fgColor rgb="FFCC4125"/>
        <bgColor rgb="FFCC4125"/>
      </patternFill>
    </fill>
    <fill>
      <patternFill patternType="solid">
        <fgColor rgb="FFFFFF00"/>
        <bgColor rgb="FFFFFF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1" fillId="2" fontId="2" numFmtId="0" xfId="0" applyAlignment="1" applyBorder="1" applyFill="1" applyFont="1">
      <alignment readingOrder="0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right" readingOrder="0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2" numFmtId="0" xfId="0" applyAlignment="1" applyFont="1">
      <alignment readingOrder="0" vertical="center"/>
    </xf>
    <xf borderId="0" fillId="2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2" fontId="2" numFmtId="0" xfId="0" applyAlignment="1" applyFont="1">
      <alignment vertical="center"/>
    </xf>
    <xf borderId="1" fillId="0" fontId="2" numFmtId="0" xfId="0" applyAlignment="1" applyBorder="1" applyFont="1">
      <alignment horizontal="center" readingOrder="0" vertical="center"/>
    </xf>
    <xf borderId="0" fillId="2" fontId="1" numFmtId="0" xfId="0" applyAlignment="1" applyFont="1">
      <alignment vertical="center"/>
    </xf>
    <xf borderId="1" fillId="2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164" xfId="0" applyAlignment="1" applyFont="1" applyNumberFormat="1">
      <alignment readingOrder="0" vertical="center"/>
    </xf>
    <xf borderId="2" fillId="3" fontId="3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1" fillId="2" fontId="5" numFmtId="0" xfId="0" applyAlignment="1" applyBorder="1" applyFont="1">
      <alignment horizontal="center" readingOrder="0" vertical="center"/>
    </xf>
    <xf borderId="4" fillId="0" fontId="4" numFmtId="0" xfId="0" applyBorder="1" applyFont="1"/>
    <xf borderId="2" fillId="4" fontId="1" numFmtId="0" xfId="0" applyAlignment="1" applyBorder="1" applyFill="1" applyFont="1">
      <alignment horizontal="center" vertical="center"/>
    </xf>
    <xf borderId="0" fillId="0" fontId="2" numFmtId="165" xfId="0" applyAlignment="1" applyFont="1" applyNumberFormat="1">
      <alignment readingOrder="0" vertical="center"/>
    </xf>
    <xf borderId="1" fillId="2" fontId="2" numFmtId="3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center" readingOrder="0" vertical="center"/>
    </xf>
    <xf borderId="0" fillId="2" fontId="2" numFmtId="0" xfId="0" applyAlignment="1" applyFont="1">
      <alignment vertical="center"/>
    </xf>
    <xf borderId="0" fillId="2" fontId="2" numFmtId="0" xfId="0" applyAlignment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0" fillId="2" fontId="6" numFmtId="0" xfId="0" applyAlignment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left" readingOrder="0" vertical="center"/>
    </xf>
    <xf borderId="1" fillId="3" fontId="9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readingOrder="0" vertical="center"/>
    </xf>
    <xf borderId="1" fillId="3" fontId="9" numFmtId="0" xfId="0" applyAlignment="1" applyBorder="1" applyFont="1">
      <alignment horizontal="center" shrinkToFit="0" vertical="center" wrapText="1"/>
    </xf>
    <xf borderId="1" fillId="0" fontId="8" numFmtId="0" xfId="0" applyBorder="1" applyFont="1"/>
    <xf borderId="1" fillId="4" fontId="9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/>
    </xf>
    <xf borderId="1" fillId="4" fontId="9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0" fillId="2" fontId="9" numFmtId="0" xfId="0" applyAlignment="1" applyFont="1">
      <alignment horizontal="center" vertical="center"/>
    </xf>
    <xf borderId="1" fillId="3" fontId="8" numFmtId="0" xfId="0" applyAlignment="1" applyBorder="1" applyFont="1">
      <alignment horizontal="center"/>
    </xf>
    <xf borderId="1" fillId="2" fontId="7" numFmtId="3" xfId="0" applyAlignment="1" applyBorder="1" applyFont="1" applyNumberFormat="1">
      <alignment horizontal="center" readingOrder="0" vertical="center"/>
    </xf>
    <xf borderId="1" fillId="2" fontId="2" numFmtId="3" xfId="0" applyAlignment="1" applyBorder="1" applyFont="1" applyNumberFormat="1">
      <alignment horizontal="center" vertical="center"/>
    </xf>
    <xf borderId="1" fillId="3" fontId="10" numFmtId="0" xfId="0" applyAlignment="1" applyBorder="1" applyFont="1">
      <alignment horizontal="center"/>
    </xf>
    <xf borderId="1" fillId="2" fontId="8" numFmtId="0" xfId="0" applyAlignment="1" applyBorder="1" applyFont="1">
      <alignment horizontal="center" readingOrder="0"/>
    </xf>
    <xf borderId="0" fillId="2" fontId="7" numFmtId="0" xfId="0" applyAlignment="1" applyFont="1">
      <alignment vertical="center"/>
    </xf>
    <xf borderId="0" fillId="2" fontId="2" numFmtId="0" xfId="0" applyAlignment="1" applyFont="1">
      <alignment horizontal="left" readingOrder="0" vertical="center"/>
    </xf>
    <xf borderId="0" fillId="0" fontId="1" numFmtId="0" xfId="0" applyAlignment="1" applyFont="1">
      <alignment horizontal="right" vertical="center"/>
    </xf>
    <xf borderId="1" fillId="2" fontId="2" numFmtId="1" xfId="0" applyAlignment="1" applyBorder="1" applyFont="1" applyNumberFormat="1">
      <alignment horizontal="center" readingOrder="0" vertical="center"/>
    </xf>
    <xf borderId="0" fillId="2" fontId="2" numFmtId="3" xfId="0" applyAlignment="1" applyFont="1" applyNumberFormat="1">
      <alignment horizontal="center" vertical="center"/>
    </xf>
    <xf borderId="0" fillId="2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left" vertical="center"/>
    </xf>
    <xf borderId="0" fillId="0" fontId="2" numFmtId="10" xfId="0" applyAlignment="1" applyFont="1" applyNumberFormat="1">
      <alignment vertical="center"/>
    </xf>
    <xf borderId="0" fillId="2" fontId="2" numFmtId="49" xfId="0" applyAlignment="1" applyFont="1" applyNumberFormat="1">
      <alignment horizontal="center" readingOrder="0" vertical="center"/>
    </xf>
    <xf borderId="1" fillId="0" fontId="7" numFmtId="3" xfId="0" applyAlignment="1" applyBorder="1" applyFont="1" applyNumberFormat="1">
      <alignment horizontal="left" vertical="center"/>
    </xf>
    <xf borderId="0" fillId="2" fontId="2" numFmtId="1" xfId="0" applyAlignment="1" applyFont="1" applyNumberFormat="1">
      <alignment readingOrder="0" vertical="center"/>
    </xf>
    <xf borderId="1" fillId="0" fontId="7" numFmtId="49" xfId="0" applyAlignment="1" applyBorder="1" applyFont="1" applyNumberFormat="1">
      <alignment horizontal="left" readingOrder="0" vertical="center"/>
    </xf>
    <xf borderId="0" fillId="2" fontId="2" numFmtId="1" xfId="0" applyAlignment="1" applyFont="1" applyNumberFormat="1">
      <alignment vertical="center"/>
    </xf>
    <xf borderId="0" fillId="2" fontId="11" numFmtId="0" xfId="0" applyAlignment="1" applyFont="1">
      <alignment readingOrder="0" vertical="center"/>
    </xf>
    <xf borderId="0" fillId="2" fontId="1" numFmtId="9" xfId="0" applyAlignment="1" applyFont="1" applyNumberFormat="1">
      <alignment horizontal="left" readingOrder="0" vertical="center"/>
    </xf>
    <xf borderId="0" fillId="2" fontId="12" numFmtId="0" xfId="0" applyAlignment="1" applyFont="1">
      <alignment horizontal="center" readingOrder="0" vertical="center"/>
    </xf>
    <xf borderId="1" fillId="2" fontId="13" numFmtId="0" xfId="0" applyAlignment="1" applyBorder="1" applyFont="1">
      <alignment horizontal="left" readingOrder="0" vertical="center"/>
    </xf>
    <xf borderId="1" fillId="2" fontId="13" numFmtId="0" xfId="0" applyAlignment="1" applyBorder="1" applyFont="1">
      <alignment horizontal="center" readingOrder="0" vertical="center"/>
    </xf>
    <xf borderId="1" fillId="2" fontId="13" numFmtId="0" xfId="0" applyAlignment="1" applyBorder="1" applyFont="1">
      <alignment horizontal="center" readingOrder="0" shrinkToFit="0" vertical="center" wrapText="1"/>
    </xf>
    <xf borderId="1" fillId="2" fontId="14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left" readingOrder="0" vertical="center"/>
    </xf>
    <xf borderId="1" fillId="2" fontId="7" numFmtId="10" xfId="0" applyAlignment="1" applyBorder="1" applyFont="1" applyNumberFormat="1">
      <alignment horizontal="center" shrinkToFit="0" vertical="center" wrapText="1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horizontal="left" readingOrder="0" vertical="center"/>
    </xf>
    <xf borderId="0" fillId="2" fontId="8" numFmtId="0" xfId="0" applyAlignment="1" applyFont="1">
      <alignment vertical="center"/>
    </xf>
    <xf borderId="0" fillId="2" fontId="8" numFmtId="3" xfId="0" applyAlignment="1" applyFont="1" applyNumberFormat="1">
      <alignment horizontal="center" vertical="center"/>
    </xf>
    <xf borderId="0" fillId="2" fontId="1" numFmtId="10" xfId="0" applyAlignment="1" applyFont="1" applyNumberFormat="1">
      <alignment vertical="center"/>
    </xf>
    <xf borderId="5" fillId="2" fontId="2" numFmtId="0" xfId="0" applyAlignment="1" applyBorder="1" applyFont="1">
      <alignment horizontal="left" readingOrder="0" vertical="center"/>
    </xf>
    <xf borderId="6" fillId="0" fontId="4" numFmtId="0" xfId="0" applyBorder="1" applyFont="1"/>
    <xf borderId="7" fillId="0" fontId="4" numFmtId="0" xfId="0" applyBorder="1" applyFont="1"/>
    <xf borderId="1" fillId="2" fontId="2" numFmtId="0" xfId="0" applyAlignment="1" applyBorder="1" applyFont="1">
      <alignment vertical="center"/>
    </xf>
    <xf borderId="1" fillId="2" fontId="2" numFmtId="49" xfId="0" applyAlignment="1" applyBorder="1" applyFont="1" applyNumberFormat="1">
      <alignment readingOrder="0" vertical="center"/>
    </xf>
    <xf borderId="0" fillId="2" fontId="1" numFmtId="0" xfId="0" applyAlignment="1" applyFont="1">
      <alignment horizontal="left" vertical="center"/>
    </xf>
    <xf borderId="0" fillId="2" fontId="15" numFmtId="0" xfId="0" applyFont="1"/>
    <xf borderId="0" fillId="2" fontId="16" numFmtId="0" xfId="0" applyAlignment="1" applyFont="1">
      <alignment horizontal="center" readingOrder="0" vertical="center"/>
    </xf>
    <xf borderId="0" fillId="2" fontId="7" numFmtId="0" xfId="0" applyAlignment="1" applyFont="1">
      <alignment horizontal="left" vertical="center"/>
    </xf>
    <xf borderId="0" fillId="2" fontId="7" numFmtId="0" xfId="0" applyAlignment="1" applyFont="1">
      <alignment horizontal="left" shrinkToFit="0" vertical="center" wrapText="1"/>
    </xf>
    <xf borderId="0" fillId="2" fontId="7" numFmtId="0" xfId="0" applyAlignment="1" applyFont="1">
      <alignment horizontal="center" vertical="center"/>
    </xf>
    <xf borderId="0" fillId="2" fontId="17" numFmtId="9" xfId="0" applyAlignment="1" applyFont="1" applyNumberFormat="1">
      <alignment horizontal="center" readingOrder="0" vertical="center"/>
    </xf>
    <xf borderId="0" fillId="2" fontId="7" numFmtId="10" xfId="0" applyAlignment="1" applyFont="1" applyNumberFormat="1">
      <alignment horizontal="center" shrinkToFit="0" vertical="center" wrapText="1"/>
    </xf>
    <xf borderId="0" fillId="2" fontId="18" numFmtId="0" xfId="0" applyAlignment="1" applyFont="1">
      <alignment horizontal="center" vertical="center"/>
    </xf>
    <xf borderId="0" fillId="2" fontId="16" numFmtId="0" xfId="0" applyAlignment="1" applyFont="1">
      <alignment horizontal="center" vertical="center"/>
    </xf>
    <xf borderId="1" fillId="2" fontId="14" numFmtId="0" xfId="0" applyAlignment="1" applyBorder="1" applyFont="1">
      <alignment horizontal="left" readingOrder="0" vertical="center"/>
    </xf>
    <xf borderId="2" fillId="2" fontId="14" numFmtId="0" xfId="0" applyAlignment="1" applyBorder="1" applyFont="1">
      <alignment horizontal="center" readingOrder="0" vertical="center"/>
    </xf>
    <xf borderId="1" fillId="2" fontId="14" numFmtId="0" xfId="0" applyAlignment="1" applyBorder="1" applyFont="1">
      <alignment horizontal="center" readingOrder="0" vertical="center"/>
    </xf>
    <xf borderId="8" fillId="2" fontId="14" numFmtId="0" xfId="0" applyAlignment="1" applyBorder="1" applyFont="1">
      <alignment horizontal="center" readingOrder="0" vertical="center"/>
    </xf>
    <xf borderId="0" fillId="2" fontId="14" numFmtId="10" xfId="0" applyAlignment="1" applyFont="1" applyNumberFormat="1">
      <alignment horizontal="center" readingOrder="0" shrinkToFit="0" vertical="center" wrapText="1"/>
    </xf>
    <xf borderId="0" fillId="2" fontId="19" numFmtId="0" xfId="0" applyAlignment="1" applyFont="1">
      <alignment horizontal="center" readingOrder="0" vertical="center"/>
    </xf>
    <xf borderId="0" fillId="2" fontId="14" numFmtId="0" xfId="0" applyAlignment="1" applyFont="1">
      <alignment horizontal="center" readingOrder="0" vertical="center"/>
    </xf>
    <xf borderId="0" fillId="2" fontId="14" numFmtId="0" xfId="0" applyAlignment="1" applyFont="1">
      <alignment horizontal="center" readingOrder="0" shrinkToFit="0" vertical="center" wrapText="1"/>
    </xf>
    <xf borderId="0" fillId="2" fontId="17" numFmtId="0" xfId="0" applyAlignment="1" applyFont="1">
      <alignment horizontal="center" readingOrder="0" vertical="center"/>
    </xf>
    <xf borderId="0" fillId="2" fontId="14" numFmtId="0" xfId="0" applyAlignment="1" applyFont="1">
      <alignment horizontal="left" readingOrder="0" vertical="center"/>
    </xf>
    <xf borderId="9" fillId="2" fontId="18" numFmtId="0" xfId="0" applyAlignment="1" applyBorder="1" applyFont="1">
      <alignment horizontal="left" shrinkToFit="0" vertical="center" wrapText="1"/>
    </xf>
    <xf borderId="0" fillId="2" fontId="7" numFmtId="3" xfId="0" applyAlignment="1" applyFont="1" applyNumberFormat="1">
      <alignment horizontal="center" readingOrder="0" vertical="center"/>
    </xf>
    <xf borderId="0" fillId="2" fontId="7" numFmtId="3" xfId="0" applyAlignment="1" applyFont="1" applyNumberFormat="1">
      <alignment horizontal="center" readingOrder="0" shrinkToFit="0" vertical="center" wrapText="1"/>
    </xf>
    <xf borderId="1" fillId="2" fontId="7" numFmtId="0" xfId="0" applyAlignment="1" applyBorder="1" applyFont="1">
      <alignment horizontal="left" readingOrder="0" vertical="center"/>
    </xf>
    <xf borderId="7" fillId="2" fontId="7" numFmtId="0" xfId="0" applyAlignment="1" applyBorder="1" applyFont="1">
      <alignment horizontal="left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2" fontId="18" numFmtId="1" xfId="0" applyAlignment="1" applyFont="1" applyNumberFormat="1">
      <alignment horizontal="center" readingOrder="0" vertical="center"/>
    </xf>
    <xf borderId="0" fillId="2" fontId="7" numFmtId="1" xfId="0" applyAlignment="1" applyFont="1" applyNumberFormat="1">
      <alignment horizontal="center" vertical="center"/>
    </xf>
    <xf borderId="0" fillId="2" fontId="7" numFmtId="10" xfId="0" applyAlignment="1" applyFont="1" applyNumberFormat="1">
      <alignment horizontal="center" readingOrder="0" vertical="center"/>
    </xf>
    <xf borderId="10" fillId="2" fontId="7" numFmtId="0" xfId="0" applyAlignment="1" applyBorder="1" applyFont="1">
      <alignment horizontal="left" readingOrder="0" shrinkToFit="0" vertical="center" wrapText="1"/>
    </xf>
    <xf borderId="1" fillId="2" fontId="7" numFmtId="0" xfId="0" applyAlignment="1" applyBorder="1" applyFont="1">
      <alignment horizontal="left" readingOrder="0" shrinkToFit="0" vertical="center" wrapText="1"/>
    </xf>
    <xf borderId="8" fillId="2" fontId="7" numFmtId="3" xfId="0" applyAlignment="1" applyBorder="1" applyFont="1" applyNumberFormat="1">
      <alignment horizontal="center" readingOrder="0" vertical="center"/>
    </xf>
    <xf borderId="0" fillId="2" fontId="7" numFmtId="1" xfId="0" applyAlignment="1" applyFont="1" applyNumberFormat="1">
      <alignment horizontal="center" readingOrder="0" vertical="center"/>
    </xf>
    <xf borderId="8" fillId="2" fontId="7" numFmtId="0" xfId="0" applyAlignment="1" applyBorder="1" applyFont="1">
      <alignment horizontal="center" readingOrder="0" shrinkToFit="0" vertical="center" wrapText="1"/>
    </xf>
    <xf borderId="0" fillId="2" fontId="18" numFmtId="1" xfId="0" applyAlignment="1" applyFont="1" applyNumberFormat="1">
      <alignment horizontal="center" vertical="center"/>
    </xf>
    <xf borderId="5" fillId="2" fontId="7" numFmtId="0" xfId="0" applyAlignment="1" applyBorder="1" applyFont="1">
      <alignment horizontal="left" readingOrder="0" vertical="center"/>
    </xf>
    <xf borderId="5" fillId="2" fontId="7" numFmtId="0" xfId="0" applyAlignment="1" applyBorder="1" applyFont="1">
      <alignment horizontal="left" readingOrder="0" shrinkToFit="0" vertical="center" wrapText="1"/>
    </xf>
    <xf borderId="5" fillId="2" fontId="7" numFmtId="3" xfId="0" applyAlignment="1" applyBorder="1" applyFont="1" applyNumberFormat="1">
      <alignment horizontal="center" readingOrder="0" vertical="center"/>
    </xf>
    <xf borderId="0" fillId="2" fontId="7" numFmtId="0" xfId="0" applyAlignment="1" applyFont="1">
      <alignment horizontal="left" readingOrder="0" vertical="center"/>
    </xf>
    <xf borderId="0" fillId="2" fontId="18" numFmtId="0" xfId="0" applyAlignment="1" applyFont="1">
      <alignment horizontal="left" readingOrder="0" shrinkToFit="0" vertical="center" wrapText="1"/>
    </xf>
    <xf borderId="0" fillId="2" fontId="7" numFmtId="10" xfId="0" applyAlignment="1" applyFont="1" applyNumberFormat="1">
      <alignment horizontal="center" readingOrder="0" shrinkToFit="0" vertical="center" wrapText="1"/>
    </xf>
    <xf borderId="0" fillId="2" fontId="18" numFmtId="0" xfId="0" applyAlignment="1" applyFont="1">
      <alignment horizontal="left" shrinkToFit="0" vertical="center" wrapText="1"/>
    </xf>
    <xf borderId="9" fillId="2" fontId="7" numFmtId="3" xfId="0" applyAlignment="1" applyBorder="1" applyFont="1" applyNumberFormat="1">
      <alignment horizontal="center" readingOrder="0" vertical="center"/>
    </xf>
    <xf borderId="11" fillId="2" fontId="7" numFmtId="3" xfId="0" applyAlignment="1" applyBorder="1" applyFont="1" applyNumberFormat="1">
      <alignment horizontal="center" readingOrder="0" vertical="center"/>
    </xf>
    <xf borderId="0" fillId="2" fontId="7" numFmtId="3" xfId="0" applyAlignment="1" applyFont="1" applyNumberFormat="1">
      <alignment horizontal="center" vertical="center"/>
    </xf>
    <xf borderId="0" fillId="2" fontId="18" numFmtId="0" xfId="0" applyAlignment="1" applyFont="1">
      <alignment horizontal="center" readingOrder="0" vertical="center"/>
    </xf>
    <xf borderId="0" fillId="2" fontId="7" numFmtId="0" xfId="0" applyAlignment="1" applyFont="1">
      <alignment horizontal="center" readingOrder="0" vertical="center"/>
    </xf>
    <xf borderId="1" fillId="2" fontId="7" numFmtId="0" xfId="0" applyAlignment="1" applyBorder="1" applyFont="1">
      <alignment readingOrder="0" vertical="center"/>
    </xf>
    <xf borderId="1" fillId="2" fontId="7" numFmtId="0" xfId="0" applyAlignment="1" applyBorder="1" applyFont="1">
      <alignment shrinkToFit="0" vertical="center" wrapText="1"/>
    </xf>
    <xf borderId="7" fillId="2" fontId="7" numFmtId="3" xfId="0" applyAlignment="1" applyBorder="1" applyFont="1" applyNumberFormat="1">
      <alignment horizontal="center" readingOrder="0" vertical="center"/>
    </xf>
    <xf borderId="12" fillId="2" fontId="18" numFmtId="0" xfId="0" applyAlignment="1" applyBorder="1" applyFont="1">
      <alignment horizontal="left" readingOrder="0" shrinkToFit="0" vertical="center" wrapText="1"/>
    </xf>
    <xf borderId="12" fillId="2" fontId="7" numFmtId="3" xfId="0" applyAlignment="1" applyBorder="1" applyFont="1" applyNumberFormat="1">
      <alignment horizontal="center" readingOrder="0" vertical="center"/>
    </xf>
    <xf borderId="0" fillId="2" fontId="18" numFmtId="3" xfId="0" applyAlignment="1" applyFont="1" applyNumberFormat="1">
      <alignment horizontal="center" readingOrder="0" vertical="center"/>
    </xf>
    <xf borderId="7" fillId="2" fontId="7" numFmtId="0" xfId="0" applyAlignment="1" applyBorder="1" applyFont="1">
      <alignment readingOrder="0" shrinkToFit="0" vertical="center" wrapText="1"/>
    </xf>
    <xf borderId="9" fillId="2" fontId="18" numFmtId="0" xfId="0" applyAlignment="1" applyBorder="1" applyFont="1">
      <alignment vertical="center"/>
    </xf>
    <xf borderId="9" fillId="2" fontId="7" numFmtId="3" xfId="0" applyAlignment="1" applyBorder="1" applyFont="1" applyNumberFormat="1">
      <alignment horizontal="center" vertical="center"/>
    </xf>
    <xf borderId="7" fillId="2" fontId="7" numFmtId="0" xfId="0" applyAlignment="1" applyBorder="1" applyFont="1">
      <alignment shrinkToFit="0" vertical="center" wrapText="1"/>
    </xf>
    <xf borderId="1" fillId="2" fontId="7" numFmtId="0" xfId="0" applyAlignment="1" applyBorder="1" applyFont="1">
      <alignment readingOrder="0" shrinkToFit="0" vertical="center" wrapText="1"/>
    </xf>
    <xf borderId="0" fillId="2" fontId="20" numFmtId="0" xfId="0" applyAlignment="1" applyFont="1">
      <alignment vertical="center"/>
    </xf>
    <xf borderId="9" fillId="2" fontId="7" numFmtId="3" xfId="0" applyAlignment="1" applyBorder="1" applyFont="1" applyNumberFormat="1">
      <alignment horizontal="center" readingOrder="0" shrinkToFit="0" vertical="center" wrapText="1"/>
    </xf>
    <xf borderId="1" fillId="2" fontId="2" numFmtId="49" xfId="0" applyAlignment="1" applyBorder="1" applyFont="1" applyNumberFormat="1">
      <alignment horizontal="left" vertical="center"/>
    </xf>
    <xf borderId="12" fillId="2" fontId="7" numFmtId="0" xfId="0" applyAlignment="1" applyBorder="1" applyFont="1">
      <alignment horizontal="left" vertical="center"/>
    </xf>
    <xf borderId="12" fillId="2" fontId="18" numFmtId="0" xfId="0" applyAlignment="1" applyBorder="1" applyFont="1">
      <alignment horizontal="left" shrinkToFit="0" vertical="center" wrapText="1"/>
    </xf>
    <xf borderId="12" fillId="2" fontId="7" numFmtId="3" xfId="0" applyAlignment="1" applyBorder="1" applyFont="1" applyNumberFormat="1">
      <alignment horizontal="center" vertical="center"/>
    </xf>
    <xf borderId="1" fillId="2" fontId="18" numFmtId="3" xfId="0" applyAlignment="1" applyBorder="1" applyFont="1" applyNumberFormat="1">
      <alignment horizontal="center" readingOrder="0" vertical="center"/>
    </xf>
    <xf borderId="1" fillId="2" fontId="7" numFmtId="0" xfId="0" applyAlignment="1" applyBorder="1" applyFont="1">
      <alignment vertical="center"/>
    </xf>
    <xf borderId="5" fillId="2" fontId="7" numFmtId="0" xfId="0" applyAlignment="1" applyBorder="1" applyFont="1">
      <alignment vertical="center"/>
    </xf>
    <xf borderId="1" fillId="2" fontId="7" numFmtId="49" xfId="0" applyAlignment="1" applyBorder="1" applyFont="1" applyNumberFormat="1">
      <alignment horizontal="left" readingOrder="0" vertical="center"/>
    </xf>
    <xf borderId="0" fillId="2" fontId="7" numFmtId="49" xfId="0" applyAlignment="1" applyFont="1" applyNumberFormat="1">
      <alignment horizontal="left" readingOrder="0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1" fillId="2" fontId="7" numFmtId="0" xfId="0" applyAlignment="1" applyBorder="1" applyFont="1">
      <alignment horizontal="left" shrinkToFit="0" vertical="center" wrapText="1"/>
    </xf>
    <xf borderId="1" fillId="6" fontId="7" numFmtId="3" xfId="0" applyAlignment="1" applyBorder="1" applyFill="1" applyFont="1" applyNumberFormat="1">
      <alignment horizontal="center" readingOrder="0" vertical="center"/>
    </xf>
    <xf borderId="0" fillId="2" fontId="1" numFmtId="3" xfId="0" applyAlignment="1" applyFont="1" applyNumberFormat="1">
      <alignment horizontal="center" vertical="center"/>
    </xf>
    <xf borderId="9" fillId="2" fontId="18" numFmtId="0" xfId="0" applyAlignment="1" applyBorder="1" applyFont="1">
      <alignment horizontal="left" readingOrder="0" shrinkToFit="0" vertical="center" wrapText="1"/>
    </xf>
    <xf borderId="0" fillId="0" fontId="11" numFmtId="9" xfId="0" applyAlignment="1" applyFont="1" applyNumberFormat="1">
      <alignment readingOrder="0" vertical="center"/>
    </xf>
    <xf borderId="1" fillId="2" fontId="7" numFmtId="3" xfId="0" applyAlignment="1" applyBorder="1" applyFont="1" applyNumberFormat="1">
      <alignment horizontal="center" vertical="center"/>
    </xf>
    <xf borderId="1" fillId="2" fontId="14" numFmtId="166" xfId="0" applyAlignment="1" applyBorder="1" applyFont="1" applyNumberFormat="1">
      <alignment horizontal="center" readingOrder="0" vertical="center"/>
    </xf>
    <xf borderId="9" fillId="2" fontId="7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left" readingOrder="0" vertical="center"/>
    </xf>
    <xf borderId="1" fillId="2" fontId="5" numFmtId="0" xfId="0" applyAlignment="1" applyBorder="1" applyFont="1">
      <alignment horizontal="left" readingOrder="0" shrinkToFit="0" vertical="center" wrapText="1"/>
    </xf>
    <xf borderId="1" fillId="6" fontId="5" numFmtId="3" xfId="0" applyAlignment="1" applyBorder="1" applyFont="1" applyNumberFormat="1">
      <alignment horizontal="center" readingOrder="0" vertical="center"/>
    </xf>
    <xf borderId="1" fillId="2" fontId="5" numFmtId="3" xfId="0" applyAlignment="1" applyBorder="1" applyFont="1" applyNumberFormat="1">
      <alignment horizontal="center" readingOrder="0" vertical="center"/>
    </xf>
    <xf borderId="0" fillId="0" fontId="5" numFmtId="3" xfId="0" applyAlignment="1" applyFont="1" applyNumberFormat="1">
      <alignment horizontal="center" vertical="center"/>
    </xf>
    <xf borderId="0" fillId="0" fontId="8" numFmtId="0" xfId="0" applyAlignment="1" applyFont="1">
      <alignment vertical="center"/>
    </xf>
    <xf borderId="0" fillId="2" fontId="20" numFmtId="0" xfId="0" applyFont="1"/>
    <xf borderId="0" fillId="2" fontId="18" numFmtId="0" xfId="0" applyAlignment="1" applyFont="1">
      <alignment horizontal="left" readingOrder="0" vertical="center"/>
    </xf>
    <xf borderId="12" fillId="2" fontId="7" numFmtId="0" xfId="0" applyAlignment="1" applyBorder="1" applyFont="1">
      <alignment horizontal="left" readingOrder="0" vertical="center"/>
    </xf>
    <xf borderId="9" fillId="2" fontId="14" numFmtId="0" xfId="0" applyAlignment="1" applyBorder="1" applyFont="1">
      <alignment horizontal="left" readingOrder="0" vertical="center"/>
    </xf>
    <xf borderId="7" fillId="2" fontId="7" numFmtId="0" xfId="0" applyAlignment="1" applyBorder="1" applyFont="1">
      <alignment horizontal="left" readingOrder="0" vertical="center"/>
    </xf>
    <xf borderId="0" fillId="0" fontId="1" numFmtId="3" xfId="0" applyFont="1" applyNumberFormat="1"/>
    <xf borderId="0" fillId="7" fontId="21" numFmtId="0" xfId="0" applyAlignment="1" applyFill="1" applyFont="1">
      <alignment horizontal="left" readingOrder="0" vertical="center"/>
    </xf>
    <xf borderId="0" fillId="2" fontId="22" numFmtId="0" xfId="0" applyAlignment="1" applyFont="1">
      <alignment horizontal="left" readingOrder="0" vertical="center"/>
    </xf>
    <xf borderId="9" fillId="2" fontId="14" numFmtId="3" xfId="0" applyAlignment="1" applyBorder="1" applyFont="1" applyNumberFormat="1">
      <alignment horizontal="center" readingOrder="0" vertical="center"/>
    </xf>
    <xf borderId="12" fillId="2" fontId="7" numFmtId="0" xfId="0" applyAlignment="1" applyBorder="1" applyFont="1">
      <alignment horizontal="left" readingOrder="0" shrinkToFit="0" vertical="center" wrapText="1"/>
    </xf>
    <xf borderId="9" fillId="2" fontId="7" numFmtId="0" xfId="0" applyAlignment="1" applyBorder="1" applyFont="1">
      <alignment horizontal="left" readingOrder="0" shrinkToFit="0" vertical="center" wrapText="1"/>
    </xf>
    <xf borderId="1" fillId="2" fontId="7" numFmtId="1" xfId="0" applyAlignment="1" applyBorder="1" applyFont="1" applyNumberFormat="1">
      <alignment horizontal="left" readingOrder="0" vertical="center"/>
    </xf>
    <xf borderId="12" fillId="2" fontId="23" numFmtId="0" xfId="0" applyAlignment="1" applyBorder="1" applyFont="1">
      <alignment horizontal="left" readingOrder="0" vertical="center"/>
    </xf>
    <xf borderId="1" fillId="2" fontId="7" numFmtId="1" xfId="0" applyAlignment="1" applyBorder="1" applyFont="1" applyNumberFormat="1">
      <alignment horizontal="left" readingOrder="0" shrinkToFit="0" vertical="center" wrapText="1"/>
    </xf>
    <xf borderId="1" fillId="2" fontId="5" numFmtId="3" xfId="0" applyAlignment="1" applyBorder="1" applyFont="1" applyNumberFormat="1">
      <alignment horizontal="center" vertical="center"/>
    </xf>
    <xf borderId="0" fillId="0" fontId="5" numFmtId="0" xfId="0" applyAlignment="1" applyFont="1">
      <alignment vertical="center"/>
    </xf>
    <xf borderId="0" fillId="2" fontId="18" numFmtId="3" xfId="0" applyAlignment="1" applyFont="1" applyNumberFormat="1">
      <alignment horizontal="center" readingOrder="0" shrinkToFit="0" vertical="center" wrapText="1"/>
    </xf>
    <xf borderId="1" fillId="2" fontId="5" numFmtId="0" xfId="0" applyAlignment="1" applyBorder="1" applyFont="1">
      <alignment readingOrder="0"/>
    </xf>
    <xf borderId="1" fillId="2" fontId="5" numFmtId="0" xfId="0" applyAlignment="1" applyBorder="1" applyFont="1">
      <alignment readingOrder="0" shrinkToFit="0" wrapText="1"/>
    </xf>
    <xf borderId="1" fillId="6" fontId="5" numFmtId="3" xfId="0" applyAlignment="1" applyBorder="1" applyFont="1" applyNumberFormat="1">
      <alignment horizontal="center"/>
    </xf>
    <xf borderId="9" fillId="2" fontId="16" numFmtId="0" xfId="0" applyAlignment="1" applyBorder="1" applyFont="1">
      <alignment horizontal="left" readingOrder="0" shrinkToFit="0" vertical="center" wrapText="1"/>
    </xf>
    <xf borderId="0" fillId="2" fontId="18" numFmtId="0" xfId="0" applyAlignment="1" applyFont="1">
      <alignment horizontal="center" readingOrder="0" shrinkToFit="0" vertical="center" wrapText="1"/>
    </xf>
    <xf borderId="9" fillId="2" fontId="14" numFmtId="0" xfId="0" applyAlignment="1" applyBorder="1" applyFont="1">
      <alignment readingOrder="0" vertical="center"/>
    </xf>
    <xf borderId="9" fillId="2" fontId="14" numFmtId="0" xfId="0" applyAlignment="1" applyBorder="1" applyFont="1">
      <alignment vertical="center"/>
    </xf>
    <xf borderId="0" fillId="2" fontId="14" numFmtId="0" xfId="0" applyAlignment="1" applyFont="1">
      <alignment readingOrder="0" vertical="center"/>
    </xf>
    <xf borderId="9" fillId="2" fontId="24" numFmtId="0" xfId="0" applyAlignment="1" applyBorder="1" applyFont="1">
      <alignment vertical="center"/>
    </xf>
    <xf borderId="1" fillId="2" fontId="5" numFmtId="0" xfId="0" applyAlignment="1" applyBorder="1" applyFont="1">
      <alignment readingOrder="0" vertical="center"/>
    </xf>
    <xf borderId="0" fillId="2" fontId="5" numFmtId="0" xfId="0" applyAlignment="1" applyFont="1">
      <alignment vertical="center"/>
    </xf>
    <xf borderId="13" fillId="2" fontId="5" numFmtId="0" xfId="0" applyAlignment="1" applyBorder="1" applyFont="1">
      <alignment horizontal="left" readingOrder="0" shrinkToFit="0" vertical="center" wrapText="1"/>
    </xf>
    <xf borderId="0" fillId="0" fontId="5" numFmtId="0" xfId="0" applyFont="1"/>
    <xf borderId="9" fillId="2" fontId="19" numFmtId="0" xfId="0" applyAlignment="1" applyBorder="1" applyFont="1">
      <alignment vertical="center"/>
    </xf>
    <xf borderId="12" fillId="2" fontId="7" numFmtId="0" xfId="0" applyAlignment="1" applyBorder="1" applyFont="1">
      <alignment horizontal="left" shrinkToFit="0" vertical="center" wrapText="1"/>
    </xf>
    <xf borderId="9" fillId="2" fontId="25" numFmtId="3" xfId="0" applyAlignment="1" applyBorder="1" applyFont="1" applyNumberFormat="1">
      <alignment horizontal="center" readingOrder="0" vertical="center"/>
    </xf>
    <xf borderId="9" fillId="2" fontId="26" numFmtId="0" xfId="0" applyAlignment="1" applyBorder="1" applyFont="1">
      <alignment vertical="center"/>
    </xf>
    <xf borderId="1" fillId="2" fontId="7" numFmtId="0" xfId="0" applyAlignment="1" applyBorder="1" applyFont="1">
      <alignment vertical="center"/>
    </xf>
    <xf borderId="14" fillId="2" fontId="7" numFmtId="0" xfId="0" applyAlignment="1" applyBorder="1" applyFont="1">
      <alignment shrinkToFit="0" vertical="center" wrapText="1"/>
    </xf>
    <xf borderId="7" fillId="2" fontId="7" numFmtId="0" xfId="0" applyAlignment="1" applyBorder="1" applyFont="1">
      <alignment readingOrder="0" vertical="center"/>
    </xf>
    <xf borderId="7" fillId="2" fontId="7" numFmtId="0" xfId="0" applyAlignment="1" applyBorder="1" applyFont="1">
      <alignment vertical="center"/>
    </xf>
    <xf borderId="14" fillId="2" fontId="7" numFmtId="0" xfId="0" applyAlignment="1" applyBorder="1" applyFont="1">
      <alignment readingOrder="0" shrinkToFit="0" vertical="center" wrapText="1"/>
    </xf>
    <xf borderId="1" fillId="6" fontId="5" numFmtId="0" xfId="0" applyAlignment="1" applyBorder="1" applyFont="1">
      <alignment horizontal="center" readingOrder="0" shrinkToFit="0" vertical="center" wrapText="1"/>
    </xf>
    <xf borderId="14" fillId="2" fontId="7" numFmtId="0" xfId="0" applyAlignment="1" applyBorder="1" applyFont="1">
      <alignment horizontal="left" readingOrder="0" shrinkToFit="0" vertical="center" wrapText="1"/>
    </xf>
    <xf borderId="0" fillId="0" fontId="15" numFmtId="3" xfId="0" applyAlignment="1" applyFont="1" applyNumberFormat="1">
      <alignment horizontal="center" vertical="center"/>
    </xf>
    <xf borderId="0" fillId="7" fontId="27" numFmtId="0" xfId="0" applyAlignment="1" applyFont="1">
      <alignment vertical="bottom"/>
    </xf>
    <xf borderId="0" fillId="2" fontId="28" numFmtId="0" xfId="0" applyAlignment="1" applyFont="1">
      <alignment vertical="bottom"/>
    </xf>
    <xf borderId="0" fillId="2" fontId="28" numFmtId="0" xfId="0" applyAlignment="1" applyFont="1">
      <alignment vertical="bottom"/>
    </xf>
    <xf borderId="0" fillId="2" fontId="14" numFmtId="0" xfId="0" applyAlignment="1" applyFont="1">
      <alignment vertical="bottom"/>
    </xf>
    <xf borderId="0" fillId="2" fontId="28" numFmtId="3" xfId="0" applyAlignment="1" applyFont="1" applyNumberFormat="1">
      <alignment vertical="bottom"/>
    </xf>
    <xf borderId="5" fillId="2" fontId="7" numFmtId="0" xfId="0" applyAlignment="1" applyBorder="1" applyFont="1">
      <alignment shrinkToFit="0" vertical="bottom" wrapText="1"/>
    </xf>
    <xf borderId="5" fillId="2" fontId="7" numFmtId="0" xfId="0" applyAlignment="1" applyBorder="1" applyFont="1">
      <alignment shrinkToFit="0" vertical="bottom" wrapText="1"/>
    </xf>
    <xf borderId="1" fillId="8" fontId="29" numFmtId="0" xfId="0" applyAlignment="1" applyBorder="1" applyFill="1" applyFont="1">
      <alignment horizontal="center" readingOrder="0" shrinkToFit="0" vertical="center" wrapText="1"/>
    </xf>
    <xf borderId="5" fillId="2" fontId="7" numFmtId="3" xfId="0" applyAlignment="1" applyBorder="1" applyFont="1" applyNumberFormat="1">
      <alignment horizontal="center" vertical="bottom"/>
    </xf>
    <xf borderId="12" fillId="2" fontId="28" numFmtId="0" xfId="0" applyAlignment="1" applyBorder="1" applyFont="1">
      <alignment vertical="bottom"/>
    </xf>
    <xf borderId="12" fillId="2" fontId="28" numFmtId="0" xfId="0" applyAlignment="1" applyBorder="1" applyFont="1">
      <alignment vertical="bottom"/>
    </xf>
    <xf borderId="12" fillId="2" fontId="28" numFmtId="3" xfId="0" applyAlignment="1" applyBorder="1" applyFont="1" applyNumberFormat="1">
      <alignment vertical="bottom"/>
    </xf>
    <xf borderId="9" fillId="2" fontId="28" numFmtId="0" xfId="0" applyAlignment="1" applyBorder="1" applyFont="1">
      <alignment vertical="bottom"/>
    </xf>
    <xf borderId="9" fillId="2" fontId="28" numFmtId="3" xfId="0" applyAlignment="1" applyBorder="1" applyFont="1" applyNumberFormat="1">
      <alignment vertical="bottom"/>
    </xf>
    <xf borderId="1" fillId="2" fontId="7" numFmtId="0" xfId="0" applyAlignment="1" applyBorder="1" applyFont="1">
      <alignment shrinkToFit="0" vertical="bottom" wrapText="1"/>
    </xf>
    <xf borderId="7" fillId="2" fontId="7" numFmtId="0" xfId="0" applyAlignment="1" applyBorder="1" applyFont="1">
      <alignment shrinkToFit="0" vertical="bottom" wrapText="1"/>
    </xf>
    <xf borderId="7" fillId="2" fontId="7" numFmtId="3" xfId="0" applyAlignment="1" applyBorder="1" applyFont="1" applyNumberFormat="1">
      <alignment horizontal="center" vertical="bottom"/>
    </xf>
    <xf borderId="12" fillId="2" fontId="28" numFmtId="4" xfId="0" applyAlignment="1" applyBorder="1" applyFont="1" applyNumberFormat="1">
      <alignment vertical="bottom"/>
    </xf>
    <xf borderId="1" fillId="2" fontId="7" numFmtId="0" xfId="0" applyAlignment="1" applyBorder="1" applyFont="1">
      <alignment shrinkToFit="0" vertical="bottom" wrapText="1"/>
    </xf>
    <xf borderId="1" fillId="2" fontId="7" numFmtId="3" xfId="0" applyAlignment="1" applyBorder="1" applyFont="1" applyNumberFormat="1">
      <alignment horizontal="center" vertical="bottom"/>
    </xf>
    <xf borderId="0" fillId="2" fontId="14" numFmtId="0" xfId="0" applyAlignment="1" applyFont="1">
      <alignment readingOrder="0" vertical="bottom"/>
    </xf>
    <xf borderId="0" fillId="2" fontId="7" numFmtId="3" xfId="0" applyAlignment="1" applyFont="1" applyNumberFormat="1">
      <alignment vertical="center"/>
    </xf>
    <xf borderId="0" fillId="0" fontId="1" numFmtId="1" xfId="0" applyAlignment="1" applyFont="1" applyNumberFormat="1">
      <alignment horizontal="center" vertical="center"/>
    </xf>
    <xf borderId="1" fillId="2" fontId="7" numFmtId="3" xfId="0" applyAlignment="1" applyBorder="1" applyFont="1" applyNumberFormat="1">
      <alignment horizontal="center" readingOrder="0" shrinkToFit="0" vertical="center" wrapText="1"/>
    </xf>
    <xf borderId="0" fillId="2" fontId="30" numFmtId="3" xfId="0" applyAlignment="1" applyFont="1" applyNumberFormat="1">
      <alignment horizontal="center" readingOrder="0" shrinkToFit="0" vertical="center" wrapText="1"/>
    </xf>
    <xf borderId="0" fillId="2" fontId="7" numFmtId="1" xfId="0" applyAlignment="1" applyFont="1" applyNumberFormat="1">
      <alignment horizontal="center" readingOrder="0" shrinkToFit="0" vertical="center" wrapText="1"/>
    </xf>
    <xf borderId="0" fillId="0" fontId="31" numFmtId="0" xfId="0" applyAlignment="1" applyFont="1">
      <alignment horizontal="center" vertical="center"/>
    </xf>
    <xf borderId="0" fillId="2" fontId="7" numFmtId="1" xfId="0" applyAlignment="1" applyFont="1" applyNumberFormat="1">
      <alignment readingOrder="0" vertical="center"/>
    </xf>
    <xf borderId="0" fillId="2" fontId="7" numFmtId="4" xfId="0" applyAlignment="1" applyFont="1" applyNumberFormat="1">
      <alignment horizontal="center" readingOrder="0" vertical="center"/>
    </xf>
    <xf borderId="1" fillId="2" fontId="7" numFmtId="4" xfId="0" applyAlignment="1" applyBorder="1" applyFont="1" applyNumberFormat="1">
      <alignment horizontal="center" readingOrder="0" vertical="center"/>
    </xf>
    <xf borderId="1" fillId="2" fontId="7" numFmtId="0" xfId="0" applyAlignment="1" applyBorder="1" applyFont="1">
      <alignment vertical="center"/>
    </xf>
    <xf borderId="12" fillId="2" fontId="20" numFmtId="0" xfId="0" applyBorder="1" applyFont="1"/>
    <xf borderId="12" fillId="2" fontId="1" numFmtId="3" xfId="0" applyBorder="1" applyFont="1" applyNumberFormat="1"/>
    <xf borderId="0" fillId="2" fontId="7" numFmtId="10" xfId="0" applyAlignment="1" applyFont="1" applyNumberFormat="1">
      <alignment horizontal="center" vertical="center"/>
    </xf>
    <xf borderId="0" fillId="2" fontId="7" numFmtId="2" xfId="0" applyAlignment="1" applyFont="1" applyNumberFormat="1">
      <alignment horizontal="center" vertical="center"/>
    </xf>
    <xf borderId="0" fillId="2" fontId="2" numFmtId="0" xfId="0" applyAlignment="1" applyFont="1">
      <alignment horizontal="left" vertical="center"/>
    </xf>
    <xf borderId="1" fillId="2" fontId="7" numFmtId="0" xfId="0" applyAlignment="1" applyBorder="1" applyFont="1">
      <alignment horizontal="left" vertical="center"/>
    </xf>
    <xf borderId="0" fillId="2" fontId="7" numFmtId="0" xfId="0" applyAlignment="1" applyFont="1">
      <alignment horizontal="left" readingOrder="0" shrinkToFit="0" vertical="center" wrapText="1"/>
    </xf>
    <xf borderId="1" fillId="2" fontId="2" numFmtId="1" xfId="0" applyAlignment="1" applyBorder="1" applyFont="1" applyNumberFormat="1">
      <alignment horizontal="left" vertical="center"/>
    </xf>
    <xf borderId="0" fillId="2" fontId="2" numFmtId="49" xfId="0" applyAlignment="1" applyFont="1" applyNumberFormat="1">
      <alignment horizontal="center" vertical="center"/>
    </xf>
    <xf borderId="0" fillId="2" fontId="18" numFmtId="9" xfId="0" applyAlignment="1" applyFont="1" applyNumberFormat="1">
      <alignment horizontal="center" readingOrder="0" vertical="center"/>
    </xf>
    <xf borderId="10" fillId="2" fontId="18" numFmtId="0" xfId="0" applyAlignment="1" applyBorder="1" applyFont="1">
      <alignment horizontal="center" readingOrder="0" vertical="center"/>
    </xf>
    <xf borderId="9" fillId="2" fontId="7" numFmtId="0" xfId="0" applyAlignment="1" applyBorder="1" applyFont="1">
      <alignment horizontal="center" vertical="center"/>
    </xf>
    <xf borderId="0" fillId="2" fontId="1" numFmtId="0" xfId="0" applyAlignment="1" applyFont="1">
      <alignment horizontal="left"/>
    </xf>
    <xf borderId="12" fillId="2" fontId="7" numFmtId="0" xfId="0" applyAlignment="1" applyBorder="1" applyFont="1">
      <alignment vertical="center"/>
    </xf>
    <xf borderId="0" fillId="0" fontId="5" numFmtId="0" xfId="0" applyAlignment="1" applyFont="1">
      <alignment horizontal="center" readingOrder="0" vertical="center"/>
    </xf>
    <xf borderId="1" fillId="2" fontId="14" numFmtId="0" xfId="0" applyAlignment="1" applyBorder="1" applyFont="1">
      <alignment horizontal="center" readingOrder="0" shrinkToFit="0" vertical="center" wrapText="0"/>
    </xf>
    <xf borderId="0" fillId="2" fontId="16" numFmtId="9" xfId="0" applyAlignment="1" applyFont="1" applyNumberFormat="1">
      <alignment horizontal="center" readingOrder="0" vertical="center"/>
    </xf>
    <xf borderId="0" fillId="2" fontId="17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readingOrder="0" vertical="center"/>
    </xf>
    <xf borderId="0" fillId="0" fontId="7" numFmtId="1" xfId="0" applyAlignment="1" applyFont="1" applyNumberFormat="1">
      <alignment horizontal="center" readingOrder="0" vertical="center"/>
    </xf>
    <xf borderId="10" fillId="2" fontId="18" numFmtId="0" xfId="0" applyAlignment="1" applyBorder="1" applyFont="1">
      <alignment horizontal="center" vertical="center"/>
    </xf>
    <xf borderId="6" fillId="2" fontId="7" numFmtId="0" xfId="0" applyAlignment="1" applyBorder="1" applyFont="1">
      <alignment horizontal="left" readingOrder="0" shrinkToFit="0" vertical="center" wrapText="1"/>
    </xf>
    <xf borderId="0" fillId="2" fontId="7" numFmtId="0" xfId="0" applyFont="1"/>
    <xf borderId="5" fillId="2" fontId="7" numFmtId="0" xfId="0" applyAlignment="1" applyBorder="1" applyFont="1">
      <alignment readingOrder="0" vertical="center"/>
    </xf>
    <xf borderId="12" fillId="2" fontId="7" numFmtId="0" xfId="0" applyAlignment="1" applyBorder="1" applyFont="1">
      <alignment horizontal="center" vertical="center"/>
    </xf>
    <xf borderId="9" fillId="2" fontId="7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0" fillId="2" fontId="5" numFmtId="0" xfId="0" applyAlignment="1" applyFont="1">
      <alignment horizontal="left" vertical="center"/>
    </xf>
    <xf borderId="0" fillId="2" fontId="5" numFmtId="0" xfId="0" applyAlignment="1" applyFont="1">
      <alignment horizontal="center" vertical="center"/>
    </xf>
    <xf borderId="0" fillId="2" fontId="32" numFmtId="0" xfId="0" applyAlignment="1" applyFont="1">
      <alignment vertical="center"/>
    </xf>
    <xf borderId="5" fillId="2" fontId="7" numFmtId="0" xfId="0" applyAlignment="1" applyBorder="1" applyFont="1">
      <alignment readingOrder="0" shrinkToFit="0" vertical="center" wrapText="1"/>
    </xf>
    <xf borderId="12" fillId="2" fontId="7" numFmtId="0" xfId="0" applyAlignment="1" applyBorder="1" applyFont="1">
      <alignment readingOrder="0" shrinkToFit="0" vertical="center" wrapText="1"/>
    </xf>
    <xf borderId="0" fillId="2" fontId="7" numFmtId="0" xfId="0" applyAlignment="1" applyFont="1">
      <alignment readingOrder="0" shrinkToFit="0" vertical="center" wrapText="1"/>
    </xf>
    <xf borderId="1" fillId="2" fontId="7" numFmtId="0" xfId="0" applyAlignment="1" applyBorder="1" applyFont="1">
      <alignment readingOrder="0"/>
    </xf>
    <xf borderId="1" fillId="2" fontId="7" numFmtId="0" xfId="0" applyAlignment="1" applyBorder="1" applyFont="1">
      <alignment shrinkToFit="0" wrapText="1"/>
    </xf>
    <xf borderId="0" fillId="2" fontId="33" numFmtId="9" xfId="0" applyAlignment="1" applyFont="1" applyNumberFormat="1">
      <alignment horizontal="left" readingOrder="0" vertical="center"/>
    </xf>
    <xf borderId="0" fillId="2" fontId="14" numFmtId="0" xfId="0" applyAlignment="1" applyFont="1">
      <alignment horizontal="center" readingOrder="0" shrinkToFit="0" vertical="center" wrapText="0"/>
    </xf>
    <xf borderId="0" fillId="0" fontId="7" numFmtId="0" xfId="0" applyFont="1"/>
    <xf borderId="0" fillId="0" fontId="1" numFmtId="0" xfId="0" applyAlignment="1" applyFont="1">
      <alignment horizontal="center" readingOrder="0" vertical="center"/>
    </xf>
    <xf borderId="0" fillId="0" fontId="31" numFmtId="0" xfId="0" applyAlignment="1" applyFont="1">
      <alignment horizontal="left" readingOrder="0" vertical="center"/>
    </xf>
    <xf borderId="14" fillId="0" fontId="31" numFmtId="0" xfId="0" applyAlignment="1" applyBorder="1" applyFont="1">
      <alignment horizontal="left" readingOrder="0" vertical="center"/>
    </xf>
    <xf borderId="2" fillId="0" fontId="31" numFmtId="0" xfId="0" applyAlignment="1" applyBorder="1" applyFont="1">
      <alignment horizontal="left" vertical="center"/>
    </xf>
    <xf borderId="3" fillId="0" fontId="31" numFmtId="0" xfId="0" applyAlignment="1" applyBorder="1" applyFont="1">
      <alignment horizontal="center" vertical="center"/>
    </xf>
    <xf borderId="3" fillId="2" fontId="31" numFmtId="3" xfId="0" applyAlignment="1" applyBorder="1" applyFont="1" applyNumberFormat="1">
      <alignment horizontal="center" vertical="center"/>
    </xf>
    <xf borderId="3" fillId="0" fontId="31" numFmtId="3" xfId="0" applyAlignment="1" applyBorder="1" applyFont="1" applyNumberFormat="1">
      <alignment horizontal="center" vertical="center"/>
    </xf>
    <xf borderId="0" fillId="0" fontId="7" numFmtId="0" xfId="0" applyAlignment="1" applyFont="1">
      <alignment horizontal="left" readingOrder="0" vertical="center"/>
    </xf>
    <xf borderId="7" fillId="0" fontId="7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left" vertical="center"/>
    </xf>
    <xf borderId="7" fillId="0" fontId="7" numFmtId="0" xfId="0" applyAlignment="1" applyBorder="1" applyFont="1">
      <alignment horizontal="left" vertical="center"/>
    </xf>
    <xf borderId="7" fillId="0" fontId="7" numFmtId="0" xfId="0" applyAlignment="1" applyBorder="1" applyFont="1">
      <alignment horizontal="center" vertical="center"/>
    </xf>
    <xf borderId="7" fillId="0" fontId="7" numFmtId="3" xfId="0" applyAlignment="1" applyBorder="1" applyFont="1" applyNumberFormat="1">
      <alignment horizontal="center" readingOrder="0" vertical="center"/>
    </xf>
    <xf borderId="0" fillId="0" fontId="7" numFmtId="4" xfId="0" applyAlignment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left" vertical="center"/>
    </xf>
    <xf borderId="5" fillId="0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left" readingOrder="0" vertical="center"/>
    </xf>
    <xf borderId="12" fillId="0" fontId="7" numFmtId="0" xfId="0" applyAlignment="1" applyBorder="1" applyFont="1">
      <alignment horizontal="left" vertical="center"/>
    </xf>
    <xf borderId="12" fillId="0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left" readingOrder="0" vertical="center"/>
    </xf>
    <xf borderId="9" fillId="0" fontId="7" numFmtId="0" xfId="0" applyAlignment="1" applyBorder="1" applyFont="1">
      <alignment horizontal="left" vertical="center"/>
    </xf>
    <xf borderId="9" fillId="0" fontId="7" numFmtId="0" xfId="0" applyAlignment="1" applyBorder="1" applyFont="1">
      <alignment horizontal="center" vertical="center"/>
    </xf>
    <xf borderId="0" fillId="0" fontId="31" numFmtId="0" xfId="0" applyAlignment="1" applyFont="1">
      <alignment horizontal="left" vertical="center"/>
    </xf>
    <xf borderId="0" fillId="2" fontId="31" numFmtId="0" xfId="0" applyAlignment="1" applyFont="1">
      <alignment horizontal="center" vertical="center"/>
    </xf>
    <xf borderId="1" fillId="0" fontId="7" numFmtId="3" xfId="0" applyAlignment="1" applyBorder="1" applyFont="1" applyNumberFormat="1">
      <alignment horizontal="center" readingOrder="0" vertical="center"/>
    </xf>
    <xf borderId="5" fillId="0" fontId="7" numFmtId="0" xfId="0" applyAlignment="1" applyBorder="1" applyFont="1">
      <alignment horizontal="left" readingOrder="0" vertical="center"/>
    </xf>
    <xf borderId="5" fillId="2" fontId="7" numFmtId="3" xfId="0" applyAlignment="1" applyBorder="1" applyFont="1" applyNumberFormat="1">
      <alignment horizontal="center" vertical="center"/>
    </xf>
    <xf borderId="9" fillId="2" fontId="7" numFmtId="0" xfId="0" applyAlignment="1" applyBorder="1" applyFont="1">
      <alignment horizontal="left" readingOrder="0" vertical="center"/>
    </xf>
    <xf borderId="0" fillId="2" fontId="31" numFmtId="3" xfId="0" applyAlignment="1" applyFont="1" applyNumberFormat="1">
      <alignment horizontal="center" vertical="center"/>
    </xf>
    <xf borderId="0" fillId="0" fontId="31" numFmtId="3" xfId="0" applyAlignment="1" applyFont="1" applyNumberFormat="1">
      <alignment horizontal="center" vertical="center"/>
    </xf>
    <xf borderId="0" fillId="0" fontId="2" numFmtId="0" xfId="0" applyAlignment="1" applyFont="1">
      <alignment horizontal="left" readingOrder="0" vertical="center"/>
    </xf>
    <xf borderId="1" fillId="2" fontId="7" numFmtId="1" xfId="0" applyAlignment="1" applyBorder="1" applyFont="1" applyNumberFormat="1">
      <alignment readingOrder="0" shrinkToFit="0" vertical="center" wrapText="1"/>
    </xf>
    <xf borderId="1" fillId="9" fontId="14" numFmtId="0" xfId="0" applyAlignment="1" applyBorder="1" applyFill="1" applyFont="1">
      <alignment horizontal="left" readingOrder="0" shrinkToFit="0" wrapText="0"/>
    </xf>
    <xf borderId="1" fillId="9" fontId="14" numFmtId="0" xfId="0" applyAlignment="1" applyBorder="1" applyFont="1">
      <alignment readingOrder="0" shrinkToFit="0" wrapText="0"/>
    </xf>
    <xf borderId="1" fillId="9" fontId="34" numFmtId="0" xfId="0" applyAlignment="1" applyBorder="1" applyFont="1">
      <alignment horizontal="center" readingOrder="0" vertical="center"/>
    </xf>
    <xf borderId="1" fillId="2" fontId="14" numFmtId="0" xfId="0" applyAlignment="1" applyBorder="1" applyFont="1">
      <alignment horizontal="left" readingOrder="0" shrinkToFit="0" wrapText="0"/>
    </xf>
    <xf borderId="1" fillId="2" fontId="26" numFmtId="0" xfId="0" applyAlignment="1" applyBorder="1" applyFont="1">
      <alignment shrinkToFit="0" wrapText="0"/>
    </xf>
    <xf borderId="1" fillId="2" fontId="18" numFmtId="0" xfId="0" applyAlignment="1" applyBorder="1" applyFont="1">
      <alignment horizontal="center" shrinkToFit="0" vertical="center" wrapText="0"/>
    </xf>
    <xf borderId="1" fillId="0" fontId="18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left" readingOrder="0" shrinkToFit="0" wrapText="0"/>
    </xf>
    <xf borderId="1" fillId="2" fontId="18" numFmtId="0" xfId="0" applyAlignment="1" applyBorder="1" applyFont="1">
      <alignment readingOrder="0" shrinkToFit="0" wrapText="0"/>
    </xf>
    <xf borderId="1" fillId="6" fontId="18" numFmtId="0" xfId="0" applyAlignment="1" applyBorder="1" applyFont="1">
      <alignment horizontal="center" readingOrder="0" shrinkToFit="0" vertical="center" wrapText="0"/>
    </xf>
    <xf borderId="1" fillId="0" fontId="18" numFmtId="0" xfId="0" applyAlignment="1" applyBorder="1" applyFont="1">
      <alignment horizontal="center" readingOrder="0" shrinkToFit="0" vertical="center" wrapText="0"/>
    </xf>
    <xf borderId="1" fillId="2" fontId="18" numFmtId="0" xfId="0" applyAlignment="1" applyBorder="1" applyFont="1">
      <alignment horizontal="center" readingOrder="0" shrinkToFit="0" vertical="center" wrapText="0"/>
    </xf>
    <xf borderId="1" fillId="0" fontId="35" numFmtId="0" xfId="0" applyAlignment="1" applyBorder="1" applyFont="1">
      <alignment horizontal="left" shrinkToFit="0" vertical="bottom" wrapText="0"/>
    </xf>
    <xf borderId="1" fillId="0" fontId="35" numFmtId="0" xfId="0" applyAlignment="1" applyBorder="1" applyFont="1">
      <alignment shrinkToFit="0" vertical="bottom" wrapText="0"/>
    </xf>
    <xf borderId="1" fillId="2" fontId="26" numFmtId="0" xfId="0" applyAlignment="1" applyBorder="1" applyFont="1">
      <alignment horizontal="left" shrinkToFit="0" wrapText="0"/>
    </xf>
    <xf borderId="1" fillId="2" fontId="18" numFmtId="0" xfId="0" applyAlignment="1" applyBorder="1" applyFont="1">
      <alignment horizontal="left" readingOrder="0" shrinkToFit="0" vertical="bottom" wrapText="0"/>
    </xf>
    <xf borderId="1" fillId="2" fontId="18" numFmtId="0" xfId="0" applyAlignment="1" applyBorder="1" applyFont="1">
      <alignment readingOrder="0" shrinkToFit="0" vertical="bottom" wrapText="0"/>
    </xf>
    <xf borderId="7" fillId="2" fontId="18" numFmtId="3" xfId="0" applyAlignment="1" applyBorder="1" applyFont="1" applyNumberFormat="1">
      <alignment horizontal="center" readingOrder="0" vertical="center"/>
    </xf>
    <xf borderId="1" fillId="2" fontId="7" numFmtId="0" xfId="0" applyBorder="1" applyFont="1"/>
    <xf borderId="7" fillId="2" fontId="7" numFmtId="0" xfId="0" applyAlignment="1" applyBorder="1" applyFont="1">
      <alignment shrinkToFit="0" wrapText="1"/>
    </xf>
    <xf borderId="5" fillId="2" fontId="18" numFmtId="3" xfId="0" applyAlignment="1" applyBorder="1" applyFont="1" applyNumberFormat="1">
      <alignment horizontal="center" readingOrder="0" vertical="center"/>
    </xf>
    <xf borderId="1" fillId="0" fontId="26" numFmtId="0" xfId="0" applyAlignment="1" applyBorder="1" applyFont="1">
      <alignment shrinkToFit="0" vertical="bottom" wrapText="0"/>
    </xf>
    <xf borderId="1" fillId="2" fontId="14" numFmtId="0" xfId="0" applyAlignment="1" applyBorder="1" applyFont="1">
      <alignment shrinkToFit="0" wrapText="0"/>
    </xf>
    <xf borderId="1" fillId="2" fontId="18" numFmtId="0" xfId="0" applyAlignment="1" applyBorder="1" applyFont="1">
      <alignment horizontal="left" readingOrder="0" vertical="center"/>
    </xf>
    <xf borderId="0" fillId="2" fontId="23" numFmtId="0" xfId="0" applyAlignment="1" applyFont="1">
      <alignment horizontal="left" readingOrder="0" vertical="center"/>
    </xf>
    <xf borderId="9" fillId="2" fontId="25" numFmtId="0" xfId="0" applyAlignment="1" applyBorder="1" applyFont="1">
      <alignment horizontal="center" readingOrder="0" vertical="center"/>
    </xf>
    <xf borderId="14" fillId="2" fontId="36" numFmtId="0" xfId="0" applyAlignment="1" applyBorder="1" applyFont="1">
      <alignment horizontal="center" readingOrder="0" vertical="center"/>
    </xf>
    <xf borderId="1" fillId="2" fontId="36" numFmtId="0" xfId="0" applyAlignment="1" applyBorder="1" applyFont="1">
      <alignment horizontal="left" readingOrder="0" shrinkToFit="0" vertical="center" wrapText="1"/>
    </xf>
    <xf borderId="4" fillId="2" fontId="36" numFmtId="0" xfId="0" applyAlignment="1" applyBorder="1" applyFont="1">
      <alignment horizontal="left" readingOrder="0" shrinkToFit="0" vertical="center" wrapText="1"/>
    </xf>
    <xf borderId="4" fillId="2" fontId="36" numFmtId="0" xfId="0" applyAlignment="1" applyBorder="1" applyFont="1">
      <alignment vertical="center"/>
    </xf>
    <xf borderId="3" fillId="2" fontId="36" numFmtId="0" xfId="0" applyAlignment="1" applyBorder="1" applyFont="1">
      <alignment horizontal="center" vertical="center"/>
    </xf>
    <xf borderId="1" fillId="2" fontId="37" numFmtId="1" xfId="0" applyAlignment="1" applyBorder="1" applyFont="1" applyNumberFormat="1">
      <alignment horizontal="center" readingOrder="0" shrinkToFit="0" vertical="center" wrapText="1"/>
    </xf>
    <xf borderId="3" fillId="2" fontId="36" numFmtId="0" xfId="0" applyAlignment="1" applyBorder="1" applyFont="1">
      <alignment horizontal="center" readingOrder="0" shrinkToFit="0" vertical="center" wrapText="1"/>
    </xf>
    <xf borderId="1" fillId="2" fontId="37" numFmtId="0" xfId="0" applyAlignment="1" applyBorder="1" applyFont="1">
      <alignment horizontal="center" readingOrder="0" shrinkToFit="0" vertical="center" wrapText="1"/>
    </xf>
    <xf borderId="12" fillId="2" fontId="17" numFmtId="0" xfId="0" applyAlignment="1" applyBorder="1" applyFont="1">
      <alignment horizontal="center" vertical="center"/>
    </xf>
    <xf borderId="12" fillId="2" fontId="17" numFmtId="0" xfId="0" applyAlignment="1" applyBorder="1" applyFont="1">
      <alignment horizontal="center" readingOrder="0" vertical="center"/>
    </xf>
    <xf borderId="12" fillId="2" fontId="38" numFmtId="9" xfId="0" applyAlignment="1" applyBorder="1" applyFont="1" applyNumberFormat="1">
      <alignment horizontal="center" readingOrder="0" vertical="center"/>
    </xf>
    <xf borderId="0" fillId="0" fontId="7" numFmtId="9" xfId="0" applyAlignment="1" applyFont="1" applyNumberFormat="1">
      <alignment horizontal="center" readingOrder="0" vertical="center"/>
    </xf>
    <xf borderId="5" fillId="2" fontId="12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1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5" numFmtId="9" xfId="0" applyAlignment="1" applyBorder="1" applyFont="1" applyNumberFormat="1">
      <alignment horizontal="center" readingOrder="0" vertical="center"/>
    </xf>
    <xf borderId="0" fillId="2" fontId="39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left" readingOrder="0" vertical="center"/>
    </xf>
    <xf borderId="3" fillId="0" fontId="5" numFmtId="0" xfId="0" applyAlignment="1" applyBorder="1" applyFont="1">
      <alignment horizontal="center" readingOrder="0" vertical="center"/>
    </xf>
    <xf borderId="0" fillId="0" fontId="5" numFmtId="1" xfId="0" applyAlignment="1" applyFont="1" applyNumberFormat="1">
      <alignment horizontal="center" readingOrder="0" vertical="center"/>
    </xf>
    <xf borderId="3" fillId="0" fontId="5" numFmtId="1" xfId="0" applyAlignment="1" applyBorder="1" applyFont="1" applyNumberFormat="1">
      <alignment horizontal="center" readingOrder="0" vertical="center"/>
    </xf>
    <xf borderId="0" fillId="0" fontId="5" numFmtId="9" xfId="0" applyAlignment="1" applyFont="1" applyNumberFormat="1">
      <alignment horizontal="center" readingOrder="0" vertical="center"/>
    </xf>
    <xf borderId="5" fillId="2" fontId="39" numFmtId="0" xfId="0" applyAlignment="1" applyBorder="1" applyFont="1">
      <alignment horizontal="center" readingOrder="0" shrinkToFit="0" vertical="center" wrapText="1"/>
    </xf>
    <xf borderId="1" fillId="0" fontId="5" numFmtId="3" xfId="0" applyAlignment="1" applyBorder="1" applyFont="1" applyNumberFormat="1">
      <alignment horizontal="center" readingOrder="0" vertical="center"/>
    </xf>
    <xf borderId="2" fillId="0" fontId="5" numFmtId="3" xfId="0" applyAlignment="1" applyBorder="1" applyFont="1" applyNumberFormat="1">
      <alignment horizontal="center" readingOrder="0" vertical="center"/>
    </xf>
    <xf borderId="2" fillId="0" fontId="40" numFmtId="3" xfId="0" applyAlignment="1" applyBorder="1" applyFont="1" applyNumberFormat="1">
      <alignment horizontal="center" readingOrder="0" vertical="center"/>
    </xf>
    <xf borderId="1" fillId="0" fontId="41" numFmtId="3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left" vertical="center"/>
    </xf>
    <xf borderId="1" fillId="0" fontId="40" numFmtId="3" xfId="0" applyAlignment="1" applyBorder="1" applyFont="1" applyNumberFormat="1">
      <alignment horizontal="center" readingOrder="0" vertical="center"/>
    </xf>
    <xf borderId="12" fillId="2" fontId="14" numFmtId="0" xfId="0" applyAlignment="1" applyBorder="1" applyFont="1">
      <alignment horizontal="left" readingOrder="0" vertical="center"/>
    </xf>
    <xf borderId="12" fillId="2" fontId="14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left" readingOrder="0" vertical="center"/>
    </xf>
    <xf borderId="5" fillId="0" fontId="5" numFmtId="0" xfId="0" applyAlignment="1" applyBorder="1" applyFont="1">
      <alignment horizontal="center" readingOrder="0" vertical="center"/>
    </xf>
    <xf borderId="5" fillId="0" fontId="5" numFmtId="3" xfId="0" applyAlignment="1" applyBorder="1" applyFont="1" applyNumberFormat="1">
      <alignment horizontal="center" readingOrder="0" vertical="center"/>
    </xf>
    <xf borderId="12" fillId="0" fontId="5" numFmtId="0" xfId="0" applyAlignment="1" applyBorder="1" applyFont="1">
      <alignment horizontal="left" vertical="center"/>
    </xf>
    <xf borderId="12" fillId="0" fontId="5" numFmtId="0" xfId="0" applyAlignment="1" applyBorder="1" applyFont="1">
      <alignment vertical="center"/>
    </xf>
    <xf borderId="12" fillId="0" fontId="5" numFmtId="0" xfId="0" applyAlignment="1" applyBorder="1" applyFont="1">
      <alignment horizontal="center" vertical="center"/>
    </xf>
    <xf borderId="12" fillId="0" fontId="5" numFmtId="3" xfId="0" applyAlignment="1" applyBorder="1" applyFont="1" applyNumberFormat="1">
      <alignment horizontal="center" vertical="center"/>
    </xf>
    <xf borderId="1" fillId="2" fontId="16" numFmtId="0" xfId="0" applyAlignment="1" applyBorder="1" applyFont="1">
      <alignment readingOrder="0" shrinkToFit="0" wrapText="0"/>
    </xf>
    <xf borderId="1" fillId="0" fontId="42" numFmtId="3" xfId="0" applyAlignment="1" applyBorder="1" applyFont="1" applyNumberFormat="1">
      <alignment horizontal="center" readingOrder="0" vertical="center"/>
    </xf>
    <xf borderId="5" fillId="2" fontId="43" numFmtId="0" xfId="0" applyAlignment="1" applyBorder="1" applyFont="1">
      <alignment horizontal="center" readingOrder="0" shrinkToFit="0" vertical="center" wrapText="1"/>
    </xf>
    <xf borderId="0" fillId="0" fontId="5" numFmtId="3" xfId="0" applyAlignment="1" applyFont="1" applyNumberFormat="1">
      <alignment horizontal="center" readingOrder="0" vertical="center"/>
    </xf>
    <xf borderId="0" fillId="2" fontId="21" numFmtId="0" xfId="0" applyAlignment="1" applyFont="1">
      <alignment horizontal="left" readingOrder="0" vertical="center"/>
    </xf>
    <xf borderId="5" fillId="2" fontId="4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vertical="center"/>
    </xf>
    <xf borderId="0" fillId="0" fontId="7" numFmtId="164" xfId="0" applyAlignment="1" applyFont="1" applyNumberFormat="1">
      <alignment horizontal="center" readingOrder="0" vertical="center"/>
    </xf>
    <xf borderId="5" fillId="2" fontId="45" numFmtId="0" xfId="0" applyAlignment="1" applyBorder="1" applyFont="1">
      <alignment horizontal="center" readingOrder="0" shrinkToFit="0" vertical="center" wrapText="1"/>
    </xf>
    <xf borderId="1" fillId="2" fontId="18" numFmtId="1" xfId="0" applyAlignment="1" applyBorder="1" applyFont="1" applyNumberFormat="1">
      <alignment horizontal="left" readingOrder="0" vertical="center"/>
    </xf>
    <xf borderId="0" fillId="0" fontId="5" numFmtId="9" xfId="0" applyAlignment="1" applyFont="1" applyNumberFormat="1">
      <alignment vertical="center"/>
    </xf>
    <xf borderId="1" fillId="2" fontId="14" numFmtId="0" xfId="0" applyAlignment="1" applyBorder="1" applyFont="1">
      <alignment readingOrder="0" shrinkToFit="0" wrapText="0"/>
    </xf>
    <xf borderId="5" fillId="2" fontId="46" numFmtId="0" xfId="0" applyAlignment="1" applyBorder="1" applyFont="1">
      <alignment horizontal="center" readingOrder="0" shrinkToFit="0" vertical="center" wrapText="1"/>
    </xf>
    <xf borderId="1" fillId="0" fontId="5" numFmtId="3" xfId="0" applyAlignment="1" applyBorder="1" applyFont="1" applyNumberFormat="1">
      <alignment horizontal="center" vertical="center"/>
    </xf>
    <xf borderId="5" fillId="2" fontId="47" numFmtId="0" xfId="0" applyAlignment="1" applyBorder="1" applyFont="1">
      <alignment horizontal="center" readingOrder="0" shrinkToFit="0" vertical="center" wrapText="1"/>
    </xf>
    <xf borderId="0" fillId="0" fontId="7" numFmtId="3" xfId="0" applyAlignment="1" applyFont="1" applyNumberFormat="1">
      <alignment horizontal="center" readingOrder="0" vertical="center"/>
    </xf>
    <xf borderId="5" fillId="2" fontId="48" numFmtId="0" xfId="0" applyAlignment="1" applyBorder="1" applyFont="1">
      <alignment horizontal="center" readingOrder="0" shrinkToFit="0" vertical="center" wrapText="1"/>
    </xf>
    <xf borderId="1" fillId="2" fontId="48" numFmtId="0" xfId="0" applyAlignment="1" applyBorder="1" applyFont="1">
      <alignment horizontal="center" readingOrder="0" shrinkToFit="0" vertical="center" wrapText="1"/>
    </xf>
    <xf borderId="1" fillId="0" fontId="26" numFmtId="0" xfId="0" applyAlignment="1" applyBorder="1" applyFont="1">
      <alignment horizontal="left" shrinkToFit="0" wrapText="0"/>
    </xf>
    <xf borderId="1" fillId="0" fontId="18" numFmtId="0" xfId="0" applyAlignment="1" applyBorder="1" applyFont="1">
      <alignment horizontal="left" readingOrder="0" shrinkToFit="0" wrapText="0"/>
    </xf>
    <xf borderId="10" fillId="2" fontId="49" numFmtId="0" xfId="0" applyAlignment="1" applyBorder="1" applyFont="1">
      <alignment horizontal="center" readingOrder="0" shrinkToFit="0" vertical="center" wrapText="1"/>
    </xf>
    <xf borderId="1" fillId="0" fontId="41" numFmtId="1" xfId="0" applyAlignment="1" applyBorder="1" applyFont="1" applyNumberFormat="1">
      <alignment horizontal="center" readingOrder="0" vertical="center"/>
    </xf>
    <xf borderId="1" fillId="0" fontId="50" numFmtId="0" xfId="0" applyAlignment="1" applyBorder="1" applyFont="1">
      <alignment horizontal="left" readingOrder="0" shrinkToFit="0" wrapText="0"/>
    </xf>
    <xf borderId="1" fillId="2" fontId="41" numFmtId="0" xfId="0" applyAlignment="1" applyBorder="1" applyFont="1">
      <alignment horizontal="left" readingOrder="0"/>
    </xf>
    <xf borderId="0" fillId="2" fontId="7" numFmtId="1" xfId="0" applyAlignment="1" applyFont="1" applyNumberFormat="1">
      <alignment horizontal="left" readingOrder="0" vertical="center"/>
    </xf>
    <xf borderId="9" fillId="2" fontId="7" numFmtId="0" xfId="0" applyAlignment="1" applyBorder="1" applyFont="1">
      <alignment horizontal="center" readingOrder="0" vertical="center"/>
    </xf>
    <xf borderId="0" fillId="2" fontId="7" numFmtId="1" xfId="0" applyAlignment="1" applyFont="1" applyNumberFormat="1">
      <alignment horizontal="center"/>
    </xf>
    <xf borderId="1" fillId="2" fontId="7" numFmtId="0" xfId="0" applyAlignment="1" applyBorder="1" applyFont="1">
      <alignment readingOrder="0" shrinkToFit="0" wrapText="1"/>
    </xf>
    <xf borderId="4" fillId="2" fontId="7" numFmtId="0" xfId="0" applyAlignment="1" applyBorder="1" applyFont="1">
      <alignment shrinkToFit="0" vertical="center" wrapText="1"/>
    </xf>
    <xf borderId="14" fillId="2" fontId="7" numFmtId="0" xfId="0" applyAlignment="1" applyBorder="1" applyFont="1">
      <alignment shrinkToFit="0" vertical="center" wrapText="1"/>
    </xf>
    <xf borderId="4" fillId="2" fontId="7" numFmtId="0" xfId="0" applyAlignment="1" applyBorder="1" applyFont="1">
      <alignment horizontal="left" shrinkToFit="0" vertical="center" wrapText="1"/>
    </xf>
    <xf borderId="14" fillId="2" fontId="7" numFmtId="0" xfId="0" applyAlignment="1" applyBorder="1" applyFont="1">
      <alignment horizontal="left" shrinkToFit="0" vertical="center" wrapText="1"/>
    </xf>
    <xf borderId="0" fillId="2" fontId="7" numFmtId="0" xfId="0" applyAlignment="1" applyFont="1">
      <alignment readingOrder="0" vertical="center"/>
    </xf>
    <xf borderId="1" fillId="2" fontId="2" numFmtId="0" xfId="0" applyAlignment="1" applyBorder="1" applyFont="1">
      <alignment vertical="center"/>
    </xf>
    <xf borderId="0" fillId="2" fontId="2" numFmtId="0" xfId="0" applyAlignment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b/>
        <color rgb="FF000000"/>
      </font>
      <fill>
        <patternFill patternType="solid">
          <fgColor rgb="FF00FFFF"/>
          <bgColor rgb="FF00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 outlineLevelCol="1"/>
  <cols>
    <col customWidth="1" min="1" max="1" width="2.29"/>
    <col customWidth="1" min="2" max="3" width="13.43"/>
    <col customWidth="1" min="4" max="4" width="18.43"/>
    <col customWidth="1" min="6" max="6" width="87.43"/>
    <col customWidth="1" hidden="1" min="9" max="9" width="18.57"/>
    <col customWidth="1" hidden="1" min="10" max="10" width="63.14"/>
    <col hidden="1" min="11" max="11" width="14.43"/>
    <col hidden="1" min="16" max="17" width="14.43"/>
  </cols>
  <sheetData>
    <row r="1" ht="7.5" customHeight="1">
      <c r="A1" s="2"/>
      <c r="B1" s="2"/>
      <c r="C1" s="2"/>
      <c r="D1" s="2"/>
      <c r="E1" s="6"/>
      <c r="F1" s="6"/>
      <c r="G1" s="6"/>
      <c r="H1" s="2"/>
      <c r="I1" s="6"/>
      <c r="J1" s="6"/>
      <c r="K1" s="6"/>
      <c r="L1" s="6"/>
      <c r="M1" s="6"/>
      <c r="N1" s="6"/>
      <c r="O1" s="6"/>
      <c r="P1" s="6"/>
      <c r="Q1" s="6"/>
    </row>
    <row r="2" ht="31.5" customHeight="1">
      <c r="A2" s="11"/>
      <c r="B2" s="11"/>
      <c r="C2" s="13"/>
      <c r="D2" s="2"/>
      <c r="E2" s="6"/>
      <c r="F2" s="6"/>
      <c r="G2" s="6"/>
      <c r="H2" s="2"/>
      <c r="I2" s="6"/>
      <c r="J2" s="6"/>
      <c r="K2" s="6"/>
      <c r="L2" s="6"/>
      <c r="M2" s="6"/>
      <c r="N2" s="6"/>
      <c r="O2" s="6"/>
      <c r="P2" s="6"/>
      <c r="Q2" s="6"/>
    </row>
    <row r="3" ht="29.25" customHeight="1">
      <c r="A3" s="11"/>
      <c r="B3" s="19" t="s">
        <v>15</v>
      </c>
      <c r="C3" s="22" t="s">
        <v>24</v>
      </c>
      <c r="D3" s="2"/>
      <c r="E3" s="6"/>
      <c r="F3" s="6"/>
      <c r="G3" s="6"/>
      <c r="H3" s="13"/>
      <c r="I3" s="4" t="s">
        <v>29</v>
      </c>
      <c r="J3" s="4" t="s">
        <v>30</v>
      </c>
      <c r="K3" s="23" t="s">
        <v>31</v>
      </c>
      <c r="L3" s="6"/>
      <c r="M3" s="6"/>
      <c r="N3" s="6"/>
      <c r="O3" s="6"/>
      <c r="P3" s="6"/>
      <c r="Q3" s="6"/>
    </row>
    <row r="4">
      <c r="A4" s="13"/>
      <c r="B4" s="22">
        <v>1.0</v>
      </c>
      <c r="C4" s="22" t="s">
        <v>34</v>
      </c>
      <c r="D4" s="22" t="s">
        <v>35</v>
      </c>
      <c r="E4" s="6"/>
      <c r="F4" s="26" t="s">
        <v>38</v>
      </c>
      <c r="G4" s="6"/>
      <c r="H4" s="13"/>
      <c r="I4" s="4" t="s">
        <v>39</v>
      </c>
      <c r="J4" s="6" t="s">
        <v>40</v>
      </c>
      <c r="K4" s="6">
        <v>2.62</v>
      </c>
      <c r="L4" s="6"/>
      <c r="M4" s="6"/>
      <c r="N4" s="6"/>
      <c r="O4" s="6"/>
      <c r="P4" s="4" t="s">
        <v>41</v>
      </c>
      <c r="Q4" s="4" t="s">
        <v>41</v>
      </c>
    </row>
    <row r="5">
      <c r="A5" s="13"/>
      <c r="B5" s="22">
        <v>2.0</v>
      </c>
      <c r="C5" s="22" t="s">
        <v>42</v>
      </c>
      <c r="D5" s="2"/>
      <c r="E5" s="6"/>
      <c r="F5" s="26" t="s">
        <v>43</v>
      </c>
      <c r="G5" s="6"/>
      <c r="H5" s="13"/>
      <c r="I5" s="4" t="s">
        <v>44</v>
      </c>
      <c r="J5" s="6" t="s">
        <v>45</v>
      </c>
      <c r="K5" s="6">
        <v>2.62</v>
      </c>
      <c r="L5" s="6"/>
      <c r="M5" s="6"/>
      <c r="N5" s="6"/>
      <c r="O5" s="6"/>
      <c r="P5" s="4" t="s">
        <v>46</v>
      </c>
      <c r="Q5" s="4" t="s">
        <v>47</v>
      </c>
    </row>
    <row r="6">
      <c r="A6" s="13"/>
      <c r="B6" s="22">
        <v>3.0</v>
      </c>
      <c r="C6" s="22" t="s">
        <v>48</v>
      </c>
      <c r="D6" s="2"/>
      <c r="E6" s="6"/>
      <c r="F6" s="26" t="s">
        <v>49</v>
      </c>
      <c r="G6" s="6"/>
      <c r="H6" s="13"/>
      <c r="I6" s="4" t="s">
        <v>51</v>
      </c>
      <c r="J6" s="6" t="s">
        <v>52</v>
      </c>
      <c r="K6" s="6">
        <v>2.72</v>
      </c>
      <c r="L6" s="6"/>
      <c r="M6" s="6"/>
      <c r="N6" s="6"/>
      <c r="O6" s="6"/>
      <c r="P6" s="4" t="s">
        <v>54</v>
      </c>
      <c r="Q6" s="4" t="s">
        <v>47</v>
      </c>
    </row>
    <row r="7">
      <c r="A7" s="13"/>
      <c r="B7" s="22">
        <v>4.0</v>
      </c>
      <c r="C7" s="22" t="s">
        <v>55</v>
      </c>
      <c r="D7" s="22" t="s">
        <v>35</v>
      </c>
      <c r="E7" s="6"/>
      <c r="F7" s="26" t="s">
        <v>56</v>
      </c>
      <c r="G7" s="6"/>
      <c r="H7" s="13"/>
      <c r="I7" s="4" t="s">
        <v>58</v>
      </c>
      <c r="J7" s="6" t="s">
        <v>59</v>
      </c>
      <c r="K7" s="6">
        <v>2.88</v>
      </c>
      <c r="L7" s="6"/>
      <c r="M7" s="6"/>
      <c r="N7" s="6"/>
      <c r="O7" s="6"/>
      <c r="P7" s="4" t="s">
        <v>60</v>
      </c>
      <c r="Q7" s="4" t="s">
        <v>61</v>
      </c>
    </row>
    <row r="8">
      <c r="A8" s="13"/>
      <c r="B8" s="22">
        <v>5.0</v>
      </c>
      <c r="C8" s="32" t="s">
        <v>63</v>
      </c>
      <c r="D8" s="2"/>
      <c r="E8" s="6"/>
      <c r="F8" s="26" t="s">
        <v>66</v>
      </c>
      <c r="G8" s="6"/>
      <c r="H8" s="13"/>
      <c r="I8" s="4" t="s">
        <v>67</v>
      </c>
      <c r="J8" s="6" t="s">
        <v>68</v>
      </c>
      <c r="K8" s="6">
        <v>2.88</v>
      </c>
      <c r="L8" s="6"/>
      <c r="M8" s="6"/>
      <c r="N8" s="6"/>
      <c r="O8" s="6"/>
      <c r="P8" s="4" t="s">
        <v>63</v>
      </c>
      <c r="Q8" s="4" t="s">
        <v>69</v>
      </c>
    </row>
    <row r="9">
      <c r="A9" s="2"/>
      <c r="B9" s="2"/>
      <c r="C9" s="2"/>
      <c r="D9" s="2"/>
      <c r="E9" s="6"/>
      <c r="F9" s="26" t="s">
        <v>71</v>
      </c>
      <c r="G9" s="6"/>
      <c r="H9" s="13"/>
      <c r="I9" s="4" t="s">
        <v>74</v>
      </c>
      <c r="J9" s="6" t="s">
        <v>75</v>
      </c>
      <c r="K9" s="6">
        <v>2.98</v>
      </c>
      <c r="L9" s="6"/>
      <c r="M9" s="6"/>
      <c r="N9" s="6"/>
      <c r="O9" s="6"/>
      <c r="P9" s="4" t="s">
        <v>48</v>
      </c>
      <c r="Q9" s="36" t="s">
        <v>78</v>
      </c>
    </row>
    <row r="10">
      <c r="A10" s="2"/>
      <c r="B10" s="13"/>
      <c r="C10" s="13"/>
      <c r="D10" s="13"/>
      <c r="E10" s="6"/>
      <c r="F10" s="26" t="s">
        <v>79</v>
      </c>
      <c r="G10" s="6"/>
      <c r="H10" s="13"/>
      <c r="I10" s="4" t="s">
        <v>83</v>
      </c>
      <c r="J10" s="6" t="s">
        <v>85</v>
      </c>
      <c r="K10" s="6">
        <v>2.98</v>
      </c>
      <c r="L10" s="6"/>
      <c r="M10" s="6"/>
      <c r="N10" s="6"/>
      <c r="O10" s="6"/>
      <c r="P10" s="4" t="s">
        <v>86</v>
      </c>
      <c r="Q10" s="4" t="s">
        <v>87</v>
      </c>
    </row>
    <row r="11">
      <c r="A11" s="2"/>
      <c r="B11" s="13"/>
      <c r="C11" s="13"/>
      <c r="D11" s="13"/>
      <c r="E11" s="6"/>
      <c r="F11" s="26" t="s">
        <v>89</v>
      </c>
      <c r="G11" s="6"/>
      <c r="H11" s="13"/>
      <c r="I11" s="4" t="s">
        <v>90</v>
      </c>
      <c r="J11" s="6" t="s">
        <v>91</v>
      </c>
      <c r="K11" s="6">
        <v>3.2</v>
      </c>
      <c r="L11" s="6"/>
      <c r="M11" s="6"/>
      <c r="N11" s="6"/>
      <c r="O11" s="6"/>
      <c r="P11" s="4" t="s">
        <v>92</v>
      </c>
      <c r="Q11" s="4" t="s">
        <v>93</v>
      </c>
    </row>
    <row r="12">
      <c r="A12" s="2"/>
      <c r="B12" s="13"/>
      <c r="C12" s="13"/>
      <c r="D12" s="13"/>
      <c r="E12" s="6"/>
      <c r="F12" s="6"/>
      <c r="G12" s="6"/>
      <c r="H12" s="13"/>
      <c r="I12" s="4" t="s">
        <v>94</v>
      </c>
      <c r="J12" s="6" t="s">
        <v>95</v>
      </c>
      <c r="K12" s="6">
        <v>3.2</v>
      </c>
      <c r="L12" s="6"/>
      <c r="M12" s="6"/>
      <c r="N12" s="6"/>
      <c r="O12" s="6"/>
      <c r="P12" s="4" t="s">
        <v>97</v>
      </c>
      <c r="Q12" s="4" t="s">
        <v>99</v>
      </c>
    </row>
    <row r="13">
      <c r="A13" s="2"/>
      <c r="B13" s="39" t="s">
        <v>101</v>
      </c>
      <c r="C13" s="39" t="s">
        <v>103</v>
      </c>
      <c r="D13" s="39" t="s">
        <v>105</v>
      </c>
      <c r="E13" s="6"/>
      <c r="F13" s="6"/>
      <c r="G13" s="6"/>
      <c r="H13" s="13"/>
      <c r="I13" s="4" t="s">
        <v>108</v>
      </c>
      <c r="J13" s="6" t="s">
        <v>109</v>
      </c>
      <c r="K13" s="6">
        <v>2.98</v>
      </c>
      <c r="L13" s="6"/>
      <c r="M13" s="6"/>
      <c r="N13" s="6"/>
      <c r="O13" s="6"/>
      <c r="P13" s="6"/>
      <c r="Q13" s="6"/>
    </row>
    <row r="14">
      <c r="A14" s="2"/>
      <c r="B14" s="42" t="s">
        <v>113</v>
      </c>
      <c r="C14" s="42" t="s">
        <v>113</v>
      </c>
      <c r="D14" s="44"/>
      <c r="E14" s="6"/>
      <c r="F14" s="4" t="s">
        <v>116</v>
      </c>
      <c r="G14" s="6"/>
      <c r="H14" s="13"/>
      <c r="I14" s="4"/>
      <c r="J14" s="6"/>
      <c r="K14" s="6"/>
      <c r="L14" s="6"/>
      <c r="M14" s="6"/>
      <c r="N14" s="6"/>
      <c r="O14" s="6"/>
      <c r="P14" s="6"/>
      <c r="Q14" s="6"/>
    </row>
    <row r="15">
      <c r="A15" s="2"/>
      <c r="B15" s="42" t="s">
        <v>86</v>
      </c>
      <c r="C15" s="46"/>
      <c r="D15" s="44"/>
      <c r="E15" s="6"/>
      <c r="F15" s="4" t="s">
        <v>122</v>
      </c>
      <c r="G15" s="6"/>
      <c r="H15" s="13"/>
      <c r="I15" s="4" t="s">
        <v>123</v>
      </c>
      <c r="J15" s="6" t="s">
        <v>124</v>
      </c>
      <c r="K15" s="6">
        <v>2.98</v>
      </c>
      <c r="L15" s="6"/>
      <c r="M15" s="6"/>
      <c r="N15" s="6"/>
      <c r="O15" s="6"/>
      <c r="P15" s="6"/>
      <c r="Q15" s="6"/>
    </row>
    <row r="16">
      <c r="A16" s="2"/>
      <c r="B16" s="42" t="s">
        <v>127</v>
      </c>
      <c r="C16" s="46"/>
      <c r="D16" s="49"/>
      <c r="E16" s="6"/>
      <c r="F16" s="4" t="s">
        <v>131</v>
      </c>
      <c r="G16" s="6"/>
      <c r="H16" s="2"/>
      <c r="I16" s="6" t="s">
        <v>132</v>
      </c>
      <c r="J16" s="6" t="s">
        <v>133</v>
      </c>
      <c r="K16" s="6">
        <v>3.52</v>
      </c>
      <c r="L16" s="6"/>
      <c r="M16" s="6"/>
      <c r="N16" s="6"/>
      <c r="O16" s="6"/>
      <c r="P16" s="6"/>
      <c r="Q16" s="6"/>
    </row>
    <row r="17">
      <c r="A17" s="2"/>
      <c r="B17" s="42" t="s">
        <v>134</v>
      </c>
      <c r="C17" s="46"/>
      <c r="D17" s="49"/>
      <c r="E17" s="6"/>
      <c r="F17" s="4"/>
      <c r="G17" s="6"/>
      <c r="H17" s="2"/>
      <c r="I17" s="6" t="s">
        <v>135</v>
      </c>
      <c r="J17" s="6" t="s">
        <v>136</v>
      </c>
      <c r="K17" s="6">
        <v>3.52</v>
      </c>
      <c r="L17" s="6"/>
      <c r="M17" s="6"/>
      <c r="N17" s="6"/>
      <c r="O17" s="6"/>
      <c r="P17" s="6"/>
      <c r="Q17" s="6"/>
    </row>
    <row r="18">
      <c r="A18" s="2"/>
      <c r="B18" s="42" t="s">
        <v>92</v>
      </c>
      <c r="C18" s="46"/>
      <c r="D18" s="49"/>
      <c r="E18" s="6"/>
      <c r="F18" s="4"/>
      <c r="G18" s="6"/>
      <c r="H18" s="2"/>
      <c r="I18" s="6" t="s">
        <v>137</v>
      </c>
      <c r="J18" s="6" t="s">
        <v>138</v>
      </c>
      <c r="K18" s="6">
        <v>3.52</v>
      </c>
      <c r="L18" s="6"/>
      <c r="M18" s="6"/>
      <c r="N18" s="6"/>
      <c r="O18" s="6"/>
      <c r="P18" s="6"/>
      <c r="Q18" s="6"/>
    </row>
    <row r="19">
      <c r="A19" s="2"/>
      <c r="B19" s="42" t="s">
        <v>139</v>
      </c>
      <c r="C19" s="51" t="s">
        <v>139</v>
      </c>
      <c r="D19" s="49"/>
      <c r="E19" s="6"/>
      <c r="F19" s="6"/>
      <c r="G19" s="6"/>
      <c r="H19" s="2"/>
      <c r="I19" s="6" t="s">
        <v>140</v>
      </c>
      <c r="J19" s="6" t="s">
        <v>141</v>
      </c>
      <c r="K19" s="6">
        <v>3.72</v>
      </c>
      <c r="L19" s="6"/>
      <c r="M19" s="6"/>
      <c r="N19" s="6"/>
      <c r="O19" s="6"/>
      <c r="P19" s="6"/>
      <c r="Q19" s="6"/>
    </row>
    <row r="20">
      <c r="A20" s="2"/>
      <c r="B20" s="42" t="s">
        <v>142</v>
      </c>
      <c r="C20" s="51" t="s">
        <v>142</v>
      </c>
      <c r="D20" s="49"/>
      <c r="E20" s="6"/>
      <c r="F20" s="6"/>
      <c r="G20" s="6"/>
      <c r="H20" s="2"/>
      <c r="I20" s="6" t="s">
        <v>143</v>
      </c>
      <c r="J20" s="6" t="s">
        <v>144</v>
      </c>
      <c r="K20" s="6">
        <v>3.72</v>
      </c>
      <c r="L20" s="6"/>
      <c r="M20" s="6"/>
      <c r="N20" s="6"/>
      <c r="O20" s="6"/>
      <c r="P20" s="6"/>
      <c r="Q20" s="6"/>
    </row>
    <row r="21">
      <c r="A21" s="2"/>
      <c r="B21" s="42" t="s">
        <v>145</v>
      </c>
      <c r="C21" s="51" t="s">
        <v>145</v>
      </c>
      <c r="D21" s="49"/>
      <c r="E21" s="6"/>
      <c r="F21" s="6"/>
      <c r="G21" s="6"/>
      <c r="H21" s="2"/>
      <c r="I21" s="6" t="s">
        <v>146</v>
      </c>
      <c r="J21" s="6" t="s">
        <v>147</v>
      </c>
      <c r="K21" s="6">
        <v>3.9</v>
      </c>
      <c r="L21" s="6"/>
      <c r="M21" s="6"/>
      <c r="N21" s="6"/>
      <c r="O21" s="6"/>
      <c r="P21" s="6"/>
      <c r="Q21" s="6"/>
    </row>
    <row r="22">
      <c r="A22" s="2"/>
      <c r="B22" s="42" t="s">
        <v>148</v>
      </c>
      <c r="C22" s="51" t="s">
        <v>148</v>
      </c>
      <c r="D22" s="49"/>
      <c r="E22" s="6"/>
      <c r="F22" s="6"/>
      <c r="G22" s="6"/>
      <c r="H22" s="2"/>
      <c r="I22" s="6" t="s">
        <v>149</v>
      </c>
      <c r="J22" s="6" t="s">
        <v>150</v>
      </c>
      <c r="K22" s="6">
        <v>3.9</v>
      </c>
      <c r="L22" s="6"/>
      <c r="M22" s="6"/>
      <c r="N22" s="6"/>
      <c r="O22" s="6"/>
      <c r="P22" s="6"/>
      <c r="Q22" s="6"/>
    </row>
    <row r="23">
      <c r="A23" s="2"/>
      <c r="B23" s="42" t="s">
        <v>153</v>
      </c>
      <c r="C23" s="51" t="s">
        <v>153</v>
      </c>
      <c r="D23" s="49"/>
      <c r="E23" s="6"/>
      <c r="F23" s="6"/>
      <c r="G23" s="6"/>
      <c r="H23" s="2"/>
      <c r="I23" s="6" t="s">
        <v>154</v>
      </c>
      <c r="J23" s="6" t="s">
        <v>155</v>
      </c>
      <c r="K23" s="6">
        <v>4.1</v>
      </c>
      <c r="L23" s="6"/>
      <c r="M23" s="6"/>
      <c r="N23" s="6"/>
      <c r="O23" s="6"/>
      <c r="P23" s="6"/>
      <c r="Q23" s="6"/>
    </row>
    <row r="24">
      <c r="A24" s="2"/>
      <c r="B24" s="42" t="s">
        <v>156</v>
      </c>
      <c r="C24" s="51" t="s">
        <v>156</v>
      </c>
      <c r="D24" s="49"/>
      <c r="E24" s="6"/>
      <c r="F24" s="6"/>
      <c r="G24" s="6"/>
      <c r="H24" s="2"/>
      <c r="I24" s="6" t="s">
        <v>157</v>
      </c>
      <c r="J24" s="6" t="s">
        <v>158</v>
      </c>
      <c r="K24" s="6">
        <v>4.1</v>
      </c>
      <c r="L24" s="6"/>
      <c r="M24" s="6"/>
      <c r="N24" s="6"/>
      <c r="O24" s="6"/>
      <c r="P24" s="6"/>
      <c r="Q24" s="6"/>
    </row>
    <row r="25">
      <c r="A25" s="2"/>
      <c r="B25" s="42" t="s">
        <v>60</v>
      </c>
      <c r="C25" s="51" t="s">
        <v>60</v>
      </c>
      <c r="D25" s="49"/>
      <c r="E25" s="6"/>
      <c r="F25" s="6"/>
      <c r="G25" s="6"/>
      <c r="H25" s="2"/>
      <c r="I25" s="6" t="s">
        <v>159</v>
      </c>
      <c r="J25" s="6" t="s">
        <v>160</v>
      </c>
      <c r="K25" s="6">
        <v>3.84</v>
      </c>
      <c r="L25" s="6"/>
      <c r="M25" s="6"/>
      <c r="N25" s="6"/>
      <c r="O25" s="6"/>
      <c r="P25" s="6"/>
      <c r="Q25" s="6"/>
    </row>
    <row r="26">
      <c r="A26" s="2"/>
      <c r="B26" s="42" t="s">
        <v>46</v>
      </c>
      <c r="C26" s="51" t="s">
        <v>46</v>
      </c>
      <c r="D26" s="49"/>
      <c r="E26" s="6"/>
      <c r="F26" s="6"/>
      <c r="G26" s="6"/>
      <c r="H26" s="2"/>
      <c r="I26" s="6" t="s">
        <v>161</v>
      </c>
      <c r="J26" s="6" t="s">
        <v>162</v>
      </c>
      <c r="K26" s="6">
        <v>3.84</v>
      </c>
      <c r="L26" s="6"/>
      <c r="M26" s="6"/>
      <c r="N26" s="6"/>
      <c r="O26" s="6"/>
      <c r="P26" s="6"/>
      <c r="Q26" s="6"/>
    </row>
    <row r="27">
      <c r="A27" s="2"/>
      <c r="B27" s="42" t="s">
        <v>34</v>
      </c>
      <c r="C27" s="46"/>
      <c r="D27" s="49"/>
      <c r="E27" s="6"/>
      <c r="F27" s="6"/>
      <c r="G27" s="6"/>
      <c r="H27" s="2"/>
      <c r="I27" s="6"/>
      <c r="J27" s="6"/>
      <c r="K27" s="6"/>
      <c r="L27" s="6"/>
      <c r="M27" s="6"/>
      <c r="N27" s="6"/>
      <c r="O27" s="6"/>
      <c r="P27" s="6"/>
      <c r="Q27" s="6"/>
    </row>
    <row r="28">
      <c r="A28" s="2"/>
      <c r="B28" s="39"/>
      <c r="C28" s="54" t="s">
        <v>55</v>
      </c>
      <c r="D28" s="49"/>
      <c r="E28" s="6"/>
      <c r="F28" s="6"/>
      <c r="G28" s="6"/>
      <c r="H28" s="2"/>
      <c r="I28" s="6" t="s">
        <v>164</v>
      </c>
      <c r="J28" s="6" t="s">
        <v>166</v>
      </c>
      <c r="K28" s="6">
        <v>5.85</v>
      </c>
      <c r="L28" s="6"/>
      <c r="M28" s="6"/>
      <c r="N28" s="6"/>
      <c r="O28" s="6"/>
      <c r="P28" s="6"/>
      <c r="Q28" s="6"/>
    </row>
    <row r="29">
      <c r="A29" s="2"/>
      <c r="B29" s="42" t="s">
        <v>54</v>
      </c>
      <c r="C29" s="54" t="s">
        <v>54</v>
      </c>
      <c r="D29" s="49"/>
      <c r="E29" s="6"/>
      <c r="F29" s="6"/>
      <c r="G29" s="6"/>
      <c r="H29" s="2"/>
      <c r="I29" s="6" t="s">
        <v>167</v>
      </c>
      <c r="J29" s="6" t="s">
        <v>168</v>
      </c>
      <c r="K29" s="6">
        <v>4.16</v>
      </c>
      <c r="L29" s="6"/>
      <c r="M29" s="6"/>
      <c r="N29" s="6"/>
      <c r="O29" s="6"/>
      <c r="P29" s="6"/>
      <c r="Q29" s="6"/>
    </row>
    <row r="30">
      <c r="A30" s="2"/>
      <c r="B30" s="42" t="s">
        <v>169</v>
      </c>
      <c r="C30" s="54" t="s">
        <v>169</v>
      </c>
      <c r="D30" s="49"/>
      <c r="E30" s="6"/>
      <c r="F30" s="6"/>
      <c r="G30" s="6"/>
      <c r="H30" s="2"/>
      <c r="I30" s="6" t="s">
        <v>170</v>
      </c>
      <c r="J30" s="6" t="s">
        <v>171</v>
      </c>
      <c r="K30" s="6">
        <v>4.16</v>
      </c>
      <c r="L30" s="6"/>
      <c r="M30" s="6"/>
      <c r="N30" s="6"/>
      <c r="O30" s="6"/>
      <c r="P30" s="6"/>
      <c r="Q30" s="6"/>
    </row>
    <row r="31">
      <c r="A31" s="2"/>
      <c r="B31" s="42" t="s">
        <v>172</v>
      </c>
      <c r="C31" s="54" t="s">
        <v>172</v>
      </c>
      <c r="D31" s="49"/>
      <c r="E31" s="6"/>
      <c r="F31" s="6"/>
      <c r="G31" s="6"/>
      <c r="H31" s="2"/>
      <c r="I31" s="6" t="s">
        <v>173</v>
      </c>
      <c r="J31" s="6" t="s">
        <v>174</v>
      </c>
      <c r="K31" s="6">
        <v>4.26</v>
      </c>
      <c r="L31" s="6"/>
      <c r="M31" s="6"/>
      <c r="N31" s="6"/>
      <c r="O31" s="6"/>
      <c r="P31" s="6"/>
      <c r="Q31" s="6"/>
    </row>
    <row r="32">
      <c r="A32" s="2"/>
      <c r="B32" s="42" t="s">
        <v>175</v>
      </c>
      <c r="C32" s="54" t="s">
        <v>175</v>
      </c>
      <c r="D32" s="49"/>
      <c r="E32" s="6"/>
      <c r="F32" s="6"/>
      <c r="G32" s="6"/>
      <c r="H32" s="2"/>
      <c r="I32" s="6" t="s">
        <v>176</v>
      </c>
      <c r="J32" s="6" t="s">
        <v>177</v>
      </c>
      <c r="K32" s="6">
        <v>4.26</v>
      </c>
      <c r="L32" s="6"/>
      <c r="M32" s="6"/>
      <c r="N32" s="6"/>
      <c r="O32" s="6"/>
      <c r="P32" s="6"/>
      <c r="Q32" s="6"/>
    </row>
    <row r="33">
      <c r="A33" s="2"/>
      <c r="B33" s="42" t="s">
        <v>63</v>
      </c>
      <c r="C33" s="54" t="s">
        <v>63</v>
      </c>
      <c r="D33" s="49"/>
      <c r="E33" s="6"/>
      <c r="F33" s="6"/>
      <c r="G33" s="6"/>
      <c r="H33" s="2"/>
      <c r="I33" s="6" t="s">
        <v>179</v>
      </c>
      <c r="J33" s="6" t="s">
        <v>180</v>
      </c>
      <c r="K33" s="6">
        <v>5.36</v>
      </c>
      <c r="L33" s="6"/>
      <c r="M33" s="6"/>
      <c r="N33" s="6"/>
      <c r="O33" s="6"/>
      <c r="P33" s="6"/>
      <c r="Q33" s="6"/>
    </row>
    <row r="34">
      <c r="A34" s="2"/>
      <c r="B34" s="42" t="s">
        <v>48</v>
      </c>
      <c r="C34" s="51" t="s">
        <v>48</v>
      </c>
      <c r="D34" s="49"/>
      <c r="E34" s="6"/>
      <c r="F34" s="6"/>
      <c r="G34" s="6"/>
      <c r="H34" s="2"/>
      <c r="I34" s="6" t="s">
        <v>181</v>
      </c>
      <c r="J34" s="6" t="s">
        <v>182</v>
      </c>
      <c r="K34" s="6">
        <v>5.36</v>
      </c>
      <c r="L34" s="6"/>
      <c r="M34" s="6"/>
      <c r="N34" s="6"/>
      <c r="O34" s="6"/>
      <c r="P34" s="6"/>
      <c r="Q34" s="6"/>
    </row>
    <row r="35">
      <c r="A35" s="2"/>
      <c r="B35" s="42" t="s">
        <v>42</v>
      </c>
      <c r="C35" s="55"/>
      <c r="D35" s="49"/>
      <c r="E35" s="6"/>
      <c r="F35" s="6"/>
      <c r="G35" s="6"/>
      <c r="H35" s="2"/>
      <c r="I35" s="6" t="s">
        <v>183</v>
      </c>
      <c r="J35" s="6" t="s">
        <v>184</v>
      </c>
      <c r="K35" s="6">
        <v>5.0</v>
      </c>
      <c r="L35" s="6"/>
      <c r="M35" s="6"/>
      <c r="N35" s="6"/>
      <c r="O35" s="6"/>
      <c r="P35" s="6"/>
      <c r="Q35" s="6"/>
    </row>
    <row r="36">
      <c r="A36" s="2"/>
      <c r="B36" s="42" t="s">
        <v>185</v>
      </c>
      <c r="C36" s="49"/>
      <c r="D36" s="42" t="s">
        <v>185</v>
      </c>
      <c r="E36" s="6"/>
      <c r="F36" s="6"/>
      <c r="G36" s="6"/>
      <c r="H36" s="2"/>
      <c r="I36" s="6" t="s">
        <v>186</v>
      </c>
      <c r="J36" s="6" t="s">
        <v>187</v>
      </c>
      <c r="K36" s="6">
        <v>5.0</v>
      </c>
      <c r="L36" s="6"/>
      <c r="M36" s="6"/>
      <c r="N36" s="6"/>
      <c r="O36" s="6"/>
      <c r="P36" s="6"/>
      <c r="Q36" s="6"/>
    </row>
    <row r="37">
      <c r="A37" s="2"/>
      <c r="B37" s="42" t="s">
        <v>97</v>
      </c>
      <c r="C37" s="46"/>
      <c r="D37" s="42" t="s">
        <v>97</v>
      </c>
      <c r="E37" s="6"/>
      <c r="F37" s="6"/>
      <c r="G37" s="6"/>
      <c r="H37" s="2"/>
      <c r="I37" s="6" t="s">
        <v>189</v>
      </c>
      <c r="J37" s="6" t="s">
        <v>190</v>
      </c>
      <c r="K37" s="6">
        <v>6.82</v>
      </c>
      <c r="L37" s="6"/>
      <c r="M37" s="6"/>
      <c r="N37" s="6"/>
      <c r="O37" s="6"/>
      <c r="P37" s="6"/>
      <c r="Q37" s="6"/>
    </row>
    <row r="38">
      <c r="A38" s="2"/>
      <c r="B38" s="2"/>
      <c r="C38" s="2"/>
      <c r="D38" s="2"/>
      <c r="E38" s="6"/>
      <c r="F38" s="6"/>
      <c r="G38" s="6"/>
      <c r="H38" s="2"/>
      <c r="I38" s="6" t="s">
        <v>191</v>
      </c>
      <c r="J38" s="6" t="s">
        <v>192</v>
      </c>
      <c r="K38" s="6">
        <v>6.82</v>
      </c>
      <c r="L38" s="6"/>
      <c r="M38" s="6"/>
      <c r="N38" s="6"/>
      <c r="O38" s="6"/>
      <c r="P38" s="6"/>
      <c r="Q38" s="6"/>
    </row>
    <row r="39">
      <c r="A39" s="2"/>
      <c r="B39" s="2"/>
      <c r="C39" s="2"/>
      <c r="D39" s="2"/>
      <c r="E39" s="6"/>
      <c r="F39" s="6"/>
      <c r="G39" s="6"/>
      <c r="H39" s="2"/>
      <c r="I39" s="6" t="s">
        <v>193</v>
      </c>
      <c r="J39" s="6" t="s">
        <v>194</v>
      </c>
      <c r="K39" s="6">
        <v>7.24</v>
      </c>
      <c r="L39" s="6"/>
      <c r="M39" s="6"/>
      <c r="N39" s="6"/>
      <c r="O39" s="6"/>
      <c r="P39" s="6"/>
      <c r="Q39" s="6"/>
    </row>
    <row r="40">
      <c r="A40" s="2"/>
      <c r="B40" s="2"/>
      <c r="C40" s="2"/>
      <c r="D40" s="2"/>
      <c r="E40" s="6"/>
      <c r="F40" s="6"/>
      <c r="G40" s="6"/>
      <c r="H40" s="2"/>
      <c r="I40" s="6" t="s">
        <v>195</v>
      </c>
      <c r="J40" s="6" t="s">
        <v>196</v>
      </c>
      <c r="K40" s="6">
        <v>7.24</v>
      </c>
      <c r="L40" s="6"/>
      <c r="M40" s="6"/>
      <c r="N40" s="6"/>
      <c r="O40" s="6"/>
      <c r="P40" s="6"/>
      <c r="Q40" s="6"/>
    </row>
    <row r="41">
      <c r="A41" s="2"/>
      <c r="B41" s="2"/>
      <c r="C41" s="2"/>
      <c r="D41" s="2"/>
      <c r="E41" s="6"/>
      <c r="F41" s="6"/>
      <c r="G41" s="6"/>
      <c r="H41" s="2"/>
      <c r="I41" s="6" t="s">
        <v>197</v>
      </c>
      <c r="J41" s="6" t="s">
        <v>198</v>
      </c>
      <c r="K41" s="6">
        <v>7.24</v>
      </c>
      <c r="L41" s="6"/>
      <c r="M41" s="6"/>
      <c r="N41" s="6"/>
      <c r="O41" s="6"/>
      <c r="P41" s="6"/>
      <c r="Q41" s="6"/>
    </row>
    <row r="42">
      <c r="A42" s="2"/>
      <c r="B42" s="2"/>
      <c r="C42" s="2"/>
      <c r="D42" s="2"/>
      <c r="E42" s="6"/>
      <c r="F42" s="6"/>
      <c r="G42" s="6"/>
      <c r="H42" s="2"/>
      <c r="I42" s="6" t="s">
        <v>200</v>
      </c>
      <c r="J42" s="6" t="s">
        <v>201</v>
      </c>
      <c r="K42" s="6">
        <v>7.24</v>
      </c>
      <c r="L42" s="6"/>
      <c r="M42" s="6"/>
      <c r="N42" s="6"/>
      <c r="O42" s="6"/>
      <c r="P42" s="6"/>
      <c r="Q42" s="6"/>
    </row>
    <row r="43">
      <c r="A43" s="2"/>
      <c r="B43" s="2"/>
      <c r="C43" s="2"/>
      <c r="D43" s="2"/>
      <c r="E43" s="6"/>
      <c r="F43" s="6"/>
      <c r="G43" s="6"/>
      <c r="H43" s="2"/>
      <c r="I43" s="6" t="s">
        <v>202</v>
      </c>
      <c r="J43" s="6" t="s">
        <v>203</v>
      </c>
      <c r="K43" s="6">
        <v>5.36</v>
      </c>
      <c r="L43" s="6"/>
      <c r="M43" s="6"/>
      <c r="N43" s="6"/>
      <c r="O43" s="6"/>
      <c r="P43" s="6"/>
      <c r="Q43" s="6"/>
    </row>
    <row r="44">
      <c r="A44" s="2"/>
      <c r="B44" s="2"/>
      <c r="C44" s="2"/>
      <c r="D44" s="2"/>
      <c r="E44" s="6"/>
      <c r="F44" s="6"/>
      <c r="G44" s="6"/>
      <c r="H44" s="2"/>
      <c r="I44" s="6" t="s">
        <v>204</v>
      </c>
      <c r="J44" s="6" t="s">
        <v>205</v>
      </c>
      <c r="K44" s="6">
        <v>5.36</v>
      </c>
      <c r="L44" s="6"/>
      <c r="M44" s="6"/>
      <c r="N44" s="6"/>
      <c r="O44" s="6"/>
      <c r="P44" s="6"/>
      <c r="Q44" s="6"/>
    </row>
    <row r="45">
      <c r="A45" s="2"/>
      <c r="B45" s="2"/>
      <c r="C45" s="2"/>
      <c r="D45" s="2"/>
      <c r="E45" s="6"/>
      <c r="F45" s="6"/>
      <c r="G45" s="6"/>
      <c r="H45" s="2"/>
      <c r="I45" s="6" t="s">
        <v>206</v>
      </c>
      <c r="J45" s="6" t="s">
        <v>207</v>
      </c>
      <c r="K45" s="6">
        <v>2.62</v>
      </c>
      <c r="L45" s="6"/>
      <c r="M45" s="6"/>
      <c r="N45" s="6"/>
      <c r="O45" s="6"/>
      <c r="P45" s="6"/>
      <c r="Q45" s="6"/>
    </row>
    <row r="46">
      <c r="A46" s="2"/>
      <c r="B46" s="2"/>
      <c r="C46" s="2"/>
      <c r="D46" s="2"/>
      <c r="E46" s="6"/>
      <c r="F46" s="6"/>
      <c r="G46" s="6"/>
      <c r="H46" s="2"/>
      <c r="I46" s="6" t="s">
        <v>209</v>
      </c>
      <c r="J46" s="6" t="s">
        <v>210</v>
      </c>
      <c r="K46" s="6">
        <v>2.88</v>
      </c>
      <c r="L46" s="6"/>
      <c r="M46" s="6"/>
      <c r="N46" s="6"/>
      <c r="O46" s="6"/>
      <c r="P46" s="6"/>
      <c r="Q46" s="6"/>
    </row>
    <row r="47">
      <c r="A47" s="2"/>
      <c r="B47" s="2"/>
      <c r="C47" s="2"/>
      <c r="D47" s="2"/>
      <c r="E47" s="6"/>
      <c r="F47" s="6"/>
      <c r="G47" s="6"/>
      <c r="H47" s="2"/>
      <c r="I47" s="6" t="s">
        <v>212</v>
      </c>
      <c r="J47" s="6" t="s">
        <v>213</v>
      </c>
      <c r="K47" s="6">
        <v>3.52</v>
      </c>
      <c r="L47" s="6"/>
      <c r="M47" s="6"/>
      <c r="N47" s="6"/>
      <c r="O47" s="6"/>
      <c r="P47" s="6"/>
      <c r="Q47" s="6"/>
    </row>
    <row r="48">
      <c r="A48" s="2"/>
      <c r="B48" s="2"/>
      <c r="C48" s="2"/>
      <c r="D48" s="2"/>
      <c r="E48" s="6"/>
      <c r="F48" s="6"/>
      <c r="G48" s="6"/>
      <c r="H48" s="2"/>
      <c r="I48" s="6" t="s">
        <v>214</v>
      </c>
      <c r="J48" s="6" t="s">
        <v>215</v>
      </c>
      <c r="K48" s="6">
        <v>3.52</v>
      </c>
      <c r="L48" s="6"/>
      <c r="M48" s="6"/>
      <c r="N48" s="6"/>
      <c r="O48" s="6"/>
      <c r="P48" s="6"/>
      <c r="Q48" s="6"/>
    </row>
    <row r="49">
      <c r="A49" s="2"/>
      <c r="B49" s="2"/>
      <c r="C49" s="2"/>
      <c r="D49" s="2"/>
      <c r="E49" s="6"/>
      <c r="F49" s="6"/>
      <c r="G49" s="6"/>
      <c r="H49" s="2"/>
      <c r="I49" s="6" t="s">
        <v>216</v>
      </c>
      <c r="J49" s="6" t="s">
        <v>217</v>
      </c>
      <c r="K49" s="6">
        <v>3.72</v>
      </c>
      <c r="L49" s="6"/>
      <c r="M49" s="6"/>
      <c r="N49" s="6"/>
      <c r="O49" s="6"/>
      <c r="P49" s="6"/>
      <c r="Q49" s="6"/>
    </row>
    <row r="50">
      <c r="A50" s="2"/>
      <c r="B50" s="2"/>
      <c r="C50" s="2"/>
      <c r="D50" s="2"/>
      <c r="E50" s="6"/>
      <c r="F50" s="6"/>
      <c r="G50" s="6"/>
      <c r="H50" s="2"/>
      <c r="I50" s="6" t="s">
        <v>218</v>
      </c>
      <c r="J50" s="6" t="s">
        <v>219</v>
      </c>
      <c r="K50" s="6">
        <v>5.85</v>
      </c>
      <c r="L50" s="6"/>
      <c r="M50" s="6"/>
      <c r="N50" s="6"/>
      <c r="O50" s="6"/>
      <c r="P50" s="6"/>
      <c r="Q50" s="6"/>
    </row>
    <row r="51">
      <c r="A51" s="2"/>
      <c r="B51" s="2"/>
      <c r="C51" s="2"/>
      <c r="D51" s="2"/>
      <c r="E51" s="6"/>
      <c r="F51" s="6"/>
      <c r="G51" s="6"/>
      <c r="H51" s="2"/>
      <c r="I51" s="6" t="s">
        <v>220</v>
      </c>
      <c r="J51" s="6" t="s">
        <v>221</v>
      </c>
      <c r="K51" s="6">
        <v>4.16</v>
      </c>
      <c r="L51" s="6"/>
      <c r="M51" s="6"/>
      <c r="N51" s="6"/>
      <c r="O51" s="6"/>
      <c r="P51" s="6"/>
      <c r="Q51" s="6"/>
    </row>
    <row r="52">
      <c r="A52" s="2"/>
      <c r="B52" s="2"/>
      <c r="C52" s="2"/>
      <c r="D52" s="2"/>
      <c r="E52" s="6"/>
      <c r="F52" s="6"/>
      <c r="G52" s="6"/>
      <c r="H52" s="2"/>
      <c r="I52" s="6" t="s">
        <v>222</v>
      </c>
      <c r="J52" s="6" t="s">
        <v>223</v>
      </c>
      <c r="K52" s="6">
        <v>5.36</v>
      </c>
      <c r="L52" s="6"/>
      <c r="M52" s="6"/>
      <c r="N52" s="6"/>
      <c r="O52" s="6"/>
      <c r="P52" s="6"/>
      <c r="Q52" s="6"/>
    </row>
    <row r="53">
      <c r="A53" s="2"/>
      <c r="B53" s="2"/>
      <c r="C53" s="2"/>
      <c r="D53" s="2"/>
      <c r="E53" s="6"/>
      <c r="F53" s="6"/>
      <c r="G53" s="6"/>
      <c r="H53" s="2"/>
      <c r="I53" s="6" t="s">
        <v>224</v>
      </c>
      <c r="J53" s="6" t="s">
        <v>225</v>
      </c>
      <c r="K53" s="6">
        <v>5.0</v>
      </c>
      <c r="L53" s="6"/>
      <c r="M53" s="6"/>
      <c r="N53" s="6"/>
      <c r="O53" s="6"/>
      <c r="P53" s="6"/>
      <c r="Q53" s="6"/>
    </row>
    <row r="54">
      <c r="A54" s="2"/>
      <c r="B54" s="2"/>
      <c r="C54" s="2"/>
      <c r="D54" s="2"/>
      <c r="E54" s="6"/>
      <c r="F54" s="6"/>
      <c r="G54" s="6"/>
      <c r="H54" s="2"/>
      <c r="I54" s="6" t="s">
        <v>227</v>
      </c>
      <c r="J54" s="6" t="s">
        <v>228</v>
      </c>
      <c r="K54" s="6">
        <v>6.82</v>
      </c>
      <c r="L54" s="6"/>
      <c r="M54" s="6"/>
      <c r="N54" s="6"/>
      <c r="O54" s="6"/>
      <c r="P54" s="6"/>
      <c r="Q54" s="6"/>
    </row>
    <row r="55">
      <c r="A55" s="2"/>
      <c r="B55" s="2"/>
      <c r="C55" s="2"/>
      <c r="D55" s="2"/>
      <c r="E55" s="6"/>
      <c r="F55" s="6"/>
      <c r="G55" s="6"/>
      <c r="H55" s="2"/>
      <c r="I55" s="6" t="s">
        <v>229</v>
      </c>
      <c r="J55" s="6" t="s">
        <v>230</v>
      </c>
      <c r="K55" s="6">
        <v>5.36</v>
      </c>
      <c r="L55" s="6"/>
      <c r="M55" s="6"/>
      <c r="N55" s="6"/>
      <c r="O55" s="6"/>
      <c r="P55" s="6"/>
      <c r="Q55" s="6"/>
    </row>
    <row r="56">
      <c r="A56" s="2"/>
      <c r="B56" s="2"/>
      <c r="C56" s="2"/>
      <c r="D56" s="2"/>
      <c r="E56" s="6"/>
      <c r="F56" s="6"/>
      <c r="G56" s="6"/>
      <c r="H56" s="2"/>
      <c r="I56" s="6" t="s">
        <v>231</v>
      </c>
      <c r="J56" s="6" t="s">
        <v>232</v>
      </c>
      <c r="K56" s="6">
        <v>2.74</v>
      </c>
      <c r="L56" s="6"/>
      <c r="M56" s="6"/>
      <c r="N56" s="6"/>
      <c r="O56" s="6"/>
      <c r="P56" s="6"/>
      <c r="Q56" s="6"/>
    </row>
    <row r="57">
      <c r="A57" s="2"/>
      <c r="B57" s="2"/>
      <c r="C57" s="2"/>
      <c r="D57" s="2"/>
      <c r="E57" s="6"/>
      <c r="F57" s="6"/>
      <c r="G57" s="6"/>
      <c r="H57" s="2"/>
      <c r="I57" s="6" t="s">
        <v>233</v>
      </c>
      <c r="J57" s="6" t="s">
        <v>234</v>
      </c>
      <c r="K57" s="6">
        <v>2.74</v>
      </c>
      <c r="L57" s="6"/>
      <c r="M57" s="6"/>
      <c r="N57" s="6"/>
      <c r="O57" s="6"/>
      <c r="P57" s="6"/>
      <c r="Q57" s="6"/>
    </row>
    <row r="58">
      <c r="A58" s="2"/>
      <c r="B58" s="2"/>
      <c r="C58" s="2"/>
      <c r="D58" s="2"/>
      <c r="E58" s="6"/>
      <c r="F58" s="6"/>
      <c r="G58" s="6"/>
      <c r="H58" s="2"/>
      <c r="I58" s="6" t="s">
        <v>235</v>
      </c>
      <c r="J58" s="6" t="s">
        <v>236</v>
      </c>
      <c r="K58" s="6">
        <v>3.22</v>
      </c>
      <c r="L58" s="6"/>
      <c r="M58" s="6"/>
      <c r="N58" s="6"/>
      <c r="O58" s="6"/>
      <c r="P58" s="6"/>
      <c r="Q58" s="6"/>
    </row>
    <row r="59">
      <c r="A59" s="2"/>
      <c r="B59" s="2"/>
      <c r="C59" s="2"/>
      <c r="D59" s="2"/>
      <c r="E59" s="6"/>
      <c r="F59" s="6"/>
      <c r="G59" s="6"/>
      <c r="H59" s="2"/>
      <c r="I59" s="6" t="s">
        <v>237</v>
      </c>
      <c r="J59" s="6" t="s">
        <v>238</v>
      </c>
      <c r="K59" s="6">
        <v>3.22</v>
      </c>
      <c r="L59" s="6"/>
      <c r="M59" s="6"/>
      <c r="N59" s="6"/>
      <c r="O59" s="6"/>
      <c r="P59" s="6"/>
      <c r="Q59" s="6"/>
    </row>
    <row r="60">
      <c r="A60" s="2"/>
      <c r="B60" s="2"/>
      <c r="C60" s="2"/>
      <c r="D60" s="2"/>
      <c r="E60" s="6"/>
      <c r="F60" s="6"/>
      <c r="G60" s="6"/>
      <c r="H60" s="2"/>
      <c r="I60" s="6" t="s">
        <v>239</v>
      </c>
      <c r="J60" s="6" t="s">
        <v>240</v>
      </c>
      <c r="K60" s="6">
        <v>3.26</v>
      </c>
      <c r="L60" s="6"/>
      <c r="M60" s="6"/>
      <c r="N60" s="6"/>
      <c r="O60" s="6"/>
      <c r="P60" s="6"/>
      <c r="Q60" s="6"/>
    </row>
    <row r="61">
      <c r="A61" s="2"/>
      <c r="B61" s="2"/>
      <c r="C61" s="2"/>
      <c r="D61" s="2"/>
      <c r="E61" s="6"/>
      <c r="F61" s="6"/>
      <c r="G61" s="6"/>
      <c r="H61" s="2"/>
      <c r="I61" s="6" t="s">
        <v>241</v>
      </c>
      <c r="J61" s="6" t="s">
        <v>242</v>
      </c>
      <c r="K61" s="6">
        <v>3.26</v>
      </c>
      <c r="L61" s="6"/>
      <c r="M61" s="6"/>
      <c r="N61" s="6"/>
      <c r="O61" s="6"/>
      <c r="P61" s="6"/>
      <c r="Q61" s="6"/>
    </row>
    <row r="62">
      <c r="A62" s="2"/>
      <c r="B62" s="2"/>
      <c r="C62" s="2"/>
      <c r="D62" s="2"/>
      <c r="E62" s="6"/>
      <c r="F62" s="6"/>
      <c r="G62" s="6"/>
      <c r="H62" s="2"/>
      <c r="I62" s="6" t="s">
        <v>243</v>
      </c>
      <c r="J62" s="6" t="s">
        <v>244</v>
      </c>
      <c r="K62" s="6">
        <v>3.6</v>
      </c>
      <c r="L62" s="6"/>
      <c r="M62" s="6"/>
      <c r="N62" s="6"/>
      <c r="O62" s="6"/>
      <c r="P62" s="6"/>
      <c r="Q62" s="6"/>
    </row>
    <row r="63">
      <c r="A63" s="2"/>
      <c r="B63" s="2"/>
      <c r="C63" s="2"/>
      <c r="D63" s="2"/>
      <c r="E63" s="6"/>
      <c r="F63" s="6"/>
      <c r="G63" s="6"/>
      <c r="H63" s="2"/>
      <c r="I63" s="6" t="s">
        <v>245</v>
      </c>
      <c r="J63" s="6" t="s">
        <v>246</v>
      </c>
      <c r="K63" s="6">
        <v>3.6</v>
      </c>
      <c r="L63" s="6"/>
      <c r="M63" s="6"/>
      <c r="N63" s="6"/>
      <c r="O63" s="6"/>
      <c r="P63" s="6"/>
      <c r="Q63" s="6"/>
    </row>
    <row r="64">
      <c r="A64" s="2"/>
      <c r="B64" s="2"/>
      <c r="C64" s="2"/>
      <c r="D64" s="2"/>
      <c r="E64" s="6"/>
      <c r="F64" s="6"/>
      <c r="G64" s="6"/>
      <c r="H64" s="2"/>
      <c r="I64" s="6" t="s">
        <v>247</v>
      </c>
      <c r="J64" s="6" t="s">
        <v>248</v>
      </c>
      <c r="K64" s="6">
        <v>2.98</v>
      </c>
      <c r="L64" s="6"/>
      <c r="M64" s="6"/>
      <c r="N64" s="6"/>
      <c r="O64" s="6"/>
      <c r="P64" s="6"/>
      <c r="Q64" s="6"/>
    </row>
    <row r="65">
      <c r="A65" s="2"/>
      <c r="B65" s="2"/>
      <c r="C65" s="2"/>
      <c r="D65" s="2"/>
      <c r="E65" s="6"/>
      <c r="F65" s="6"/>
      <c r="G65" s="6"/>
      <c r="H65" s="2"/>
      <c r="I65" s="6" t="s">
        <v>250</v>
      </c>
      <c r="J65" s="6" t="s">
        <v>251</v>
      </c>
      <c r="K65" s="6">
        <v>3.72</v>
      </c>
      <c r="L65" s="6"/>
      <c r="M65" s="6"/>
      <c r="N65" s="6"/>
      <c r="O65" s="6"/>
      <c r="P65" s="6"/>
      <c r="Q65" s="6"/>
    </row>
    <row r="66">
      <c r="A66" s="2"/>
      <c r="B66" s="2"/>
      <c r="C66" s="2"/>
      <c r="D66" s="2"/>
      <c r="E66" s="6"/>
      <c r="F66" s="6"/>
      <c r="G66" s="6"/>
      <c r="H66" s="2"/>
      <c r="I66" s="6" t="s">
        <v>252</v>
      </c>
      <c r="J66" s="6" t="s">
        <v>253</v>
      </c>
      <c r="K66" s="6">
        <v>3.72</v>
      </c>
      <c r="L66" s="6"/>
      <c r="M66" s="6"/>
      <c r="N66" s="6"/>
      <c r="O66" s="6"/>
      <c r="P66" s="6"/>
      <c r="Q66" s="6"/>
    </row>
    <row r="67">
      <c r="A67" s="2"/>
      <c r="B67" s="2"/>
      <c r="C67" s="2"/>
      <c r="D67" s="2"/>
      <c r="E67" s="6"/>
      <c r="F67" s="6"/>
      <c r="G67" s="6"/>
      <c r="H67" s="2"/>
      <c r="I67" s="6" t="s">
        <v>254</v>
      </c>
      <c r="J67" s="6" t="s">
        <v>255</v>
      </c>
      <c r="K67" s="6">
        <v>4.1</v>
      </c>
      <c r="L67" s="6"/>
      <c r="M67" s="6"/>
      <c r="N67" s="6"/>
      <c r="O67" s="6"/>
      <c r="P67" s="6"/>
      <c r="Q67" s="6"/>
    </row>
    <row r="68">
      <c r="A68" s="2"/>
      <c r="B68" s="2"/>
      <c r="C68" s="2"/>
      <c r="D68" s="2"/>
      <c r="E68" s="6"/>
      <c r="F68" s="6"/>
      <c r="G68" s="6"/>
      <c r="H68" s="2"/>
      <c r="I68" s="6" t="s">
        <v>256</v>
      </c>
      <c r="J68" s="6" t="s">
        <v>257</v>
      </c>
      <c r="K68" s="6">
        <v>4.1</v>
      </c>
      <c r="L68" s="6"/>
      <c r="M68" s="6"/>
      <c r="N68" s="6"/>
      <c r="O68" s="6"/>
      <c r="P68" s="6"/>
      <c r="Q68" s="6"/>
    </row>
    <row r="69">
      <c r="A69" s="2"/>
      <c r="B69" s="2"/>
      <c r="C69" s="2"/>
      <c r="D69" s="2"/>
      <c r="E69" s="6"/>
      <c r="F69" s="6"/>
      <c r="G69" s="6"/>
      <c r="H69" s="2"/>
      <c r="I69" s="6" t="s">
        <v>258</v>
      </c>
      <c r="J69" s="6" t="s">
        <v>259</v>
      </c>
      <c r="K69" s="6">
        <v>3.92</v>
      </c>
      <c r="L69" s="6"/>
      <c r="M69" s="6"/>
      <c r="N69" s="6"/>
      <c r="O69" s="6"/>
      <c r="P69" s="6"/>
      <c r="Q69" s="6"/>
    </row>
    <row r="70">
      <c r="A70" s="2"/>
      <c r="B70" s="2"/>
      <c r="C70" s="2"/>
      <c r="D70" s="2"/>
      <c r="E70" s="6"/>
      <c r="F70" s="6"/>
      <c r="G70" s="6"/>
      <c r="H70" s="2"/>
      <c r="I70" s="6" t="s">
        <v>260</v>
      </c>
      <c r="J70" s="6" t="s">
        <v>261</v>
      </c>
      <c r="K70" s="6">
        <v>3.92</v>
      </c>
      <c r="L70" s="6"/>
      <c r="M70" s="6"/>
      <c r="N70" s="6"/>
      <c r="O70" s="6"/>
      <c r="P70" s="6"/>
      <c r="Q70" s="6"/>
    </row>
    <row r="71">
      <c r="A71" s="2"/>
      <c r="B71" s="2"/>
      <c r="C71" s="2"/>
      <c r="D71" s="2"/>
      <c r="E71" s="6"/>
      <c r="F71" s="6"/>
      <c r="G71" s="6"/>
      <c r="H71" s="2"/>
      <c r="I71" s="6" t="s">
        <v>262</v>
      </c>
      <c r="J71" s="6" t="s">
        <v>263</v>
      </c>
      <c r="K71" s="6">
        <v>4.22</v>
      </c>
      <c r="L71" s="6"/>
      <c r="M71" s="6"/>
      <c r="N71" s="6"/>
      <c r="O71" s="6"/>
      <c r="P71" s="6"/>
      <c r="Q71" s="6"/>
    </row>
    <row r="72">
      <c r="A72" s="2"/>
      <c r="B72" s="2"/>
      <c r="C72" s="2"/>
      <c r="D72" s="2"/>
      <c r="E72" s="6"/>
      <c r="F72" s="6"/>
      <c r="G72" s="6"/>
      <c r="H72" s="2"/>
      <c r="I72" s="6" t="s">
        <v>265</v>
      </c>
      <c r="J72" s="6" t="s">
        <v>266</v>
      </c>
      <c r="K72" s="6">
        <v>4.16</v>
      </c>
      <c r="L72" s="6"/>
      <c r="M72" s="6"/>
      <c r="N72" s="6"/>
      <c r="O72" s="6"/>
      <c r="P72" s="6"/>
      <c r="Q72" s="6"/>
    </row>
    <row r="73">
      <c r="A73" s="2"/>
      <c r="B73" s="2"/>
      <c r="C73" s="2"/>
      <c r="D73" s="2"/>
      <c r="E73" s="6"/>
      <c r="F73" s="6"/>
      <c r="G73" s="6"/>
      <c r="H73" s="2"/>
      <c r="I73" s="6" t="s">
        <v>267</v>
      </c>
      <c r="J73" s="6" t="s">
        <v>268</v>
      </c>
      <c r="K73" s="6">
        <v>4.16</v>
      </c>
      <c r="L73" s="6"/>
      <c r="M73" s="6"/>
      <c r="N73" s="6"/>
      <c r="O73" s="6"/>
      <c r="P73" s="6"/>
      <c r="Q73" s="6"/>
    </row>
    <row r="74">
      <c r="A74" s="2"/>
      <c r="B74" s="2"/>
      <c r="C74" s="2"/>
      <c r="D74" s="2"/>
      <c r="E74" s="6"/>
      <c r="F74" s="6"/>
      <c r="G74" s="6"/>
      <c r="H74" s="2"/>
      <c r="I74" s="6" t="s">
        <v>269</v>
      </c>
      <c r="J74" s="6" t="s">
        <v>270</v>
      </c>
      <c r="K74" s="6">
        <v>4.26</v>
      </c>
      <c r="L74" s="6"/>
      <c r="M74" s="6"/>
      <c r="N74" s="6"/>
      <c r="O74" s="6"/>
      <c r="P74" s="6"/>
      <c r="Q74" s="6"/>
    </row>
    <row r="75">
      <c r="A75" s="2"/>
      <c r="B75" s="2"/>
      <c r="C75" s="2"/>
      <c r="D75" s="2"/>
      <c r="E75" s="6"/>
      <c r="F75" s="6"/>
      <c r="G75" s="6"/>
      <c r="H75" s="2"/>
      <c r="I75" s="6" t="s">
        <v>271</v>
      </c>
      <c r="J75" s="6" t="s">
        <v>272</v>
      </c>
      <c r="K75" s="6">
        <v>4.26</v>
      </c>
      <c r="L75" s="6"/>
      <c r="M75" s="6"/>
      <c r="N75" s="6"/>
      <c r="O75" s="6"/>
      <c r="P75" s="6"/>
      <c r="Q75" s="6"/>
    </row>
    <row r="76">
      <c r="A76" s="2"/>
      <c r="B76" s="2"/>
      <c r="C76" s="2"/>
      <c r="D76" s="2"/>
      <c r="E76" s="6"/>
      <c r="F76" s="6"/>
      <c r="G76" s="6"/>
      <c r="H76" s="2"/>
      <c r="I76" s="6" t="s">
        <v>273</v>
      </c>
      <c r="J76" s="6" t="s">
        <v>274</v>
      </c>
      <c r="K76" s="6">
        <v>5.36</v>
      </c>
      <c r="L76" s="6"/>
      <c r="M76" s="6"/>
      <c r="N76" s="6"/>
      <c r="O76" s="6"/>
      <c r="P76" s="6"/>
      <c r="Q76" s="6"/>
    </row>
    <row r="77">
      <c r="A77" s="2"/>
      <c r="B77" s="2"/>
      <c r="C77" s="2"/>
      <c r="D77" s="2"/>
      <c r="E77" s="6"/>
      <c r="F77" s="6"/>
      <c r="G77" s="6"/>
      <c r="H77" s="2"/>
      <c r="I77" s="6" t="s">
        <v>275</v>
      </c>
      <c r="J77" s="6" t="s">
        <v>276</v>
      </c>
      <c r="K77" s="6">
        <v>5.36</v>
      </c>
      <c r="L77" s="6"/>
      <c r="M77" s="6"/>
      <c r="N77" s="6"/>
      <c r="O77" s="6"/>
      <c r="P77" s="6"/>
      <c r="Q77" s="6"/>
    </row>
    <row r="78">
      <c r="A78" s="2"/>
      <c r="B78" s="2"/>
      <c r="C78" s="2"/>
      <c r="D78" s="2"/>
      <c r="E78" s="6"/>
      <c r="F78" s="6"/>
      <c r="G78" s="6"/>
      <c r="H78" s="2"/>
      <c r="I78" s="6" t="s">
        <v>277</v>
      </c>
      <c r="J78" s="6" t="s">
        <v>278</v>
      </c>
      <c r="K78" s="6">
        <v>6.82</v>
      </c>
      <c r="L78" s="6"/>
      <c r="M78" s="6"/>
      <c r="N78" s="6"/>
      <c r="O78" s="6"/>
      <c r="P78" s="6"/>
      <c r="Q78" s="6"/>
    </row>
    <row r="79">
      <c r="A79" s="2"/>
      <c r="B79" s="2"/>
      <c r="C79" s="2"/>
      <c r="D79" s="2"/>
      <c r="E79" s="6"/>
      <c r="F79" s="6"/>
      <c r="G79" s="6"/>
      <c r="H79" s="2"/>
      <c r="I79" s="6" t="s">
        <v>280</v>
      </c>
      <c r="J79" s="6" t="s">
        <v>281</v>
      </c>
      <c r="K79" s="6">
        <v>6.82</v>
      </c>
      <c r="L79" s="6"/>
      <c r="M79" s="6"/>
      <c r="N79" s="6"/>
      <c r="O79" s="6"/>
      <c r="P79" s="6"/>
      <c r="Q79" s="6"/>
    </row>
    <row r="80">
      <c r="A80" s="2"/>
      <c r="B80" s="2"/>
      <c r="C80" s="2"/>
      <c r="D80" s="2"/>
      <c r="E80" s="6"/>
      <c r="F80" s="6"/>
      <c r="G80" s="6"/>
      <c r="H80" s="2"/>
      <c r="I80" s="6" t="s">
        <v>282</v>
      </c>
      <c r="J80" s="6" t="s">
        <v>283</v>
      </c>
      <c r="K80" s="6">
        <v>7.24</v>
      </c>
      <c r="L80" s="6"/>
      <c r="M80" s="6"/>
      <c r="N80" s="6"/>
      <c r="O80" s="6"/>
      <c r="P80" s="6"/>
      <c r="Q80" s="6"/>
    </row>
    <row r="81">
      <c r="A81" s="2"/>
      <c r="B81" s="2"/>
      <c r="C81" s="2"/>
      <c r="D81" s="2"/>
      <c r="E81" s="6"/>
      <c r="F81" s="6"/>
      <c r="G81" s="6"/>
      <c r="H81" s="2"/>
      <c r="I81" s="6" t="s">
        <v>284</v>
      </c>
      <c r="J81" s="6" t="s">
        <v>285</v>
      </c>
      <c r="K81" s="6">
        <v>7.24</v>
      </c>
      <c r="L81" s="6"/>
      <c r="M81" s="6"/>
      <c r="N81" s="6"/>
      <c r="O81" s="6"/>
      <c r="P81" s="6"/>
      <c r="Q81" s="6"/>
    </row>
    <row r="82">
      <c r="A82" s="2"/>
      <c r="B82" s="2"/>
      <c r="C82" s="2"/>
      <c r="D82" s="2"/>
      <c r="E82" s="6"/>
      <c r="F82" s="6"/>
      <c r="G82" s="6"/>
      <c r="H82" s="2"/>
      <c r="I82" s="6" t="s">
        <v>286</v>
      </c>
      <c r="J82" s="6" t="s">
        <v>287</v>
      </c>
      <c r="K82" s="6">
        <v>5.38</v>
      </c>
      <c r="L82" s="6"/>
      <c r="M82" s="6"/>
      <c r="N82" s="6"/>
      <c r="O82" s="6"/>
      <c r="P82" s="6"/>
      <c r="Q82" s="6"/>
    </row>
    <row r="83">
      <c r="A83" s="2"/>
      <c r="B83" s="2"/>
      <c r="C83" s="2"/>
      <c r="D83" s="2"/>
      <c r="E83" s="6"/>
      <c r="F83" s="6"/>
      <c r="G83" s="6"/>
      <c r="H83" s="2"/>
      <c r="I83" s="6" t="s">
        <v>288</v>
      </c>
      <c r="J83" s="6" t="s">
        <v>289</v>
      </c>
      <c r="K83" s="6">
        <v>5.38</v>
      </c>
      <c r="L83" s="6"/>
      <c r="M83" s="6"/>
      <c r="N83" s="6"/>
      <c r="O83" s="6"/>
      <c r="P83" s="6"/>
      <c r="Q83" s="6"/>
    </row>
    <row r="84">
      <c r="A84" s="2"/>
      <c r="B84" s="2"/>
      <c r="C84" s="2"/>
      <c r="D84" s="2"/>
      <c r="E84" s="6"/>
      <c r="F84" s="6"/>
      <c r="G84" s="6"/>
      <c r="H84" s="2"/>
      <c r="I84" s="6" t="s">
        <v>290</v>
      </c>
      <c r="J84" s="6" t="s">
        <v>291</v>
      </c>
      <c r="K84" s="6">
        <v>2.88</v>
      </c>
      <c r="L84" s="6"/>
      <c r="M84" s="6"/>
      <c r="N84" s="6"/>
      <c r="O84" s="6"/>
      <c r="P84" s="6"/>
      <c r="Q84" s="6"/>
    </row>
    <row r="85">
      <c r="A85" s="2"/>
      <c r="B85" s="2"/>
      <c r="C85" s="2"/>
      <c r="D85" s="2"/>
      <c r="E85" s="6"/>
      <c r="F85" s="6"/>
      <c r="G85" s="6"/>
      <c r="H85" s="2"/>
      <c r="I85" s="6" t="s">
        <v>293</v>
      </c>
      <c r="J85" s="6" t="s">
        <v>294</v>
      </c>
      <c r="K85" s="6">
        <v>2.88</v>
      </c>
      <c r="L85" s="6"/>
      <c r="M85" s="6"/>
      <c r="N85" s="6"/>
      <c r="O85" s="6"/>
      <c r="P85" s="6"/>
      <c r="Q85" s="6"/>
    </row>
    <row r="86">
      <c r="A86" s="2"/>
      <c r="B86" s="2"/>
      <c r="C86" s="2"/>
      <c r="D86" s="2"/>
      <c r="E86" s="6"/>
      <c r="F86" s="6"/>
      <c r="G86" s="6"/>
      <c r="H86" s="2"/>
      <c r="I86" s="6">
        <v>916.0</v>
      </c>
      <c r="J86" s="6" t="s">
        <v>295</v>
      </c>
      <c r="K86" s="6">
        <v>2.94</v>
      </c>
      <c r="L86" s="6"/>
      <c r="M86" s="6"/>
      <c r="N86" s="6"/>
      <c r="O86" s="6"/>
      <c r="P86" s="6"/>
      <c r="Q86" s="6"/>
    </row>
    <row r="87">
      <c r="A87" s="2"/>
      <c r="B87" s="2"/>
      <c r="C87" s="2"/>
      <c r="D87" s="2"/>
      <c r="E87" s="6"/>
      <c r="F87" s="6"/>
      <c r="G87" s="6"/>
      <c r="H87" s="2"/>
      <c r="I87" s="6" t="s">
        <v>296</v>
      </c>
      <c r="J87" s="6" t="s">
        <v>297</v>
      </c>
      <c r="K87" s="6">
        <v>2.84</v>
      </c>
      <c r="L87" s="6"/>
      <c r="M87" s="6"/>
      <c r="N87" s="6"/>
      <c r="O87" s="6"/>
      <c r="P87" s="6"/>
      <c r="Q87" s="6"/>
    </row>
    <row r="88">
      <c r="A88" s="2"/>
      <c r="B88" s="2"/>
      <c r="C88" s="2"/>
      <c r="D88" s="2"/>
      <c r="E88" s="6"/>
      <c r="F88" s="6"/>
      <c r="G88" s="6"/>
      <c r="H88" s="2"/>
      <c r="I88" s="6" t="s">
        <v>298</v>
      </c>
      <c r="J88" s="6" t="s">
        <v>299</v>
      </c>
      <c r="K88" s="6">
        <v>2.84</v>
      </c>
      <c r="L88" s="6"/>
      <c r="M88" s="6"/>
      <c r="N88" s="6"/>
      <c r="O88" s="6"/>
      <c r="P88" s="6"/>
      <c r="Q88" s="6"/>
    </row>
    <row r="89">
      <c r="A89" s="2"/>
      <c r="B89" s="2"/>
      <c r="C89" s="2"/>
      <c r="D89" s="2"/>
      <c r="E89" s="6"/>
      <c r="F89" s="6"/>
      <c r="G89" s="6"/>
      <c r="H89" s="2"/>
      <c r="I89" s="6" t="s">
        <v>300</v>
      </c>
      <c r="J89" s="6" t="s">
        <v>301</v>
      </c>
      <c r="K89" s="6">
        <v>2.84</v>
      </c>
      <c r="L89" s="6"/>
      <c r="M89" s="6"/>
      <c r="N89" s="6"/>
      <c r="O89" s="6"/>
      <c r="P89" s="6"/>
      <c r="Q89" s="6"/>
    </row>
    <row r="90">
      <c r="A90" s="2"/>
      <c r="B90" s="2"/>
      <c r="C90" s="2"/>
      <c r="D90" s="2"/>
      <c r="E90" s="6"/>
      <c r="F90" s="6"/>
      <c r="G90" s="6"/>
      <c r="H90" s="2"/>
      <c r="I90" s="6">
        <v>917.0</v>
      </c>
      <c r="J90" s="6" t="s">
        <v>302</v>
      </c>
      <c r="K90" s="6">
        <v>2.5</v>
      </c>
      <c r="L90" s="6"/>
      <c r="M90" s="6"/>
      <c r="N90" s="6"/>
      <c r="O90" s="6"/>
      <c r="P90" s="6"/>
      <c r="Q90" s="6"/>
    </row>
    <row r="91">
      <c r="A91" s="2"/>
      <c r="B91" s="2"/>
      <c r="C91" s="2"/>
      <c r="D91" s="2"/>
      <c r="E91" s="6"/>
      <c r="F91" s="6"/>
      <c r="G91" s="6"/>
      <c r="H91" s="2"/>
      <c r="I91" s="6" t="s">
        <v>303</v>
      </c>
      <c r="J91" s="6" t="s">
        <v>304</v>
      </c>
      <c r="K91" s="6">
        <v>3.16</v>
      </c>
      <c r="L91" s="6"/>
      <c r="M91" s="6"/>
      <c r="N91" s="6"/>
      <c r="O91" s="6"/>
      <c r="P91" s="6"/>
      <c r="Q91" s="6"/>
    </row>
    <row r="92">
      <c r="A92" s="2"/>
      <c r="B92" s="2"/>
      <c r="C92" s="2"/>
      <c r="D92" s="2"/>
      <c r="E92" s="6"/>
      <c r="F92" s="6"/>
      <c r="G92" s="6"/>
      <c r="H92" s="2"/>
      <c r="I92" s="6" t="s">
        <v>307</v>
      </c>
      <c r="J92" s="6" t="s">
        <v>308</v>
      </c>
      <c r="K92" s="6">
        <v>3.16</v>
      </c>
      <c r="L92" s="6"/>
      <c r="M92" s="6"/>
      <c r="N92" s="6"/>
      <c r="O92" s="6"/>
      <c r="P92" s="6"/>
      <c r="Q92" s="6"/>
    </row>
    <row r="93">
      <c r="A93" s="2"/>
      <c r="B93" s="2"/>
      <c r="C93" s="2"/>
      <c r="D93" s="2"/>
      <c r="E93" s="6"/>
      <c r="F93" s="6"/>
      <c r="G93" s="6"/>
      <c r="H93" s="2"/>
      <c r="I93" s="6" t="s">
        <v>309</v>
      </c>
      <c r="J93" s="6" t="s">
        <v>310</v>
      </c>
      <c r="K93" s="6">
        <v>3.26</v>
      </c>
      <c r="L93" s="6"/>
      <c r="M93" s="6"/>
      <c r="N93" s="6"/>
      <c r="O93" s="6"/>
      <c r="P93" s="6"/>
      <c r="Q93" s="6"/>
    </row>
    <row r="94">
      <c r="A94" s="2"/>
      <c r="B94" s="2"/>
      <c r="C94" s="2"/>
      <c r="D94" s="2"/>
      <c r="E94" s="6"/>
      <c r="F94" s="6"/>
      <c r="G94" s="6"/>
      <c r="H94" s="2"/>
      <c r="I94" s="6" t="s">
        <v>311</v>
      </c>
      <c r="J94" s="6" t="s">
        <v>312</v>
      </c>
      <c r="K94" s="6">
        <v>3.26</v>
      </c>
      <c r="L94" s="6"/>
      <c r="M94" s="6"/>
      <c r="N94" s="6"/>
      <c r="O94" s="6"/>
      <c r="P94" s="6"/>
      <c r="Q94" s="6"/>
    </row>
    <row r="95">
      <c r="A95" s="2"/>
      <c r="B95" s="2"/>
      <c r="C95" s="2"/>
      <c r="D95" s="2"/>
      <c r="E95" s="6"/>
      <c r="F95" s="6"/>
      <c r="G95" s="6"/>
      <c r="H95" s="2"/>
      <c r="I95" s="6" t="s">
        <v>313</v>
      </c>
      <c r="J95" s="6" t="s">
        <v>314</v>
      </c>
      <c r="K95" s="6">
        <v>3.46</v>
      </c>
      <c r="L95" s="6"/>
      <c r="M95" s="6"/>
      <c r="N95" s="6"/>
      <c r="O95" s="6"/>
      <c r="P95" s="6"/>
      <c r="Q95" s="6"/>
    </row>
    <row r="96">
      <c r="A96" s="2"/>
      <c r="B96" s="2"/>
      <c r="C96" s="2"/>
      <c r="D96" s="2"/>
      <c r="E96" s="6"/>
      <c r="F96" s="6"/>
      <c r="G96" s="6"/>
      <c r="H96" s="2"/>
      <c r="I96" s="6" t="s">
        <v>315</v>
      </c>
      <c r="J96" s="6" t="s">
        <v>316</v>
      </c>
      <c r="K96" s="6">
        <v>3.46</v>
      </c>
      <c r="L96" s="6"/>
      <c r="M96" s="6"/>
      <c r="N96" s="6"/>
      <c r="O96" s="6"/>
      <c r="P96" s="6"/>
      <c r="Q96" s="6"/>
    </row>
    <row r="97">
      <c r="A97" s="2"/>
      <c r="B97" s="2"/>
      <c r="C97" s="2"/>
      <c r="D97" s="2"/>
      <c r="E97" s="6"/>
      <c r="F97" s="6"/>
      <c r="G97" s="6"/>
      <c r="H97" s="2"/>
      <c r="I97" s="6" t="s">
        <v>317</v>
      </c>
      <c r="J97" s="6" t="s">
        <v>318</v>
      </c>
      <c r="K97" s="6">
        <v>3.38</v>
      </c>
      <c r="L97" s="6"/>
      <c r="M97" s="6"/>
      <c r="N97" s="6"/>
      <c r="O97" s="6"/>
      <c r="P97" s="6"/>
      <c r="Q97" s="6"/>
    </row>
    <row r="98">
      <c r="A98" s="2"/>
      <c r="B98" s="2"/>
      <c r="C98" s="2"/>
      <c r="D98" s="2"/>
      <c r="E98" s="6"/>
      <c r="F98" s="6"/>
      <c r="G98" s="6"/>
      <c r="H98" s="2"/>
      <c r="I98" s="6" t="s">
        <v>319</v>
      </c>
      <c r="J98" s="6" t="s">
        <v>320</v>
      </c>
      <c r="K98" s="6">
        <v>3.82</v>
      </c>
      <c r="L98" s="6"/>
      <c r="M98" s="6"/>
      <c r="N98" s="6"/>
      <c r="O98" s="6"/>
      <c r="P98" s="6"/>
      <c r="Q98" s="6"/>
    </row>
    <row r="99">
      <c r="A99" s="2"/>
      <c r="B99" s="2"/>
      <c r="C99" s="2"/>
      <c r="D99" s="2"/>
      <c r="E99" s="6"/>
      <c r="F99" s="6"/>
      <c r="G99" s="6"/>
      <c r="H99" s="2"/>
      <c r="I99" s="6" t="s">
        <v>321</v>
      </c>
      <c r="J99" s="6" t="s">
        <v>322</v>
      </c>
      <c r="K99" s="6">
        <v>3.82</v>
      </c>
      <c r="L99" s="6"/>
      <c r="M99" s="6"/>
      <c r="N99" s="6"/>
      <c r="O99" s="6"/>
      <c r="P99" s="6"/>
      <c r="Q99" s="6"/>
    </row>
    <row r="100">
      <c r="A100" s="2"/>
      <c r="B100" s="2"/>
      <c r="C100" s="2"/>
      <c r="D100" s="2"/>
      <c r="E100" s="6"/>
      <c r="F100" s="6"/>
      <c r="G100" s="6"/>
      <c r="H100" s="2"/>
      <c r="I100" s="6" t="s">
        <v>323</v>
      </c>
      <c r="J100" s="6" t="s">
        <v>324</v>
      </c>
      <c r="K100" s="6">
        <v>3.92</v>
      </c>
      <c r="L100" s="6"/>
      <c r="M100" s="6"/>
      <c r="N100" s="6"/>
      <c r="O100" s="6"/>
      <c r="P100" s="6"/>
      <c r="Q100" s="6"/>
    </row>
    <row r="101">
      <c r="A101" s="2"/>
      <c r="B101" s="2"/>
      <c r="C101" s="2"/>
      <c r="D101" s="2"/>
      <c r="E101" s="6"/>
      <c r="F101" s="6"/>
      <c r="G101" s="6"/>
      <c r="H101" s="2"/>
      <c r="I101" s="6" t="s">
        <v>325</v>
      </c>
      <c r="J101" s="6" t="s">
        <v>326</v>
      </c>
      <c r="K101" s="6">
        <v>3.92</v>
      </c>
      <c r="L101" s="6"/>
      <c r="M101" s="6"/>
      <c r="N101" s="6"/>
      <c r="O101" s="6"/>
      <c r="P101" s="6"/>
      <c r="Q101" s="6"/>
    </row>
    <row r="102">
      <c r="A102" s="2"/>
      <c r="B102" s="2"/>
      <c r="C102" s="2"/>
      <c r="D102" s="2"/>
      <c r="E102" s="6"/>
      <c r="F102" s="6"/>
      <c r="G102" s="6"/>
      <c r="H102" s="2"/>
      <c r="I102" s="6" t="s">
        <v>327</v>
      </c>
      <c r="J102" s="6" t="s">
        <v>328</v>
      </c>
      <c r="K102" s="6">
        <v>4.18</v>
      </c>
      <c r="L102" s="6"/>
      <c r="M102" s="6"/>
      <c r="N102" s="6"/>
      <c r="O102" s="6"/>
      <c r="P102" s="6"/>
      <c r="Q102" s="6"/>
    </row>
    <row r="103">
      <c r="A103" s="2"/>
      <c r="B103" s="2"/>
      <c r="C103" s="2"/>
      <c r="D103" s="2"/>
      <c r="E103" s="6"/>
      <c r="F103" s="6"/>
      <c r="G103" s="6"/>
      <c r="H103" s="2"/>
      <c r="I103" s="6" t="s">
        <v>329</v>
      </c>
      <c r="J103" s="6" t="s">
        <v>330</v>
      </c>
      <c r="K103" s="6">
        <v>4.18</v>
      </c>
      <c r="L103" s="6"/>
      <c r="M103" s="6"/>
      <c r="N103" s="6"/>
      <c r="O103" s="6"/>
      <c r="P103" s="6"/>
      <c r="Q103" s="6"/>
    </row>
    <row r="104">
      <c r="A104" s="2"/>
      <c r="B104" s="2"/>
      <c r="C104" s="2"/>
      <c r="D104" s="2"/>
      <c r="E104" s="6"/>
      <c r="F104" s="6"/>
      <c r="G104" s="6"/>
      <c r="H104" s="2"/>
      <c r="I104" s="6" t="s">
        <v>331</v>
      </c>
      <c r="J104" s="6" t="s">
        <v>332</v>
      </c>
      <c r="K104" s="6">
        <v>4.26</v>
      </c>
      <c r="L104" s="6"/>
      <c r="M104" s="6"/>
      <c r="N104" s="6"/>
      <c r="O104" s="6"/>
      <c r="P104" s="6"/>
      <c r="Q104" s="6"/>
    </row>
    <row r="105">
      <c r="A105" s="2"/>
      <c r="B105" s="2"/>
      <c r="C105" s="2"/>
      <c r="D105" s="2"/>
      <c r="E105" s="6"/>
      <c r="F105" s="6"/>
      <c r="G105" s="6"/>
      <c r="H105" s="2"/>
      <c r="I105" s="6" t="s">
        <v>334</v>
      </c>
      <c r="J105" s="6" t="s">
        <v>335</v>
      </c>
      <c r="K105" s="6">
        <v>4.74</v>
      </c>
      <c r="L105" s="6"/>
      <c r="M105" s="6"/>
      <c r="N105" s="6"/>
      <c r="O105" s="6"/>
      <c r="P105" s="6"/>
      <c r="Q105" s="6"/>
    </row>
    <row r="106">
      <c r="A106" s="2"/>
      <c r="B106" s="2"/>
      <c r="C106" s="2"/>
      <c r="D106" s="2"/>
      <c r="E106" s="6"/>
      <c r="F106" s="6"/>
      <c r="G106" s="6"/>
      <c r="H106" s="2"/>
      <c r="I106" s="6" t="s">
        <v>336</v>
      </c>
      <c r="J106" s="6" t="s">
        <v>337</v>
      </c>
      <c r="K106" s="6">
        <v>4.74</v>
      </c>
      <c r="L106" s="6"/>
      <c r="M106" s="6"/>
      <c r="N106" s="6"/>
      <c r="O106" s="6"/>
      <c r="P106" s="6"/>
      <c r="Q106" s="6"/>
    </row>
    <row r="107">
      <c r="A107" s="2"/>
      <c r="B107" s="2"/>
      <c r="C107" s="2"/>
      <c r="D107" s="2"/>
      <c r="E107" s="6"/>
      <c r="F107" s="6"/>
      <c r="G107" s="6"/>
      <c r="H107" s="2"/>
      <c r="I107" s="6" t="s">
        <v>340</v>
      </c>
      <c r="J107" s="6" t="s">
        <v>341</v>
      </c>
      <c r="K107" s="6">
        <v>4.4</v>
      </c>
      <c r="L107" s="6"/>
      <c r="M107" s="6"/>
      <c r="N107" s="6"/>
      <c r="O107" s="6"/>
      <c r="P107" s="6"/>
      <c r="Q107" s="6"/>
    </row>
    <row r="108">
      <c r="A108" s="2"/>
      <c r="B108" s="2"/>
      <c r="C108" s="2"/>
      <c r="D108" s="2"/>
      <c r="E108" s="6"/>
      <c r="F108" s="6"/>
      <c r="G108" s="6"/>
      <c r="H108" s="2"/>
      <c r="I108" s="6" t="s">
        <v>342</v>
      </c>
      <c r="J108" s="6" t="s">
        <v>343</v>
      </c>
      <c r="K108" s="6">
        <v>5.85</v>
      </c>
      <c r="L108" s="6"/>
      <c r="M108" s="6"/>
      <c r="N108" s="6"/>
      <c r="O108" s="6"/>
      <c r="P108" s="6"/>
      <c r="Q108" s="6"/>
    </row>
    <row r="109">
      <c r="A109" s="2"/>
      <c r="B109" s="2"/>
      <c r="C109" s="2"/>
      <c r="D109" s="2"/>
      <c r="E109" s="6"/>
      <c r="F109" s="6"/>
      <c r="G109" s="6"/>
      <c r="H109" s="2"/>
      <c r="I109" s="6" t="s">
        <v>344</v>
      </c>
      <c r="J109" s="6" t="s">
        <v>345</v>
      </c>
      <c r="K109" s="6">
        <v>5.85</v>
      </c>
      <c r="L109" s="6"/>
      <c r="M109" s="6"/>
      <c r="N109" s="6"/>
      <c r="O109" s="6"/>
      <c r="P109" s="6"/>
      <c r="Q109" s="6"/>
    </row>
    <row r="110">
      <c r="A110" s="2"/>
      <c r="B110" s="2"/>
      <c r="C110" s="2"/>
      <c r="D110" s="2"/>
      <c r="E110" s="6"/>
      <c r="F110" s="6"/>
      <c r="G110" s="6"/>
      <c r="H110" s="2"/>
      <c r="I110" s="6" t="s">
        <v>346</v>
      </c>
      <c r="J110" s="6" t="s">
        <v>347</v>
      </c>
      <c r="K110" s="6">
        <v>4.62</v>
      </c>
      <c r="L110" s="6"/>
      <c r="M110" s="6"/>
      <c r="N110" s="6"/>
      <c r="O110" s="6"/>
      <c r="P110" s="6"/>
      <c r="Q110" s="6"/>
    </row>
    <row r="111">
      <c r="A111" s="2"/>
      <c r="B111" s="2"/>
      <c r="C111" s="2"/>
      <c r="D111" s="2"/>
      <c r="E111" s="6"/>
      <c r="F111" s="6"/>
      <c r="G111" s="6"/>
      <c r="H111" s="2"/>
      <c r="I111" s="6" t="s">
        <v>348</v>
      </c>
      <c r="J111" s="6" t="s">
        <v>349</v>
      </c>
      <c r="K111" s="6">
        <v>4.62</v>
      </c>
      <c r="L111" s="6"/>
      <c r="M111" s="6"/>
      <c r="N111" s="6"/>
      <c r="O111" s="6"/>
      <c r="P111" s="6"/>
      <c r="Q111" s="6"/>
    </row>
    <row r="112">
      <c r="A112" s="2"/>
      <c r="B112" s="2"/>
      <c r="C112" s="2"/>
      <c r="D112" s="2"/>
      <c r="E112" s="6"/>
      <c r="F112" s="6"/>
      <c r="G112" s="6"/>
      <c r="H112" s="2"/>
      <c r="I112" s="6" t="s">
        <v>350</v>
      </c>
      <c r="J112" s="6" t="s">
        <v>351</v>
      </c>
      <c r="K112" s="6">
        <v>4.82</v>
      </c>
      <c r="L112" s="6"/>
      <c r="M112" s="6"/>
      <c r="N112" s="6"/>
      <c r="O112" s="6"/>
      <c r="P112" s="6"/>
      <c r="Q112" s="6"/>
    </row>
    <row r="113">
      <c r="A113" s="2"/>
      <c r="B113" s="2"/>
      <c r="C113" s="2"/>
      <c r="D113" s="2"/>
      <c r="E113" s="6"/>
      <c r="F113" s="6"/>
      <c r="G113" s="6"/>
      <c r="H113" s="2"/>
      <c r="I113" s="6" t="s">
        <v>352</v>
      </c>
      <c r="J113" s="6" t="s">
        <v>353</v>
      </c>
      <c r="K113" s="6">
        <v>4.82</v>
      </c>
      <c r="L113" s="6"/>
      <c r="M113" s="6"/>
      <c r="N113" s="6"/>
      <c r="O113" s="6"/>
      <c r="P113" s="6"/>
      <c r="Q113" s="6"/>
    </row>
    <row r="114">
      <c r="A114" s="2"/>
      <c r="B114" s="2"/>
      <c r="C114" s="2"/>
      <c r="D114" s="2"/>
      <c r="E114" s="6"/>
      <c r="F114" s="6"/>
      <c r="G114" s="6"/>
      <c r="H114" s="2"/>
      <c r="I114" s="6" t="s">
        <v>354</v>
      </c>
      <c r="J114" s="6" t="s">
        <v>355</v>
      </c>
      <c r="K114" s="6">
        <v>5.32</v>
      </c>
      <c r="L114" s="6"/>
      <c r="M114" s="6"/>
      <c r="N114" s="6"/>
      <c r="O114" s="6"/>
      <c r="P114" s="6"/>
      <c r="Q114" s="6"/>
    </row>
    <row r="115">
      <c r="A115" s="2"/>
      <c r="B115" s="2"/>
      <c r="C115" s="2"/>
      <c r="D115" s="2"/>
      <c r="E115" s="6"/>
      <c r="F115" s="6"/>
      <c r="G115" s="6"/>
      <c r="H115" s="2"/>
      <c r="I115" s="6" t="s">
        <v>356</v>
      </c>
      <c r="J115" s="6" t="s">
        <v>357</v>
      </c>
      <c r="K115" s="6">
        <v>5.32</v>
      </c>
      <c r="L115" s="6"/>
      <c r="M115" s="6"/>
      <c r="N115" s="6"/>
      <c r="O115" s="6"/>
      <c r="P115" s="6"/>
      <c r="Q115" s="6"/>
    </row>
    <row r="116">
      <c r="A116" s="2"/>
      <c r="B116" s="2"/>
      <c r="C116" s="2"/>
      <c r="D116" s="2"/>
      <c r="E116" s="6"/>
      <c r="F116" s="6"/>
      <c r="G116" s="6"/>
      <c r="H116" s="2"/>
      <c r="I116" s="6" t="s">
        <v>360</v>
      </c>
      <c r="J116" s="6" t="s">
        <v>361</v>
      </c>
      <c r="K116" s="6">
        <v>5.8</v>
      </c>
      <c r="L116" s="6"/>
      <c r="M116" s="6"/>
      <c r="N116" s="6"/>
      <c r="O116" s="6"/>
      <c r="P116" s="6"/>
      <c r="Q116" s="6"/>
    </row>
    <row r="117">
      <c r="A117" s="2"/>
      <c r="B117" s="2"/>
      <c r="C117" s="2"/>
      <c r="D117" s="2"/>
      <c r="E117" s="6"/>
      <c r="F117" s="6"/>
      <c r="G117" s="6"/>
      <c r="H117" s="2"/>
      <c r="I117" s="6" t="s">
        <v>364</v>
      </c>
      <c r="J117" s="6" t="s">
        <v>365</v>
      </c>
      <c r="K117" s="6">
        <v>5.8</v>
      </c>
      <c r="L117" s="6"/>
      <c r="M117" s="6"/>
      <c r="N117" s="6"/>
      <c r="O117" s="6"/>
      <c r="P117" s="6"/>
      <c r="Q117" s="6"/>
    </row>
    <row r="118">
      <c r="A118" s="2"/>
      <c r="B118" s="2"/>
      <c r="C118" s="2"/>
      <c r="D118" s="2"/>
      <c r="E118" s="6"/>
      <c r="F118" s="6"/>
      <c r="G118" s="6"/>
      <c r="H118" s="2"/>
      <c r="I118" s="6" t="s">
        <v>366</v>
      </c>
      <c r="J118" s="6" t="s">
        <v>367</v>
      </c>
      <c r="K118" s="6">
        <v>5.92</v>
      </c>
      <c r="L118" s="6"/>
      <c r="M118" s="6"/>
      <c r="N118" s="6"/>
      <c r="O118" s="6"/>
      <c r="P118" s="6"/>
      <c r="Q118" s="6"/>
    </row>
    <row r="119">
      <c r="A119" s="2"/>
      <c r="B119" s="2"/>
      <c r="C119" s="2"/>
      <c r="D119" s="2"/>
      <c r="E119" s="6"/>
      <c r="F119" s="6"/>
      <c r="G119" s="6"/>
      <c r="H119" s="2"/>
      <c r="I119" s="6" t="s">
        <v>368</v>
      </c>
      <c r="J119" s="6" t="s">
        <v>369</v>
      </c>
      <c r="K119" s="6">
        <v>5.72</v>
      </c>
      <c r="L119" s="6"/>
      <c r="M119" s="6"/>
      <c r="N119" s="6"/>
      <c r="O119" s="6"/>
      <c r="P119" s="6"/>
      <c r="Q119" s="6"/>
    </row>
    <row r="120">
      <c r="A120" s="2"/>
      <c r="B120" s="2"/>
      <c r="C120" s="2"/>
      <c r="D120" s="2"/>
      <c r="E120" s="6"/>
      <c r="F120" s="6"/>
      <c r="G120" s="6"/>
      <c r="H120" s="2"/>
      <c r="I120" s="6" t="s">
        <v>370</v>
      </c>
      <c r="J120" s="6" t="s">
        <v>371</v>
      </c>
      <c r="K120" s="6">
        <v>6.2</v>
      </c>
      <c r="L120" s="6"/>
      <c r="M120" s="6"/>
      <c r="N120" s="6"/>
      <c r="O120" s="6"/>
      <c r="P120" s="6"/>
      <c r="Q120" s="6"/>
    </row>
    <row r="121">
      <c r="A121" s="2"/>
      <c r="B121" s="2"/>
      <c r="C121" s="2"/>
      <c r="D121" s="2"/>
      <c r="E121" s="6"/>
      <c r="F121" s="6"/>
      <c r="G121" s="6"/>
      <c r="H121" s="2"/>
      <c r="I121" s="6" t="s">
        <v>372</v>
      </c>
      <c r="J121" s="6" t="s">
        <v>373</v>
      </c>
      <c r="K121" s="6">
        <v>6.2</v>
      </c>
      <c r="L121" s="6"/>
      <c r="M121" s="6"/>
      <c r="N121" s="6"/>
      <c r="O121" s="6"/>
      <c r="P121" s="6"/>
      <c r="Q121" s="6"/>
    </row>
    <row r="122">
      <c r="A122" s="2"/>
      <c r="B122" s="2"/>
      <c r="C122" s="2"/>
      <c r="D122" s="2"/>
      <c r="E122" s="6"/>
      <c r="F122" s="6"/>
      <c r="G122" s="6"/>
      <c r="H122" s="2"/>
      <c r="I122" s="6" t="s">
        <v>374</v>
      </c>
      <c r="J122" s="6" t="s">
        <v>375</v>
      </c>
      <c r="K122" s="6">
        <v>6.2</v>
      </c>
      <c r="L122" s="6"/>
      <c r="M122" s="6"/>
      <c r="N122" s="6"/>
      <c r="O122" s="6"/>
      <c r="P122" s="6"/>
      <c r="Q122" s="6"/>
    </row>
    <row r="123">
      <c r="A123" s="2"/>
      <c r="B123" s="2"/>
      <c r="C123" s="2"/>
      <c r="D123" s="2"/>
      <c r="E123" s="6"/>
      <c r="F123" s="6"/>
      <c r="G123" s="6"/>
      <c r="H123" s="2"/>
      <c r="I123" s="6" t="s">
        <v>376</v>
      </c>
      <c r="J123" s="6" t="s">
        <v>377</v>
      </c>
      <c r="K123" s="6">
        <v>5.98</v>
      </c>
      <c r="L123" s="6"/>
      <c r="M123" s="6"/>
      <c r="N123" s="6"/>
      <c r="O123" s="6"/>
      <c r="P123" s="6"/>
      <c r="Q123" s="6"/>
    </row>
    <row r="124">
      <c r="A124" s="2"/>
      <c r="B124" s="2"/>
      <c r="C124" s="2"/>
      <c r="D124" s="2"/>
      <c r="E124" s="6"/>
      <c r="F124" s="6"/>
      <c r="G124" s="6"/>
      <c r="H124" s="2"/>
      <c r="I124" s="6" t="s">
        <v>379</v>
      </c>
      <c r="J124" s="6" t="s">
        <v>381</v>
      </c>
      <c r="K124" s="6">
        <v>5.82</v>
      </c>
      <c r="L124" s="6"/>
      <c r="M124" s="6"/>
      <c r="N124" s="6"/>
      <c r="O124" s="6"/>
      <c r="P124" s="6"/>
      <c r="Q124" s="6"/>
    </row>
    <row r="125">
      <c r="A125" s="2"/>
      <c r="B125" s="2"/>
      <c r="C125" s="2"/>
      <c r="D125" s="2"/>
      <c r="E125" s="6"/>
      <c r="F125" s="6"/>
      <c r="G125" s="6"/>
      <c r="H125" s="2"/>
      <c r="I125" s="6" t="s">
        <v>383</v>
      </c>
      <c r="J125" s="6" t="s">
        <v>384</v>
      </c>
      <c r="K125" s="6">
        <v>5.82</v>
      </c>
      <c r="L125" s="6"/>
      <c r="M125" s="6"/>
      <c r="N125" s="6"/>
      <c r="O125" s="6"/>
      <c r="P125" s="6"/>
      <c r="Q125" s="6"/>
    </row>
    <row r="126">
      <c r="A126" s="2"/>
      <c r="B126" s="2"/>
      <c r="C126" s="2"/>
      <c r="D126" s="2"/>
      <c r="E126" s="6"/>
      <c r="F126" s="6"/>
      <c r="G126" s="6"/>
      <c r="H126" s="2"/>
      <c r="I126" s="6" t="s">
        <v>385</v>
      </c>
      <c r="J126" s="6" t="s">
        <v>386</v>
      </c>
      <c r="K126" s="6">
        <v>0.04</v>
      </c>
      <c r="L126" s="6"/>
      <c r="M126" s="6"/>
      <c r="N126" s="6"/>
      <c r="O126" s="6"/>
      <c r="P126" s="6"/>
      <c r="Q126" s="6"/>
    </row>
    <row r="127">
      <c r="A127" s="2"/>
      <c r="B127" s="2"/>
      <c r="C127" s="2"/>
      <c r="D127" s="2"/>
      <c r="E127" s="6"/>
      <c r="F127" s="6"/>
      <c r="G127" s="6"/>
      <c r="H127" s="2"/>
      <c r="I127" s="6" t="s">
        <v>387</v>
      </c>
      <c r="J127" s="6" t="s">
        <v>388</v>
      </c>
      <c r="K127" s="6">
        <v>0.04</v>
      </c>
      <c r="L127" s="6"/>
      <c r="M127" s="6"/>
      <c r="N127" s="6"/>
      <c r="O127" s="6"/>
      <c r="P127" s="6"/>
      <c r="Q127" s="6"/>
    </row>
    <row r="128">
      <c r="A128" s="2"/>
      <c r="B128" s="2"/>
      <c r="C128" s="2"/>
      <c r="D128" s="2"/>
      <c r="E128" s="6"/>
      <c r="F128" s="6"/>
      <c r="G128" s="6"/>
      <c r="H128" s="2"/>
      <c r="I128" s="6" t="s">
        <v>389</v>
      </c>
      <c r="J128" s="6" t="s">
        <v>390</v>
      </c>
      <c r="K128" s="6">
        <v>0.06</v>
      </c>
      <c r="L128" s="6"/>
      <c r="M128" s="6"/>
      <c r="N128" s="6"/>
      <c r="O128" s="6"/>
      <c r="P128" s="6"/>
      <c r="Q128" s="6"/>
    </row>
    <row r="129">
      <c r="A129" s="2"/>
      <c r="B129" s="2"/>
      <c r="C129" s="2"/>
      <c r="D129" s="2"/>
      <c r="E129" s="6"/>
      <c r="F129" s="6"/>
      <c r="G129" s="6"/>
      <c r="H129" s="2"/>
      <c r="I129" s="6" t="s">
        <v>391</v>
      </c>
      <c r="J129" s="6" t="s">
        <v>392</v>
      </c>
      <c r="K129" s="6">
        <v>0.06</v>
      </c>
      <c r="L129" s="6"/>
      <c r="M129" s="6"/>
      <c r="N129" s="6"/>
      <c r="O129" s="6"/>
      <c r="P129" s="6"/>
      <c r="Q129" s="6"/>
    </row>
    <row r="130">
      <c r="A130" s="2"/>
      <c r="B130" s="2"/>
      <c r="C130" s="2"/>
      <c r="D130" s="2"/>
      <c r="E130" s="6"/>
      <c r="F130" s="6"/>
      <c r="G130" s="6"/>
      <c r="H130" s="2"/>
      <c r="I130" s="6" t="s">
        <v>393</v>
      </c>
      <c r="J130" s="6" t="s">
        <v>394</v>
      </c>
      <c r="K130" s="6">
        <v>0.06</v>
      </c>
      <c r="L130" s="6"/>
      <c r="M130" s="6"/>
      <c r="N130" s="6"/>
      <c r="O130" s="6"/>
      <c r="P130" s="6"/>
      <c r="Q130" s="6"/>
    </row>
    <row r="131">
      <c r="A131" s="2"/>
      <c r="B131" s="2"/>
      <c r="C131" s="2"/>
      <c r="D131" s="2"/>
      <c r="E131" s="6"/>
      <c r="F131" s="6"/>
      <c r="G131" s="6"/>
      <c r="H131" s="2"/>
      <c r="I131" s="6" t="s">
        <v>396</v>
      </c>
      <c r="J131" s="6" t="s">
        <v>397</v>
      </c>
      <c r="K131" s="6">
        <v>0.06</v>
      </c>
      <c r="L131" s="6"/>
      <c r="M131" s="6"/>
      <c r="N131" s="6"/>
      <c r="O131" s="6"/>
      <c r="P131" s="6"/>
      <c r="Q131" s="6"/>
    </row>
    <row r="132">
      <c r="A132" s="2"/>
      <c r="B132" s="2"/>
      <c r="C132" s="2"/>
      <c r="D132" s="2"/>
      <c r="E132" s="6"/>
      <c r="F132" s="6"/>
      <c r="G132" s="6"/>
      <c r="H132" s="2"/>
      <c r="I132" s="6" t="s">
        <v>400</v>
      </c>
      <c r="J132" s="6" t="s">
        <v>401</v>
      </c>
      <c r="K132" s="6">
        <v>0.07</v>
      </c>
      <c r="L132" s="6"/>
      <c r="M132" s="6"/>
      <c r="N132" s="6"/>
      <c r="O132" s="6"/>
      <c r="P132" s="6"/>
      <c r="Q132" s="6"/>
    </row>
    <row r="133">
      <c r="A133" s="2"/>
      <c r="B133" s="2"/>
      <c r="C133" s="2"/>
      <c r="D133" s="2"/>
      <c r="E133" s="6"/>
      <c r="F133" s="6"/>
      <c r="G133" s="6"/>
      <c r="H133" s="2"/>
      <c r="I133" s="6" t="s">
        <v>402</v>
      </c>
      <c r="J133" s="6" t="s">
        <v>403</v>
      </c>
      <c r="K133" s="6">
        <v>0.07</v>
      </c>
      <c r="L133" s="6"/>
      <c r="M133" s="6"/>
      <c r="N133" s="6"/>
      <c r="O133" s="6"/>
      <c r="P133" s="6"/>
      <c r="Q133" s="6"/>
    </row>
    <row r="134">
      <c r="A134" s="2"/>
      <c r="B134" s="2"/>
      <c r="C134" s="2"/>
      <c r="D134" s="2"/>
      <c r="E134" s="6"/>
      <c r="F134" s="6"/>
      <c r="G134" s="6"/>
      <c r="H134" s="2"/>
      <c r="I134" s="6" t="s">
        <v>404</v>
      </c>
      <c r="J134" s="6" t="s">
        <v>405</v>
      </c>
      <c r="K134" s="6">
        <v>0.07</v>
      </c>
      <c r="L134" s="6"/>
      <c r="M134" s="6"/>
      <c r="N134" s="6"/>
      <c r="O134" s="6"/>
      <c r="P134" s="6"/>
      <c r="Q134" s="6"/>
    </row>
    <row r="135">
      <c r="A135" s="2"/>
      <c r="B135" s="2"/>
      <c r="C135" s="2"/>
      <c r="D135" s="2"/>
      <c r="E135" s="6"/>
      <c r="F135" s="6"/>
      <c r="G135" s="6"/>
      <c r="H135" s="2"/>
      <c r="I135" s="6" t="s">
        <v>406</v>
      </c>
      <c r="J135" s="6" t="s">
        <v>407</v>
      </c>
      <c r="K135" s="6">
        <v>0.07</v>
      </c>
      <c r="L135" s="6"/>
      <c r="M135" s="6"/>
      <c r="N135" s="6"/>
      <c r="O135" s="6"/>
      <c r="P135" s="6"/>
      <c r="Q135" s="6"/>
    </row>
    <row r="136">
      <c r="A136" s="2"/>
      <c r="B136" s="2"/>
      <c r="C136" s="2"/>
      <c r="D136" s="2"/>
      <c r="E136" s="6"/>
      <c r="F136" s="6"/>
      <c r="G136" s="6"/>
      <c r="H136" s="2"/>
      <c r="I136" s="6" t="s">
        <v>408</v>
      </c>
      <c r="J136" s="6" t="s">
        <v>409</v>
      </c>
      <c r="K136" s="6">
        <v>0.09</v>
      </c>
      <c r="L136" s="6"/>
      <c r="M136" s="6"/>
      <c r="N136" s="6"/>
      <c r="O136" s="6"/>
      <c r="P136" s="6"/>
      <c r="Q136" s="6"/>
    </row>
    <row r="137">
      <c r="A137" s="2"/>
      <c r="B137" s="2"/>
      <c r="C137" s="2"/>
      <c r="D137" s="2"/>
      <c r="E137" s="6"/>
      <c r="F137" s="6"/>
      <c r="G137" s="6"/>
      <c r="H137" s="2"/>
      <c r="I137" s="6" t="s">
        <v>410</v>
      </c>
      <c r="J137" s="6" t="s">
        <v>411</v>
      </c>
      <c r="K137" s="6">
        <v>0.09</v>
      </c>
      <c r="L137" s="6"/>
      <c r="M137" s="6"/>
      <c r="N137" s="6"/>
      <c r="O137" s="6"/>
      <c r="P137" s="6"/>
      <c r="Q137" s="6"/>
    </row>
    <row r="138">
      <c r="A138" s="2"/>
      <c r="B138" s="2"/>
      <c r="C138" s="2"/>
      <c r="D138" s="2"/>
      <c r="E138" s="6"/>
      <c r="F138" s="6"/>
      <c r="G138" s="6"/>
      <c r="H138" s="2"/>
      <c r="I138" s="6" t="s">
        <v>412</v>
      </c>
      <c r="J138" s="6" t="s">
        <v>413</v>
      </c>
      <c r="K138" s="6">
        <v>0.08</v>
      </c>
      <c r="L138" s="6"/>
      <c r="M138" s="6"/>
      <c r="N138" s="6"/>
      <c r="O138" s="6"/>
      <c r="P138" s="6"/>
      <c r="Q138" s="6"/>
    </row>
    <row r="139">
      <c r="A139" s="2"/>
      <c r="B139" s="2"/>
      <c r="C139" s="2"/>
      <c r="D139" s="2"/>
      <c r="E139" s="6"/>
      <c r="F139" s="6"/>
      <c r="G139" s="6"/>
      <c r="H139" s="2"/>
      <c r="I139" s="6" t="s">
        <v>414</v>
      </c>
      <c r="J139" s="6" t="s">
        <v>415</v>
      </c>
      <c r="K139" s="6">
        <v>0.08</v>
      </c>
      <c r="L139" s="6"/>
      <c r="M139" s="6"/>
      <c r="N139" s="6"/>
      <c r="O139" s="6"/>
      <c r="P139" s="6"/>
      <c r="Q139" s="6"/>
    </row>
    <row r="140">
      <c r="A140" s="2"/>
      <c r="B140" s="2"/>
      <c r="C140" s="2"/>
      <c r="D140" s="2"/>
      <c r="E140" s="6"/>
      <c r="F140" s="6"/>
      <c r="G140" s="6"/>
      <c r="H140" s="2"/>
      <c r="I140" s="6" t="s">
        <v>420</v>
      </c>
      <c r="J140" s="6" t="s">
        <v>421</v>
      </c>
      <c r="K140" s="6">
        <v>0.17</v>
      </c>
      <c r="L140" s="6"/>
      <c r="M140" s="6"/>
      <c r="N140" s="6"/>
      <c r="O140" s="6"/>
      <c r="P140" s="6"/>
      <c r="Q140" s="6"/>
    </row>
    <row r="141">
      <c r="A141" s="2"/>
      <c r="B141" s="2"/>
      <c r="C141" s="2"/>
      <c r="D141" s="2"/>
      <c r="E141" s="6"/>
      <c r="F141" s="6"/>
      <c r="G141" s="6"/>
      <c r="H141" s="2"/>
      <c r="I141" s="6" t="s">
        <v>422</v>
      </c>
      <c r="J141" s="6" t="s">
        <v>423</v>
      </c>
      <c r="K141" s="6">
        <v>0.17</v>
      </c>
      <c r="L141" s="6"/>
      <c r="M141" s="6"/>
      <c r="N141" s="6"/>
      <c r="O141" s="6"/>
      <c r="P141" s="6"/>
      <c r="Q141" s="6"/>
    </row>
    <row r="142">
      <c r="A142" s="2"/>
      <c r="B142" s="2"/>
      <c r="C142" s="2"/>
      <c r="D142" s="2"/>
      <c r="E142" s="6"/>
      <c r="F142" s="6"/>
      <c r="G142" s="6"/>
      <c r="H142" s="2"/>
      <c r="I142" s="6" t="s">
        <v>424</v>
      </c>
      <c r="J142" s="6" t="s">
        <v>425</v>
      </c>
      <c r="K142" s="6">
        <v>0.18</v>
      </c>
      <c r="L142" s="6"/>
      <c r="M142" s="6"/>
      <c r="N142" s="6"/>
      <c r="O142" s="6"/>
      <c r="P142" s="6"/>
      <c r="Q142" s="6"/>
    </row>
    <row r="143">
      <c r="A143" s="2"/>
      <c r="B143" s="2"/>
      <c r="C143" s="2"/>
      <c r="D143" s="2"/>
      <c r="E143" s="6"/>
      <c r="F143" s="6"/>
      <c r="G143" s="6"/>
      <c r="H143" s="2"/>
      <c r="I143" s="6" t="s">
        <v>426</v>
      </c>
      <c r="J143" s="6" t="s">
        <v>427</v>
      </c>
      <c r="K143" s="6">
        <v>0.18</v>
      </c>
      <c r="L143" s="6"/>
      <c r="M143" s="6"/>
      <c r="N143" s="6"/>
      <c r="O143" s="6"/>
      <c r="P143" s="6"/>
      <c r="Q143" s="6"/>
    </row>
    <row r="144">
      <c r="A144" s="2"/>
      <c r="B144" s="2"/>
      <c r="C144" s="2"/>
      <c r="D144" s="2"/>
      <c r="E144" s="6"/>
      <c r="F144" s="6"/>
      <c r="G144" s="6"/>
      <c r="H144" s="2"/>
      <c r="I144" s="6" t="s">
        <v>428</v>
      </c>
      <c r="J144" s="6" t="s">
        <v>429</v>
      </c>
      <c r="K144" s="6">
        <v>0.17</v>
      </c>
      <c r="L144" s="6"/>
      <c r="M144" s="6"/>
      <c r="N144" s="6"/>
      <c r="O144" s="6"/>
      <c r="P144" s="6"/>
      <c r="Q144" s="6"/>
    </row>
    <row r="145">
      <c r="A145" s="2"/>
      <c r="B145" s="2"/>
      <c r="C145" s="2"/>
      <c r="D145" s="2"/>
      <c r="E145" s="6"/>
      <c r="F145" s="6"/>
      <c r="G145" s="6"/>
      <c r="H145" s="2"/>
      <c r="I145" s="6" t="s">
        <v>430</v>
      </c>
      <c r="J145" s="6" t="s">
        <v>431</v>
      </c>
      <c r="K145" s="6">
        <v>0.17</v>
      </c>
      <c r="L145" s="6"/>
      <c r="M145" s="6"/>
      <c r="N145" s="6"/>
      <c r="O145" s="6"/>
      <c r="P145" s="6"/>
      <c r="Q145" s="6"/>
    </row>
    <row r="146">
      <c r="A146" s="2"/>
      <c r="B146" s="2"/>
      <c r="C146" s="2"/>
      <c r="D146" s="2"/>
      <c r="E146" s="6"/>
      <c r="F146" s="6"/>
      <c r="G146" s="6"/>
      <c r="H146" s="2"/>
      <c r="I146" s="6" t="s">
        <v>432</v>
      </c>
      <c r="J146" s="6" t="s">
        <v>433</v>
      </c>
      <c r="K146" s="6">
        <v>0.19</v>
      </c>
      <c r="L146" s="6"/>
      <c r="M146" s="6"/>
      <c r="N146" s="6"/>
      <c r="O146" s="6"/>
      <c r="P146" s="6"/>
      <c r="Q146" s="6"/>
    </row>
    <row r="147">
      <c r="A147" s="2"/>
      <c r="B147" s="2"/>
      <c r="C147" s="2"/>
      <c r="D147" s="2"/>
      <c r="E147" s="6"/>
      <c r="F147" s="6"/>
      <c r="G147" s="6"/>
      <c r="H147" s="2"/>
      <c r="I147" s="6" t="s">
        <v>434</v>
      </c>
      <c r="J147" s="6" t="s">
        <v>435</v>
      </c>
      <c r="K147" s="6">
        <v>0.28</v>
      </c>
      <c r="L147" s="6"/>
      <c r="M147" s="6"/>
      <c r="N147" s="6"/>
      <c r="O147" s="6"/>
      <c r="P147" s="6"/>
      <c r="Q147" s="6"/>
    </row>
    <row r="148">
      <c r="A148" s="2"/>
      <c r="B148" s="2"/>
      <c r="C148" s="2"/>
      <c r="D148" s="2"/>
      <c r="E148" s="6"/>
      <c r="F148" s="6"/>
      <c r="G148" s="6"/>
      <c r="H148" s="2"/>
      <c r="I148" s="6" t="s">
        <v>440</v>
      </c>
      <c r="J148" s="6" t="s">
        <v>441</v>
      </c>
      <c r="K148" s="6">
        <v>0.28</v>
      </c>
      <c r="L148" s="6"/>
      <c r="M148" s="6"/>
      <c r="N148" s="6"/>
      <c r="O148" s="6"/>
      <c r="P148" s="6"/>
      <c r="Q148" s="6"/>
    </row>
    <row r="149">
      <c r="A149" s="2"/>
      <c r="B149" s="2"/>
      <c r="C149" s="2"/>
      <c r="D149" s="2"/>
      <c r="E149" s="6"/>
      <c r="F149" s="6"/>
      <c r="G149" s="6"/>
      <c r="H149" s="2"/>
      <c r="I149" s="6" t="s">
        <v>442</v>
      </c>
      <c r="J149" s="6" t="s">
        <v>443</v>
      </c>
      <c r="K149" s="6">
        <v>0.29</v>
      </c>
      <c r="L149" s="6"/>
      <c r="M149" s="6"/>
      <c r="N149" s="6"/>
      <c r="O149" s="6"/>
      <c r="P149" s="6"/>
      <c r="Q149" s="6"/>
    </row>
    <row r="150">
      <c r="A150" s="2"/>
      <c r="B150" s="2"/>
      <c r="C150" s="2"/>
      <c r="D150" s="2"/>
      <c r="E150" s="6"/>
      <c r="F150" s="6"/>
      <c r="G150" s="6"/>
      <c r="H150" s="2"/>
      <c r="I150" s="6" t="s">
        <v>444</v>
      </c>
      <c r="J150" s="6" t="s">
        <v>445</v>
      </c>
      <c r="K150" s="6">
        <v>0.29</v>
      </c>
      <c r="L150" s="6"/>
      <c r="M150" s="6"/>
      <c r="N150" s="6"/>
      <c r="O150" s="6"/>
      <c r="P150" s="6"/>
      <c r="Q150" s="6"/>
    </row>
    <row r="151">
      <c r="A151" s="2"/>
      <c r="B151" s="2"/>
      <c r="C151" s="2"/>
      <c r="D151" s="2"/>
      <c r="E151" s="6"/>
      <c r="F151" s="6"/>
      <c r="G151" s="6"/>
      <c r="H151" s="2"/>
      <c r="I151" s="6" t="s">
        <v>446</v>
      </c>
      <c r="J151" s="6" t="s">
        <v>447</v>
      </c>
      <c r="K151" s="6">
        <v>0.26</v>
      </c>
      <c r="L151" s="6"/>
      <c r="M151" s="6"/>
      <c r="N151" s="6"/>
      <c r="O151" s="6"/>
      <c r="P151" s="6"/>
      <c r="Q151" s="6"/>
    </row>
    <row r="152">
      <c r="A152" s="2"/>
      <c r="B152" s="2"/>
      <c r="C152" s="2"/>
      <c r="D152" s="2"/>
      <c r="E152" s="6"/>
      <c r="F152" s="6"/>
      <c r="G152" s="6"/>
      <c r="H152" s="2"/>
      <c r="I152" s="6" t="s">
        <v>448</v>
      </c>
      <c r="J152" s="6" t="s">
        <v>449</v>
      </c>
      <c r="K152" s="6">
        <v>0.26</v>
      </c>
      <c r="L152" s="6"/>
      <c r="M152" s="6"/>
      <c r="N152" s="6"/>
      <c r="O152" s="6"/>
      <c r="P152" s="6"/>
      <c r="Q152" s="6"/>
    </row>
    <row r="153">
      <c r="A153" s="2"/>
      <c r="B153" s="2"/>
      <c r="C153" s="2"/>
      <c r="D153" s="2"/>
      <c r="E153" s="6"/>
      <c r="F153" s="6"/>
      <c r="G153" s="6"/>
      <c r="H153" s="2"/>
      <c r="I153" s="6" t="s">
        <v>450</v>
      </c>
      <c r="J153" s="6" t="s">
        <v>451</v>
      </c>
      <c r="K153" s="6">
        <v>0.26</v>
      </c>
      <c r="L153" s="6"/>
      <c r="M153" s="6"/>
      <c r="N153" s="6"/>
      <c r="O153" s="6"/>
      <c r="P153" s="6"/>
      <c r="Q153" s="6"/>
    </row>
    <row r="154">
      <c r="A154" s="2"/>
      <c r="B154" s="2"/>
      <c r="C154" s="2"/>
      <c r="D154" s="2"/>
      <c r="E154" s="6"/>
      <c r="F154" s="6"/>
      <c r="G154" s="6"/>
      <c r="H154" s="2"/>
      <c r="I154" s="6" t="s">
        <v>452</v>
      </c>
      <c r="J154" s="6" t="s">
        <v>453</v>
      </c>
      <c r="K154" s="6">
        <v>0.26</v>
      </c>
      <c r="L154" s="6"/>
      <c r="M154" s="6"/>
      <c r="N154" s="6"/>
      <c r="O154" s="6"/>
      <c r="P154" s="6"/>
      <c r="Q154" s="6"/>
    </row>
    <row r="155">
      <c r="A155" s="2"/>
      <c r="B155" s="2"/>
      <c r="C155" s="2"/>
      <c r="D155" s="2"/>
      <c r="E155" s="6"/>
      <c r="F155" s="6"/>
      <c r="G155" s="6"/>
      <c r="H155" s="2"/>
      <c r="I155" s="6" t="s">
        <v>454</v>
      </c>
      <c r="J155" s="6" t="s">
        <v>455</v>
      </c>
      <c r="K155" s="6">
        <v>0.32</v>
      </c>
      <c r="L155" s="6"/>
      <c r="M155" s="6"/>
      <c r="N155" s="6"/>
      <c r="O155" s="6"/>
      <c r="P155" s="6"/>
      <c r="Q155" s="6"/>
    </row>
    <row r="156">
      <c r="A156" s="2"/>
      <c r="B156" s="2"/>
      <c r="C156" s="2"/>
      <c r="D156" s="2"/>
      <c r="E156" s="6"/>
      <c r="F156" s="6"/>
      <c r="G156" s="6"/>
      <c r="H156" s="2"/>
      <c r="I156" s="6" t="s">
        <v>458</v>
      </c>
      <c r="J156" s="6" t="s">
        <v>459</v>
      </c>
      <c r="K156" s="6">
        <v>0.32</v>
      </c>
      <c r="L156" s="6"/>
      <c r="M156" s="6"/>
      <c r="N156" s="6"/>
      <c r="O156" s="6"/>
      <c r="P156" s="6"/>
      <c r="Q156" s="6"/>
    </row>
    <row r="157">
      <c r="A157" s="2"/>
      <c r="B157" s="2"/>
      <c r="C157" s="2"/>
      <c r="D157" s="2"/>
      <c r="E157" s="6"/>
      <c r="F157" s="6"/>
      <c r="G157" s="6"/>
      <c r="H157" s="2"/>
      <c r="I157" s="6" t="s">
        <v>463</v>
      </c>
      <c r="J157" s="6" t="s">
        <v>464</v>
      </c>
      <c r="K157" s="6">
        <v>0.33</v>
      </c>
      <c r="L157" s="6"/>
      <c r="M157" s="6"/>
      <c r="N157" s="6"/>
      <c r="O157" s="6"/>
      <c r="P157" s="6"/>
      <c r="Q157" s="6"/>
    </row>
    <row r="158">
      <c r="A158" s="2"/>
      <c r="B158" s="2"/>
      <c r="C158" s="2"/>
      <c r="D158" s="2"/>
      <c r="E158" s="6"/>
      <c r="F158" s="6"/>
      <c r="G158" s="6"/>
      <c r="H158" s="2"/>
      <c r="I158" s="6" t="s">
        <v>465</v>
      </c>
      <c r="J158" s="6" t="s">
        <v>466</v>
      </c>
      <c r="K158" s="6">
        <v>0.33</v>
      </c>
      <c r="L158" s="6"/>
      <c r="M158" s="6"/>
      <c r="N158" s="6"/>
      <c r="O158" s="6"/>
      <c r="P158" s="6"/>
      <c r="Q158" s="6"/>
    </row>
    <row r="159">
      <c r="A159" s="2"/>
      <c r="B159" s="2"/>
      <c r="C159" s="2"/>
      <c r="D159" s="2"/>
      <c r="E159" s="6"/>
      <c r="F159" s="6"/>
      <c r="G159" s="6"/>
      <c r="H159" s="2"/>
      <c r="I159" s="6" t="s">
        <v>467</v>
      </c>
      <c r="J159" s="6" t="s">
        <v>468</v>
      </c>
      <c r="K159" s="6">
        <v>0.34</v>
      </c>
      <c r="L159" s="6"/>
      <c r="M159" s="6"/>
      <c r="N159" s="6"/>
      <c r="O159" s="6"/>
      <c r="P159" s="6"/>
      <c r="Q159" s="6"/>
    </row>
    <row r="160">
      <c r="A160" s="2"/>
      <c r="B160" s="2"/>
      <c r="C160" s="2"/>
      <c r="D160" s="2"/>
      <c r="E160" s="6"/>
      <c r="F160" s="6"/>
      <c r="G160" s="6"/>
      <c r="H160" s="2"/>
      <c r="I160" s="6" t="s">
        <v>469</v>
      </c>
      <c r="J160" s="6" t="s">
        <v>470</v>
      </c>
      <c r="K160" s="6">
        <v>0.34</v>
      </c>
      <c r="L160" s="6"/>
      <c r="M160" s="6"/>
      <c r="N160" s="6"/>
      <c r="O160" s="6"/>
      <c r="P160" s="6"/>
      <c r="Q160" s="6"/>
    </row>
    <row r="161">
      <c r="A161" s="2"/>
      <c r="B161" s="2"/>
      <c r="C161" s="2"/>
      <c r="D161" s="2"/>
      <c r="E161" s="6"/>
      <c r="F161" s="6"/>
      <c r="G161" s="6"/>
      <c r="H161" s="2"/>
      <c r="I161" s="6" t="s">
        <v>472</v>
      </c>
      <c r="J161" s="6" t="s">
        <v>473</v>
      </c>
      <c r="K161" s="6">
        <v>0.34</v>
      </c>
      <c r="L161" s="6"/>
      <c r="M161" s="6"/>
      <c r="N161" s="6"/>
      <c r="O161" s="6"/>
      <c r="P161" s="6"/>
      <c r="Q161" s="6"/>
    </row>
    <row r="162">
      <c r="A162" s="2"/>
      <c r="B162" s="2"/>
      <c r="C162" s="2"/>
      <c r="D162" s="2"/>
      <c r="E162" s="6"/>
      <c r="F162" s="6"/>
      <c r="G162" s="6"/>
      <c r="H162" s="2"/>
      <c r="I162" s="6" t="s">
        <v>474</v>
      </c>
      <c r="J162" s="6" t="s">
        <v>475</v>
      </c>
      <c r="K162" s="6">
        <v>0.34</v>
      </c>
      <c r="L162" s="6"/>
      <c r="M162" s="6"/>
      <c r="N162" s="6"/>
      <c r="O162" s="6"/>
      <c r="P162" s="6"/>
      <c r="Q162" s="6"/>
    </row>
    <row r="163">
      <c r="A163" s="2"/>
      <c r="B163" s="2"/>
      <c r="C163" s="2"/>
      <c r="D163" s="2"/>
      <c r="E163" s="6"/>
      <c r="F163" s="6"/>
      <c r="G163" s="6"/>
      <c r="H163" s="2"/>
      <c r="I163" s="6" t="s">
        <v>476</v>
      </c>
      <c r="J163" s="6" t="s">
        <v>477</v>
      </c>
      <c r="K163" s="6">
        <v>0.2</v>
      </c>
      <c r="L163" s="6"/>
      <c r="M163" s="6"/>
      <c r="N163" s="6"/>
      <c r="O163" s="6"/>
      <c r="P163" s="6"/>
      <c r="Q163" s="6"/>
    </row>
    <row r="164">
      <c r="A164" s="2"/>
      <c r="B164" s="2"/>
      <c r="C164" s="2"/>
      <c r="D164" s="2"/>
      <c r="E164" s="6"/>
      <c r="F164" s="6"/>
      <c r="G164" s="6"/>
      <c r="H164" s="2"/>
      <c r="I164" s="6" t="s">
        <v>478</v>
      </c>
      <c r="J164" s="6" t="s">
        <v>479</v>
      </c>
      <c r="K164" s="6">
        <v>0.2</v>
      </c>
      <c r="L164" s="6"/>
      <c r="M164" s="6"/>
      <c r="N164" s="6"/>
      <c r="O164" s="6"/>
      <c r="P164" s="6"/>
      <c r="Q164" s="6"/>
    </row>
    <row r="165">
      <c r="A165" s="2"/>
      <c r="B165" s="2"/>
      <c r="C165" s="2"/>
      <c r="D165" s="2"/>
      <c r="E165" s="6"/>
      <c r="F165" s="6"/>
      <c r="G165" s="6"/>
      <c r="H165" s="2"/>
      <c r="I165" s="6" t="s">
        <v>483</v>
      </c>
      <c r="J165" s="6" t="s">
        <v>484</v>
      </c>
      <c r="K165" s="6">
        <v>0.05</v>
      </c>
      <c r="L165" s="6"/>
      <c r="M165" s="6"/>
      <c r="N165" s="6"/>
      <c r="O165" s="6"/>
      <c r="P165" s="6"/>
      <c r="Q165" s="6"/>
    </row>
    <row r="166">
      <c r="A166" s="2"/>
      <c r="B166" s="2"/>
      <c r="C166" s="2"/>
      <c r="D166" s="2"/>
      <c r="E166" s="6"/>
      <c r="F166" s="6"/>
      <c r="G166" s="6"/>
      <c r="H166" s="2"/>
      <c r="I166" s="6" t="s">
        <v>485</v>
      </c>
      <c r="J166" s="6" t="s">
        <v>486</v>
      </c>
      <c r="K166" s="6">
        <v>0.05</v>
      </c>
      <c r="L166" s="6"/>
      <c r="M166" s="6"/>
      <c r="N166" s="6"/>
      <c r="O166" s="6"/>
      <c r="P166" s="6"/>
      <c r="Q166" s="6"/>
    </row>
    <row r="167">
      <c r="A167" s="2"/>
      <c r="B167" s="2"/>
      <c r="C167" s="2"/>
      <c r="D167" s="2"/>
      <c r="E167" s="6"/>
      <c r="F167" s="6"/>
      <c r="G167" s="6"/>
      <c r="H167" s="2"/>
      <c r="I167" s="6" t="s">
        <v>487</v>
      </c>
      <c r="J167" s="6" t="s">
        <v>488</v>
      </c>
      <c r="K167" s="6">
        <v>0.09</v>
      </c>
      <c r="L167" s="6"/>
      <c r="M167" s="6"/>
      <c r="N167" s="6"/>
      <c r="O167" s="6"/>
      <c r="P167" s="6"/>
      <c r="Q167" s="6"/>
    </row>
    <row r="168">
      <c r="A168" s="2"/>
      <c r="B168" s="2"/>
      <c r="C168" s="2"/>
      <c r="D168" s="2"/>
      <c r="E168" s="6"/>
      <c r="F168" s="6"/>
      <c r="G168" s="6"/>
      <c r="H168" s="2"/>
      <c r="I168" s="6" t="s">
        <v>489</v>
      </c>
      <c r="J168" s="6" t="s">
        <v>490</v>
      </c>
      <c r="K168" s="6">
        <v>0.09</v>
      </c>
      <c r="L168" s="6"/>
      <c r="M168" s="6"/>
      <c r="N168" s="6"/>
      <c r="O168" s="6"/>
      <c r="P168" s="6"/>
      <c r="Q168" s="6"/>
    </row>
    <row r="169">
      <c r="A169" s="2"/>
      <c r="B169" s="2"/>
      <c r="C169" s="2"/>
      <c r="D169" s="2"/>
      <c r="E169" s="6"/>
      <c r="F169" s="6"/>
      <c r="G169" s="6"/>
      <c r="H169" s="2"/>
      <c r="I169" s="6" t="s">
        <v>491</v>
      </c>
      <c r="J169" s="6" t="s">
        <v>492</v>
      </c>
      <c r="K169" s="6">
        <v>0.11</v>
      </c>
      <c r="L169" s="6"/>
      <c r="M169" s="6"/>
      <c r="N169" s="6"/>
      <c r="O169" s="6"/>
      <c r="P169" s="6"/>
      <c r="Q169" s="6"/>
    </row>
    <row r="170">
      <c r="A170" s="2"/>
      <c r="B170" s="2"/>
      <c r="C170" s="2"/>
      <c r="D170" s="2"/>
      <c r="E170" s="6"/>
      <c r="F170" s="6"/>
      <c r="G170" s="6"/>
      <c r="H170" s="2"/>
      <c r="I170" s="6" t="s">
        <v>493</v>
      </c>
      <c r="J170" s="6" t="s">
        <v>494</v>
      </c>
      <c r="K170" s="6">
        <v>0.11</v>
      </c>
      <c r="L170" s="6"/>
      <c r="M170" s="6"/>
      <c r="N170" s="6"/>
      <c r="O170" s="6"/>
      <c r="P170" s="6"/>
      <c r="Q170" s="6"/>
    </row>
    <row r="171">
      <c r="A171" s="2"/>
      <c r="B171" s="2"/>
      <c r="C171" s="2"/>
      <c r="D171" s="2"/>
      <c r="E171" s="6"/>
      <c r="F171" s="6"/>
      <c r="G171" s="6"/>
      <c r="H171" s="2"/>
      <c r="I171" s="6" t="s">
        <v>495</v>
      </c>
      <c r="J171" s="6" t="s">
        <v>496</v>
      </c>
      <c r="K171" s="6">
        <v>0.04</v>
      </c>
      <c r="L171" s="6"/>
      <c r="M171" s="6"/>
      <c r="N171" s="6"/>
      <c r="O171" s="6"/>
      <c r="P171" s="6"/>
      <c r="Q171" s="6"/>
    </row>
    <row r="172">
      <c r="A172" s="2"/>
      <c r="B172" s="2"/>
      <c r="C172" s="2"/>
      <c r="D172" s="2"/>
      <c r="E172" s="6"/>
      <c r="F172" s="6"/>
      <c r="G172" s="6"/>
      <c r="H172" s="2"/>
      <c r="I172" s="6" t="s">
        <v>497</v>
      </c>
      <c r="J172" s="6" t="s">
        <v>498</v>
      </c>
      <c r="K172" s="6">
        <v>0.04</v>
      </c>
      <c r="L172" s="6"/>
      <c r="M172" s="6"/>
      <c r="N172" s="6"/>
      <c r="O172" s="6"/>
      <c r="P172" s="6"/>
      <c r="Q172" s="6"/>
    </row>
    <row r="173">
      <c r="A173" s="2"/>
      <c r="B173" s="2"/>
      <c r="C173" s="2"/>
      <c r="D173" s="2"/>
      <c r="E173" s="6"/>
      <c r="F173" s="6"/>
      <c r="G173" s="6"/>
      <c r="H173" s="2"/>
      <c r="I173" s="6" t="s">
        <v>503</v>
      </c>
      <c r="J173" s="6" t="s">
        <v>504</v>
      </c>
      <c r="K173" s="6">
        <v>0.05</v>
      </c>
      <c r="L173" s="6"/>
      <c r="M173" s="6"/>
      <c r="N173" s="6"/>
      <c r="O173" s="6"/>
      <c r="P173" s="6"/>
      <c r="Q173" s="6"/>
    </row>
    <row r="174">
      <c r="A174" s="2"/>
      <c r="B174" s="2"/>
      <c r="C174" s="2"/>
      <c r="D174" s="2"/>
      <c r="E174" s="6"/>
      <c r="F174" s="6"/>
      <c r="G174" s="6"/>
      <c r="H174" s="2"/>
      <c r="I174" s="6" t="s">
        <v>505</v>
      </c>
      <c r="J174" s="6" t="s">
        <v>506</v>
      </c>
      <c r="K174" s="6">
        <v>0.05</v>
      </c>
      <c r="L174" s="6"/>
      <c r="M174" s="6"/>
      <c r="N174" s="6"/>
      <c r="O174" s="6"/>
      <c r="P174" s="6"/>
      <c r="Q174" s="6"/>
    </row>
    <row r="175">
      <c r="A175" s="2"/>
      <c r="B175" s="2"/>
      <c r="C175" s="2"/>
      <c r="D175" s="2"/>
      <c r="E175" s="6"/>
      <c r="F175" s="6"/>
      <c r="G175" s="6"/>
      <c r="H175" s="2"/>
      <c r="I175" s="6" t="s">
        <v>507</v>
      </c>
      <c r="J175" s="6" t="s">
        <v>508</v>
      </c>
      <c r="K175" s="6">
        <v>0.06</v>
      </c>
      <c r="L175" s="6"/>
      <c r="M175" s="6"/>
      <c r="N175" s="6"/>
      <c r="O175" s="6"/>
      <c r="P175" s="6"/>
      <c r="Q175" s="6"/>
    </row>
    <row r="176">
      <c r="A176" s="2"/>
      <c r="B176" s="2"/>
      <c r="C176" s="2"/>
      <c r="D176" s="2"/>
      <c r="E176" s="6"/>
      <c r="F176" s="6"/>
      <c r="G176" s="6"/>
      <c r="H176" s="2"/>
      <c r="I176" s="6" t="s">
        <v>509</v>
      </c>
      <c r="J176" s="6" t="s">
        <v>510</v>
      </c>
      <c r="K176" s="6">
        <v>0.06</v>
      </c>
      <c r="L176" s="6"/>
      <c r="M176" s="6"/>
      <c r="N176" s="6"/>
      <c r="O176" s="6"/>
      <c r="P176" s="6"/>
      <c r="Q176" s="6"/>
    </row>
    <row r="177">
      <c r="A177" s="2"/>
      <c r="B177" s="2"/>
      <c r="C177" s="2"/>
      <c r="D177" s="2"/>
      <c r="E177" s="6"/>
      <c r="F177" s="6"/>
      <c r="G177" s="6"/>
      <c r="H177" s="2"/>
      <c r="I177" s="6" t="s">
        <v>511</v>
      </c>
      <c r="J177" s="6" t="s">
        <v>512</v>
      </c>
      <c r="K177" s="6">
        <v>0.07</v>
      </c>
      <c r="L177" s="6"/>
      <c r="M177" s="6"/>
      <c r="N177" s="6"/>
      <c r="O177" s="6"/>
      <c r="P177" s="6"/>
      <c r="Q177" s="6"/>
    </row>
    <row r="178">
      <c r="A178" s="2"/>
      <c r="B178" s="2"/>
      <c r="C178" s="2"/>
      <c r="D178" s="2"/>
      <c r="E178" s="6"/>
      <c r="F178" s="6"/>
      <c r="G178" s="6"/>
      <c r="H178" s="2"/>
      <c r="I178" s="6" t="s">
        <v>513</v>
      </c>
      <c r="J178" s="6" t="s">
        <v>514</v>
      </c>
      <c r="K178" s="6">
        <v>0.07</v>
      </c>
      <c r="L178" s="6"/>
      <c r="M178" s="6"/>
      <c r="N178" s="6"/>
      <c r="O178" s="6"/>
      <c r="P178" s="6"/>
      <c r="Q178" s="6"/>
    </row>
    <row r="179">
      <c r="A179" s="2"/>
      <c r="B179" s="2"/>
      <c r="C179" s="2"/>
      <c r="D179" s="2"/>
      <c r="E179" s="6"/>
      <c r="F179" s="6"/>
      <c r="G179" s="6"/>
      <c r="H179" s="2"/>
      <c r="I179" s="6" t="s">
        <v>515</v>
      </c>
      <c r="J179" s="6" t="s">
        <v>516</v>
      </c>
      <c r="K179" s="6">
        <v>0.07</v>
      </c>
      <c r="L179" s="6"/>
      <c r="M179" s="6"/>
      <c r="N179" s="6"/>
      <c r="O179" s="6"/>
      <c r="P179" s="6"/>
      <c r="Q179" s="6"/>
    </row>
    <row r="180">
      <c r="A180" s="2"/>
      <c r="B180" s="2"/>
      <c r="C180" s="2"/>
      <c r="D180" s="2"/>
      <c r="E180" s="6"/>
      <c r="F180" s="6"/>
      <c r="G180" s="6"/>
      <c r="H180" s="2"/>
      <c r="I180" s="6" t="s">
        <v>517</v>
      </c>
      <c r="J180" s="6" t="s">
        <v>518</v>
      </c>
      <c r="K180" s="6">
        <v>0.07</v>
      </c>
      <c r="L180" s="6"/>
      <c r="M180" s="6"/>
      <c r="N180" s="6"/>
      <c r="O180" s="6"/>
      <c r="P180" s="6"/>
      <c r="Q180" s="6"/>
    </row>
    <row r="181">
      <c r="A181" s="2"/>
      <c r="B181" s="2"/>
      <c r="C181" s="2"/>
      <c r="D181" s="2"/>
      <c r="E181" s="6"/>
      <c r="F181" s="6"/>
      <c r="G181" s="6"/>
      <c r="H181" s="2"/>
      <c r="I181" s="6" t="s">
        <v>522</v>
      </c>
      <c r="J181" s="6" t="s">
        <v>524</v>
      </c>
      <c r="K181" s="6">
        <v>0.07</v>
      </c>
      <c r="L181" s="6"/>
      <c r="M181" s="6"/>
      <c r="N181" s="6"/>
      <c r="O181" s="6"/>
      <c r="P181" s="6"/>
      <c r="Q181" s="6"/>
    </row>
    <row r="182">
      <c r="A182" s="2"/>
      <c r="B182" s="2"/>
      <c r="C182" s="2"/>
      <c r="D182" s="2"/>
      <c r="E182" s="6"/>
      <c r="F182" s="6"/>
      <c r="G182" s="6"/>
      <c r="H182" s="2"/>
      <c r="I182" s="6" t="s">
        <v>525</v>
      </c>
      <c r="J182" s="6" t="s">
        <v>526</v>
      </c>
      <c r="K182" s="6">
        <v>0.07</v>
      </c>
      <c r="L182" s="6"/>
      <c r="M182" s="6"/>
      <c r="N182" s="6"/>
      <c r="O182" s="6"/>
      <c r="P182" s="6"/>
      <c r="Q182" s="6"/>
    </row>
    <row r="183">
      <c r="A183" s="2"/>
      <c r="B183" s="2"/>
      <c r="C183" s="2"/>
      <c r="D183" s="2"/>
      <c r="E183" s="6"/>
      <c r="F183" s="6"/>
      <c r="G183" s="6"/>
      <c r="H183" s="2"/>
      <c r="I183" s="6" t="s">
        <v>527</v>
      </c>
      <c r="J183" s="6" t="s">
        <v>528</v>
      </c>
      <c r="K183" s="6">
        <v>0.11</v>
      </c>
      <c r="L183" s="6"/>
      <c r="M183" s="6"/>
      <c r="N183" s="6"/>
      <c r="O183" s="6"/>
      <c r="P183" s="6"/>
      <c r="Q183" s="6"/>
    </row>
    <row r="184">
      <c r="A184" s="2"/>
      <c r="B184" s="2"/>
      <c r="C184" s="2"/>
      <c r="D184" s="2"/>
      <c r="E184" s="6"/>
      <c r="F184" s="6"/>
      <c r="G184" s="6"/>
      <c r="H184" s="2"/>
      <c r="I184" s="6" t="s">
        <v>529</v>
      </c>
      <c r="J184" s="6" t="s">
        <v>530</v>
      </c>
      <c r="K184" s="6">
        <v>0.11</v>
      </c>
      <c r="L184" s="6"/>
      <c r="M184" s="6"/>
      <c r="N184" s="6"/>
      <c r="O184" s="6"/>
      <c r="P184" s="6"/>
      <c r="Q184" s="6"/>
    </row>
    <row r="185">
      <c r="A185" s="2"/>
      <c r="B185" s="2"/>
      <c r="C185" s="2"/>
      <c r="D185" s="2"/>
      <c r="E185" s="6"/>
      <c r="F185" s="6"/>
      <c r="G185" s="6"/>
      <c r="H185" s="2"/>
      <c r="I185" s="6" t="s">
        <v>531</v>
      </c>
      <c r="J185" s="6" t="s">
        <v>532</v>
      </c>
      <c r="K185" s="6">
        <v>0.1</v>
      </c>
      <c r="L185" s="6"/>
      <c r="M185" s="6"/>
      <c r="N185" s="6"/>
      <c r="O185" s="6"/>
      <c r="P185" s="6"/>
      <c r="Q185" s="6"/>
    </row>
    <row r="186">
      <c r="A186" s="2"/>
      <c r="B186" s="2"/>
      <c r="C186" s="2"/>
      <c r="D186" s="2"/>
      <c r="E186" s="6"/>
      <c r="F186" s="6"/>
      <c r="G186" s="6"/>
      <c r="H186" s="2"/>
      <c r="I186" s="6" t="s">
        <v>533</v>
      </c>
      <c r="J186" s="6" t="s">
        <v>534</v>
      </c>
      <c r="K186" s="6">
        <v>0.1</v>
      </c>
      <c r="L186" s="6"/>
      <c r="M186" s="6"/>
      <c r="N186" s="6"/>
      <c r="O186" s="6"/>
      <c r="P186" s="6"/>
      <c r="Q186" s="6"/>
    </row>
    <row r="187">
      <c r="A187" s="2"/>
      <c r="B187" s="2"/>
      <c r="C187" s="2"/>
      <c r="D187" s="2"/>
      <c r="E187" s="6"/>
      <c r="F187" s="6"/>
      <c r="G187" s="6"/>
      <c r="H187" s="2"/>
      <c r="I187" s="6" t="s">
        <v>535</v>
      </c>
      <c r="J187" s="6" t="s">
        <v>536</v>
      </c>
      <c r="K187" s="6">
        <v>0.83</v>
      </c>
      <c r="L187" s="6"/>
      <c r="M187" s="6"/>
      <c r="N187" s="6"/>
      <c r="O187" s="6"/>
      <c r="P187" s="6"/>
      <c r="Q187" s="6"/>
    </row>
    <row r="188">
      <c r="A188" s="2"/>
      <c r="B188" s="2"/>
      <c r="C188" s="2"/>
      <c r="D188" s="2"/>
      <c r="E188" s="6"/>
      <c r="F188" s="6"/>
      <c r="G188" s="6"/>
      <c r="H188" s="2"/>
      <c r="I188" s="6" t="s">
        <v>537</v>
      </c>
      <c r="J188" s="6" t="s">
        <v>538</v>
      </c>
      <c r="K188" s="6">
        <v>0.83</v>
      </c>
      <c r="L188" s="6"/>
      <c r="M188" s="6"/>
      <c r="N188" s="6"/>
      <c r="O188" s="6"/>
      <c r="P188" s="6"/>
      <c r="Q188" s="6"/>
    </row>
    <row r="189">
      <c r="A189" s="2"/>
      <c r="B189" s="2"/>
      <c r="C189" s="2"/>
      <c r="D189" s="2"/>
      <c r="E189" s="6"/>
      <c r="F189" s="6"/>
      <c r="G189" s="6"/>
      <c r="H189" s="2"/>
      <c r="I189" s="6" t="s">
        <v>542</v>
      </c>
      <c r="J189" s="6" t="s">
        <v>544</v>
      </c>
      <c r="K189" s="6">
        <v>0.13</v>
      </c>
      <c r="L189" s="6"/>
      <c r="M189" s="6"/>
      <c r="N189" s="6"/>
      <c r="O189" s="6"/>
      <c r="P189" s="6"/>
      <c r="Q189" s="6"/>
    </row>
    <row r="190">
      <c r="A190" s="2"/>
      <c r="B190" s="2"/>
      <c r="C190" s="2"/>
      <c r="D190" s="2"/>
      <c r="E190" s="6"/>
      <c r="F190" s="6"/>
      <c r="G190" s="6"/>
      <c r="H190" s="2"/>
      <c r="I190" s="6" t="s">
        <v>546</v>
      </c>
      <c r="J190" s="6" t="s">
        <v>547</v>
      </c>
      <c r="K190" s="6">
        <v>0.13</v>
      </c>
      <c r="L190" s="6"/>
      <c r="M190" s="6"/>
      <c r="N190" s="6"/>
      <c r="O190" s="6"/>
      <c r="P190" s="6"/>
      <c r="Q190" s="6"/>
    </row>
    <row r="191">
      <c r="A191" s="2"/>
      <c r="B191" s="2"/>
      <c r="C191" s="2"/>
      <c r="D191" s="2"/>
      <c r="E191" s="6"/>
      <c r="F191" s="6"/>
      <c r="G191" s="6"/>
      <c r="H191" s="2"/>
      <c r="I191" s="6" t="s">
        <v>548</v>
      </c>
      <c r="J191" s="6" t="s">
        <v>549</v>
      </c>
      <c r="K191" s="6">
        <v>0.13</v>
      </c>
      <c r="L191" s="6"/>
      <c r="M191" s="6"/>
      <c r="N191" s="6"/>
      <c r="O191" s="6"/>
      <c r="P191" s="6"/>
      <c r="Q191" s="6"/>
    </row>
    <row r="192">
      <c r="A192" s="2"/>
      <c r="B192" s="2"/>
      <c r="C192" s="2"/>
      <c r="D192" s="2"/>
      <c r="E192" s="6"/>
      <c r="F192" s="6"/>
      <c r="G192" s="6"/>
      <c r="H192" s="2"/>
      <c r="I192" s="6" t="s">
        <v>550</v>
      </c>
      <c r="J192" s="6" t="s">
        <v>551</v>
      </c>
      <c r="K192" s="6">
        <v>0.13</v>
      </c>
      <c r="L192" s="6"/>
      <c r="M192" s="6"/>
      <c r="N192" s="6"/>
      <c r="O192" s="6"/>
      <c r="P192" s="6"/>
      <c r="Q192" s="6"/>
    </row>
    <row r="193">
      <c r="A193" s="2"/>
      <c r="B193" s="2"/>
      <c r="C193" s="2"/>
      <c r="D193" s="2"/>
      <c r="E193" s="6"/>
      <c r="F193" s="6"/>
      <c r="G193" s="6"/>
      <c r="H193" s="2"/>
      <c r="I193" s="6" t="s">
        <v>552</v>
      </c>
      <c r="J193" s="6" t="s">
        <v>553</v>
      </c>
      <c r="K193" s="6">
        <v>0.16</v>
      </c>
      <c r="L193" s="6"/>
      <c r="M193" s="6"/>
      <c r="N193" s="6"/>
      <c r="O193" s="6"/>
      <c r="P193" s="6"/>
      <c r="Q193" s="6"/>
    </row>
    <row r="194">
      <c r="A194" s="2"/>
      <c r="B194" s="2"/>
      <c r="C194" s="2"/>
      <c r="D194" s="2"/>
      <c r="E194" s="6"/>
      <c r="F194" s="6"/>
      <c r="G194" s="6"/>
      <c r="H194" s="2"/>
      <c r="I194" s="6" t="s">
        <v>554</v>
      </c>
      <c r="J194" s="6" t="s">
        <v>555</v>
      </c>
      <c r="K194" s="6">
        <v>0.16</v>
      </c>
      <c r="L194" s="6"/>
      <c r="M194" s="6"/>
      <c r="N194" s="6"/>
      <c r="O194" s="6"/>
      <c r="P194" s="6"/>
      <c r="Q194" s="6"/>
    </row>
    <row r="195">
      <c r="A195" s="2"/>
      <c r="B195" s="2"/>
      <c r="C195" s="2"/>
      <c r="D195" s="2"/>
      <c r="E195" s="6"/>
      <c r="F195" s="6"/>
      <c r="G195" s="6"/>
      <c r="H195" s="2"/>
      <c r="I195" s="6" t="s">
        <v>556</v>
      </c>
      <c r="J195" s="6" t="s">
        <v>557</v>
      </c>
      <c r="K195" s="6">
        <v>0.17</v>
      </c>
      <c r="L195" s="6"/>
      <c r="M195" s="6"/>
      <c r="N195" s="6"/>
      <c r="O195" s="6"/>
      <c r="P195" s="6"/>
      <c r="Q195" s="6"/>
    </row>
    <row r="196">
      <c r="A196" s="2"/>
      <c r="B196" s="2"/>
      <c r="C196" s="2"/>
      <c r="D196" s="2"/>
      <c r="E196" s="6"/>
      <c r="F196" s="6"/>
      <c r="G196" s="6"/>
      <c r="H196" s="2"/>
      <c r="I196" s="6" t="s">
        <v>558</v>
      </c>
      <c r="J196" s="6" t="s">
        <v>559</v>
      </c>
      <c r="K196" s="6">
        <v>0.17</v>
      </c>
      <c r="L196" s="6"/>
      <c r="M196" s="6"/>
      <c r="N196" s="6"/>
      <c r="O196" s="6"/>
      <c r="P196" s="6"/>
      <c r="Q196" s="6"/>
    </row>
    <row r="197">
      <c r="A197" s="2"/>
      <c r="B197" s="2"/>
      <c r="C197" s="2"/>
      <c r="D197" s="2"/>
      <c r="E197" s="6"/>
      <c r="F197" s="6"/>
      <c r="G197" s="6"/>
      <c r="H197" s="2"/>
      <c r="I197" s="6" t="s">
        <v>563</v>
      </c>
      <c r="J197" s="6" t="s">
        <v>564</v>
      </c>
      <c r="K197" s="6">
        <v>0.18</v>
      </c>
      <c r="L197" s="6"/>
      <c r="M197" s="6"/>
      <c r="N197" s="6"/>
      <c r="O197" s="6"/>
      <c r="P197" s="6"/>
      <c r="Q197" s="6"/>
    </row>
    <row r="198">
      <c r="A198" s="2"/>
      <c r="B198" s="2"/>
      <c r="C198" s="2"/>
      <c r="D198" s="2"/>
      <c r="E198" s="6"/>
      <c r="F198" s="6"/>
      <c r="G198" s="6"/>
      <c r="H198" s="2"/>
      <c r="I198" s="6" t="s">
        <v>565</v>
      </c>
      <c r="J198" s="6" t="s">
        <v>566</v>
      </c>
      <c r="K198" s="6">
        <v>0.18</v>
      </c>
      <c r="L198" s="6"/>
      <c r="M198" s="6"/>
      <c r="N198" s="6"/>
      <c r="O198" s="6"/>
      <c r="P198" s="6"/>
      <c r="Q198" s="6"/>
    </row>
    <row r="199">
      <c r="A199" s="2"/>
      <c r="B199" s="2"/>
      <c r="C199" s="2"/>
      <c r="D199" s="2"/>
      <c r="E199" s="6"/>
      <c r="F199" s="6"/>
      <c r="G199" s="6"/>
      <c r="H199" s="2"/>
      <c r="I199" s="6" t="s">
        <v>567</v>
      </c>
      <c r="J199" s="6" t="s">
        <v>568</v>
      </c>
      <c r="K199" s="6">
        <v>0.18</v>
      </c>
      <c r="L199" s="6"/>
      <c r="M199" s="6"/>
      <c r="N199" s="6"/>
      <c r="O199" s="6"/>
      <c r="P199" s="6"/>
      <c r="Q199" s="6"/>
    </row>
    <row r="200">
      <c r="A200" s="2"/>
      <c r="B200" s="2"/>
      <c r="C200" s="2"/>
      <c r="D200" s="2"/>
      <c r="E200" s="6"/>
      <c r="F200" s="6"/>
      <c r="G200" s="6"/>
      <c r="H200" s="2"/>
      <c r="I200" s="6" t="s">
        <v>569</v>
      </c>
      <c r="J200" s="6" t="s">
        <v>570</v>
      </c>
      <c r="K200" s="6">
        <v>0.18</v>
      </c>
      <c r="L200" s="6"/>
      <c r="M200" s="6"/>
      <c r="N200" s="6"/>
      <c r="O200" s="6"/>
      <c r="P200" s="6"/>
      <c r="Q200" s="6"/>
    </row>
    <row r="201">
      <c r="A201" s="2"/>
      <c r="B201" s="2"/>
      <c r="C201" s="2"/>
      <c r="D201" s="2"/>
      <c r="E201" s="6"/>
      <c r="F201" s="6"/>
      <c r="G201" s="6"/>
      <c r="H201" s="2"/>
      <c r="I201" s="6" t="s">
        <v>571</v>
      </c>
      <c r="J201" s="6" t="s">
        <v>572</v>
      </c>
      <c r="K201" s="6">
        <v>4.16</v>
      </c>
      <c r="L201" s="6"/>
      <c r="M201" s="6"/>
      <c r="N201" s="6"/>
      <c r="O201" s="6"/>
      <c r="P201" s="6"/>
      <c r="Q201" s="6"/>
    </row>
    <row r="202">
      <c r="A202" s="2"/>
      <c r="B202" s="2"/>
      <c r="C202" s="2"/>
      <c r="D202" s="2"/>
      <c r="E202" s="6"/>
      <c r="F202" s="6"/>
      <c r="G202" s="6"/>
      <c r="H202" s="2"/>
      <c r="I202" s="6" t="s">
        <v>574</v>
      </c>
      <c r="J202" s="6" t="s">
        <v>575</v>
      </c>
      <c r="K202" s="6">
        <v>4.16</v>
      </c>
      <c r="L202" s="6"/>
      <c r="M202" s="6"/>
      <c r="N202" s="6"/>
      <c r="O202" s="6"/>
      <c r="P202" s="6"/>
      <c r="Q202" s="6"/>
    </row>
    <row r="203">
      <c r="A203" s="2"/>
      <c r="B203" s="2"/>
      <c r="C203" s="2"/>
      <c r="D203" s="2"/>
      <c r="E203" s="6"/>
      <c r="F203" s="6"/>
      <c r="G203" s="6"/>
      <c r="H203" s="2"/>
      <c r="I203" s="6" t="s">
        <v>576</v>
      </c>
      <c r="J203" s="6" t="s">
        <v>577</v>
      </c>
      <c r="K203" s="6">
        <v>4.9</v>
      </c>
      <c r="L203" s="6"/>
      <c r="M203" s="6"/>
      <c r="N203" s="6"/>
      <c r="O203" s="6"/>
      <c r="P203" s="6"/>
      <c r="Q203" s="6"/>
    </row>
    <row r="204">
      <c r="A204" s="2"/>
      <c r="B204" s="2"/>
      <c r="C204" s="2"/>
      <c r="D204" s="2"/>
      <c r="E204" s="6"/>
      <c r="F204" s="6"/>
      <c r="G204" s="6"/>
      <c r="H204" s="2"/>
      <c r="I204" s="6" t="s">
        <v>578</v>
      </c>
      <c r="J204" s="6" t="s">
        <v>579</v>
      </c>
      <c r="K204" s="6">
        <v>4.9</v>
      </c>
      <c r="L204" s="6"/>
      <c r="M204" s="6"/>
      <c r="N204" s="6"/>
      <c r="O204" s="6"/>
      <c r="P204" s="6"/>
      <c r="Q204" s="6"/>
    </row>
    <row r="205">
      <c r="A205" s="2"/>
      <c r="B205" s="2"/>
      <c r="C205" s="2"/>
      <c r="D205" s="2"/>
      <c r="E205" s="6"/>
      <c r="F205" s="6"/>
      <c r="G205" s="6"/>
      <c r="H205" s="2"/>
      <c r="I205" s="6" t="s">
        <v>580</v>
      </c>
      <c r="J205" s="6" t="s">
        <v>581</v>
      </c>
      <c r="K205" s="6">
        <v>5.6</v>
      </c>
      <c r="L205" s="6"/>
      <c r="M205" s="6"/>
      <c r="N205" s="6"/>
      <c r="O205" s="6"/>
      <c r="P205" s="6"/>
      <c r="Q205" s="6"/>
    </row>
    <row r="206">
      <c r="A206" s="2"/>
      <c r="B206" s="2"/>
      <c r="C206" s="2"/>
      <c r="D206" s="2"/>
      <c r="E206" s="6"/>
      <c r="F206" s="6"/>
      <c r="G206" s="6"/>
      <c r="H206" s="2"/>
      <c r="I206" s="6" t="s">
        <v>584</v>
      </c>
      <c r="J206" s="6" t="s">
        <v>581</v>
      </c>
      <c r="K206" s="6">
        <v>5.6</v>
      </c>
      <c r="L206" s="6"/>
      <c r="M206" s="6"/>
      <c r="N206" s="6"/>
      <c r="O206" s="6"/>
      <c r="P206" s="6"/>
      <c r="Q206" s="6"/>
    </row>
    <row r="207">
      <c r="A207" s="2"/>
      <c r="B207" s="2"/>
      <c r="C207" s="2"/>
      <c r="D207" s="2"/>
      <c r="E207" s="6"/>
      <c r="F207" s="6"/>
      <c r="G207" s="6"/>
      <c r="H207" s="2"/>
      <c r="I207" s="6" t="s">
        <v>585</v>
      </c>
      <c r="J207" s="6" t="s">
        <v>586</v>
      </c>
      <c r="K207" s="6">
        <v>9.46</v>
      </c>
      <c r="L207" s="6"/>
      <c r="M207" s="6"/>
      <c r="N207" s="6"/>
      <c r="O207" s="6"/>
      <c r="P207" s="6"/>
      <c r="Q207" s="6"/>
    </row>
    <row r="208">
      <c r="A208" s="2"/>
      <c r="B208" s="2"/>
      <c r="C208" s="2"/>
      <c r="D208" s="2"/>
      <c r="E208" s="6"/>
      <c r="F208" s="6"/>
      <c r="G208" s="6"/>
      <c r="H208" s="2"/>
      <c r="I208" s="6" t="s">
        <v>587</v>
      </c>
      <c r="J208" s="6" t="s">
        <v>588</v>
      </c>
      <c r="K208" s="6">
        <v>9.46</v>
      </c>
      <c r="L208" s="6"/>
      <c r="M208" s="6"/>
      <c r="N208" s="6"/>
      <c r="O208" s="6"/>
      <c r="P208" s="6"/>
      <c r="Q208" s="6"/>
    </row>
    <row r="209">
      <c r="A209" s="2"/>
      <c r="B209" s="2"/>
      <c r="C209" s="2"/>
      <c r="D209" s="2"/>
      <c r="E209" s="6"/>
      <c r="F209" s="6"/>
      <c r="G209" s="6"/>
      <c r="H209" s="2"/>
      <c r="I209" s="6" t="s">
        <v>589</v>
      </c>
      <c r="J209" s="6" t="s">
        <v>590</v>
      </c>
      <c r="K209" s="6">
        <v>11.8</v>
      </c>
      <c r="L209" s="6"/>
      <c r="M209" s="6"/>
      <c r="N209" s="6"/>
      <c r="O209" s="6"/>
      <c r="P209" s="6"/>
      <c r="Q209" s="6"/>
    </row>
    <row r="210">
      <c r="A210" s="2"/>
      <c r="B210" s="2"/>
      <c r="C210" s="2"/>
      <c r="D210" s="2"/>
      <c r="E210" s="6"/>
      <c r="F210" s="6"/>
      <c r="G210" s="6"/>
      <c r="H210" s="2"/>
      <c r="I210" s="6" t="s">
        <v>591</v>
      </c>
      <c r="J210" s="6" t="s">
        <v>592</v>
      </c>
      <c r="K210" s="6">
        <v>11.8</v>
      </c>
      <c r="L210" s="6"/>
      <c r="M210" s="6"/>
      <c r="N210" s="6"/>
      <c r="O210" s="6"/>
      <c r="P210" s="6"/>
      <c r="Q210" s="6"/>
    </row>
    <row r="211">
      <c r="A211" s="2"/>
      <c r="B211" s="2"/>
      <c r="C211" s="2"/>
      <c r="D211" s="2"/>
      <c r="E211" s="6"/>
      <c r="F211" s="6"/>
      <c r="G211" s="6"/>
      <c r="H211" s="2"/>
      <c r="I211" s="6" t="s">
        <v>593</v>
      </c>
      <c r="J211" s="6" t="s">
        <v>594</v>
      </c>
      <c r="K211" s="6">
        <v>9.1</v>
      </c>
      <c r="L211" s="6"/>
      <c r="M211" s="6"/>
      <c r="N211" s="6"/>
      <c r="O211" s="6"/>
      <c r="P211" s="6"/>
      <c r="Q211" s="6"/>
    </row>
    <row r="212">
      <c r="A212" s="2"/>
      <c r="B212" s="2"/>
      <c r="C212" s="2"/>
      <c r="D212" s="2"/>
      <c r="E212" s="6"/>
      <c r="F212" s="6"/>
      <c r="G212" s="6"/>
      <c r="H212" s="2"/>
      <c r="I212" s="6" t="s">
        <v>595</v>
      </c>
      <c r="J212" s="6" t="s">
        <v>596</v>
      </c>
      <c r="K212" s="6">
        <v>10.32</v>
      </c>
      <c r="L212" s="6"/>
      <c r="M212" s="6"/>
      <c r="N212" s="6"/>
      <c r="O212" s="6"/>
      <c r="P212" s="6"/>
      <c r="Q212" s="6"/>
    </row>
    <row r="213">
      <c r="A213" s="2"/>
      <c r="B213" s="2"/>
      <c r="C213" s="2"/>
      <c r="D213" s="2"/>
      <c r="E213" s="6"/>
      <c r="F213" s="6"/>
      <c r="G213" s="6"/>
      <c r="H213" s="2"/>
      <c r="I213" s="6" t="s">
        <v>598</v>
      </c>
      <c r="J213" s="6" t="s">
        <v>599</v>
      </c>
      <c r="K213" s="6">
        <v>11.8</v>
      </c>
      <c r="L213" s="6"/>
      <c r="M213" s="6"/>
      <c r="N213" s="6"/>
      <c r="O213" s="6"/>
      <c r="P213" s="6"/>
      <c r="Q213" s="6"/>
    </row>
    <row r="214">
      <c r="A214" s="2"/>
      <c r="B214" s="2"/>
      <c r="C214" s="2"/>
      <c r="D214" s="2"/>
      <c r="E214" s="6"/>
      <c r="F214" s="6"/>
      <c r="G214" s="6"/>
      <c r="H214" s="2"/>
      <c r="I214" s="6" t="s">
        <v>602</v>
      </c>
      <c r="J214" s="6" t="s">
        <v>603</v>
      </c>
      <c r="K214" s="6">
        <v>11.1</v>
      </c>
      <c r="L214" s="6"/>
      <c r="M214" s="6"/>
      <c r="N214" s="6"/>
      <c r="O214" s="6"/>
      <c r="P214" s="6"/>
      <c r="Q214" s="6"/>
    </row>
    <row r="215">
      <c r="A215" s="2"/>
      <c r="B215" s="2"/>
      <c r="C215" s="2"/>
      <c r="D215" s="2"/>
      <c r="E215" s="6"/>
      <c r="F215" s="6"/>
      <c r="G215" s="6"/>
      <c r="H215" s="2"/>
      <c r="I215" s="6" t="s">
        <v>604</v>
      </c>
      <c r="J215" s="6" t="s">
        <v>605</v>
      </c>
      <c r="K215" s="6">
        <v>12.88</v>
      </c>
      <c r="L215" s="6"/>
      <c r="M215" s="6"/>
      <c r="N215" s="6"/>
      <c r="O215" s="6"/>
      <c r="P215" s="6"/>
      <c r="Q215" s="6"/>
    </row>
    <row r="216">
      <c r="A216" s="2"/>
      <c r="B216" s="2"/>
      <c r="C216" s="2"/>
      <c r="D216" s="2"/>
      <c r="E216" s="6"/>
      <c r="F216" s="6"/>
      <c r="G216" s="6"/>
      <c r="H216" s="2"/>
      <c r="I216" s="6" t="s">
        <v>606</v>
      </c>
      <c r="J216" s="6" t="s">
        <v>607</v>
      </c>
      <c r="K216" s="6">
        <v>14.93</v>
      </c>
      <c r="L216" s="6"/>
      <c r="M216" s="6"/>
      <c r="N216" s="6"/>
      <c r="O216" s="6"/>
      <c r="P216" s="6"/>
      <c r="Q216" s="6"/>
    </row>
    <row r="217">
      <c r="A217" s="2"/>
      <c r="B217" s="2"/>
      <c r="C217" s="2"/>
      <c r="D217" s="2"/>
      <c r="E217" s="6"/>
      <c r="F217" s="6"/>
      <c r="G217" s="6"/>
      <c r="H217" s="2"/>
      <c r="I217" s="6" t="s">
        <v>608</v>
      </c>
      <c r="J217" s="6" t="s">
        <v>609</v>
      </c>
      <c r="K217" s="6">
        <v>17.89</v>
      </c>
      <c r="L217" s="6"/>
      <c r="M217" s="6"/>
      <c r="N217" s="6"/>
      <c r="O217" s="6"/>
      <c r="P217" s="6"/>
      <c r="Q217" s="6"/>
    </row>
    <row r="218">
      <c r="A218" s="2"/>
      <c r="B218" s="2"/>
      <c r="C218" s="2"/>
      <c r="D218" s="2"/>
      <c r="E218" s="6"/>
      <c r="F218" s="6"/>
      <c r="G218" s="6"/>
      <c r="H218" s="2"/>
      <c r="I218" s="6" t="s">
        <v>610</v>
      </c>
      <c r="J218" s="6" t="s">
        <v>611</v>
      </c>
      <c r="K218" s="6">
        <v>7.45</v>
      </c>
      <c r="L218" s="6"/>
      <c r="M218" s="6"/>
      <c r="N218" s="6"/>
      <c r="O218" s="6"/>
      <c r="P218" s="6"/>
      <c r="Q218" s="6"/>
    </row>
    <row r="219">
      <c r="A219" s="2"/>
      <c r="B219" s="2"/>
      <c r="C219" s="2"/>
      <c r="D219" s="2"/>
      <c r="E219" s="6"/>
      <c r="F219" s="6"/>
      <c r="G219" s="6"/>
      <c r="H219" s="2"/>
      <c r="I219" s="6" t="s">
        <v>612</v>
      </c>
      <c r="J219" s="6" t="s">
        <v>613</v>
      </c>
      <c r="K219" s="6">
        <v>9.13</v>
      </c>
      <c r="L219" s="6"/>
      <c r="M219" s="6"/>
      <c r="N219" s="6"/>
      <c r="O219" s="6"/>
      <c r="P219" s="6"/>
      <c r="Q219" s="6"/>
    </row>
    <row r="220">
      <c r="A220" s="2"/>
      <c r="B220" s="2"/>
      <c r="C220" s="2"/>
      <c r="D220" s="2"/>
      <c r="E220" s="6"/>
      <c r="F220" s="6"/>
      <c r="G220" s="6"/>
      <c r="H220" s="2"/>
      <c r="I220" s="6" t="s">
        <v>614</v>
      </c>
      <c r="J220" s="6" t="s">
        <v>615</v>
      </c>
      <c r="K220" s="6">
        <v>10.9</v>
      </c>
      <c r="L220" s="6"/>
      <c r="M220" s="6"/>
      <c r="N220" s="6"/>
      <c r="O220" s="6"/>
      <c r="P220" s="6"/>
      <c r="Q220" s="6"/>
    </row>
    <row r="221">
      <c r="A221" s="2"/>
      <c r="B221" s="2"/>
      <c r="C221" s="2"/>
      <c r="D221" s="2"/>
      <c r="E221" s="6"/>
      <c r="F221" s="6"/>
      <c r="G221" s="6"/>
      <c r="H221" s="2"/>
      <c r="I221" s="6" t="s">
        <v>618</v>
      </c>
      <c r="J221" s="6" t="s">
        <v>619</v>
      </c>
      <c r="K221" s="6">
        <v>9.0</v>
      </c>
      <c r="L221" s="6"/>
      <c r="M221" s="6"/>
      <c r="N221" s="6"/>
      <c r="O221" s="6"/>
      <c r="P221" s="6"/>
      <c r="Q221" s="6"/>
    </row>
    <row r="222">
      <c r="A222" s="2"/>
      <c r="B222" s="2"/>
      <c r="C222" s="2"/>
      <c r="D222" s="2"/>
      <c r="E222" s="6"/>
      <c r="F222" s="6"/>
      <c r="G222" s="6"/>
      <c r="H222" s="2"/>
      <c r="I222" s="6" t="s">
        <v>621</v>
      </c>
      <c r="J222" s="6" t="s">
        <v>622</v>
      </c>
      <c r="K222" s="6">
        <v>10.76</v>
      </c>
      <c r="L222" s="6"/>
      <c r="M222" s="6"/>
      <c r="N222" s="6"/>
      <c r="O222" s="6"/>
      <c r="P222" s="6"/>
      <c r="Q222" s="6"/>
    </row>
    <row r="223">
      <c r="A223" s="2"/>
      <c r="B223" s="2"/>
      <c r="C223" s="2"/>
      <c r="D223" s="2"/>
      <c r="E223" s="6"/>
      <c r="F223" s="6"/>
      <c r="G223" s="6"/>
      <c r="H223" s="2"/>
      <c r="I223" s="6" t="s">
        <v>623</v>
      </c>
      <c r="J223" s="6" t="s">
        <v>624</v>
      </c>
      <c r="K223" s="6">
        <v>12.6</v>
      </c>
      <c r="L223" s="6"/>
      <c r="M223" s="6"/>
      <c r="N223" s="6"/>
      <c r="O223" s="6"/>
      <c r="P223" s="6"/>
      <c r="Q223" s="6"/>
    </row>
    <row r="224">
      <c r="A224" s="2"/>
      <c r="B224" s="2"/>
      <c r="C224" s="2"/>
      <c r="D224" s="2"/>
      <c r="E224" s="6"/>
      <c r="F224" s="6"/>
      <c r="G224" s="6"/>
      <c r="H224" s="2"/>
      <c r="I224" s="6" t="s">
        <v>625</v>
      </c>
      <c r="J224" s="6" t="s">
        <v>626</v>
      </c>
      <c r="K224" s="6">
        <v>15.15</v>
      </c>
      <c r="L224" s="6"/>
      <c r="M224" s="6"/>
      <c r="N224" s="6"/>
      <c r="O224" s="6"/>
      <c r="P224" s="6"/>
      <c r="Q224" s="6"/>
    </row>
    <row r="225">
      <c r="A225" s="2"/>
      <c r="B225" s="2"/>
      <c r="C225" s="2"/>
      <c r="D225" s="2"/>
      <c r="E225" s="6"/>
      <c r="F225" s="6"/>
      <c r="G225" s="6"/>
      <c r="H225" s="2"/>
      <c r="I225" s="6" t="s">
        <v>627</v>
      </c>
      <c r="J225" s="6" t="s">
        <v>628</v>
      </c>
      <c r="K225" s="6">
        <v>0.207</v>
      </c>
      <c r="L225" s="6"/>
      <c r="M225" s="6"/>
      <c r="N225" s="6"/>
      <c r="O225" s="6"/>
      <c r="P225" s="6"/>
      <c r="Q225" s="6"/>
    </row>
    <row r="226">
      <c r="A226" s="2"/>
      <c r="B226" s="2"/>
      <c r="C226" s="2"/>
      <c r="D226" s="2"/>
      <c r="E226" s="6"/>
      <c r="F226" s="6"/>
      <c r="G226" s="6"/>
      <c r="H226" s="2"/>
      <c r="I226" s="6" t="s">
        <v>629</v>
      </c>
      <c r="J226" s="6" t="s">
        <v>630</v>
      </c>
      <c r="K226" s="6">
        <v>0.261</v>
      </c>
      <c r="L226" s="6"/>
      <c r="M226" s="6"/>
      <c r="N226" s="6"/>
      <c r="O226" s="6"/>
      <c r="P226" s="6"/>
      <c r="Q226" s="6"/>
    </row>
    <row r="227">
      <c r="A227" s="2"/>
      <c r="B227" s="2"/>
      <c r="C227" s="2"/>
      <c r="D227" s="2"/>
      <c r="E227" s="6"/>
      <c r="F227" s="6"/>
      <c r="G227" s="6"/>
      <c r="H227" s="2"/>
      <c r="I227" s="6" t="s">
        <v>631</v>
      </c>
      <c r="J227" s="6" t="s">
        <v>632</v>
      </c>
      <c r="K227" s="6">
        <v>0.13</v>
      </c>
      <c r="L227" s="6"/>
      <c r="M227" s="6"/>
      <c r="N227" s="6"/>
      <c r="O227" s="6"/>
      <c r="P227" s="6"/>
      <c r="Q227" s="6"/>
    </row>
    <row r="228">
      <c r="A228" s="2"/>
      <c r="B228" s="2"/>
      <c r="C228" s="2"/>
      <c r="D228" s="2"/>
      <c r="E228" s="6"/>
      <c r="F228" s="6"/>
      <c r="G228" s="6"/>
      <c r="H228" s="2"/>
      <c r="I228" s="6" t="s">
        <v>633</v>
      </c>
      <c r="J228" s="6" t="s">
        <v>634</v>
      </c>
      <c r="K228" s="6">
        <v>0.22</v>
      </c>
      <c r="L228" s="6"/>
      <c r="M228" s="6"/>
      <c r="N228" s="6"/>
      <c r="O228" s="6"/>
      <c r="P228" s="6"/>
      <c r="Q228" s="6"/>
    </row>
    <row r="229">
      <c r="A229" s="2"/>
      <c r="B229" s="2"/>
      <c r="C229" s="2"/>
      <c r="D229" s="2"/>
      <c r="E229" s="6"/>
      <c r="F229" s="6"/>
      <c r="G229" s="6"/>
      <c r="H229" s="2"/>
      <c r="I229" s="6" t="s">
        <v>635</v>
      </c>
      <c r="J229" s="6" t="s">
        <v>634</v>
      </c>
      <c r="K229" s="6">
        <v>0.22</v>
      </c>
      <c r="L229" s="6"/>
      <c r="M229" s="6"/>
      <c r="N229" s="6"/>
      <c r="O229" s="6"/>
      <c r="P229" s="6"/>
      <c r="Q229" s="6"/>
    </row>
    <row r="230">
      <c r="A230" s="2"/>
      <c r="B230" s="2"/>
      <c r="C230" s="2"/>
      <c r="D230" s="2"/>
      <c r="E230" s="6"/>
      <c r="F230" s="6"/>
      <c r="G230" s="6"/>
      <c r="H230" s="2"/>
      <c r="I230" s="6" t="s">
        <v>638</v>
      </c>
      <c r="J230" s="6" t="s">
        <v>639</v>
      </c>
      <c r="K230" s="6">
        <v>0.34</v>
      </c>
      <c r="L230" s="6"/>
      <c r="M230" s="6"/>
      <c r="N230" s="6"/>
      <c r="O230" s="6"/>
      <c r="P230" s="6"/>
      <c r="Q230" s="6"/>
    </row>
    <row r="231">
      <c r="A231" s="2"/>
      <c r="B231" s="2"/>
      <c r="C231" s="2"/>
      <c r="D231" s="2"/>
      <c r="E231" s="6"/>
      <c r="F231" s="6"/>
      <c r="G231" s="6"/>
      <c r="H231" s="2"/>
      <c r="I231" s="6" t="s">
        <v>640</v>
      </c>
      <c r="J231" s="6" t="s">
        <v>639</v>
      </c>
      <c r="K231" s="6">
        <v>0.34</v>
      </c>
      <c r="L231" s="6"/>
      <c r="M231" s="6"/>
      <c r="N231" s="6"/>
      <c r="O231" s="6"/>
      <c r="P231" s="6"/>
      <c r="Q231" s="6"/>
    </row>
    <row r="232">
      <c r="A232" s="2"/>
      <c r="B232" s="2"/>
      <c r="C232" s="2"/>
      <c r="D232" s="2"/>
      <c r="E232" s="6"/>
      <c r="F232" s="6"/>
      <c r="G232" s="6"/>
      <c r="H232" s="2"/>
      <c r="I232" s="6" t="s">
        <v>641</v>
      </c>
      <c r="J232" s="6" t="s">
        <v>642</v>
      </c>
      <c r="K232" s="6">
        <v>0.4</v>
      </c>
      <c r="L232" s="6"/>
      <c r="M232" s="6"/>
      <c r="N232" s="6"/>
      <c r="O232" s="6"/>
      <c r="P232" s="6"/>
      <c r="Q232" s="6"/>
    </row>
    <row r="233">
      <c r="A233" s="2"/>
      <c r="B233" s="2"/>
      <c r="C233" s="2"/>
      <c r="D233" s="2"/>
      <c r="E233" s="6"/>
      <c r="F233" s="6"/>
      <c r="G233" s="6"/>
      <c r="H233" s="2"/>
      <c r="I233" s="6" t="s">
        <v>643</v>
      </c>
      <c r="J233" s="6" t="s">
        <v>642</v>
      </c>
      <c r="K233" s="6">
        <v>0.4</v>
      </c>
      <c r="L233" s="6"/>
      <c r="M233" s="6"/>
      <c r="N233" s="6"/>
      <c r="O233" s="6"/>
      <c r="P233" s="6"/>
      <c r="Q233" s="6"/>
    </row>
    <row r="234">
      <c r="A234" s="2"/>
      <c r="B234" s="2"/>
      <c r="C234" s="2"/>
      <c r="D234" s="2"/>
      <c r="E234" s="6"/>
      <c r="F234" s="6"/>
      <c r="G234" s="6"/>
      <c r="H234" s="2"/>
      <c r="I234" s="6" t="s">
        <v>644</v>
      </c>
      <c r="J234" s="6" t="s">
        <v>645</v>
      </c>
      <c r="K234" s="6">
        <v>0.4</v>
      </c>
      <c r="L234" s="6"/>
      <c r="M234" s="6"/>
      <c r="N234" s="6"/>
      <c r="O234" s="6"/>
      <c r="P234" s="6"/>
      <c r="Q234" s="6"/>
    </row>
    <row r="235">
      <c r="A235" s="2"/>
      <c r="B235" s="2"/>
      <c r="C235" s="2"/>
      <c r="D235" s="2"/>
      <c r="E235" s="6"/>
      <c r="F235" s="6"/>
      <c r="G235" s="6"/>
      <c r="H235" s="2"/>
      <c r="I235" s="6" t="s">
        <v>646</v>
      </c>
      <c r="J235" s="6" t="s">
        <v>645</v>
      </c>
      <c r="K235" s="6">
        <v>0.4</v>
      </c>
      <c r="L235" s="6"/>
      <c r="M235" s="6"/>
      <c r="N235" s="6"/>
      <c r="O235" s="6"/>
      <c r="P235" s="6"/>
      <c r="Q235" s="6"/>
    </row>
    <row r="236">
      <c r="A236" s="2"/>
      <c r="B236" s="2"/>
      <c r="C236" s="2"/>
      <c r="D236" s="2"/>
      <c r="E236" s="6"/>
      <c r="F236" s="6"/>
      <c r="G236" s="6"/>
      <c r="H236" s="2"/>
      <c r="I236" s="6" t="s">
        <v>647</v>
      </c>
      <c r="J236" s="6" t="s">
        <v>648</v>
      </c>
      <c r="K236" s="6">
        <v>0.4</v>
      </c>
      <c r="L236" s="6"/>
      <c r="M236" s="6"/>
      <c r="N236" s="6"/>
      <c r="O236" s="6"/>
      <c r="P236" s="6"/>
      <c r="Q236" s="6"/>
    </row>
    <row r="237">
      <c r="A237" s="2"/>
      <c r="B237" s="2"/>
      <c r="C237" s="2"/>
      <c r="D237" s="2"/>
      <c r="E237" s="6"/>
      <c r="F237" s="6"/>
      <c r="G237" s="6"/>
      <c r="H237" s="2"/>
      <c r="I237" s="6" t="s">
        <v>649</v>
      </c>
      <c r="J237" s="6" t="s">
        <v>648</v>
      </c>
      <c r="K237" s="6">
        <v>0.4</v>
      </c>
      <c r="L237" s="6"/>
      <c r="M237" s="6"/>
      <c r="N237" s="6"/>
      <c r="O237" s="6"/>
      <c r="P237" s="6"/>
      <c r="Q237" s="6"/>
    </row>
    <row r="238">
      <c r="A238" s="2"/>
      <c r="B238" s="2"/>
      <c r="C238" s="2"/>
      <c r="D238" s="2"/>
      <c r="E238" s="6"/>
      <c r="F238" s="6"/>
      <c r="G238" s="6"/>
      <c r="H238" s="2"/>
      <c r="I238" s="6" t="s">
        <v>652</v>
      </c>
      <c r="J238" s="6" t="s">
        <v>653</v>
      </c>
      <c r="K238" s="6">
        <v>0.116</v>
      </c>
      <c r="L238" s="6"/>
      <c r="M238" s="6"/>
      <c r="N238" s="6"/>
      <c r="O238" s="6"/>
      <c r="P238" s="6"/>
      <c r="Q238" s="6"/>
    </row>
    <row r="239">
      <c r="A239" s="2"/>
      <c r="B239" s="2"/>
      <c r="C239" s="2"/>
      <c r="D239" s="2"/>
      <c r="E239" s="6"/>
      <c r="F239" s="6"/>
      <c r="G239" s="6"/>
      <c r="H239" s="2"/>
      <c r="I239" s="6" t="s">
        <v>654</v>
      </c>
      <c r="J239" s="6" t="s">
        <v>653</v>
      </c>
      <c r="K239" s="6">
        <v>0.0</v>
      </c>
      <c r="L239" s="6"/>
      <c r="M239" s="6"/>
      <c r="N239" s="6"/>
      <c r="O239" s="6"/>
      <c r="P239" s="6"/>
      <c r="Q239" s="6"/>
    </row>
    <row r="240">
      <c r="A240" s="2"/>
      <c r="B240" s="2"/>
      <c r="C240" s="2"/>
      <c r="D240" s="2"/>
      <c r="E240" s="6"/>
      <c r="F240" s="6"/>
      <c r="G240" s="6"/>
      <c r="H240" s="2"/>
      <c r="I240" s="6" t="s">
        <v>655</v>
      </c>
      <c r="J240" s="6" t="s">
        <v>656</v>
      </c>
      <c r="K240" s="6">
        <v>0.132</v>
      </c>
      <c r="L240" s="6"/>
      <c r="M240" s="6"/>
      <c r="N240" s="6"/>
      <c r="O240" s="6"/>
      <c r="P240" s="6"/>
      <c r="Q240" s="6"/>
    </row>
    <row r="241">
      <c r="A241" s="2"/>
      <c r="B241" s="2"/>
      <c r="C241" s="2"/>
      <c r="D241" s="2"/>
      <c r="E241" s="6"/>
      <c r="F241" s="6"/>
      <c r="G241" s="6"/>
      <c r="H241" s="2"/>
      <c r="I241" s="6" t="s">
        <v>657</v>
      </c>
      <c r="J241" s="6" t="s">
        <v>656</v>
      </c>
      <c r="K241" s="6">
        <v>0.132</v>
      </c>
      <c r="L241" s="6"/>
      <c r="M241" s="6"/>
      <c r="N241" s="6"/>
      <c r="O241" s="6"/>
      <c r="P241" s="6"/>
      <c r="Q241" s="6"/>
    </row>
    <row r="242">
      <c r="A242" s="2"/>
      <c r="B242" s="2"/>
      <c r="C242" s="2"/>
      <c r="D242" s="2"/>
      <c r="E242" s="6"/>
      <c r="F242" s="6"/>
      <c r="G242" s="6"/>
      <c r="H242" s="2"/>
      <c r="I242" s="6" t="s">
        <v>658</v>
      </c>
      <c r="J242" s="6" t="s">
        <v>659</v>
      </c>
      <c r="K242" s="6">
        <v>0.176</v>
      </c>
      <c r="L242" s="6"/>
      <c r="M242" s="6"/>
      <c r="N242" s="6"/>
      <c r="O242" s="6"/>
      <c r="P242" s="6"/>
      <c r="Q242" s="6"/>
    </row>
    <row r="243">
      <c r="A243" s="2"/>
      <c r="B243" s="2"/>
      <c r="C243" s="2"/>
      <c r="D243" s="2"/>
      <c r="E243" s="6"/>
      <c r="F243" s="6"/>
      <c r="G243" s="6"/>
      <c r="H243" s="2"/>
      <c r="I243" s="6" t="s">
        <v>660</v>
      </c>
      <c r="J243" s="6" t="s">
        <v>659</v>
      </c>
      <c r="K243" s="6">
        <v>0.176</v>
      </c>
      <c r="L243" s="6"/>
      <c r="M243" s="6"/>
      <c r="N243" s="6"/>
      <c r="O243" s="6"/>
      <c r="P243" s="6"/>
      <c r="Q243" s="6"/>
    </row>
    <row r="244">
      <c r="A244" s="2"/>
      <c r="B244" s="2"/>
      <c r="C244" s="2"/>
      <c r="D244" s="2"/>
      <c r="E244" s="6"/>
      <c r="F244" s="6"/>
      <c r="G244" s="6"/>
      <c r="H244" s="2"/>
      <c r="I244" s="6" t="s">
        <v>661</v>
      </c>
      <c r="J244" s="6" t="s">
        <v>662</v>
      </c>
      <c r="K244" s="6">
        <v>0.2</v>
      </c>
      <c r="L244" s="6"/>
      <c r="M244" s="6"/>
      <c r="N244" s="6"/>
      <c r="O244" s="6"/>
      <c r="P244" s="6"/>
      <c r="Q244" s="6"/>
    </row>
    <row r="245">
      <c r="A245" s="2"/>
      <c r="B245" s="2"/>
      <c r="C245" s="2"/>
      <c r="D245" s="2"/>
      <c r="E245" s="6"/>
      <c r="F245" s="6"/>
      <c r="G245" s="6"/>
      <c r="H245" s="2"/>
      <c r="I245" s="6" t="s">
        <v>664</v>
      </c>
      <c r="J245" s="6" t="s">
        <v>662</v>
      </c>
      <c r="K245" s="6">
        <v>0.2</v>
      </c>
      <c r="L245" s="6"/>
      <c r="M245" s="6"/>
      <c r="N245" s="6"/>
      <c r="O245" s="6"/>
      <c r="P245" s="6"/>
      <c r="Q245" s="6"/>
    </row>
    <row r="246">
      <c r="A246" s="2"/>
      <c r="B246" s="2"/>
      <c r="C246" s="2"/>
      <c r="D246" s="2"/>
      <c r="E246" s="6"/>
      <c r="F246" s="6"/>
      <c r="G246" s="6"/>
      <c r="H246" s="2"/>
      <c r="I246" s="6" t="s">
        <v>667</v>
      </c>
      <c r="J246" s="6" t="s">
        <v>668</v>
      </c>
      <c r="K246" s="6">
        <v>0.0</v>
      </c>
      <c r="L246" s="6"/>
      <c r="M246" s="6"/>
      <c r="N246" s="6"/>
      <c r="O246" s="6"/>
      <c r="P246" s="6"/>
      <c r="Q246" s="6"/>
    </row>
    <row r="247">
      <c r="A247" s="2"/>
      <c r="B247" s="2"/>
      <c r="C247" s="2"/>
      <c r="D247" s="2"/>
      <c r="E247" s="6"/>
      <c r="F247" s="6"/>
      <c r="G247" s="6"/>
      <c r="H247" s="2"/>
      <c r="I247" s="6" t="s">
        <v>669</v>
      </c>
      <c r="J247" s="6" t="s">
        <v>670</v>
      </c>
      <c r="K247" s="6">
        <v>0.22</v>
      </c>
      <c r="L247" s="6"/>
      <c r="M247" s="6"/>
      <c r="N247" s="6"/>
      <c r="O247" s="6"/>
      <c r="P247" s="6"/>
      <c r="Q247" s="6"/>
    </row>
    <row r="248">
      <c r="A248" s="2"/>
      <c r="B248" s="2"/>
      <c r="C248" s="2"/>
      <c r="D248" s="2"/>
      <c r="E248" s="6"/>
      <c r="F248" s="6"/>
      <c r="G248" s="6"/>
      <c r="H248" s="2"/>
      <c r="I248" s="6" t="s">
        <v>671</v>
      </c>
      <c r="J248" s="6" t="s">
        <v>670</v>
      </c>
      <c r="K248" s="6">
        <v>0.22</v>
      </c>
      <c r="L248" s="6"/>
      <c r="M248" s="6"/>
      <c r="N248" s="6"/>
      <c r="O248" s="6"/>
      <c r="P248" s="6"/>
      <c r="Q248" s="6"/>
    </row>
    <row r="249">
      <c r="A249" s="2"/>
      <c r="B249" s="2"/>
      <c r="C249" s="2"/>
      <c r="D249" s="2"/>
      <c r="E249" s="6"/>
      <c r="F249" s="6"/>
      <c r="G249" s="6"/>
      <c r="H249" s="2"/>
      <c r="I249" s="6" t="s">
        <v>672</v>
      </c>
      <c r="J249" s="6" t="s">
        <v>673</v>
      </c>
      <c r="K249" s="6">
        <v>0.064</v>
      </c>
      <c r="L249" s="6"/>
      <c r="M249" s="6"/>
      <c r="N249" s="6"/>
      <c r="O249" s="6"/>
      <c r="P249" s="6"/>
      <c r="Q249" s="6"/>
    </row>
    <row r="250">
      <c r="A250" s="2"/>
      <c r="B250" s="2"/>
      <c r="C250" s="2"/>
      <c r="D250" s="2"/>
      <c r="E250" s="6"/>
      <c r="F250" s="6"/>
      <c r="G250" s="6"/>
      <c r="H250" s="2"/>
      <c r="I250" s="6" t="s">
        <v>674</v>
      </c>
      <c r="J250" s="6" t="s">
        <v>673</v>
      </c>
      <c r="K250" s="6">
        <v>0.064</v>
      </c>
      <c r="L250" s="6"/>
      <c r="M250" s="6"/>
      <c r="N250" s="6"/>
      <c r="O250" s="6"/>
      <c r="P250" s="6"/>
      <c r="Q250" s="6"/>
    </row>
    <row r="251">
      <c r="A251" s="2"/>
      <c r="B251" s="2"/>
      <c r="C251" s="2"/>
      <c r="D251" s="2"/>
      <c r="E251" s="6"/>
      <c r="F251" s="6"/>
      <c r="G251" s="6"/>
      <c r="H251" s="2"/>
      <c r="I251" s="6" t="s">
        <v>675</v>
      </c>
      <c r="J251" s="6" t="s">
        <v>676</v>
      </c>
      <c r="K251" s="6">
        <v>0.06</v>
      </c>
      <c r="L251" s="6"/>
      <c r="M251" s="6"/>
      <c r="N251" s="6"/>
      <c r="O251" s="6"/>
      <c r="P251" s="6"/>
      <c r="Q251" s="6"/>
    </row>
    <row r="252">
      <c r="A252" s="2"/>
      <c r="B252" s="2"/>
      <c r="C252" s="2"/>
      <c r="D252" s="2"/>
      <c r="E252" s="6"/>
      <c r="F252" s="6"/>
      <c r="G252" s="6"/>
      <c r="H252" s="2"/>
      <c r="I252" s="6" t="s">
        <v>677</v>
      </c>
      <c r="J252" s="6" t="s">
        <v>676</v>
      </c>
      <c r="K252" s="6">
        <v>0.06</v>
      </c>
      <c r="L252" s="6"/>
      <c r="M252" s="6"/>
      <c r="N252" s="6"/>
      <c r="O252" s="6"/>
      <c r="P252" s="6"/>
      <c r="Q252" s="6"/>
    </row>
    <row r="253">
      <c r="A253" s="2"/>
      <c r="B253" s="2"/>
      <c r="C253" s="2"/>
      <c r="D253" s="2"/>
      <c r="E253" s="6"/>
      <c r="F253" s="6"/>
      <c r="G253" s="6"/>
      <c r="H253" s="2"/>
      <c r="I253" s="6" t="s">
        <v>679</v>
      </c>
      <c r="J253" s="6" t="s">
        <v>680</v>
      </c>
      <c r="K253" s="6">
        <v>0.076</v>
      </c>
      <c r="L253" s="6"/>
      <c r="M253" s="6"/>
      <c r="N253" s="6"/>
      <c r="O253" s="6"/>
      <c r="P253" s="6"/>
      <c r="Q253" s="6"/>
    </row>
    <row r="254">
      <c r="A254" s="2"/>
      <c r="B254" s="2"/>
      <c r="C254" s="2"/>
      <c r="D254" s="2"/>
      <c r="E254" s="6"/>
      <c r="F254" s="6"/>
      <c r="G254" s="6"/>
      <c r="H254" s="2"/>
      <c r="I254" s="6" t="s">
        <v>683</v>
      </c>
      <c r="J254" s="6" t="s">
        <v>680</v>
      </c>
      <c r="K254" s="6">
        <v>0.076</v>
      </c>
      <c r="L254" s="6"/>
      <c r="M254" s="6"/>
      <c r="N254" s="6"/>
      <c r="O254" s="6"/>
      <c r="P254" s="6"/>
      <c r="Q254" s="6"/>
    </row>
    <row r="255">
      <c r="A255" s="2"/>
      <c r="B255" s="2"/>
      <c r="C255" s="2"/>
      <c r="D255" s="2"/>
      <c r="E255" s="6"/>
      <c r="F255" s="6"/>
      <c r="G255" s="6"/>
      <c r="H255" s="2"/>
      <c r="I255" s="6" t="s">
        <v>684</v>
      </c>
      <c r="J255" s="6" t="s">
        <v>685</v>
      </c>
      <c r="K255" s="6">
        <v>0.094</v>
      </c>
      <c r="L255" s="6"/>
      <c r="M255" s="6"/>
      <c r="N255" s="6"/>
      <c r="O255" s="6"/>
      <c r="P255" s="6"/>
      <c r="Q255" s="6"/>
    </row>
    <row r="256">
      <c r="A256" s="2"/>
      <c r="B256" s="2"/>
      <c r="C256" s="2"/>
      <c r="D256" s="2"/>
      <c r="E256" s="6"/>
      <c r="F256" s="6"/>
      <c r="G256" s="6"/>
      <c r="H256" s="2"/>
      <c r="I256" s="6" t="s">
        <v>686</v>
      </c>
      <c r="J256" s="6" t="s">
        <v>685</v>
      </c>
      <c r="K256" s="6">
        <v>0.094</v>
      </c>
      <c r="L256" s="6"/>
      <c r="M256" s="6"/>
      <c r="N256" s="6"/>
      <c r="O256" s="6"/>
      <c r="P256" s="6"/>
      <c r="Q256" s="6"/>
    </row>
    <row r="257">
      <c r="A257" s="2"/>
      <c r="B257" s="2"/>
      <c r="C257" s="2"/>
      <c r="D257" s="2"/>
      <c r="E257" s="6"/>
      <c r="F257" s="6"/>
      <c r="G257" s="6"/>
      <c r="H257" s="2"/>
      <c r="I257" s="6" t="s">
        <v>687</v>
      </c>
      <c r="J257" s="6" t="s">
        <v>688</v>
      </c>
      <c r="K257" s="6">
        <v>0.09</v>
      </c>
      <c r="L257" s="6"/>
      <c r="M257" s="6"/>
      <c r="N257" s="6"/>
      <c r="O257" s="6"/>
      <c r="P257" s="6"/>
      <c r="Q257" s="6"/>
    </row>
    <row r="258">
      <c r="A258" s="2"/>
      <c r="B258" s="2"/>
      <c r="C258" s="2"/>
      <c r="D258" s="2"/>
      <c r="E258" s="6"/>
      <c r="F258" s="6"/>
      <c r="G258" s="6"/>
      <c r="H258" s="2"/>
      <c r="I258" s="6" t="s">
        <v>689</v>
      </c>
      <c r="J258" s="6" t="s">
        <v>688</v>
      </c>
      <c r="K258" s="6">
        <v>0.09</v>
      </c>
      <c r="L258" s="6"/>
      <c r="M258" s="6"/>
      <c r="N258" s="6"/>
      <c r="O258" s="6"/>
      <c r="P258" s="6"/>
      <c r="Q258" s="6"/>
    </row>
    <row r="259">
      <c r="A259" s="2"/>
      <c r="B259" s="2"/>
      <c r="C259" s="2"/>
      <c r="D259" s="2"/>
      <c r="E259" s="6"/>
      <c r="F259" s="6"/>
      <c r="G259" s="6"/>
      <c r="H259" s="2"/>
      <c r="I259" s="6"/>
      <c r="J259" s="6"/>
      <c r="K259" s="6"/>
      <c r="L259" s="6"/>
      <c r="M259" s="6"/>
      <c r="N259" s="6"/>
      <c r="O259" s="6"/>
      <c r="P259" s="6"/>
      <c r="Q259" s="6"/>
    </row>
    <row r="260">
      <c r="A260" s="2"/>
      <c r="B260" s="2"/>
      <c r="C260" s="2"/>
      <c r="D260" s="2"/>
      <c r="E260" s="6"/>
      <c r="F260" s="6"/>
      <c r="G260" s="6"/>
      <c r="H260" s="2"/>
      <c r="I260" s="6"/>
      <c r="J260" s="6"/>
      <c r="K260" s="6"/>
      <c r="L260" s="6"/>
      <c r="M260" s="6"/>
      <c r="N260" s="6"/>
      <c r="O260" s="6"/>
      <c r="P260" s="6"/>
      <c r="Q260" s="6"/>
    </row>
    <row r="261">
      <c r="A261" s="2"/>
      <c r="B261" s="2"/>
      <c r="C261" s="2"/>
      <c r="D261" s="2"/>
      <c r="E261" s="6"/>
      <c r="F261" s="6"/>
      <c r="G261" s="6"/>
      <c r="H261" s="2"/>
      <c r="I261" s="6"/>
      <c r="J261" s="6"/>
      <c r="K261" s="6"/>
      <c r="L261" s="6"/>
      <c r="M261" s="6"/>
      <c r="N261" s="6"/>
      <c r="O261" s="6"/>
      <c r="P261" s="6"/>
      <c r="Q261" s="6"/>
    </row>
    <row r="262">
      <c r="A262" s="2"/>
      <c r="B262" s="2"/>
      <c r="C262" s="2"/>
      <c r="D262" s="2"/>
      <c r="E262" s="6"/>
      <c r="F262" s="6"/>
      <c r="G262" s="6"/>
      <c r="H262" s="2"/>
      <c r="I262" s="6"/>
      <c r="J262" s="6"/>
      <c r="K262" s="6"/>
      <c r="L262" s="6"/>
      <c r="M262" s="6"/>
      <c r="N262" s="6"/>
      <c r="O262" s="6"/>
      <c r="P262" s="6"/>
      <c r="Q262" s="6"/>
    </row>
    <row r="263">
      <c r="A263" s="2"/>
      <c r="B263" s="2"/>
      <c r="C263" s="2"/>
      <c r="D263" s="2"/>
      <c r="E263" s="6"/>
      <c r="F263" s="6"/>
      <c r="G263" s="6"/>
      <c r="H263" s="2"/>
      <c r="I263" s="6"/>
      <c r="J263" s="6"/>
      <c r="K263" s="6"/>
      <c r="L263" s="6"/>
      <c r="M263" s="6"/>
      <c r="N263" s="6"/>
      <c r="O263" s="6"/>
      <c r="P263" s="6"/>
      <c r="Q263" s="6"/>
    </row>
    <row r="264">
      <c r="A264" s="2"/>
      <c r="B264" s="2"/>
      <c r="C264" s="2"/>
      <c r="D264" s="2"/>
      <c r="E264" s="6"/>
      <c r="F264" s="6"/>
      <c r="G264" s="6"/>
      <c r="H264" s="2"/>
      <c r="I264" s="6"/>
      <c r="J264" s="6"/>
      <c r="K264" s="6"/>
      <c r="L264" s="6"/>
      <c r="M264" s="6"/>
      <c r="N264" s="6"/>
      <c r="O264" s="6"/>
      <c r="P264" s="6"/>
      <c r="Q264" s="6"/>
    </row>
    <row r="265">
      <c r="A265" s="2"/>
      <c r="B265" s="2"/>
      <c r="C265" s="2"/>
      <c r="D265" s="2"/>
      <c r="E265" s="6"/>
      <c r="F265" s="6"/>
      <c r="G265" s="6"/>
      <c r="H265" s="2"/>
      <c r="I265" s="6"/>
      <c r="J265" s="6"/>
      <c r="K265" s="6"/>
      <c r="L265" s="6"/>
      <c r="M265" s="6"/>
      <c r="N265" s="6"/>
      <c r="O265" s="6"/>
      <c r="P265" s="6"/>
      <c r="Q265" s="6"/>
    </row>
    <row r="266">
      <c r="A266" s="2"/>
      <c r="B266" s="2"/>
      <c r="C266" s="2"/>
      <c r="D266" s="2"/>
      <c r="E266" s="6"/>
      <c r="F266" s="6"/>
      <c r="G266" s="6"/>
      <c r="H266" s="2"/>
      <c r="I266" s="6"/>
      <c r="J266" s="6"/>
      <c r="K266" s="6"/>
      <c r="L266" s="6"/>
      <c r="M266" s="6"/>
      <c r="N266" s="6"/>
      <c r="O266" s="6"/>
      <c r="P266" s="6"/>
      <c r="Q266" s="6"/>
    </row>
    <row r="267">
      <c r="A267" s="2"/>
      <c r="B267" s="2"/>
      <c r="C267" s="2"/>
      <c r="D267" s="2"/>
      <c r="E267" s="6"/>
      <c r="F267" s="6"/>
      <c r="G267" s="6"/>
      <c r="H267" s="2"/>
      <c r="I267" s="6"/>
      <c r="J267" s="6"/>
      <c r="K267" s="6"/>
      <c r="L267" s="6"/>
      <c r="M267" s="6"/>
      <c r="N267" s="6"/>
      <c r="O267" s="6"/>
      <c r="P267" s="6"/>
      <c r="Q267" s="6"/>
    </row>
    <row r="268">
      <c r="A268" s="2"/>
      <c r="B268" s="2"/>
      <c r="C268" s="2"/>
      <c r="D268" s="2"/>
      <c r="E268" s="6"/>
      <c r="F268" s="6"/>
      <c r="G268" s="6"/>
      <c r="H268" s="2"/>
      <c r="I268" s="6"/>
      <c r="J268" s="6"/>
      <c r="K268" s="6"/>
      <c r="L268" s="6"/>
      <c r="M268" s="6"/>
      <c r="N268" s="6"/>
      <c r="O268" s="6"/>
      <c r="P268" s="6"/>
      <c r="Q268" s="6"/>
    </row>
    <row r="269">
      <c r="A269" s="2"/>
      <c r="B269" s="2"/>
      <c r="C269" s="2"/>
      <c r="D269" s="2"/>
      <c r="E269" s="6"/>
      <c r="F269" s="6"/>
      <c r="G269" s="6"/>
      <c r="H269" s="2"/>
      <c r="I269" s="6"/>
      <c r="J269" s="6"/>
      <c r="K269" s="6"/>
      <c r="L269" s="6"/>
      <c r="M269" s="6"/>
      <c r="N269" s="6"/>
      <c r="O269" s="6"/>
      <c r="P269" s="6"/>
      <c r="Q269" s="6"/>
    </row>
    <row r="270">
      <c r="A270" s="2"/>
      <c r="B270" s="2"/>
      <c r="C270" s="2"/>
      <c r="D270" s="2"/>
      <c r="E270" s="6"/>
      <c r="F270" s="6"/>
      <c r="G270" s="6"/>
      <c r="H270" s="2"/>
      <c r="I270" s="6"/>
      <c r="J270" s="6"/>
      <c r="K270" s="6"/>
      <c r="L270" s="6"/>
      <c r="M270" s="6"/>
      <c r="N270" s="6"/>
      <c r="O270" s="6"/>
      <c r="P270" s="6"/>
      <c r="Q270" s="6"/>
    </row>
    <row r="271">
      <c r="A271" s="2"/>
      <c r="B271" s="2"/>
      <c r="C271" s="2"/>
      <c r="D271" s="2"/>
      <c r="E271" s="6"/>
      <c r="F271" s="6"/>
      <c r="G271" s="6"/>
      <c r="H271" s="2"/>
      <c r="I271" s="6"/>
      <c r="J271" s="6"/>
      <c r="K271" s="6"/>
      <c r="L271" s="6"/>
      <c r="M271" s="6"/>
      <c r="N271" s="6"/>
      <c r="O271" s="6"/>
      <c r="P271" s="6"/>
      <c r="Q271" s="6"/>
    </row>
    <row r="272">
      <c r="A272" s="2"/>
      <c r="B272" s="2"/>
      <c r="C272" s="2"/>
      <c r="D272" s="2"/>
      <c r="E272" s="6"/>
      <c r="F272" s="6"/>
      <c r="G272" s="6"/>
      <c r="H272" s="2"/>
      <c r="I272" s="6"/>
      <c r="J272" s="6"/>
      <c r="K272" s="6"/>
      <c r="L272" s="6"/>
      <c r="M272" s="6"/>
      <c r="N272" s="6"/>
      <c r="O272" s="6"/>
      <c r="P272" s="6"/>
      <c r="Q272" s="6"/>
    </row>
    <row r="273">
      <c r="A273" s="2"/>
      <c r="B273" s="2"/>
      <c r="C273" s="2"/>
      <c r="D273" s="2"/>
      <c r="E273" s="6"/>
      <c r="F273" s="6"/>
      <c r="G273" s="6"/>
      <c r="H273" s="2"/>
      <c r="I273" s="6"/>
      <c r="J273" s="6"/>
      <c r="K273" s="6"/>
      <c r="L273" s="6"/>
      <c r="M273" s="6"/>
      <c r="N273" s="6"/>
      <c r="O273" s="6"/>
      <c r="P273" s="6"/>
      <c r="Q273" s="6"/>
    </row>
    <row r="274">
      <c r="A274" s="2"/>
      <c r="B274" s="2"/>
      <c r="C274" s="2"/>
      <c r="D274" s="2"/>
      <c r="E274" s="6"/>
      <c r="F274" s="6"/>
      <c r="G274" s="6"/>
      <c r="H274" s="2"/>
      <c r="I274" s="6"/>
      <c r="J274" s="6"/>
      <c r="K274" s="6"/>
      <c r="L274" s="6"/>
      <c r="M274" s="6"/>
      <c r="N274" s="6"/>
      <c r="O274" s="6"/>
      <c r="P274" s="6"/>
      <c r="Q274" s="6"/>
    </row>
    <row r="275">
      <c r="A275" s="2"/>
      <c r="B275" s="2"/>
      <c r="C275" s="2"/>
      <c r="D275" s="2"/>
      <c r="E275" s="6"/>
      <c r="F275" s="6"/>
      <c r="G275" s="6"/>
      <c r="H275" s="2"/>
      <c r="I275" s="6"/>
      <c r="J275" s="6"/>
      <c r="K275" s="6"/>
      <c r="L275" s="6"/>
      <c r="M275" s="6"/>
      <c r="N275" s="6"/>
      <c r="O275" s="6"/>
      <c r="P275" s="6"/>
      <c r="Q275" s="6"/>
    </row>
    <row r="276">
      <c r="A276" s="2"/>
      <c r="B276" s="2"/>
      <c r="C276" s="2"/>
      <c r="D276" s="2"/>
      <c r="E276" s="6"/>
      <c r="F276" s="6"/>
      <c r="G276" s="6"/>
      <c r="H276" s="2"/>
      <c r="I276" s="6"/>
      <c r="J276" s="6"/>
      <c r="K276" s="6"/>
      <c r="L276" s="6"/>
      <c r="M276" s="6"/>
      <c r="N276" s="6"/>
      <c r="O276" s="6"/>
      <c r="P276" s="6"/>
      <c r="Q276" s="6"/>
    </row>
    <row r="277">
      <c r="A277" s="2"/>
      <c r="B277" s="2"/>
      <c r="C277" s="2"/>
      <c r="D277" s="2"/>
      <c r="E277" s="6"/>
      <c r="F277" s="6"/>
      <c r="G277" s="6"/>
      <c r="H277" s="2"/>
      <c r="I277" s="6"/>
      <c r="J277" s="6"/>
      <c r="K277" s="6"/>
      <c r="L277" s="6"/>
      <c r="M277" s="6"/>
      <c r="N277" s="6"/>
      <c r="O277" s="6"/>
      <c r="P277" s="6"/>
      <c r="Q277" s="6"/>
    </row>
    <row r="278">
      <c r="A278" s="2"/>
      <c r="B278" s="2"/>
      <c r="C278" s="2"/>
      <c r="D278" s="2"/>
      <c r="E278" s="6"/>
      <c r="F278" s="6"/>
      <c r="G278" s="6"/>
      <c r="H278" s="2"/>
      <c r="I278" s="6"/>
      <c r="J278" s="6"/>
      <c r="K278" s="6"/>
      <c r="L278" s="6"/>
      <c r="M278" s="6"/>
      <c r="N278" s="6"/>
      <c r="O278" s="6"/>
      <c r="P278" s="6"/>
      <c r="Q278" s="6"/>
    </row>
    <row r="279">
      <c r="A279" s="2"/>
      <c r="B279" s="2"/>
      <c r="C279" s="2"/>
      <c r="D279" s="2"/>
      <c r="E279" s="6"/>
      <c r="F279" s="6"/>
      <c r="G279" s="6"/>
      <c r="H279" s="2"/>
      <c r="I279" s="6"/>
      <c r="J279" s="6"/>
      <c r="K279" s="6"/>
      <c r="L279" s="6"/>
      <c r="M279" s="6"/>
      <c r="N279" s="6"/>
      <c r="O279" s="6"/>
      <c r="P279" s="6"/>
      <c r="Q279" s="6"/>
    </row>
    <row r="280">
      <c r="A280" s="2"/>
      <c r="B280" s="2"/>
      <c r="C280" s="2"/>
      <c r="D280" s="2"/>
      <c r="E280" s="6"/>
      <c r="F280" s="6"/>
      <c r="G280" s="6"/>
      <c r="H280" s="2"/>
      <c r="I280" s="6"/>
      <c r="J280" s="6"/>
      <c r="K280" s="6"/>
      <c r="L280" s="6"/>
      <c r="M280" s="6"/>
      <c r="N280" s="6"/>
      <c r="O280" s="6"/>
      <c r="P280" s="6"/>
      <c r="Q280" s="6"/>
    </row>
    <row r="281">
      <c r="A281" s="2"/>
      <c r="B281" s="2"/>
      <c r="C281" s="2"/>
      <c r="D281" s="2"/>
      <c r="E281" s="6"/>
      <c r="F281" s="6"/>
      <c r="G281" s="6"/>
      <c r="H281" s="2"/>
      <c r="I281" s="6"/>
      <c r="J281" s="6"/>
      <c r="K281" s="6"/>
      <c r="L281" s="6"/>
      <c r="M281" s="6"/>
      <c r="N281" s="6"/>
      <c r="O281" s="6"/>
      <c r="P281" s="6"/>
      <c r="Q281" s="6"/>
    </row>
    <row r="282">
      <c r="A282" s="2"/>
      <c r="B282" s="2"/>
      <c r="C282" s="2"/>
      <c r="D282" s="2"/>
      <c r="E282" s="6"/>
      <c r="F282" s="6"/>
      <c r="G282" s="6"/>
      <c r="H282" s="2"/>
      <c r="I282" s="6"/>
      <c r="J282" s="6"/>
      <c r="K282" s="6"/>
      <c r="L282" s="6"/>
      <c r="M282" s="6"/>
      <c r="N282" s="6"/>
      <c r="O282" s="6"/>
      <c r="P282" s="6"/>
      <c r="Q282" s="6"/>
    </row>
    <row r="283">
      <c r="A283" s="2"/>
      <c r="B283" s="2"/>
      <c r="C283" s="2"/>
      <c r="D283" s="2"/>
      <c r="E283" s="6"/>
      <c r="F283" s="6"/>
      <c r="G283" s="6"/>
      <c r="H283" s="2"/>
      <c r="I283" s="6"/>
      <c r="J283" s="6"/>
      <c r="K283" s="6"/>
      <c r="L283" s="6"/>
      <c r="M283" s="6"/>
      <c r="N283" s="6"/>
      <c r="O283" s="6"/>
      <c r="P283" s="6"/>
      <c r="Q283" s="6"/>
    </row>
    <row r="284">
      <c r="A284" s="2"/>
      <c r="B284" s="2"/>
      <c r="C284" s="2"/>
      <c r="D284" s="2"/>
      <c r="E284" s="6"/>
      <c r="F284" s="6"/>
      <c r="G284" s="6"/>
      <c r="H284" s="2"/>
      <c r="I284" s="6"/>
      <c r="J284" s="6"/>
      <c r="K284" s="6"/>
      <c r="L284" s="6"/>
      <c r="M284" s="6"/>
      <c r="N284" s="6"/>
      <c r="O284" s="6"/>
      <c r="P284" s="6"/>
      <c r="Q284" s="6"/>
    </row>
    <row r="285">
      <c r="A285" s="2"/>
      <c r="B285" s="2"/>
      <c r="C285" s="2"/>
      <c r="D285" s="2"/>
      <c r="E285" s="6"/>
      <c r="F285" s="6"/>
      <c r="G285" s="6"/>
      <c r="H285" s="2"/>
      <c r="I285" s="6"/>
      <c r="J285" s="6"/>
      <c r="K285" s="6"/>
      <c r="L285" s="6"/>
      <c r="M285" s="6"/>
      <c r="N285" s="6"/>
      <c r="O285" s="6"/>
      <c r="P285" s="6"/>
      <c r="Q285" s="6"/>
    </row>
    <row r="286">
      <c r="A286" s="2"/>
      <c r="B286" s="2"/>
      <c r="C286" s="2"/>
      <c r="D286" s="2"/>
      <c r="E286" s="6"/>
      <c r="F286" s="6"/>
      <c r="G286" s="6"/>
      <c r="H286" s="2"/>
      <c r="I286" s="6"/>
      <c r="J286" s="6"/>
      <c r="K286" s="6"/>
      <c r="L286" s="6"/>
      <c r="M286" s="6"/>
      <c r="N286" s="6"/>
      <c r="O286" s="6"/>
      <c r="P286" s="6"/>
      <c r="Q286" s="6"/>
    </row>
    <row r="287">
      <c r="A287" s="2"/>
      <c r="B287" s="2"/>
      <c r="C287" s="2"/>
      <c r="D287" s="2"/>
      <c r="E287" s="6"/>
      <c r="F287" s="6"/>
      <c r="G287" s="6"/>
      <c r="H287" s="2"/>
      <c r="I287" s="6"/>
      <c r="J287" s="6"/>
      <c r="K287" s="6"/>
      <c r="L287" s="6"/>
      <c r="M287" s="6"/>
      <c r="N287" s="6"/>
      <c r="O287" s="6"/>
      <c r="P287" s="6"/>
      <c r="Q287" s="6"/>
    </row>
    <row r="288">
      <c r="A288" s="2"/>
      <c r="B288" s="2"/>
      <c r="C288" s="2"/>
      <c r="D288" s="2"/>
      <c r="E288" s="6"/>
      <c r="F288" s="6"/>
      <c r="G288" s="6"/>
      <c r="H288" s="2"/>
      <c r="I288" s="6"/>
      <c r="J288" s="6"/>
      <c r="K288" s="6"/>
      <c r="L288" s="6"/>
      <c r="M288" s="6"/>
      <c r="N288" s="6"/>
      <c r="O288" s="6"/>
      <c r="P288" s="6"/>
      <c r="Q288" s="6"/>
    </row>
    <row r="289">
      <c r="A289" s="2"/>
      <c r="B289" s="2"/>
      <c r="C289" s="2"/>
      <c r="D289" s="2"/>
      <c r="E289" s="6"/>
      <c r="F289" s="6"/>
      <c r="G289" s="6"/>
      <c r="H289" s="2"/>
      <c r="I289" s="6"/>
      <c r="J289" s="6"/>
      <c r="K289" s="6"/>
      <c r="L289" s="6"/>
      <c r="M289" s="6"/>
      <c r="N289" s="6"/>
      <c r="O289" s="6"/>
      <c r="P289" s="6"/>
      <c r="Q289" s="6"/>
    </row>
    <row r="290">
      <c r="A290" s="2"/>
      <c r="B290" s="2"/>
      <c r="C290" s="2"/>
      <c r="D290" s="2"/>
      <c r="E290" s="6"/>
      <c r="F290" s="6"/>
      <c r="G290" s="6"/>
      <c r="H290" s="2"/>
      <c r="I290" s="6"/>
      <c r="J290" s="6"/>
      <c r="K290" s="6"/>
      <c r="L290" s="6"/>
      <c r="M290" s="6"/>
      <c r="N290" s="6"/>
      <c r="O290" s="6"/>
      <c r="P290" s="6"/>
      <c r="Q290" s="6"/>
    </row>
    <row r="291">
      <c r="A291" s="2"/>
      <c r="B291" s="2"/>
      <c r="C291" s="2"/>
      <c r="D291" s="2"/>
      <c r="E291" s="6"/>
      <c r="F291" s="6"/>
      <c r="G291" s="6"/>
      <c r="H291" s="2"/>
      <c r="I291" s="6"/>
      <c r="J291" s="6"/>
      <c r="K291" s="6"/>
      <c r="L291" s="6"/>
      <c r="M291" s="6"/>
      <c r="N291" s="6"/>
      <c r="O291" s="6"/>
      <c r="P291" s="6"/>
      <c r="Q291" s="6"/>
    </row>
    <row r="292">
      <c r="A292" s="2"/>
      <c r="B292" s="2"/>
      <c r="C292" s="2"/>
      <c r="D292" s="2"/>
      <c r="E292" s="6"/>
      <c r="F292" s="6"/>
      <c r="G292" s="6"/>
      <c r="H292" s="2"/>
      <c r="I292" s="6"/>
      <c r="J292" s="6"/>
      <c r="K292" s="6"/>
      <c r="L292" s="6"/>
      <c r="M292" s="6"/>
      <c r="N292" s="6"/>
      <c r="O292" s="6"/>
      <c r="P292" s="6"/>
      <c r="Q292" s="6"/>
    </row>
    <row r="293">
      <c r="A293" s="2"/>
      <c r="B293" s="2"/>
      <c r="C293" s="2"/>
      <c r="D293" s="2"/>
      <c r="E293" s="6"/>
      <c r="F293" s="6"/>
      <c r="G293" s="6"/>
      <c r="H293" s="2"/>
      <c r="I293" s="6"/>
      <c r="J293" s="6"/>
      <c r="K293" s="6"/>
      <c r="L293" s="6"/>
      <c r="M293" s="6"/>
      <c r="N293" s="6"/>
      <c r="O293" s="6"/>
      <c r="P293" s="6"/>
      <c r="Q293" s="6"/>
    </row>
    <row r="294">
      <c r="A294" s="2"/>
      <c r="B294" s="2"/>
      <c r="C294" s="2"/>
      <c r="D294" s="2"/>
      <c r="E294" s="6"/>
      <c r="F294" s="6"/>
      <c r="G294" s="6"/>
      <c r="H294" s="2"/>
      <c r="I294" s="6"/>
      <c r="J294" s="6"/>
      <c r="K294" s="6"/>
      <c r="L294" s="6"/>
      <c r="M294" s="6"/>
      <c r="N294" s="6"/>
      <c r="O294" s="6"/>
      <c r="P294" s="6"/>
      <c r="Q294" s="6"/>
    </row>
    <row r="295">
      <c r="A295" s="2"/>
      <c r="B295" s="2"/>
      <c r="C295" s="2"/>
      <c r="D295" s="2"/>
      <c r="E295" s="6"/>
      <c r="F295" s="6"/>
      <c r="G295" s="6"/>
      <c r="H295" s="2"/>
      <c r="I295" s="6"/>
      <c r="J295" s="6"/>
      <c r="K295" s="6"/>
      <c r="L295" s="6"/>
      <c r="M295" s="6"/>
      <c r="N295" s="6"/>
      <c r="O295" s="6"/>
      <c r="P295" s="6"/>
      <c r="Q295" s="6"/>
    </row>
    <row r="296">
      <c r="A296" s="2"/>
      <c r="B296" s="2"/>
      <c r="C296" s="2"/>
      <c r="D296" s="2"/>
      <c r="E296" s="6"/>
      <c r="F296" s="6"/>
      <c r="G296" s="6"/>
      <c r="H296" s="2"/>
      <c r="I296" s="6"/>
      <c r="J296" s="6"/>
      <c r="K296" s="6"/>
      <c r="L296" s="6"/>
      <c r="M296" s="6"/>
      <c r="N296" s="6"/>
      <c r="O296" s="6"/>
      <c r="P296" s="6"/>
      <c r="Q296" s="6"/>
    </row>
    <row r="297">
      <c r="A297" s="2"/>
      <c r="B297" s="2"/>
      <c r="C297" s="2"/>
      <c r="D297" s="2"/>
      <c r="E297" s="6"/>
      <c r="F297" s="6"/>
      <c r="G297" s="6"/>
      <c r="H297" s="2"/>
      <c r="I297" s="6"/>
      <c r="J297" s="6"/>
      <c r="K297" s="6"/>
      <c r="L297" s="6"/>
      <c r="M297" s="6"/>
      <c r="N297" s="6"/>
      <c r="O297" s="6"/>
      <c r="P297" s="6"/>
      <c r="Q297" s="6"/>
    </row>
    <row r="298">
      <c r="A298" s="2"/>
      <c r="B298" s="2"/>
      <c r="C298" s="2"/>
      <c r="D298" s="2"/>
      <c r="E298" s="6"/>
      <c r="F298" s="6"/>
      <c r="G298" s="6"/>
      <c r="H298" s="2"/>
      <c r="I298" s="6"/>
      <c r="J298" s="6"/>
      <c r="K298" s="6"/>
      <c r="L298" s="6"/>
      <c r="M298" s="6"/>
      <c r="N298" s="6"/>
      <c r="O298" s="6"/>
      <c r="P298" s="6"/>
      <c r="Q298" s="6"/>
    </row>
    <row r="299">
      <c r="A299" s="2"/>
      <c r="B299" s="2"/>
      <c r="C299" s="2"/>
      <c r="D299" s="2"/>
      <c r="E299" s="6"/>
      <c r="F299" s="6"/>
      <c r="G299" s="6"/>
      <c r="H299" s="2"/>
      <c r="I299" s="6"/>
      <c r="J299" s="6"/>
      <c r="K299" s="6"/>
      <c r="L299" s="6"/>
      <c r="M299" s="6"/>
      <c r="N299" s="6"/>
      <c r="O299" s="6"/>
      <c r="P299" s="6"/>
      <c r="Q299" s="6"/>
    </row>
    <row r="300">
      <c r="A300" s="2"/>
      <c r="B300" s="2"/>
      <c r="C300" s="2"/>
      <c r="D300" s="2"/>
      <c r="E300" s="6"/>
      <c r="F300" s="6"/>
      <c r="G300" s="6"/>
      <c r="H300" s="2"/>
      <c r="I300" s="6"/>
      <c r="J300" s="6"/>
      <c r="K300" s="6"/>
      <c r="L300" s="6"/>
      <c r="M300" s="6"/>
      <c r="N300" s="6"/>
      <c r="O300" s="6"/>
      <c r="P300" s="6"/>
      <c r="Q300" s="6"/>
    </row>
    <row r="301">
      <c r="A301" s="2"/>
      <c r="B301" s="2"/>
      <c r="C301" s="2"/>
      <c r="D301" s="2"/>
      <c r="E301" s="6"/>
      <c r="F301" s="6"/>
      <c r="G301" s="6"/>
      <c r="H301" s="2"/>
      <c r="I301" s="6"/>
      <c r="J301" s="6"/>
      <c r="K301" s="6"/>
      <c r="L301" s="6"/>
      <c r="M301" s="6"/>
      <c r="N301" s="6"/>
      <c r="O301" s="6"/>
      <c r="P301" s="6"/>
      <c r="Q301" s="6"/>
    </row>
    <row r="302">
      <c r="A302" s="2"/>
      <c r="B302" s="2"/>
      <c r="C302" s="2"/>
      <c r="D302" s="2"/>
      <c r="E302" s="6"/>
      <c r="F302" s="6"/>
      <c r="G302" s="6"/>
      <c r="H302" s="2"/>
      <c r="I302" s="6"/>
      <c r="J302" s="6"/>
      <c r="K302" s="6"/>
      <c r="L302" s="6"/>
      <c r="M302" s="6"/>
      <c r="N302" s="6"/>
      <c r="O302" s="6"/>
      <c r="P302" s="6"/>
      <c r="Q302" s="6"/>
    </row>
    <row r="303">
      <c r="A303" s="2"/>
      <c r="B303" s="2"/>
      <c r="C303" s="2"/>
      <c r="D303" s="2"/>
      <c r="E303" s="6"/>
      <c r="F303" s="6"/>
      <c r="G303" s="6"/>
      <c r="H303" s="2"/>
      <c r="I303" s="6"/>
      <c r="J303" s="6"/>
      <c r="K303" s="6"/>
      <c r="L303" s="6"/>
      <c r="M303" s="6"/>
      <c r="N303" s="6"/>
      <c r="O303" s="6"/>
      <c r="P303" s="6"/>
      <c r="Q303" s="6"/>
    </row>
    <row r="304">
      <c r="A304" s="2"/>
      <c r="B304" s="2"/>
      <c r="C304" s="2"/>
      <c r="D304" s="2"/>
      <c r="E304" s="6"/>
      <c r="F304" s="6"/>
      <c r="G304" s="6"/>
      <c r="H304" s="2"/>
      <c r="I304" s="6"/>
      <c r="J304" s="6"/>
      <c r="K304" s="6"/>
      <c r="L304" s="6"/>
      <c r="M304" s="6"/>
      <c r="N304" s="6"/>
      <c r="O304" s="6"/>
      <c r="P304" s="6"/>
      <c r="Q304" s="6"/>
    </row>
    <row r="305">
      <c r="A305" s="2"/>
      <c r="B305" s="2"/>
      <c r="C305" s="2"/>
      <c r="D305" s="2"/>
      <c r="E305" s="6"/>
      <c r="F305" s="6"/>
      <c r="G305" s="6"/>
      <c r="H305" s="2"/>
      <c r="I305" s="6"/>
      <c r="J305" s="6"/>
      <c r="K305" s="6"/>
      <c r="L305" s="6"/>
      <c r="M305" s="6"/>
      <c r="N305" s="6"/>
      <c r="O305" s="6"/>
      <c r="P305" s="6"/>
      <c r="Q305" s="6"/>
    </row>
    <row r="306">
      <c r="A306" s="2"/>
      <c r="B306" s="2"/>
      <c r="C306" s="2"/>
      <c r="D306" s="2"/>
      <c r="E306" s="6"/>
      <c r="F306" s="6"/>
      <c r="G306" s="6"/>
      <c r="H306" s="2"/>
      <c r="I306" s="6"/>
      <c r="J306" s="6"/>
      <c r="K306" s="6"/>
      <c r="L306" s="6"/>
      <c r="M306" s="6"/>
      <c r="N306" s="6"/>
      <c r="O306" s="6"/>
      <c r="P306" s="6"/>
      <c r="Q306" s="6"/>
    </row>
    <row r="307">
      <c r="A307" s="2"/>
      <c r="B307" s="2"/>
      <c r="C307" s="2"/>
      <c r="D307" s="2"/>
      <c r="E307" s="6"/>
      <c r="F307" s="6"/>
      <c r="G307" s="6"/>
      <c r="H307" s="2"/>
      <c r="I307" s="6"/>
      <c r="J307" s="6"/>
      <c r="K307" s="6"/>
      <c r="L307" s="6"/>
      <c r="M307" s="6"/>
      <c r="N307" s="6"/>
      <c r="O307" s="6"/>
      <c r="P307" s="6"/>
      <c r="Q307" s="6"/>
    </row>
    <row r="308">
      <c r="A308" s="2"/>
      <c r="B308" s="2"/>
      <c r="C308" s="2"/>
      <c r="D308" s="2"/>
      <c r="E308" s="6"/>
      <c r="F308" s="6"/>
      <c r="G308" s="6"/>
      <c r="H308" s="2"/>
      <c r="I308" s="6"/>
      <c r="J308" s="6"/>
      <c r="K308" s="6"/>
      <c r="L308" s="6"/>
      <c r="M308" s="6"/>
      <c r="N308" s="6"/>
      <c r="O308" s="6"/>
      <c r="P308" s="6"/>
      <c r="Q308" s="6"/>
    </row>
    <row r="309">
      <c r="A309" s="2"/>
      <c r="B309" s="2"/>
      <c r="C309" s="2"/>
      <c r="D309" s="2"/>
      <c r="E309" s="6"/>
      <c r="F309" s="6"/>
      <c r="G309" s="6"/>
      <c r="H309" s="2"/>
      <c r="I309" s="6"/>
      <c r="J309" s="6"/>
      <c r="K309" s="6"/>
      <c r="L309" s="6"/>
      <c r="M309" s="6"/>
      <c r="N309" s="6"/>
      <c r="O309" s="6"/>
      <c r="P309" s="6"/>
      <c r="Q309" s="6"/>
    </row>
    <row r="310">
      <c r="A310" s="2"/>
      <c r="B310" s="2"/>
      <c r="C310" s="2"/>
      <c r="D310" s="2"/>
      <c r="E310" s="6"/>
      <c r="F310" s="6"/>
      <c r="G310" s="6"/>
      <c r="H310" s="2"/>
      <c r="I310" s="6"/>
      <c r="J310" s="6"/>
      <c r="K310" s="6"/>
      <c r="L310" s="6"/>
      <c r="M310" s="6"/>
      <c r="N310" s="6"/>
      <c r="O310" s="6"/>
      <c r="P310" s="6"/>
      <c r="Q310" s="6"/>
    </row>
    <row r="311">
      <c r="A311" s="2"/>
      <c r="B311" s="2"/>
      <c r="C311" s="2"/>
      <c r="D311" s="2"/>
      <c r="E311" s="6"/>
      <c r="F311" s="6"/>
      <c r="G311" s="6"/>
      <c r="H311" s="2"/>
      <c r="I311" s="6"/>
      <c r="J311" s="6"/>
      <c r="K311" s="6"/>
      <c r="L311" s="6"/>
      <c r="M311" s="6"/>
      <c r="N311" s="6"/>
      <c r="O311" s="6"/>
      <c r="P311" s="6"/>
      <c r="Q311" s="6"/>
    </row>
    <row r="312">
      <c r="A312" s="2"/>
      <c r="B312" s="2"/>
      <c r="C312" s="2"/>
      <c r="D312" s="2"/>
      <c r="E312" s="6"/>
      <c r="F312" s="6"/>
      <c r="G312" s="6"/>
      <c r="H312" s="2"/>
      <c r="I312" s="6"/>
      <c r="J312" s="6"/>
      <c r="K312" s="6"/>
      <c r="L312" s="6"/>
      <c r="M312" s="6"/>
      <c r="N312" s="6"/>
      <c r="O312" s="6"/>
      <c r="P312" s="6"/>
      <c r="Q312" s="6"/>
    </row>
    <row r="313">
      <c r="A313" s="2"/>
      <c r="B313" s="2"/>
      <c r="C313" s="2"/>
      <c r="D313" s="2"/>
      <c r="E313" s="6"/>
      <c r="F313" s="6"/>
      <c r="G313" s="6"/>
      <c r="H313" s="2"/>
      <c r="I313" s="6"/>
      <c r="J313" s="6"/>
      <c r="K313" s="6"/>
      <c r="L313" s="6"/>
      <c r="M313" s="6"/>
      <c r="N313" s="6"/>
      <c r="O313" s="6"/>
      <c r="P313" s="6"/>
      <c r="Q313" s="6"/>
    </row>
    <row r="314">
      <c r="A314" s="2"/>
      <c r="B314" s="2"/>
      <c r="C314" s="2"/>
      <c r="D314" s="2"/>
      <c r="E314" s="6"/>
      <c r="F314" s="6"/>
      <c r="G314" s="6"/>
      <c r="H314" s="2"/>
      <c r="I314" s="6"/>
      <c r="J314" s="6"/>
      <c r="K314" s="6"/>
      <c r="L314" s="6"/>
      <c r="M314" s="6"/>
      <c r="N314" s="6"/>
      <c r="O314" s="6"/>
      <c r="P314" s="6"/>
      <c r="Q314" s="6"/>
    </row>
    <row r="315">
      <c r="A315" s="2"/>
      <c r="B315" s="2"/>
      <c r="C315" s="2"/>
      <c r="D315" s="2"/>
      <c r="E315" s="6"/>
      <c r="F315" s="6"/>
      <c r="G315" s="6"/>
      <c r="H315" s="2"/>
      <c r="I315" s="6"/>
      <c r="J315" s="6"/>
      <c r="K315" s="6"/>
      <c r="L315" s="6"/>
      <c r="M315" s="6"/>
      <c r="N315" s="6"/>
      <c r="O315" s="6"/>
      <c r="P315" s="6"/>
      <c r="Q315" s="6"/>
    </row>
    <row r="316">
      <c r="A316" s="2"/>
      <c r="B316" s="2"/>
      <c r="C316" s="2"/>
      <c r="D316" s="2"/>
      <c r="E316" s="6"/>
      <c r="F316" s="6"/>
      <c r="G316" s="6"/>
      <c r="H316" s="2"/>
      <c r="I316" s="6"/>
      <c r="J316" s="6"/>
      <c r="K316" s="6"/>
      <c r="L316" s="6"/>
      <c r="M316" s="6"/>
      <c r="N316" s="6"/>
      <c r="O316" s="6"/>
      <c r="P316" s="6"/>
      <c r="Q316" s="6"/>
    </row>
    <row r="317">
      <c r="A317" s="2"/>
      <c r="B317" s="2"/>
      <c r="C317" s="2"/>
      <c r="D317" s="2"/>
      <c r="E317" s="6"/>
      <c r="F317" s="6"/>
      <c r="G317" s="6"/>
      <c r="H317" s="2"/>
      <c r="I317" s="6"/>
      <c r="J317" s="6"/>
      <c r="K317" s="6"/>
      <c r="L317" s="6"/>
      <c r="M317" s="6"/>
      <c r="N317" s="6"/>
      <c r="O317" s="6"/>
      <c r="P317" s="6"/>
      <c r="Q317" s="6"/>
    </row>
    <row r="318">
      <c r="A318" s="2"/>
      <c r="B318" s="2"/>
      <c r="C318" s="2"/>
      <c r="D318" s="2"/>
      <c r="E318" s="6"/>
      <c r="F318" s="6"/>
      <c r="G318" s="6"/>
      <c r="H318" s="2"/>
      <c r="I318" s="6"/>
      <c r="J318" s="6"/>
      <c r="K318" s="6"/>
      <c r="L318" s="6"/>
      <c r="M318" s="6"/>
      <c r="N318" s="6"/>
      <c r="O318" s="6"/>
      <c r="P318" s="6"/>
      <c r="Q318" s="6"/>
    </row>
    <row r="319">
      <c r="A319" s="2"/>
      <c r="B319" s="2"/>
      <c r="C319" s="2"/>
      <c r="D319" s="2"/>
      <c r="E319" s="6"/>
      <c r="F319" s="6"/>
      <c r="G319" s="6"/>
      <c r="H319" s="2"/>
      <c r="I319" s="6"/>
      <c r="J319" s="6"/>
      <c r="K319" s="6"/>
      <c r="L319" s="6"/>
      <c r="M319" s="6"/>
      <c r="N319" s="6"/>
      <c r="O319" s="6"/>
      <c r="P319" s="6"/>
      <c r="Q319" s="6"/>
    </row>
    <row r="320">
      <c r="A320" s="2"/>
      <c r="B320" s="2"/>
      <c r="C320" s="2"/>
      <c r="D320" s="2"/>
      <c r="E320" s="6"/>
      <c r="F320" s="6"/>
      <c r="G320" s="6"/>
      <c r="H320" s="2"/>
      <c r="I320" s="6"/>
      <c r="J320" s="6"/>
      <c r="K320" s="6"/>
      <c r="L320" s="6"/>
      <c r="M320" s="6"/>
      <c r="N320" s="6"/>
      <c r="O320" s="6"/>
      <c r="P320" s="6"/>
      <c r="Q320" s="6"/>
    </row>
    <row r="321">
      <c r="A321" s="2"/>
      <c r="B321" s="2"/>
      <c r="C321" s="2"/>
      <c r="D321" s="2"/>
      <c r="E321" s="6"/>
      <c r="F321" s="6"/>
      <c r="G321" s="6"/>
      <c r="H321" s="2"/>
      <c r="I321" s="6"/>
      <c r="J321" s="6"/>
      <c r="K321" s="6"/>
      <c r="L321" s="6"/>
      <c r="M321" s="6"/>
      <c r="N321" s="6"/>
      <c r="O321" s="6"/>
      <c r="P321" s="6"/>
      <c r="Q321" s="6"/>
    </row>
    <row r="322">
      <c r="A322" s="2"/>
      <c r="B322" s="2"/>
      <c r="C322" s="2"/>
      <c r="D322" s="2"/>
      <c r="E322" s="6"/>
      <c r="F322" s="6"/>
      <c r="G322" s="6"/>
      <c r="H322" s="2"/>
      <c r="I322" s="6"/>
      <c r="J322" s="6"/>
      <c r="K322" s="6"/>
      <c r="L322" s="6"/>
      <c r="M322" s="6"/>
      <c r="N322" s="6"/>
      <c r="O322" s="6"/>
      <c r="P322" s="6"/>
      <c r="Q322" s="6"/>
    </row>
    <row r="323">
      <c r="A323" s="2"/>
      <c r="B323" s="2"/>
      <c r="C323" s="2"/>
      <c r="D323" s="2"/>
      <c r="E323" s="6"/>
      <c r="F323" s="6"/>
      <c r="G323" s="6"/>
      <c r="H323" s="2"/>
      <c r="I323" s="6"/>
      <c r="J323" s="6"/>
      <c r="K323" s="6"/>
      <c r="L323" s="6"/>
      <c r="M323" s="6"/>
      <c r="N323" s="6"/>
      <c r="O323" s="6"/>
      <c r="P323" s="6"/>
      <c r="Q323" s="6"/>
    </row>
    <row r="324">
      <c r="A324" s="2"/>
      <c r="B324" s="2"/>
      <c r="C324" s="2"/>
      <c r="D324" s="2"/>
      <c r="E324" s="6"/>
      <c r="F324" s="6"/>
      <c r="G324" s="6"/>
      <c r="H324" s="2"/>
      <c r="I324" s="6"/>
      <c r="J324" s="6"/>
      <c r="K324" s="6"/>
      <c r="L324" s="6"/>
      <c r="M324" s="6"/>
      <c r="N324" s="6"/>
      <c r="O324" s="6"/>
      <c r="P324" s="6"/>
      <c r="Q324" s="6"/>
    </row>
    <row r="325">
      <c r="A325" s="2"/>
      <c r="B325" s="2"/>
      <c r="C325" s="2"/>
      <c r="D325" s="2"/>
      <c r="E325" s="6"/>
      <c r="F325" s="6"/>
      <c r="G325" s="6"/>
      <c r="H325" s="2"/>
      <c r="I325" s="6"/>
      <c r="J325" s="6"/>
      <c r="K325" s="6"/>
      <c r="L325" s="6"/>
      <c r="M325" s="6"/>
      <c r="N325" s="6"/>
      <c r="O325" s="6"/>
      <c r="P325" s="6"/>
      <c r="Q325" s="6"/>
    </row>
    <row r="326">
      <c r="A326" s="2"/>
      <c r="B326" s="2"/>
      <c r="C326" s="2"/>
      <c r="D326" s="2"/>
      <c r="E326" s="6"/>
      <c r="F326" s="6"/>
      <c r="G326" s="6"/>
      <c r="H326" s="2"/>
      <c r="I326" s="6"/>
      <c r="J326" s="6"/>
      <c r="K326" s="6"/>
      <c r="L326" s="6"/>
      <c r="M326" s="6"/>
      <c r="N326" s="6"/>
      <c r="O326" s="6"/>
      <c r="P326" s="6"/>
      <c r="Q326" s="6"/>
    </row>
    <row r="327">
      <c r="A327" s="2"/>
      <c r="B327" s="2"/>
      <c r="C327" s="2"/>
      <c r="D327" s="2"/>
      <c r="E327" s="6"/>
      <c r="F327" s="6"/>
      <c r="G327" s="6"/>
      <c r="H327" s="2"/>
      <c r="I327" s="6"/>
      <c r="J327" s="6"/>
      <c r="K327" s="6"/>
      <c r="L327" s="6"/>
      <c r="M327" s="6"/>
      <c r="N327" s="6"/>
      <c r="O327" s="6"/>
      <c r="P327" s="6"/>
      <c r="Q327" s="6"/>
    </row>
    <row r="328">
      <c r="A328" s="2"/>
      <c r="B328" s="2"/>
      <c r="C328" s="2"/>
      <c r="D328" s="2"/>
      <c r="E328" s="6"/>
      <c r="F328" s="6"/>
      <c r="G328" s="6"/>
      <c r="H328" s="2"/>
      <c r="I328" s="6"/>
      <c r="J328" s="6"/>
      <c r="K328" s="6"/>
      <c r="L328" s="6"/>
      <c r="M328" s="6"/>
      <c r="N328" s="6"/>
      <c r="O328" s="6"/>
      <c r="P328" s="6"/>
      <c r="Q328" s="6"/>
    </row>
    <row r="329">
      <c r="A329" s="2"/>
      <c r="B329" s="2"/>
      <c r="C329" s="2"/>
      <c r="D329" s="2"/>
      <c r="E329" s="6"/>
      <c r="F329" s="6"/>
      <c r="G329" s="6"/>
      <c r="H329" s="2"/>
      <c r="I329" s="6"/>
      <c r="J329" s="6"/>
      <c r="K329" s="6"/>
      <c r="L329" s="6"/>
      <c r="M329" s="6"/>
      <c r="N329" s="6"/>
      <c r="O329" s="6"/>
      <c r="P329" s="6"/>
      <c r="Q329" s="6"/>
    </row>
    <row r="330">
      <c r="A330" s="2"/>
      <c r="B330" s="2"/>
      <c r="C330" s="2"/>
      <c r="D330" s="2"/>
      <c r="E330" s="6"/>
      <c r="F330" s="6"/>
      <c r="G330" s="6"/>
      <c r="H330" s="2"/>
      <c r="I330" s="6"/>
      <c r="J330" s="6"/>
      <c r="K330" s="6"/>
      <c r="L330" s="6"/>
      <c r="M330" s="6"/>
      <c r="N330" s="6"/>
      <c r="O330" s="6"/>
      <c r="P330" s="6"/>
      <c r="Q330" s="6"/>
    </row>
    <row r="331">
      <c r="A331" s="2"/>
      <c r="B331" s="2"/>
      <c r="C331" s="2"/>
      <c r="D331" s="2"/>
      <c r="E331" s="6"/>
      <c r="F331" s="6"/>
      <c r="G331" s="6"/>
      <c r="H331" s="2"/>
      <c r="I331" s="6"/>
      <c r="J331" s="6"/>
      <c r="K331" s="6"/>
      <c r="L331" s="6"/>
      <c r="M331" s="6"/>
      <c r="N331" s="6"/>
      <c r="O331" s="6"/>
      <c r="P331" s="6"/>
      <c r="Q331" s="6"/>
    </row>
    <row r="332">
      <c r="A332" s="2"/>
      <c r="B332" s="2"/>
      <c r="C332" s="2"/>
      <c r="D332" s="2"/>
      <c r="E332" s="6"/>
      <c r="F332" s="6"/>
      <c r="G332" s="6"/>
      <c r="H332" s="2"/>
      <c r="I332" s="6"/>
      <c r="J332" s="6"/>
      <c r="K332" s="6"/>
      <c r="L332" s="6"/>
      <c r="M332" s="6"/>
      <c r="N332" s="6"/>
      <c r="O332" s="6"/>
      <c r="P332" s="6"/>
      <c r="Q332" s="6"/>
    </row>
    <row r="333">
      <c r="A333" s="2"/>
      <c r="B333" s="2"/>
      <c r="C333" s="2"/>
      <c r="D333" s="2"/>
      <c r="E333" s="6"/>
      <c r="F333" s="6"/>
      <c r="G333" s="6"/>
      <c r="H333" s="2"/>
      <c r="I333" s="6"/>
      <c r="J333" s="6"/>
      <c r="K333" s="6"/>
      <c r="L333" s="6"/>
      <c r="M333" s="6"/>
      <c r="N333" s="6"/>
      <c r="O333" s="6"/>
      <c r="P333" s="6"/>
      <c r="Q333" s="6"/>
    </row>
    <row r="334">
      <c r="A334" s="2"/>
      <c r="B334" s="2"/>
      <c r="C334" s="2"/>
      <c r="D334" s="2"/>
      <c r="E334" s="6"/>
      <c r="F334" s="6"/>
      <c r="G334" s="6"/>
      <c r="H334" s="2"/>
      <c r="I334" s="6"/>
      <c r="J334" s="6"/>
      <c r="K334" s="6"/>
      <c r="L334" s="6"/>
      <c r="M334" s="6"/>
      <c r="N334" s="6"/>
      <c r="O334" s="6"/>
      <c r="P334" s="6"/>
      <c r="Q334" s="6"/>
    </row>
    <row r="335">
      <c r="A335" s="2"/>
      <c r="B335" s="2"/>
      <c r="C335" s="2"/>
      <c r="D335" s="2"/>
      <c r="E335" s="6"/>
      <c r="F335" s="6"/>
      <c r="G335" s="6"/>
      <c r="H335" s="2"/>
      <c r="I335" s="6"/>
      <c r="J335" s="6"/>
      <c r="K335" s="6"/>
      <c r="L335" s="6"/>
      <c r="M335" s="6"/>
      <c r="N335" s="6"/>
      <c r="O335" s="6"/>
      <c r="P335" s="6"/>
      <c r="Q335" s="6"/>
    </row>
    <row r="336">
      <c r="A336" s="2"/>
      <c r="B336" s="2"/>
      <c r="C336" s="2"/>
      <c r="D336" s="2"/>
      <c r="E336" s="6"/>
      <c r="F336" s="6"/>
      <c r="G336" s="6"/>
      <c r="H336" s="2"/>
      <c r="I336" s="6"/>
      <c r="J336" s="6"/>
      <c r="K336" s="6"/>
      <c r="L336" s="6"/>
      <c r="M336" s="6"/>
      <c r="N336" s="6"/>
      <c r="O336" s="6"/>
      <c r="P336" s="6"/>
      <c r="Q336" s="6"/>
    </row>
    <row r="337">
      <c r="A337" s="2"/>
      <c r="B337" s="2"/>
      <c r="C337" s="2"/>
      <c r="D337" s="2"/>
      <c r="E337" s="6"/>
      <c r="F337" s="6"/>
      <c r="G337" s="6"/>
      <c r="H337" s="2"/>
      <c r="I337" s="6"/>
      <c r="J337" s="6"/>
      <c r="K337" s="6"/>
      <c r="L337" s="6"/>
      <c r="M337" s="6"/>
      <c r="N337" s="6"/>
      <c r="O337" s="6"/>
      <c r="P337" s="6"/>
      <c r="Q337" s="6"/>
    </row>
    <row r="338">
      <c r="A338" s="2"/>
      <c r="B338" s="2"/>
      <c r="C338" s="2"/>
      <c r="D338" s="2"/>
      <c r="E338" s="6"/>
      <c r="F338" s="6"/>
      <c r="G338" s="6"/>
      <c r="H338" s="2"/>
      <c r="I338" s="6"/>
      <c r="J338" s="6"/>
      <c r="K338" s="6"/>
      <c r="L338" s="6"/>
      <c r="M338" s="6"/>
      <c r="N338" s="6"/>
      <c r="O338" s="6"/>
      <c r="P338" s="6"/>
      <c r="Q338" s="6"/>
    </row>
    <row r="339">
      <c r="A339" s="2"/>
      <c r="B339" s="2"/>
      <c r="C339" s="2"/>
      <c r="D339" s="2"/>
      <c r="E339" s="6"/>
      <c r="F339" s="6"/>
      <c r="G339" s="6"/>
      <c r="H339" s="2"/>
      <c r="I339" s="6"/>
      <c r="J339" s="6"/>
      <c r="K339" s="6"/>
      <c r="L339" s="6"/>
      <c r="M339" s="6"/>
      <c r="N339" s="6"/>
      <c r="O339" s="6"/>
      <c r="P339" s="6"/>
      <c r="Q339" s="6"/>
    </row>
    <row r="340">
      <c r="A340" s="2"/>
      <c r="B340" s="2"/>
      <c r="C340" s="2"/>
      <c r="D340" s="2"/>
      <c r="E340" s="6"/>
      <c r="F340" s="6"/>
      <c r="G340" s="6"/>
      <c r="H340" s="2"/>
      <c r="I340" s="6"/>
      <c r="J340" s="6"/>
      <c r="K340" s="6"/>
      <c r="L340" s="6"/>
      <c r="M340" s="6"/>
      <c r="N340" s="6"/>
      <c r="O340" s="6"/>
      <c r="P340" s="6"/>
      <c r="Q340" s="6"/>
    </row>
    <row r="341">
      <c r="A341" s="2"/>
      <c r="B341" s="2"/>
      <c r="C341" s="2"/>
      <c r="D341" s="2"/>
      <c r="E341" s="6"/>
      <c r="F341" s="6"/>
      <c r="G341" s="6"/>
      <c r="H341" s="2"/>
      <c r="I341" s="6"/>
      <c r="J341" s="6"/>
      <c r="K341" s="6"/>
      <c r="L341" s="6"/>
      <c r="M341" s="6"/>
      <c r="N341" s="6"/>
      <c r="O341" s="6"/>
      <c r="P341" s="6"/>
      <c r="Q341" s="6"/>
    </row>
    <row r="342">
      <c r="A342" s="2"/>
      <c r="B342" s="2"/>
      <c r="C342" s="2"/>
      <c r="D342" s="2"/>
      <c r="E342" s="6"/>
      <c r="F342" s="6"/>
      <c r="G342" s="6"/>
      <c r="H342" s="2"/>
      <c r="I342" s="6"/>
      <c r="J342" s="6"/>
      <c r="K342" s="6"/>
      <c r="L342" s="6"/>
      <c r="M342" s="6"/>
      <c r="N342" s="6"/>
      <c r="O342" s="6"/>
      <c r="P342" s="6"/>
      <c r="Q342" s="6"/>
    </row>
    <row r="343">
      <c r="A343" s="2"/>
      <c r="B343" s="2"/>
      <c r="C343" s="2"/>
      <c r="D343" s="2"/>
      <c r="E343" s="6"/>
      <c r="F343" s="6"/>
      <c r="G343" s="6"/>
      <c r="H343" s="2"/>
      <c r="I343" s="6"/>
      <c r="J343" s="6"/>
      <c r="K343" s="6"/>
      <c r="L343" s="6"/>
      <c r="M343" s="6"/>
      <c r="N343" s="6"/>
      <c r="O343" s="6"/>
      <c r="P343" s="6"/>
      <c r="Q343" s="6"/>
    </row>
    <row r="344">
      <c r="A344" s="2"/>
      <c r="B344" s="2"/>
      <c r="C344" s="2"/>
      <c r="D344" s="2"/>
      <c r="E344" s="6"/>
      <c r="F344" s="6"/>
      <c r="G344" s="6"/>
      <c r="H344" s="2"/>
      <c r="I344" s="6"/>
      <c r="J344" s="6"/>
      <c r="K344" s="6"/>
      <c r="L344" s="6"/>
      <c r="M344" s="6"/>
      <c r="N344" s="6"/>
      <c r="O344" s="6"/>
      <c r="P344" s="6"/>
      <c r="Q344" s="6"/>
    </row>
    <row r="345">
      <c r="A345" s="2"/>
      <c r="B345" s="2"/>
      <c r="C345" s="2"/>
      <c r="D345" s="2"/>
      <c r="E345" s="6"/>
      <c r="F345" s="6"/>
      <c r="G345" s="6"/>
      <c r="H345" s="2"/>
      <c r="I345" s="6"/>
      <c r="J345" s="6"/>
      <c r="K345" s="6"/>
      <c r="L345" s="6"/>
      <c r="M345" s="6"/>
      <c r="N345" s="6"/>
      <c r="O345" s="6"/>
      <c r="P345" s="6"/>
      <c r="Q345" s="6"/>
    </row>
    <row r="346">
      <c r="A346" s="2"/>
      <c r="B346" s="2"/>
      <c r="C346" s="2"/>
      <c r="D346" s="2"/>
      <c r="E346" s="6"/>
      <c r="F346" s="6"/>
      <c r="G346" s="6"/>
      <c r="H346" s="2"/>
      <c r="I346" s="6"/>
      <c r="J346" s="6"/>
      <c r="K346" s="6"/>
      <c r="L346" s="6"/>
      <c r="M346" s="6"/>
      <c r="N346" s="6"/>
      <c r="O346" s="6"/>
      <c r="P346" s="6"/>
      <c r="Q346" s="6"/>
    </row>
    <row r="347">
      <c r="A347" s="2"/>
      <c r="B347" s="2"/>
      <c r="C347" s="2"/>
      <c r="D347" s="2"/>
      <c r="E347" s="6"/>
      <c r="F347" s="6"/>
      <c r="G347" s="6"/>
      <c r="H347" s="2"/>
      <c r="I347" s="6"/>
      <c r="J347" s="6"/>
      <c r="K347" s="6"/>
      <c r="L347" s="6"/>
      <c r="M347" s="6"/>
      <c r="N347" s="6"/>
      <c r="O347" s="6"/>
      <c r="P347" s="6"/>
      <c r="Q347" s="6"/>
    </row>
    <row r="348">
      <c r="A348" s="2"/>
      <c r="B348" s="2"/>
      <c r="C348" s="2"/>
      <c r="D348" s="2"/>
      <c r="E348" s="6"/>
      <c r="F348" s="6"/>
      <c r="G348" s="6"/>
      <c r="H348" s="2"/>
      <c r="I348" s="6"/>
      <c r="J348" s="6"/>
      <c r="K348" s="6"/>
      <c r="L348" s="6"/>
      <c r="M348" s="6"/>
      <c r="N348" s="6"/>
      <c r="O348" s="6"/>
      <c r="P348" s="6"/>
      <c r="Q348" s="6"/>
    </row>
    <row r="349">
      <c r="A349" s="2"/>
      <c r="B349" s="2"/>
      <c r="C349" s="2"/>
      <c r="D349" s="2"/>
      <c r="E349" s="6"/>
      <c r="F349" s="6"/>
      <c r="G349" s="6"/>
      <c r="H349" s="2"/>
      <c r="I349" s="6"/>
      <c r="J349" s="6"/>
      <c r="K349" s="6"/>
      <c r="L349" s="6"/>
      <c r="M349" s="6"/>
      <c r="N349" s="6"/>
      <c r="O349" s="6"/>
      <c r="P349" s="6"/>
      <c r="Q349" s="6"/>
    </row>
    <row r="350">
      <c r="A350" s="2"/>
      <c r="B350" s="2"/>
      <c r="C350" s="2"/>
      <c r="D350" s="2"/>
      <c r="E350" s="6"/>
      <c r="F350" s="6"/>
      <c r="G350" s="6"/>
      <c r="H350" s="2"/>
      <c r="I350" s="6"/>
      <c r="J350" s="6"/>
      <c r="K350" s="6"/>
      <c r="L350" s="6"/>
      <c r="M350" s="6"/>
      <c r="N350" s="6"/>
      <c r="O350" s="6"/>
      <c r="P350" s="6"/>
      <c r="Q350" s="6"/>
    </row>
    <row r="351">
      <c r="A351" s="2"/>
      <c r="B351" s="2"/>
      <c r="C351" s="2"/>
      <c r="D351" s="2"/>
      <c r="E351" s="6"/>
      <c r="F351" s="6"/>
      <c r="G351" s="6"/>
      <c r="H351" s="2"/>
      <c r="I351" s="6"/>
      <c r="J351" s="6"/>
      <c r="K351" s="6"/>
      <c r="L351" s="6"/>
      <c r="M351" s="6"/>
      <c r="N351" s="6"/>
      <c r="O351" s="6"/>
      <c r="P351" s="6"/>
      <c r="Q351" s="6"/>
    </row>
    <row r="352">
      <c r="A352" s="2"/>
      <c r="B352" s="2"/>
      <c r="C352" s="2"/>
      <c r="D352" s="2"/>
      <c r="E352" s="6"/>
      <c r="F352" s="6"/>
      <c r="G352" s="6"/>
      <c r="H352" s="2"/>
      <c r="I352" s="6"/>
      <c r="J352" s="6"/>
      <c r="K352" s="6"/>
      <c r="L352" s="6"/>
      <c r="M352" s="6"/>
      <c r="N352" s="6"/>
      <c r="O352" s="6"/>
      <c r="P352" s="6"/>
      <c r="Q352" s="6"/>
    </row>
    <row r="353">
      <c r="A353" s="2"/>
      <c r="B353" s="2"/>
      <c r="C353" s="2"/>
      <c r="D353" s="2"/>
      <c r="E353" s="6"/>
      <c r="F353" s="6"/>
      <c r="G353" s="6"/>
      <c r="H353" s="2"/>
      <c r="I353" s="6"/>
      <c r="J353" s="6"/>
      <c r="K353" s="6"/>
      <c r="L353" s="6"/>
      <c r="M353" s="6"/>
      <c r="N353" s="6"/>
      <c r="O353" s="6"/>
      <c r="P353" s="6"/>
      <c r="Q353" s="6"/>
    </row>
    <row r="354">
      <c r="A354" s="2"/>
      <c r="B354" s="2"/>
      <c r="C354" s="2"/>
      <c r="D354" s="2"/>
      <c r="E354" s="6"/>
      <c r="F354" s="6"/>
      <c r="G354" s="6"/>
      <c r="H354" s="2"/>
      <c r="I354" s="6"/>
      <c r="J354" s="6"/>
      <c r="K354" s="6"/>
      <c r="L354" s="6"/>
      <c r="M354" s="6"/>
      <c r="N354" s="6"/>
      <c r="O354" s="6"/>
      <c r="P354" s="6"/>
      <c r="Q354" s="6"/>
    </row>
    <row r="355">
      <c r="A355" s="2"/>
      <c r="B355" s="2"/>
      <c r="C355" s="2"/>
      <c r="D355" s="2"/>
      <c r="E355" s="6"/>
      <c r="F355" s="6"/>
      <c r="G355" s="6"/>
      <c r="H355" s="2"/>
      <c r="I355" s="6"/>
      <c r="J355" s="6"/>
      <c r="K355" s="6"/>
      <c r="L355" s="6"/>
      <c r="M355" s="6"/>
      <c r="N355" s="6"/>
      <c r="O355" s="6"/>
      <c r="P355" s="6"/>
      <c r="Q355" s="6"/>
    </row>
    <row r="356">
      <c r="A356" s="2"/>
      <c r="B356" s="2"/>
      <c r="C356" s="2"/>
      <c r="D356" s="2"/>
      <c r="E356" s="6"/>
      <c r="F356" s="6"/>
      <c r="G356" s="6"/>
      <c r="H356" s="2"/>
      <c r="I356" s="6"/>
      <c r="J356" s="6"/>
      <c r="K356" s="6"/>
      <c r="L356" s="6"/>
      <c r="M356" s="6"/>
      <c r="N356" s="6"/>
      <c r="O356" s="6"/>
      <c r="P356" s="6"/>
      <c r="Q356" s="6"/>
    </row>
    <row r="357">
      <c r="A357" s="2"/>
      <c r="B357" s="2"/>
      <c r="C357" s="2"/>
      <c r="D357" s="2"/>
      <c r="E357" s="6"/>
      <c r="F357" s="6"/>
      <c r="G357" s="6"/>
      <c r="H357" s="2"/>
      <c r="I357" s="6"/>
      <c r="J357" s="6"/>
      <c r="K357" s="6"/>
      <c r="L357" s="6"/>
      <c r="M357" s="6"/>
      <c r="N357" s="6"/>
      <c r="O357" s="6"/>
      <c r="P357" s="6"/>
      <c r="Q357" s="6"/>
    </row>
    <row r="358">
      <c r="A358" s="2"/>
      <c r="B358" s="2"/>
      <c r="C358" s="2"/>
      <c r="D358" s="2"/>
      <c r="E358" s="6"/>
      <c r="F358" s="6"/>
      <c r="G358" s="6"/>
      <c r="H358" s="2"/>
      <c r="I358" s="6"/>
      <c r="J358" s="6"/>
      <c r="K358" s="6"/>
      <c r="L358" s="6"/>
      <c r="M358" s="6"/>
      <c r="N358" s="6"/>
      <c r="O358" s="6"/>
      <c r="P358" s="6"/>
      <c r="Q358" s="6"/>
    </row>
    <row r="359">
      <c r="A359" s="2"/>
      <c r="B359" s="2"/>
      <c r="C359" s="2"/>
      <c r="D359" s="2"/>
      <c r="E359" s="6"/>
      <c r="F359" s="6"/>
      <c r="G359" s="6"/>
      <c r="H359" s="2"/>
      <c r="I359" s="6"/>
      <c r="J359" s="6"/>
      <c r="K359" s="6"/>
      <c r="L359" s="6"/>
      <c r="M359" s="6"/>
      <c r="N359" s="6"/>
      <c r="O359" s="6"/>
      <c r="P359" s="6"/>
      <c r="Q359" s="6"/>
    </row>
    <row r="360">
      <c r="A360" s="2"/>
      <c r="B360" s="2"/>
      <c r="C360" s="2"/>
      <c r="D360" s="2"/>
      <c r="E360" s="6"/>
      <c r="F360" s="6"/>
      <c r="G360" s="6"/>
      <c r="H360" s="2"/>
      <c r="I360" s="6"/>
      <c r="J360" s="6"/>
      <c r="K360" s="6"/>
      <c r="L360" s="6"/>
      <c r="M360" s="6"/>
      <c r="N360" s="6"/>
      <c r="O360" s="6"/>
      <c r="P360" s="6"/>
      <c r="Q360" s="6"/>
    </row>
    <row r="361">
      <c r="A361" s="2"/>
      <c r="B361" s="2"/>
      <c r="C361" s="2"/>
      <c r="D361" s="2"/>
      <c r="E361" s="6"/>
      <c r="F361" s="6"/>
      <c r="G361" s="6"/>
      <c r="H361" s="2"/>
      <c r="I361" s="6"/>
      <c r="J361" s="6"/>
      <c r="K361" s="6"/>
      <c r="L361" s="6"/>
      <c r="M361" s="6"/>
      <c r="N361" s="6"/>
      <c r="O361" s="6"/>
      <c r="P361" s="6"/>
      <c r="Q361" s="6"/>
    </row>
    <row r="362">
      <c r="A362" s="2"/>
      <c r="B362" s="2"/>
      <c r="C362" s="2"/>
      <c r="D362" s="2"/>
      <c r="E362" s="6"/>
      <c r="F362" s="6"/>
      <c r="G362" s="6"/>
      <c r="H362" s="2"/>
      <c r="I362" s="6"/>
      <c r="J362" s="6"/>
      <c r="K362" s="6"/>
      <c r="L362" s="6"/>
      <c r="M362" s="6"/>
      <c r="N362" s="6"/>
      <c r="O362" s="6"/>
      <c r="P362" s="6"/>
      <c r="Q362" s="6"/>
    </row>
    <row r="363">
      <c r="A363" s="2"/>
      <c r="B363" s="2"/>
      <c r="C363" s="2"/>
      <c r="D363" s="2"/>
      <c r="E363" s="6"/>
      <c r="F363" s="6"/>
      <c r="G363" s="6"/>
      <c r="H363" s="2"/>
      <c r="I363" s="6"/>
      <c r="J363" s="6"/>
      <c r="K363" s="6"/>
      <c r="L363" s="6"/>
      <c r="M363" s="6"/>
      <c r="N363" s="6"/>
      <c r="O363" s="6"/>
      <c r="P363" s="6"/>
      <c r="Q363" s="6"/>
    </row>
    <row r="364">
      <c r="A364" s="2"/>
      <c r="B364" s="2"/>
      <c r="C364" s="2"/>
      <c r="D364" s="2"/>
      <c r="E364" s="6"/>
      <c r="F364" s="6"/>
      <c r="G364" s="6"/>
      <c r="H364" s="2"/>
      <c r="I364" s="6"/>
      <c r="J364" s="6"/>
      <c r="K364" s="6"/>
      <c r="L364" s="6"/>
      <c r="M364" s="6"/>
      <c r="N364" s="6"/>
      <c r="O364" s="6"/>
      <c r="P364" s="6"/>
      <c r="Q364" s="6"/>
    </row>
    <row r="365">
      <c r="A365" s="2"/>
      <c r="B365" s="2"/>
      <c r="C365" s="2"/>
      <c r="D365" s="2"/>
      <c r="E365" s="6"/>
      <c r="F365" s="6"/>
      <c r="G365" s="6"/>
      <c r="H365" s="2"/>
      <c r="I365" s="6"/>
      <c r="J365" s="6"/>
      <c r="K365" s="6"/>
      <c r="L365" s="6"/>
      <c r="M365" s="6"/>
      <c r="N365" s="6"/>
      <c r="O365" s="6"/>
      <c r="P365" s="6"/>
      <c r="Q365" s="6"/>
    </row>
    <row r="366">
      <c r="A366" s="2"/>
      <c r="B366" s="2"/>
      <c r="C366" s="2"/>
      <c r="D366" s="2"/>
      <c r="E366" s="6"/>
      <c r="F366" s="6"/>
      <c r="G366" s="6"/>
      <c r="H366" s="2"/>
      <c r="I366" s="6"/>
      <c r="J366" s="6"/>
      <c r="K366" s="6"/>
      <c r="L366" s="6"/>
      <c r="M366" s="6"/>
      <c r="N366" s="6"/>
      <c r="O366" s="6"/>
      <c r="P366" s="6"/>
      <c r="Q366" s="6"/>
    </row>
    <row r="367">
      <c r="A367" s="2"/>
      <c r="B367" s="2"/>
      <c r="C367" s="2"/>
      <c r="D367" s="2"/>
      <c r="E367" s="6"/>
      <c r="F367" s="6"/>
      <c r="G367" s="6"/>
      <c r="H367" s="2"/>
      <c r="I367" s="6"/>
      <c r="J367" s="6"/>
      <c r="K367" s="6"/>
      <c r="L367" s="6"/>
      <c r="M367" s="6"/>
      <c r="N367" s="6"/>
      <c r="O367" s="6"/>
      <c r="P367" s="6"/>
      <c r="Q367" s="6"/>
    </row>
    <row r="368">
      <c r="A368" s="2"/>
      <c r="B368" s="2"/>
      <c r="C368" s="2"/>
      <c r="D368" s="2"/>
      <c r="E368" s="6"/>
      <c r="F368" s="6"/>
      <c r="G368" s="6"/>
      <c r="H368" s="2"/>
      <c r="I368" s="6"/>
      <c r="J368" s="6"/>
      <c r="K368" s="6"/>
      <c r="L368" s="6"/>
      <c r="M368" s="6"/>
      <c r="N368" s="6"/>
      <c r="O368" s="6"/>
      <c r="P368" s="6"/>
      <c r="Q368" s="6"/>
    </row>
    <row r="369">
      <c r="A369" s="2"/>
      <c r="B369" s="2"/>
      <c r="C369" s="2"/>
      <c r="D369" s="2"/>
      <c r="E369" s="6"/>
      <c r="F369" s="6"/>
      <c r="G369" s="6"/>
      <c r="H369" s="2"/>
      <c r="I369" s="6"/>
      <c r="J369" s="6"/>
      <c r="K369" s="6"/>
      <c r="L369" s="6"/>
      <c r="M369" s="6"/>
      <c r="N369" s="6"/>
      <c r="O369" s="6"/>
      <c r="P369" s="6"/>
      <c r="Q369" s="6"/>
    </row>
    <row r="370">
      <c r="A370" s="2"/>
      <c r="B370" s="2"/>
      <c r="C370" s="2"/>
      <c r="D370" s="2"/>
      <c r="E370" s="6"/>
      <c r="F370" s="6"/>
      <c r="G370" s="6"/>
      <c r="H370" s="2"/>
      <c r="I370" s="6"/>
      <c r="J370" s="6"/>
      <c r="K370" s="6"/>
      <c r="L370" s="6"/>
      <c r="M370" s="6"/>
      <c r="N370" s="6"/>
      <c r="O370" s="6"/>
      <c r="P370" s="6"/>
      <c r="Q370" s="6"/>
    </row>
    <row r="371">
      <c r="A371" s="2"/>
      <c r="B371" s="2"/>
      <c r="C371" s="2"/>
      <c r="D371" s="2"/>
      <c r="E371" s="6"/>
      <c r="F371" s="6"/>
      <c r="G371" s="6"/>
      <c r="H371" s="2"/>
      <c r="I371" s="6"/>
      <c r="J371" s="6"/>
      <c r="K371" s="6"/>
      <c r="L371" s="6"/>
      <c r="M371" s="6"/>
      <c r="N371" s="6"/>
      <c r="O371" s="6"/>
      <c r="P371" s="6"/>
      <c r="Q371" s="6"/>
    </row>
    <row r="372">
      <c r="A372" s="2"/>
      <c r="B372" s="2"/>
      <c r="C372" s="2"/>
      <c r="D372" s="2"/>
      <c r="E372" s="6"/>
      <c r="F372" s="6"/>
      <c r="G372" s="6"/>
      <c r="H372" s="2"/>
      <c r="I372" s="6"/>
      <c r="J372" s="6"/>
      <c r="K372" s="6"/>
      <c r="L372" s="6"/>
      <c r="M372" s="6"/>
      <c r="N372" s="6"/>
      <c r="O372" s="6"/>
      <c r="P372" s="6"/>
      <c r="Q372" s="6"/>
    </row>
    <row r="373">
      <c r="A373" s="2"/>
      <c r="B373" s="2"/>
      <c r="C373" s="2"/>
      <c r="D373" s="2"/>
      <c r="E373" s="6"/>
      <c r="F373" s="6"/>
      <c r="G373" s="6"/>
      <c r="H373" s="2"/>
      <c r="I373" s="6"/>
      <c r="J373" s="6"/>
      <c r="K373" s="6"/>
      <c r="L373" s="6"/>
      <c r="M373" s="6"/>
      <c r="N373" s="6"/>
      <c r="O373" s="6"/>
      <c r="P373" s="6"/>
      <c r="Q373" s="6"/>
    </row>
    <row r="374">
      <c r="A374" s="2"/>
      <c r="B374" s="2"/>
      <c r="C374" s="2"/>
      <c r="D374" s="2"/>
      <c r="E374" s="6"/>
      <c r="F374" s="6"/>
      <c r="G374" s="6"/>
      <c r="H374" s="2"/>
      <c r="I374" s="6"/>
      <c r="J374" s="6"/>
      <c r="K374" s="6"/>
      <c r="L374" s="6"/>
      <c r="M374" s="6"/>
      <c r="N374" s="6"/>
      <c r="O374" s="6"/>
      <c r="P374" s="6"/>
      <c r="Q374" s="6"/>
    </row>
    <row r="375">
      <c r="A375" s="2"/>
      <c r="B375" s="2"/>
      <c r="C375" s="2"/>
      <c r="D375" s="2"/>
      <c r="E375" s="6"/>
      <c r="F375" s="6"/>
      <c r="G375" s="6"/>
      <c r="H375" s="2"/>
      <c r="I375" s="6"/>
      <c r="J375" s="6"/>
      <c r="K375" s="6"/>
      <c r="L375" s="6"/>
      <c r="M375" s="6"/>
      <c r="N375" s="6"/>
      <c r="O375" s="6"/>
      <c r="P375" s="6"/>
      <c r="Q375" s="6"/>
    </row>
    <row r="376">
      <c r="A376" s="2"/>
      <c r="B376" s="2"/>
      <c r="C376" s="2"/>
      <c r="D376" s="2"/>
      <c r="E376" s="6"/>
      <c r="F376" s="6"/>
      <c r="G376" s="6"/>
      <c r="H376" s="2"/>
      <c r="I376" s="6"/>
      <c r="J376" s="6"/>
      <c r="K376" s="6"/>
      <c r="L376" s="6"/>
      <c r="M376" s="6"/>
      <c r="N376" s="6"/>
      <c r="O376" s="6"/>
      <c r="P376" s="6"/>
      <c r="Q376" s="6"/>
    </row>
    <row r="377">
      <c r="A377" s="2"/>
      <c r="B377" s="2"/>
      <c r="C377" s="2"/>
      <c r="D377" s="2"/>
      <c r="E377" s="6"/>
      <c r="F377" s="6"/>
      <c r="G377" s="6"/>
      <c r="H377" s="2"/>
      <c r="I377" s="6"/>
      <c r="J377" s="6"/>
      <c r="K377" s="6"/>
      <c r="L377" s="6"/>
      <c r="M377" s="6"/>
      <c r="N377" s="6"/>
      <c r="O377" s="6"/>
      <c r="P377" s="6"/>
      <c r="Q377" s="6"/>
    </row>
    <row r="378">
      <c r="A378" s="2"/>
      <c r="B378" s="2"/>
      <c r="C378" s="2"/>
      <c r="D378" s="2"/>
      <c r="E378" s="6"/>
      <c r="F378" s="6"/>
      <c r="G378" s="6"/>
      <c r="H378" s="2"/>
      <c r="I378" s="6"/>
      <c r="J378" s="6"/>
      <c r="K378" s="6"/>
      <c r="L378" s="6"/>
      <c r="M378" s="6"/>
      <c r="N378" s="6"/>
      <c r="O378" s="6"/>
      <c r="P378" s="6"/>
      <c r="Q378" s="6"/>
    </row>
    <row r="379">
      <c r="A379" s="2"/>
      <c r="B379" s="2"/>
      <c r="C379" s="2"/>
      <c r="D379" s="2"/>
      <c r="E379" s="6"/>
      <c r="F379" s="6"/>
      <c r="G379" s="6"/>
      <c r="H379" s="2"/>
      <c r="I379" s="6"/>
      <c r="J379" s="6"/>
      <c r="K379" s="6"/>
      <c r="L379" s="6"/>
      <c r="M379" s="6"/>
      <c r="N379" s="6"/>
      <c r="O379" s="6"/>
      <c r="P379" s="6"/>
      <c r="Q379" s="6"/>
    </row>
    <row r="380">
      <c r="A380" s="2"/>
      <c r="B380" s="2"/>
      <c r="C380" s="2"/>
      <c r="D380" s="2"/>
      <c r="E380" s="6"/>
      <c r="F380" s="6"/>
      <c r="G380" s="6"/>
      <c r="H380" s="2"/>
      <c r="I380" s="6"/>
      <c r="J380" s="6"/>
      <c r="K380" s="6"/>
      <c r="L380" s="6"/>
      <c r="M380" s="6"/>
      <c r="N380" s="6"/>
      <c r="O380" s="6"/>
      <c r="P380" s="6"/>
      <c r="Q380" s="6"/>
    </row>
    <row r="381">
      <c r="A381" s="2"/>
      <c r="B381" s="2"/>
      <c r="C381" s="2"/>
      <c r="D381" s="2"/>
      <c r="E381" s="6"/>
      <c r="F381" s="6"/>
      <c r="G381" s="6"/>
      <c r="H381" s="2"/>
      <c r="I381" s="6"/>
      <c r="J381" s="6"/>
      <c r="K381" s="6"/>
      <c r="L381" s="6"/>
      <c r="M381" s="6"/>
      <c r="N381" s="6"/>
      <c r="O381" s="6"/>
      <c r="P381" s="6"/>
      <c r="Q381" s="6"/>
    </row>
    <row r="382">
      <c r="A382" s="2"/>
      <c r="B382" s="2"/>
      <c r="C382" s="2"/>
      <c r="D382" s="2"/>
      <c r="E382" s="6"/>
      <c r="F382" s="6"/>
      <c r="G382" s="6"/>
      <c r="H382" s="2"/>
      <c r="I382" s="6"/>
      <c r="J382" s="6"/>
      <c r="K382" s="6"/>
      <c r="L382" s="6"/>
      <c r="M382" s="6"/>
      <c r="N382" s="6"/>
      <c r="O382" s="6"/>
      <c r="P382" s="6"/>
      <c r="Q382" s="6"/>
    </row>
    <row r="383">
      <c r="A383" s="2"/>
      <c r="B383" s="2"/>
      <c r="C383" s="2"/>
      <c r="D383" s="2"/>
      <c r="E383" s="6"/>
      <c r="F383" s="6"/>
      <c r="G383" s="6"/>
      <c r="H383" s="2"/>
      <c r="I383" s="6"/>
      <c r="J383" s="6"/>
      <c r="K383" s="6"/>
      <c r="L383" s="6"/>
      <c r="M383" s="6"/>
      <c r="N383" s="6"/>
      <c r="O383" s="6"/>
      <c r="P383" s="6"/>
      <c r="Q383" s="6"/>
    </row>
    <row r="384">
      <c r="A384" s="2"/>
      <c r="B384" s="2"/>
      <c r="C384" s="2"/>
      <c r="D384" s="2"/>
      <c r="E384" s="6"/>
      <c r="F384" s="6"/>
      <c r="G384" s="6"/>
      <c r="H384" s="2"/>
      <c r="I384" s="6"/>
      <c r="J384" s="6"/>
      <c r="K384" s="6"/>
      <c r="L384" s="6"/>
      <c r="M384" s="6"/>
      <c r="N384" s="6"/>
      <c r="O384" s="6"/>
      <c r="P384" s="6"/>
      <c r="Q384" s="6"/>
    </row>
    <row r="385">
      <c r="A385" s="2"/>
      <c r="B385" s="2"/>
      <c r="C385" s="2"/>
      <c r="D385" s="2"/>
      <c r="E385" s="6"/>
      <c r="F385" s="6"/>
      <c r="G385" s="6"/>
      <c r="H385" s="2"/>
      <c r="I385" s="6"/>
      <c r="J385" s="6"/>
      <c r="K385" s="6"/>
      <c r="L385" s="6"/>
      <c r="M385" s="6"/>
      <c r="N385" s="6"/>
      <c r="O385" s="6"/>
      <c r="P385" s="6"/>
      <c r="Q385" s="6"/>
    </row>
    <row r="386">
      <c r="A386" s="2"/>
      <c r="B386" s="2"/>
      <c r="C386" s="2"/>
      <c r="D386" s="2"/>
      <c r="E386" s="6"/>
      <c r="F386" s="6"/>
      <c r="G386" s="6"/>
      <c r="H386" s="2"/>
      <c r="I386" s="6"/>
      <c r="J386" s="6"/>
      <c r="K386" s="6"/>
      <c r="L386" s="6"/>
      <c r="M386" s="6"/>
      <c r="N386" s="6"/>
      <c r="O386" s="6"/>
      <c r="P386" s="6"/>
      <c r="Q386" s="6"/>
    </row>
    <row r="387">
      <c r="A387" s="2"/>
      <c r="B387" s="2"/>
      <c r="C387" s="2"/>
      <c r="D387" s="2"/>
      <c r="E387" s="6"/>
      <c r="F387" s="6"/>
      <c r="G387" s="6"/>
      <c r="H387" s="2"/>
      <c r="I387" s="6"/>
      <c r="J387" s="6"/>
      <c r="K387" s="6"/>
      <c r="L387" s="6"/>
      <c r="M387" s="6"/>
      <c r="N387" s="6"/>
      <c r="O387" s="6"/>
      <c r="P387" s="6"/>
      <c r="Q387" s="6"/>
    </row>
    <row r="388">
      <c r="A388" s="2"/>
      <c r="B388" s="2"/>
      <c r="C388" s="2"/>
      <c r="D388" s="2"/>
      <c r="E388" s="6"/>
      <c r="F388" s="6"/>
      <c r="G388" s="6"/>
      <c r="H388" s="2"/>
      <c r="I388" s="6"/>
      <c r="J388" s="6"/>
      <c r="K388" s="6"/>
      <c r="L388" s="6"/>
      <c r="M388" s="6"/>
      <c r="N388" s="6"/>
      <c r="O388" s="6"/>
      <c r="P388" s="6"/>
      <c r="Q388" s="6"/>
    </row>
    <row r="389">
      <c r="A389" s="2"/>
      <c r="B389" s="2"/>
      <c r="C389" s="2"/>
      <c r="D389" s="2"/>
      <c r="E389" s="6"/>
      <c r="F389" s="6"/>
      <c r="G389" s="6"/>
      <c r="H389" s="2"/>
      <c r="I389" s="6"/>
      <c r="J389" s="6"/>
      <c r="K389" s="6"/>
      <c r="L389" s="6"/>
      <c r="M389" s="6"/>
      <c r="N389" s="6"/>
      <c r="O389" s="6"/>
      <c r="P389" s="6"/>
      <c r="Q389" s="6"/>
    </row>
    <row r="390">
      <c r="A390" s="2"/>
      <c r="B390" s="2"/>
      <c r="C390" s="2"/>
      <c r="D390" s="2"/>
      <c r="E390" s="6"/>
      <c r="F390" s="6"/>
      <c r="G390" s="6"/>
      <c r="H390" s="2"/>
      <c r="I390" s="6"/>
      <c r="J390" s="6"/>
      <c r="K390" s="6"/>
      <c r="L390" s="6"/>
      <c r="M390" s="6"/>
      <c r="N390" s="6"/>
      <c r="O390" s="6"/>
      <c r="P390" s="6"/>
      <c r="Q390" s="6"/>
    </row>
    <row r="391">
      <c r="A391" s="2"/>
      <c r="B391" s="2"/>
      <c r="C391" s="2"/>
      <c r="D391" s="2"/>
      <c r="E391" s="6"/>
      <c r="F391" s="6"/>
      <c r="G391" s="6"/>
      <c r="H391" s="2"/>
      <c r="I391" s="6"/>
      <c r="J391" s="6"/>
      <c r="K391" s="6"/>
      <c r="L391" s="6"/>
      <c r="M391" s="6"/>
      <c r="N391" s="6"/>
      <c r="O391" s="6"/>
      <c r="P391" s="6"/>
      <c r="Q391" s="6"/>
    </row>
    <row r="392">
      <c r="A392" s="2"/>
      <c r="B392" s="2"/>
      <c r="C392" s="2"/>
      <c r="D392" s="2"/>
      <c r="E392" s="6"/>
      <c r="F392" s="6"/>
      <c r="G392" s="6"/>
      <c r="H392" s="2"/>
      <c r="I392" s="6"/>
      <c r="J392" s="6"/>
      <c r="K392" s="6"/>
      <c r="L392" s="6"/>
      <c r="M392" s="6"/>
      <c r="N392" s="6"/>
      <c r="O392" s="6"/>
      <c r="P392" s="6"/>
      <c r="Q392" s="6"/>
    </row>
    <row r="393">
      <c r="A393" s="2"/>
      <c r="B393" s="2"/>
      <c r="C393" s="2"/>
      <c r="D393" s="2"/>
      <c r="E393" s="6"/>
      <c r="F393" s="6"/>
      <c r="G393" s="6"/>
      <c r="H393" s="2"/>
      <c r="I393" s="6"/>
      <c r="J393" s="6"/>
      <c r="K393" s="6"/>
      <c r="L393" s="6"/>
      <c r="M393" s="6"/>
      <c r="N393" s="6"/>
      <c r="O393" s="6"/>
      <c r="P393" s="6"/>
      <c r="Q393" s="6"/>
    </row>
    <row r="394">
      <c r="A394" s="2"/>
      <c r="B394" s="2"/>
      <c r="C394" s="2"/>
      <c r="D394" s="2"/>
      <c r="E394" s="6"/>
      <c r="F394" s="6"/>
      <c r="G394" s="6"/>
      <c r="H394" s="2"/>
      <c r="I394" s="6"/>
      <c r="J394" s="6"/>
      <c r="K394" s="6"/>
      <c r="L394" s="6"/>
      <c r="M394" s="6"/>
      <c r="N394" s="6"/>
      <c r="O394" s="6"/>
      <c r="P394" s="6"/>
      <c r="Q394" s="6"/>
    </row>
    <row r="395">
      <c r="A395" s="2"/>
      <c r="B395" s="2"/>
      <c r="C395" s="2"/>
      <c r="D395" s="2"/>
      <c r="E395" s="6"/>
      <c r="F395" s="6"/>
      <c r="G395" s="6"/>
      <c r="H395" s="2"/>
      <c r="I395" s="6"/>
      <c r="J395" s="6"/>
      <c r="K395" s="6"/>
      <c r="L395" s="6"/>
      <c r="M395" s="6"/>
      <c r="N395" s="6"/>
      <c r="O395" s="6"/>
      <c r="P395" s="6"/>
      <c r="Q395" s="6"/>
    </row>
    <row r="396">
      <c r="A396" s="2"/>
      <c r="B396" s="2"/>
      <c r="C396" s="2"/>
      <c r="D396" s="2"/>
      <c r="E396" s="6"/>
      <c r="F396" s="6"/>
      <c r="G396" s="6"/>
      <c r="H396" s="2"/>
      <c r="I396" s="6"/>
      <c r="J396" s="6"/>
      <c r="K396" s="6"/>
      <c r="L396" s="6"/>
      <c r="M396" s="6"/>
      <c r="N396" s="6"/>
      <c r="O396" s="6"/>
      <c r="P396" s="6"/>
      <c r="Q396" s="6"/>
    </row>
    <row r="397">
      <c r="A397" s="2"/>
      <c r="B397" s="2"/>
      <c r="C397" s="2"/>
      <c r="D397" s="2"/>
      <c r="E397" s="6"/>
      <c r="F397" s="6"/>
      <c r="G397" s="6"/>
      <c r="H397" s="2"/>
      <c r="I397" s="6"/>
      <c r="J397" s="6"/>
      <c r="K397" s="6"/>
      <c r="L397" s="6"/>
      <c r="M397" s="6"/>
      <c r="N397" s="6"/>
      <c r="O397" s="6"/>
      <c r="P397" s="6"/>
      <c r="Q397" s="6"/>
    </row>
    <row r="398">
      <c r="A398" s="2"/>
      <c r="B398" s="2"/>
      <c r="C398" s="2"/>
      <c r="D398" s="2"/>
      <c r="E398" s="6"/>
      <c r="F398" s="6"/>
      <c r="G398" s="6"/>
      <c r="H398" s="2"/>
      <c r="I398" s="6"/>
      <c r="J398" s="6"/>
      <c r="K398" s="6"/>
      <c r="L398" s="6"/>
      <c r="M398" s="6"/>
      <c r="N398" s="6"/>
      <c r="O398" s="6"/>
      <c r="P398" s="6"/>
      <c r="Q398" s="6"/>
    </row>
    <row r="399">
      <c r="A399" s="2"/>
      <c r="B399" s="2"/>
      <c r="C399" s="2"/>
      <c r="D399" s="2"/>
      <c r="E399" s="6"/>
      <c r="F399" s="6"/>
      <c r="G399" s="6"/>
      <c r="H399" s="2"/>
      <c r="I399" s="6"/>
      <c r="J399" s="6"/>
      <c r="K399" s="6"/>
      <c r="L399" s="6"/>
      <c r="M399" s="6"/>
      <c r="N399" s="6"/>
      <c r="O399" s="6"/>
      <c r="P399" s="6"/>
      <c r="Q399" s="6"/>
    </row>
    <row r="400">
      <c r="A400" s="2"/>
      <c r="B400" s="2"/>
      <c r="C400" s="2"/>
      <c r="D400" s="2"/>
      <c r="E400" s="6"/>
      <c r="F400" s="6"/>
      <c r="G400" s="6"/>
      <c r="H400" s="2"/>
      <c r="I400" s="6"/>
      <c r="J400" s="6"/>
      <c r="K400" s="6"/>
      <c r="L400" s="6"/>
      <c r="M400" s="6"/>
      <c r="N400" s="6"/>
      <c r="O400" s="6"/>
      <c r="P400" s="6"/>
      <c r="Q400" s="6"/>
    </row>
    <row r="401">
      <c r="A401" s="2"/>
      <c r="B401" s="2"/>
      <c r="C401" s="2"/>
      <c r="D401" s="2"/>
      <c r="E401" s="6"/>
      <c r="F401" s="6"/>
      <c r="G401" s="6"/>
      <c r="H401" s="2"/>
      <c r="I401" s="6"/>
      <c r="J401" s="6"/>
      <c r="K401" s="6"/>
      <c r="L401" s="6"/>
      <c r="M401" s="6"/>
      <c r="N401" s="6"/>
      <c r="O401" s="6"/>
      <c r="P401" s="6"/>
      <c r="Q401" s="6"/>
    </row>
    <row r="402">
      <c r="A402" s="2"/>
      <c r="B402" s="2"/>
      <c r="C402" s="2"/>
      <c r="D402" s="2"/>
      <c r="E402" s="6"/>
      <c r="F402" s="6"/>
      <c r="G402" s="6"/>
      <c r="H402" s="2"/>
      <c r="I402" s="6"/>
      <c r="J402" s="6"/>
      <c r="K402" s="6"/>
      <c r="L402" s="6"/>
      <c r="M402" s="6"/>
      <c r="N402" s="6"/>
      <c r="O402" s="6"/>
      <c r="P402" s="6"/>
      <c r="Q402" s="6"/>
    </row>
    <row r="403">
      <c r="A403" s="2"/>
      <c r="B403" s="2"/>
      <c r="C403" s="2"/>
      <c r="D403" s="2"/>
      <c r="E403" s="6"/>
      <c r="F403" s="6"/>
      <c r="G403" s="6"/>
      <c r="H403" s="2"/>
      <c r="I403" s="6"/>
      <c r="J403" s="6"/>
      <c r="K403" s="6"/>
      <c r="L403" s="6"/>
      <c r="M403" s="6"/>
      <c r="N403" s="6"/>
      <c r="O403" s="6"/>
      <c r="P403" s="6"/>
      <c r="Q403" s="6"/>
    </row>
    <row r="404">
      <c r="A404" s="2"/>
      <c r="B404" s="2"/>
      <c r="C404" s="2"/>
      <c r="D404" s="2"/>
      <c r="E404" s="6"/>
      <c r="F404" s="6"/>
      <c r="G404" s="6"/>
      <c r="H404" s="2"/>
      <c r="I404" s="6"/>
      <c r="J404" s="6"/>
      <c r="K404" s="6"/>
      <c r="L404" s="6"/>
      <c r="M404" s="6"/>
      <c r="N404" s="6"/>
      <c r="O404" s="6"/>
      <c r="P404" s="6"/>
      <c r="Q404" s="6"/>
    </row>
    <row r="405">
      <c r="A405" s="2"/>
      <c r="B405" s="2"/>
      <c r="C405" s="2"/>
      <c r="D405" s="2"/>
      <c r="E405" s="6"/>
      <c r="F405" s="6"/>
      <c r="G405" s="6"/>
      <c r="H405" s="2"/>
      <c r="I405" s="6"/>
      <c r="J405" s="6"/>
      <c r="K405" s="6"/>
      <c r="L405" s="6"/>
      <c r="M405" s="6"/>
      <c r="N405" s="6"/>
      <c r="O405" s="6"/>
      <c r="P405" s="6"/>
      <c r="Q405" s="6"/>
    </row>
    <row r="406">
      <c r="A406" s="2"/>
      <c r="B406" s="2"/>
      <c r="C406" s="2"/>
      <c r="D406" s="2"/>
      <c r="E406" s="6"/>
      <c r="F406" s="6"/>
      <c r="G406" s="6"/>
      <c r="H406" s="2"/>
      <c r="I406" s="6"/>
      <c r="J406" s="6"/>
      <c r="K406" s="6"/>
      <c r="L406" s="6"/>
      <c r="M406" s="6"/>
      <c r="N406" s="6"/>
      <c r="O406" s="6"/>
      <c r="P406" s="6"/>
      <c r="Q406" s="6"/>
    </row>
    <row r="407">
      <c r="A407" s="2"/>
      <c r="B407" s="2"/>
      <c r="C407" s="2"/>
      <c r="D407" s="2"/>
      <c r="E407" s="6"/>
      <c r="F407" s="6"/>
      <c r="G407" s="6"/>
      <c r="H407" s="2"/>
      <c r="I407" s="6"/>
      <c r="J407" s="6"/>
      <c r="K407" s="6"/>
      <c r="L407" s="6"/>
      <c r="M407" s="6"/>
      <c r="N407" s="6"/>
      <c r="O407" s="6"/>
      <c r="P407" s="6"/>
      <c r="Q407" s="6"/>
    </row>
    <row r="408">
      <c r="A408" s="2"/>
      <c r="B408" s="2"/>
      <c r="C408" s="2"/>
      <c r="D408" s="2"/>
      <c r="E408" s="6"/>
      <c r="F408" s="6"/>
      <c r="G408" s="6"/>
      <c r="H408" s="2"/>
      <c r="I408" s="6"/>
      <c r="J408" s="6"/>
      <c r="K408" s="6"/>
      <c r="L408" s="6"/>
      <c r="M408" s="6"/>
      <c r="N408" s="6"/>
      <c r="O408" s="6"/>
      <c r="P408" s="6"/>
      <c r="Q408" s="6"/>
    </row>
    <row r="409">
      <c r="A409" s="2"/>
      <c r="B409" s="2"/>
      <c r="C409" s="2"/>
      <c r="D409" s="2"/>
      <c r="E409" s="6"/>
      <c r="F409" s="6"/>
      <c r="G409" s="6"/>
      <c r="H409" s="2"/>
      <c r="I409" s="6"/>
      <c r="J409" s="6"/>
      <c r="K409" s="6"/>
      <c r="L409" s="6"/>
      <c r="M409" s="6"/>
      <c r="N409" s="6"/>
      <c r="O409" s="6"/>
      <c r="P409" s="6"/>
      <c r="Q409" s="6"/>
    </row>
    <row r="410">
      <c r="A410" s="2"/>
      <c r="B410" s="2"/>
      <c r="C410" s="2"/>
      <c r="D410" s="2"/>
      <c r="E410" s="6"/>
      <c r="F410" s="6"/>
      <c r="G410" s="6"/>
      <c r="H410" s="2"/>
      <c r="I410" s="6"/>
      <c r="J410" s="6"/>
      <c r="K410" s="6"/>
      <c r="L410" s="6"/>
      <c r="M410" s="6"/>
      <c r="N410" s="6"/>
      <c r="O410" s="6"/>
      <c r="P410" s="6"/>
      <c r="Q410" s="6"/>
    </row>
    <row r="411">
      <c r="A411" s="2"/>
      <c r="B411" s="2"/>
      <c r="C411" s="2"/>
      <c r="D411" s="2"/>
      <c r="E411" s="6"/>
      <c r="F411" s="6"/>
      <c r="G411" s="6"/>
      <c r="H411" s="2"/>
      <c r="I411" s="6"/>
      <c r="J411" s="6"/>
      <c r="K411" s="6"/>
      <c r="L411" s="6"/>
      <c r="M411" s="6"/>
      <c r="N411" s="6"/>
      <c r="O411" s="6"/>
      <c r="P411" s="6"/>
      <c r="Q411" s="6"/>
    </row>
    <row r="412">
      <c r="A412" s="2"/>
      <c r="B412" s="2"/>
      <c r="C412" s="2"/>
      <c r="D412" s="2"/>
      <c r="E412" s="6"/>
      <c r="F412" s="6"/>
      <c r="G412" s="6"/>
      <c r="H412" s="2"/>
      <c r="I412" s="6"/>
      <c r="J412" s="6"/>
      <c r="K412" s="6"/>
      <c r="L412" s="6"/>
      <c r="M412" s="6"/>
      <c r="N412" s="6"/>
      <c r="O412" s="6"/>
      <c r="P412" s="6"/>
      <c r="Q412" s="6"/>
    </row>
    <row r="413">
      <c r="A413" s="2"/>
      <c r="B413" s="2"/>
      <c r="C413" s="2"/>
      <c r="D413" s="2"/>
      <c r="E413" s="6"/>
      <c r="F413" s="6"/>
      <c r="G413" s="6"/>
      <c r="H413" s="2"/>
      <c r="I413" s="6"/>
      <c r="J413" s="6"/>
      <c r="K413" s="6"/>
      <c r="L413" s="6"/>
      <c r="M413" s="6"/>
      <c r="N413" s="6"/>
      <c r="O413" s="6"/>
      <c r="P413" s="6"/>
      <c r="Q413" s="6"/>
    </row>
    <row r="414">
      <c r="A414" s="2"/>
      <c r="B414" s="2"/>
      <c r="C414" s="2"/>
      <c r="D414" s="2"/>
      <c r="E414" s="6"/>
      <c r="F414" s="6"/>
      <c r="G414" s="6"/>
      <c r="H414" s="2"/>
      <c r="I414" s="6"/>
      <c r="J414" s="6"/>
      <c r="K414" s="6"/>
      <c r="L414" s="6"/>
      <c r="M414" s="6"/>
      <c r="N414" s="6"/>
      <c r="O414" s="6"/>
      <c r="P414" s="6"/>
      <c r="Q414" s="6"/>
    </row>
    <row r="415">
      <c r="A415" s="2"/>
      <c r="B415" s="2"/>
      <c r="C415" s="2"/>
      <c r="D415" s="2"/>
      <c r="E415" s="6"/>
      <c r="F415" s="6"/>
      <c r="G415" s="6"/>
      <c r="H415" s="2"/>
      <c r="I415" s="6"/>
      <c r="J415" s="6"/>
      <c r="K415" s="6"/>
      <c r="L415" s="6"/>
      <c r="M415" s="6"/>
      <c r="N415" s="6"/>
      <c r="O415" s="6"/>
      <c r="P415" s="6"/>
      <c r="Q415" s="6"/>
    </row>
    <row r="416">
      <c r="A416" s="2"/>
      <c r="B416" s="2"/>
      <c r="C416" s="2"/>
      <c r="D416" s="2"/>
      <c r="E416" s="6"/>
      <c r="F416" s="6"/>
      <c r="G416" s="6"/>
      <c r="H416" s="2"/>
      <c r="I416" s="6"/>
      <c r="J416" s="6"/>
      <c r="K416" s="6"/>
      <c r="L416" s="6"/>
      <c r="M416" s="6"/>
      <c r="N416" s="6"/>
      <c r="O416" s="6"/>
      <c r="P416" s="6"/>
      <c r="Q416" s="6"/>
    </row>
    <row r="417">
      <c r="A417" s="2"/>
      <c r="B417" s="2"/>
      <c r="C417" s="2"/>
      <c r="D417" s="2"/>
      <c r="E417" s="6"/>
      <c r="F417" s="6"/>
      <c r="G417" s="6"/>
      <c r="H417" s="2"/>
      <c r="I417" s="6"/>
      <c r="J417" s="6"/>
      <c r="K417" s="6"/>
      <c r="L417" s="6"/>
      <c r="M417" s="6"/>
      <c r="N417" s="6"/>
      <c r="O417" s="6"/>
      <c r="P417" s="6"/>
      <c r="Q417" s="6"/>
    </row>
    <row r="418">
      <c r="A418" s="2"/>
      <c r="B418" s="2"/>
      <c r="C418" s="2"/>
      <c r="D418" s="2"/>
      <c r="E418" s="6"/>
      <c r="F418" s="6"/>
      <c r="G418" s="6"/>
      <c r="H418" s="2"/>
      <c r="I418" s="6"/>
      <c r="J418" s="6"/>
      <c r="K418" s="6"/>
      <c r="L418" s="6"/>
      <c r="M418" s="6"/>
      <c r="N418" s="6"/>
      <c r="O418" s="6"/>
      <c r="P418" s="6"/>
      <c r="Q418" s="6"/>
    </row>
    <row r="419">
      <c r="A419" s="2"/>
      <c r="B419" s="2"/>
      <c r="C419" s="2"/>
      <c r="D419" s="2"/>
      <c r="E419" s="6"/>
      <c r="F419" s="6"/>
      <c r="G419" s="6"/>
      <c r="H419" s="2"/>
      <c r="I419" s="6"/>
      <c r="J419" s="6"/>
      <c r="K419" s="6"/>
      <c r="L419" s="6"/>
      <c r="M419" s="6"/>
      <c r="N419" s="6"/>
      <c r="O419" s="6"/>
      <c r="P419" s="6"/>
      <c r="Q419" s="6"/>
    </row>
    <row r="420">
      <c r="A420" s="2"/>
      <c r="B420" s="2"/>
      <c r="C420" s="2"/>
      <c r="D420" s="2"/>
      <c r="E420" s="6"/>
      <c r="F420" s="6"/>
      <c r="G420" s="6"/>
      <c r="H420" s="2"/>
      <c r="I420" s="6"/>
      <c r="J420" s="6"/>
      <c r="K420" s="6"/>
      <c r="L420" s="6"/>
      <c r="M420" s="6"/>
      <c r="N420" s="6"/>
      <c r="O420" s="6"/>
      <c r="P420" s="6"/>
      <c r="Q420" s="6"/>
    </row>
    <row r="421">
      <c r="A421" s="2"/>
      <c r="B421" s="2"/>
      <c r="C421" s="2"/>
      <c r="D421" s="2"/>
      <c r="E421" s="6"/>
      <c r="F421" s="6"/>
      <c r="G421" s="6"/>
      <c r="H421" s="2"/>
      <c r="I421" s="6"/>
      <c r="J421" s="6"/>
      <c r="K421" s="6"/>
      <c r="L421" s="6"/>
      <c r="M421" s="6"/>
      <c r="N421" s="6"/>
      <c r="O421" s="6"/>
      <c r="P421" s="6"/>
      <c r="Q421" s="6"/>
    </row>
    <row r="422">
      <c r="A422" s="2"/>
      <c r="B422" s="2"/>
      <c r="C422" s="2"/>
      <c r="D422" s="2"/>
      <c r="E422" s="6"/>
      <c r="F422" s="6"/>
      <c r="G422" s="6"/>
      <c r="H422" s="2"/>
      <c r="I422" s="6"/>
      <c r="J422" s="6"/>
      <c r="K422" s="6"/>
      <c r="L422" s="6"/>
      <c r="M422" s="6"/>
      <c r="N422" s="6"/>
      <c r="O422" s="6"/>
      <c r="P422" s="6"/>
      <c r="Q422" s="6"/>
    </row>
    <row r="423">
      <c r="A423" s="2"/>
      <c r="B423" s="2"/>
      <c r="C423" s="2"/>
      <c r="D423" s="2"/>
      <c r="E423" s="6"/>
      <c r="F423" s="6"/>
      <c r="G423" s="6"/>
      <c r="H423" s="2"/>
      <c r="I423" s="6"/>
      <c r="J423" s="6"/>
      <c r="K423" s="6"/>
      <c r="L423" s="6"/>
      <c r="M423" s="6"/>
      <c r="N423" s="6"/>
      <c r="O423" s="6"/>
      <c r="P423" s="6"/>
      <c r="Q423" s="6"/>
    </row>
    <row r="424">
      <c r="A424" s="2"/>
      <c r="B424" s="2"/>
      <c r="C424" s="2"/>
      <c r="D424" s="2"/>
      <c r="E424" s="6"/>
      <c r="F424" s="6"/>
      <c r="G424" s="6"/>
      <c r="H424" s="2"/>
      <c r="I424" s="6"/>
      <c r="J424" s="6"/>
      <c r="K424" s="6"/>
      <c r="L424" s="6"/>
      <c r="M424" s="6"/>
      <c r="N424" s="6"/>
      <c r="O424" s="6"/>
      <c r="P424" s="6"/>
      <c r="Q424" s="6"/>
    </row>
    <row r="425">
      <c r="A425" s="2"/>
      <c r="B425" s="2"/>
      <c r="C425" s="2"/>
      <c r="D425" s="2"/>
      <c r="E425" s="6"/>
      <c r="F425" s="6"/>
      <c r="G425" s="6"/>
      <c r="H425" s="2"/>
      <c r="I425" s="6"/>
      <c r="J425" s="6"/>
      <c r="K425" s="6"/>
      <c r="L425" s="6"/>
      <c r="M425" s="6"/>
      <c r="N425" s="6"/>
      <c r="O425" s="6"/>
      <c r="P425" s="6"/>
      <c r="Q425" s="6"/>
    </row>
    <row r="426">
      <c r="A426" s="2"/>
      <c r="B426" s="2"/>
      <c r="C426" s="2"/>
      <c r="D426" s="2"/>
      <c r="E426" s="6"/>
      <c r="F426" s="6"/>
      <c r="G426" s="6"/>
      <c r="H426" s="2"/>
      <c r="I426" s="6"/>
      <c r="J426" s="6"/>
      <c r="K426" s="6"/>
      <c r="L426" s="6"/>
      <c r="M426" s="6"/>
      <c r="N426" s="6"/>
      <c r="O426" s="6"/>
      <c r="P426" s="6"/>
      <c r="Q426" s="6"/>
    </row>
    <row r="427">
      <c r="A427" s="2"/>
      <c r="B427" s="2"/>
      <c r="C427" s="2"/>
      <c r="D427" s="2"/>
      <c r="E427" s="6"/>
      <c r="F427" s="6"/>
      <c r="G427" s="6"/>
      <c r="H427" s="2"/>
      <c r="I427" s="6"/>
      <c r="J427" s="6"/>
      <c r="K427" s="6"/>
      <c r="L427" s="6"/>
      <c r="M427" s="6"/>
      <c r="N427" s="6"/>
      <c r="O427" s="6"/>
      <c r="P427" s="6"/>
      <c r="Q427" s="6"/>
    </row>
    <row r="428">
      <c r="A428" s="2"/>
      <c r="B428" s="2"/>
      <c r="C428" s="2"/>
      <c r="D428" s="2"/>
      <c r="E428" s="6"/>
      <c r="F428" s="6"/>
      <c r="G428" s="6"/>
      <c r="H428" s="2"/>
      <c r="I428" s="6"/>
      <c r="J428" s="6"/>
      <c r="K428" s="6"/>
      <c r="L428" s="6"/>
      <c r="M428" s="6"/>
      <c r="N428" s="6"/>
      <c r="O428" s="6"/>
      <c r="P428" s="6"/>
      <c r="Q428" s="6"/>
    </row>
    <row r="429">
      <c r="A429" s="2"/>
      <c r="B429" s="2"/>
      <c r="C429" s="2"/>
      <c r="D429" s="2"/>
      <c r="E429" s="6"/>
      <c r="F429" s="6"/>
      <c r="G429" s="6"/>
      <c r="H429" s="2"/>
      <c r="I429" s="6"/>
      <c r="J429" s="6"/>
      <c r="K429" s="6"/>
      <c r="L429" s="6"/>
      <c r="M429" s="6"/>
      <c r="N429" s="6"/>
      <c r="O429" s="6"/>
      <c r="P429" s="6"/>
      <c r="Q429" s="6"/>
    </row>
    <row r="430">
      <c r="A430" s="2"/>
      <c r="B430" s="2"/>
      <c r="C430" s="2"/>
      <c r="D430" s="2"/>
      <c r="E430" s="6"/>
      <c r="F430" s="6"/>
      <c r="G430" s="6"/>
      <c r="H430" s="2"/>
      <c r="I430" s="6"/>
      <c r="J430" s="6"/>
      <c r="K430" s="6"/>
      <c r="L430" s="6"/>
      <c r="M430" s="6"/>
      <c r="N430" s="6"/>
      <c r="O430" s="6"/>
      <c r="P430" s="6"/>
      <c r="Q430" s="6"/>
    </row>
    <row r="431">
      <c r="A431" s="2"/>
      <c r="B431" s="2"/>
      <c r="C431" s="2"/>
      <c r="D431" s="2"/>
      <c r="E431" s="6"/>
      <c r="F431" s="6"/>
      <c r="G431" s="6"/>
      <c r="H431" s="2"/>
      <c r="I431" s="6"/>
      <c r="J431" s="6"/>
      <c r="K431" s="6"/>
      <c r="L431" s="6"/>
      <c r="M431" s="6"/>
      <c r="N431" s="6"/>
      <c r="O431" s="6"/>
      <c r="P431" s="6"/>
      <c r="Q431" s="6"/>
    </row>
    <row r="432">
      <c r="A432" s="2"/>
      <c r="B432" s="2"/>
      <c r="C432" s="2"/>
      <c r="D432" s="2"/>
      <c r="E432" s="6"/>
      <c r="F432" s="6"/>
      <c r="G432" s="6"/>
      <c r="H432" s="2"/>
      <c r="I432" s="6"/>
      <c r="J432" s="6"/>
      <c r="K432" s="6"/>
      <c r="L432" s="6"/>
      <c r="M432" s="6"/>
      <c r="N432" s="6"/>
      <c r="O432" s="6"/>
      <c r="P432" s="6"/>
      <c r="Q432" s="6"/>
    </row>
    <row r="433">
      <c r="A433" s="2"/>
      <c r="B433" s="2"/>
      <c r="C433" s="2"/>
      <c r="D433" s="2"/>
      <c r="E433" s="6"/>
      <c r="F433" s="6"/>
      <c r="G433" s="6"/>
      <c r="H433" s="2"/>
      <c r="I433" s="6"/>
      <c r="J433" s="6"/>
      <c r="K433" s="6"/>
      <c r="L433" s="6"/>
      <c r="M433" s="6"/>
      <c r="N433" s="6"/>
      <c r="O433" s="6"/>
      <c r="P433" s="6"/>
      <c r="Q433" s="6"/>
    </row>
    <row r="434">
      <c r="A434" s="2"/>
      <c r="B434" s="2"/>
      <c r="C434" s="2"/>
      <c r="D434" s="2"/>
      <c r="E434" s="6"/>
      <c r="F434" s="6"/>
      <c r="G434" s="6"/>
      <c r="H434" s="2"/>
      <c r="I434" s="6"/>
      <c r="J434" s="6"/>
      <c r="K434" s="6"/>
      <c r="L434" s="6"/>
      <c r="M434" s="6"/>
      <c r="N434" s="6"/>
      <c r="O434" s="6"/>
      <c r="P434" s="6"/>
      <c r="Q434" s="6"/>
    </row>
    <row r="435">
      <c r="A435" s="2"/>
      <c r="B435" s="2"/>
      <c r="C435" s="2"/>
      <c r="D435" s="2"/>
      <c r="E435" s="6"/>
      <c r="F435" s="6"/>
      <c r="G435" s="6"/>
      <c r="H435" s="2"/>
      <c r="I435" s="6"/>
      <c r="J435" s="6"/>
      <c r="K435" s="6"/>
      <c r="L435" s="6"/>
      <c r="M435" s="6"/>
      <c r="N435" s="6"/>
      <c r="O435" s="6"/>
      <c r="P435" s="6"/>
      <c r="Q435" s="6"/>
    </row>
    <row r="436">
      <c r="A436" s="2"/>
      <c r="B436" s="2"/>
      <c r="C436" s="2"/>
      <c r="D436" s="2"/>
      <c r="E436" s="6"/>
      <c r="F436" s="6"/>
      <c r="G436" s="6"/>
      <c r="H436" s="2"/>
      <c r="I436" s="6"/>
      <c r="J436" s="6"/>
      <c r="K436" s="6"/>
      <c r="L436" s="6"/>
      <c r="M436" s="6"/>
      <c r="N436" s="6"/>
      <c r="O436" s="6"/>
      <c r="P436" s="6"/>
      <c r="Q436" s="6"/>
    </row>
    <row r="437">
      <c r="A437" s="2"/>
      <c r="B437" s="2"/>
      <c r="C437" s="2"/>
      <c r="D437" s="2"/>
      <c r="E437" s="6"/>
      <c r="F437" s="6"/>
      <c r="G437" s="6"/>
      <c r="H437" s="2"/>
      <c r="I437" s="6"/>
      <c r="J437" s="6"/>
      <c r="K437" s="6"/>
      <c r="L437" s="6"/>
      <c r="M437" s="6"/>
      <c r="N437" s="6"/>
      <c r="O437" s="6"/>
      <c r="P437" s="6"/>
      <c r="Q437" s="6"/>
    </row>
    <row r="438">
      <c r="A438" s="2"/>
      <c r="B438" s="2"/>
      <c r="C438" s="2"/>
      <c r="D438" s="2"/>
      <c r="E438" s="6"/>
      <c r="F438" s="6"/>
      <c r="G438" s="6"/>
      <c r="H438" s="2"/>
      <c r="I438" s="6"/>
      <c r="J438" s="6"/>
      <c r="K438" s="6"/>
      <c r="L438" s="6"/>
      <c r="M438" s="6"/>
      <c r="N438" s="6"/>
      <c r="O438" s="6"/>
      <c r="P438" s="6"/>
      <c r="Q438" s="6"/>
    </row>
    <row r="439">
      <c r="A439" s="2"/>
      <c r="B439" s="2"/>
      <c r="C439" s="2"/>
      <c r="D439" s="2"/>
      <c r="E439" s="6"/>
      <c r="F439" s="6"/>
      <c r="G439" s="6"/>
      <c r="H439" s="2"/>
      <c r="I439" s="6"/>
      <c r="J439" s="6"/>
      <c r="K439" s="6"/>
      <c r="L439" s="6"/>
      <c r="M439" s="6"/>
      <c r="N439" s="6"/>
      <c r="O439" s="6"/>
      <c r="P439" s="6"/>
      <c r="Q439" s="6"/>
    </row>
    <row r="440">
      <c r="A440" s="2"/>
      <c r="B440" s="2"/>
      <c r="C440" s="2"/>
      <c r="D440" s="2"/>
      <c r="E440" s="6"/>
      <c r="F440" s="6"/>
      <c r="G440" s="6"/>
      <c r="H440" s="2"/>
      <c r="I440" s="6"/>
      <c r="J440" s="6"/>
      <c r="K440" s="6"/>
      <c r="L440" s="6"/>
      <c r="M440" s="6"/>
      <c r="N440" s="6"/>
      <c r="O440" s="6"/>
      <c r="P440" s="6"/>
      <c r="Q440" s="6"/>
    </row>
    <row r="441">
      <c r="A441" s="2"/>
      <c r="B441" s="2"/>
      <c r="C441" s="2"/>
      <c r="D441" s="2"/>
      <c r="E441" s="6"/>
      <c r="F441" s="6"/>
      <c r="G441" s="6"/>
      <c r="H441" s="2"/>
      <c r="I441" s="6"/>
      <c r="J441" s="6"/>
      <c r="K441" s="6"/>
      <c r="L441" s="6"/>
      <c r="M441" s="6"/>
      <c r="N441" s="6"/>
      <c r="O441" s="6"/>
      <c r="P441" s="6"/>
      <c r="Q441" s="6"/>
    </row>
    <row r="442">
      <c r="A442" s="2"/>
      <c r="B442" s="2"/>
      <c r="C442" s="2"/>
      <c r="D442" s="2"/>
      <c r="E442" s="6"/>
      <c r="F442" s="6"/>
      <c r="G442" s="6"/>
      <c r="H442" s="2"/>
      <c r="I442" s="6"/>
      <c r="J442" s="6"/>
      <c r="K442" s="6"/>
      <c r="L442" s="6"/>
      <c r="M442" s="6"/>
      <c r="N442" s="6"/>
      <c r="O442" s="6"/>
      <c r="P442" s="6"/>
      <c r="Q442" s="6"/>
    </row>
    <row r="443">
      <c r="A443" s="2"/>
      <c r="B443" s="2"/>
      <c r="C443" s="2"/>
      <c r="D443" s="2"/>
      <c r="E443" s="6"/>
      <c r="F443" s="6"/>
      <c r="G443" s="6"/>
      <c r="H443" s="2"/>
      <c r="I443" s="6"/>
      <c r="J443" s="6"/>
      <c r="K443" s="6"/>
      <c r="L443" s="6"/>
      <c r="M443" s="6"/>
      <c r="N443" s="6"/>
      <c r="O443" s="6"/>
      <c r="P443" s="6"/>
      <c r="Q443" s="6"/>
    </row>
    <row r="444">
      <c r="A444" s="2"/>
      <c r="B444" s="2"/>
      <c r="C444" s="2"/>
      <c r="D444" s="2"/>
      <c r="E444" s="6"/>
      <c r="F444" s="6"/>
      <c r="G444" s="6"/>
      <c r="H444" s="2"/>
      <c r="I444" s="6"/>
      <c r="J444" s="6"/>
      <c r="K444" s="6"/>
      <c r="L444" s="6"/>
      <c r="M444" s="6"/>
      <c r="N444" s="6"/>
      <c r="O444" s="6"/>
      <c r="P444" s="6"/>
      <c r="Q444" s="6"/>
    </row>
    <row r="445">
      <c r="A445" s="2"/>
      <c r="B445" s="2"/>
      <c r="C445" s="2"/>
      <c r="D445" s="2"/>
      <c r="E445" s="6"/>
      <c r="F445" s="6"/>
      <c r="G445" s="6"/>
      <c r="H445" s="2"/>
      <c r="I445" s="6"/>
      <c r="J445" s="6"/>
      <c r="K445" s="6"/>
      <c r="L445" s="6"/>
      <c r="M445" s="6"/>
      <c r="N445" s="6"/>
      <c r="O445" s="6"/>
      <c r="P445" s="6"/>
      <c r="Q445" s="6"/>
    </row>
    <row r="446">
      <c r="A446" s="2"/>
      <c r="B446" s="2"/>
      <c r="C446" s="2"/>
      <c r="D446" s="2"/>
      <c r="E446" s="6"/>
      <c r="F446" s="6"/>
      <c r="G446" s="6"/>
      <c r="H446" s="2"/>
      <c r="I446" s="6"/>
      <c r="J446" s="6"/>
      <c r="K446" s="6"/>
      <c r="L446" s="6"/>
      <c r="M446" s="6"/>
      <c r="N446" s="6"/>
      <c r="O446" s="6"/>
      <c r="P446" s="6"/>
      <c r="Q446" s="6"/>
    </row>
    <row r="447">
      <c r="A447" s="2"/>
      <c r="B447" s="2"/>
      <c r="C447" s="2"/>
      <c r="D447" s="2"/>
      <c r="E447" s="6"/>
      <c r="F447" s="6"/>
      <c r="G447" s="6"/>
      <c r="H447" s="2"/>
      <c r="I447" s="6"/>
      <c r="J447" s="6"/>
      <c r="K447" s="6"/>
      <c r="L447" s="6"/>
      <c r="M447" s="6"/>
      <c r="N447" s="6"/>
      <c r="O447" s="6"/>
      <c r="P447" s="6"/>
      <c r="Q447" s="6"/>
    </row>
    <row r="448">
      <c r="A448" s="2"/>
      <c r="B448" s="2"/>
      <c r="C448" s="2"/>
      <c r="D448" s="2"/>
      <c r="E448" s="6"/>
      <c r="F448" s="6"/>
      <c r="G448" s="6"/>
      <c r="H448" s="2"/>
      <c r="I448" s="6"/>
      <c r="J448" s="6"/>
      <c r="K448" s="6"/>
      <c r="L448" s="6"/>
      <c r="M448" s="6"/>
      <c r="N448" s="6"/>
      <c r="O448" s="6"/>
      <c r="P448" s="6"/>
      <c r="Q448" s="6"/>
    </row>
    <row r="449">
      <c r="A449" s="2"/>
      <c r="B449" s="2"/>
      <c r="C449" s="2"/>
      <c r="D449" s="2"/>
      <c r="E449" s="6"/>
      <c r="F449" s="6"/>
      <c r="G449" s="6"/>
      <c r="H449" s="2"/>
      <c r="I449" s="6"/>
      <c r="J449" s="6"/>
      <c r="K449" s="6"/>
      <c r="L449" s="6"/>
      <c r="M449" s="6"/>
      <c r="N449" s="6"/>
      <c r="O449" s="6"/>
      <c r="P449" s="6"/>
      <c r="Q449" s="6"/>
    </row>
    <row r="450">
      <c r="A450" s="2"/>
      <c r="B450" s="2"/>
      <c r="C450" s="2"/>
      <c r="D450" s="2"/>
      <c r="E450" s="6"/>
      <c r="F450" s="6"/>
      <c r="G450" s="6"/>
      <c r="H450" s="2"/>
      <c r="I450" s="6"/>
      <c r="J450" s="6"/>
      <c r="K450" s="6"/>
      <c r="L450" s="6"/>
      <c r="M450" s="6"/>
      <c r="N450" s="6"/>
      <c r="O450" s="6"/>
      <c r="P450" s="6"/>
      <c r="Q450" s="6"/>
    </row>
    <row r="451">
      <c r="A451" s="2"/>
      <c r="B451" s="2"/>
      <c r="C451" s="2"/>
      <c r="D451" s="2"/>
      <c r="E451" s="6"/>
      <c r="F451" s="6"/>
      <c r="G451" s="6"/>
      <c r="H451" s="2"/>
      <c r="I451" s="6"/>
      <c r="J451" s="6"/>
      <c r="K451" s="6"/>
      <c r="L451" s="6"/>
      <c r="M451" s="6"/>
      <c r="N451" s="6"/>
      <c r="O451" s="6"/>
      <c r="P451" s="6"/>
      <c r="Q451" s="6"/>
    </row>
    <row r="452">
      <c r="A452" s="2"/>
      <c r="B452" s="2"/>
      <c r="C452" s="2"/>
      <c r="D452" s="2"/>
      <c r="E452" s="6"/>
      <c r="F452" s="6"/>
      <c r="G452" s="6"/>
      <c r="H452" s="2"/>
      <c r="I452" s="6"/>
      <c r="J452" s="6"/>
      <c r="K452" s="6"/>
      <c r="L452" s="6"/>
      <c r="M452" s="6"/>
      <c r="N452" s="6"/>
      <c r="O452" s="6"/>
      <c r="P452" s="6"/>
      <c r="Q452" s="6"/>
    </row>
    <row r="453">
      <c r="A453" s="2"/>
      <c r="B453" s="2"/>
      <c r="C453" s="2"/>
      <c r="D453" s="2"/>
      <c r="E453" s="6"/>
      <c r="F453" s="6"/>
      <c r="G453" s="6"/>
      <c r="H453" s="2"/>
      <c r="I453" s="6"/>
      <c r="J453" s="6"/>
      <c r="K453" s="6"/>
      <c r="L453" s="6"/>
      <c r="M453" s="6"/>
      <c r="N453" s="6"/>
      <c r="O453" s="6"/>
      <c r="P453" s="6"/>
      <c r="Q453" s="6"/>
    </row>
    <row r="454">
      <c r="A454" s="2"/>
      <c r="B454" s="2"/>
      <c r="C454" s="2"/>
      <c r="D454" s="2"/>
      <c r="E454" s="6"/>
      <c r="F454" s="6"/>
      <c r="G454" s="6"/>
      <c r="H454" s="2"/>
      <c r="I454" s="6"/>
      <c r="J454" s="6"/>
      <c r="K454" s="6"/>
      <c r="L454" s="6"/>
      <c r="M454" s="6"/>
      <c r="N454" s="6"/>
      <c r="O454" s="6"/>
      <c r="P454" s="6"/>
      <c r="Q454" s="6"/>
    </row>
    <row r="455">
      <c r="A455" s="2"/>
      <c r="B455" s="2"/>
      <c r="C455" s="2"/>
      <c r="D455" s="2"/>
      <c r="E455" s="6"/>
      <c r="F455" s="6"/>
      <c r="G455" s="6"/>
      <c r="H455" s="2"/>
      <c r="I455" s="6"/>
      <c r="J455" s="6"/>
      <c r="K455" s="6"/>
      <c r="L455" s="6"/>
      <c r="M455" s="6"/>
      <c r="N455" s="6"/>
      <c r="O455" s="6"/>
      <c r="P455" s="6"/>
      <c r="Q455" s="6"/>
    </row>
    <row r="456">
      <c r="A456" s="2"/>
      <c r="B456" s="2"/>
      <c r="C456" s="2"/>
      <c r="D456" s="2"/>
      <c r="E456" s="6"/>
      <c r="F456" s="6"/>
      <c r="G456" s="6"/>
      <c r="H456" s="2"/>
      <c r="I456" s="6"/>
      <c r="J456" s="6"/>
      <c r="K456" s="6"/>
      <c r="L456" s="6"/>
      <c r="M456" s="6"/>
      <c r="N456" s="6"/>
      <c r="O456" s="6"/>
      <c r="P456" s="6"/>
      <c r="Q456" s="6"/>
    </row>
    <row r="457">
      <c r="A457" s="2"/>
      <c r="B457" s="2"/>
      <c r="C457" s="2"/>
      <c r="D457" s="2"/>
      <c r="E457" s="6"/>
      <c r="F457" s="6"/>
      <c r="G457" s="6"/>
      <c r="H457" s="2"/>
      <c r="I457" s="6"/>
      <c r="J457" s="6"/>
      <c r="K457" s="6"/>
      <c r="L457" s="6"/>
      <c r="M457" s="6"/>
      <c r="N457" s="6"/>
      <c r="O457" s="6"/>
      <c r="P457" s="6"/>
      <c r="Q457" s="6"/>
    </row>
    <row r="458">
      <c r="A458" s="2"/>
      <c r="B458" s="2"/>
      <c r="C458" s="2"/>
      <c r="D458" s="2"/>
      <c r="E458" s="6"/>
      <c r="F458" s="6"/>
      <c r="G458" s="6"/>
      <c r="H458" s="2"/>
      <c r="I458" s="6"/>
      <c r="J458" s="6"/>
      <c r="K458" s="6"/>
      <c r="L458" s="6"/>
      <c r="M458" s="6"/>
      <c r="N458" s="6"/>
      <c r="O458" s="6"/>
      <c r="P458" s="6"/>
      <c r="Q458" s="6"/>
    </row>
    <row r="459">
      <c r="A459" s="2"/>
      <c r="B459" s="2"/>
      <c r="C459" s="2"/>
      <c r="D459" s="2"/>
      <c r="E459" s="6"/>
      <c r="F459" s="6"/>
      <c r="G459" s="6"/>
      <c r="H459" s="2"/>
      <c r="I459" s="6"/>
      <c r="J459" s="6"/>
      <c r="K459" s="6"/>
      <c r="L459" s="6"/>
      <c r="M459" s="6"/>
      <c r="N459" s="6"/>
      <c r="O459" s="6"/>
      <c r="P459" s="6"/>
      <c r="Q459" s="6"/>
    </row>
    <row r="460">
      <c r="A460" s="2"/>
      <c r="B460" s="2"/>
      <c r="C460" s="2"/>
      <c r="D460" s="2"/>
      <c r="E460" s="6"/>
      <c r="F460" s="6"/>
      <c r="G460" s="6"/>
      <c r="H460" s="2"/>
      <c r="I460" s="6"/>
      <c r="J460" s="6"/>
      <c r="K460" s="6"/>
      <c r="L460" s="6"/>
      <c r="M460" s="6"/>
      <c r="N460" s="6"/>
      <c r="O460" s="6"/>
      <c r="P460" s="6"/>
      <c r="Q460" s="6"/>
    </row>
    <row r="461">
      <c r="A461" s="2"/>
      <c r="B461" s="2"/>
      <c r="C461" s="2"/>
      <c r="D461" s="2"/>
      <c r="E461" s="6"/>
      <c r="F461" s="6"/>
      <c r="G461" s="6"/>
      <c r="H461" s="2"/>
      <c r="I461" s="6"/>
      <c r="J461" s="6"/>
      <c r="K461" s="6"/>
      <c r="L461" s="6"/>
      <c r="M461" s="6"/>
      <c r="N461" s="6"/>
      <c r="O461" s="6"/>
      <c r="P461" s="6"/>
      <c r="Q461" s="6"/>
    </row>
    <row r="462">
      <c r="A462" s="2"/>
      <c r="B462" s="2"/>
      <c r="C462" s="2"/>
      <c r="D462" s="2"/>
      <c r="E462" s="6"/>
      <c r="F462" s="6"/>
      <c r="G462" s="6"/>
      <c r="H462" s="2"/>
      <c r="I462" s="6"/>
      <c r="J462" s="6"/>
      <c r="K462" s="6"/>
      <c r="L462" s="6"/>
      <c r="M462" s="6"/>
      <c r="N462" s="6"/>
      <c r="O462" s="6"/>
      <c r="P462" s="6"/>
      <c r="Q462" s="6"/>
    </row>
    <row r="463">
      <c r="A463" s="2"/>
      <c r="B463" s="2"/>
      <c r="C463" s="2"/>
      <c r="D463" s="2"/>
      <c r="E463" s="6"/>
      <c r="F463" s="6"/>
      <c r="G463" s="6"/>
      <c r="H463" s="2"/>
      <c r="I463" s="6"/>
      <c r="J463" s="6"/>
      <c r="K463" s="6"/>
      <c r="L463" s="6"/>
      <c r="M463" s="6"/>
      <c r="N463" s="6"/>
      <c r="O463" s="6"/>
      <c r="P463" s="6"/>
      <c r="Q463" s="6"/>
    </row>
    <row r="464">
      <c r="A464" s="2"/>
      <c r="B464" s="2"/>
      <c r="C464" s="2"/>
      <c r="D464" s="2"/>
      <c r="E464" s="6"/>
      <c r="F464" s="6"/>
      <c r="G464" s="6"/>
      <c r="H464" s="2"/>
      <c r="I464" s="6"/>
      <c r="J464" s="6"/>
      <c r="K464" s="6"/>
      <c r="L464" s="6"/>
      <c r="M464" s="6"/>
      <c r="N464" s="6"/>
      <c r="O464" s="6"/>
      <c r="P464" s="6"/>
      <c r="Q464" s="6"/>
    </row>
    <row r="465">
      <c r="A465" s="2"/>
      <c r="B465" s="2"/>
      <c r="C465" s="2"/>
      <c r="D465" s="2"/>
      <c r="E465" s="6"/>
      <c r="F465" s="6"/>
      <c r="G465" s="6"/>
      <c r="H465" s="2"/>
      <c r="I465" s="6"/>
      <c r="J465" s="6"/>
      <c r="K465" s="6"/>
      <c r="L465" s="6"/>
      <c r="M465" s="6"/>
      <c r="N465" s="6"/>
      <c r="O465" s="6"/>
      <c r="P465" s="6"/>
      <c r="Q465" s="6"/>
    </row>
    <row r="466">
      <c r="A466" s="2"/>
      <c r="B466" s="2"/>
      <c r="C466" s="2"/>
      <c r="D466" s="2"/>
      <c r="E466" s="6"/>
      <c r="F466" s="6"/>
      <c r="G466" s="6"/>
      <c r="H466" s="2"/>
      <c r="I466" s="6"/>
      <c r="J466" s="6"/>
      <c r="K466" s="6"/>
      <c r="L466" s="6"/>
      <c r="M466" s="6"/>
      <c r="N466" s="6"/>
      <c r="O466" s="6"/>
      <c r="P466" s="6"/>
      <c r="Q466" s="6"/>
    </row>
    <row r="467">
      <c r="A467" s="2"/>
      <c r="B467" s="2"/>
      <c r="C467" s="2"/>
      <c r="D467" s="2"/>
      <c r="E467" s="6"/>
      <c r="F467" s="6"/>
      <c r="G467" s="6"/>
      <c r="H467" s="2"/>
      <c r="I467" s="6"/>
      <c r="J467" s="6"/>
      <c r="K467" s="6"/>
      <c r="L467" s="6"/>
      <c r="M467" s="6"/>
      <c r="N467" s="6"/>
      <c r="O467" s="6"/>
      <c r="P467" s="6"/>
      <c r="Q467" s="6"/>
    </row>
    <row r="468">
      <c r="A468" s="2"/>
      <c r="B468" s="2"/>
      <c r="C468" s="2"/>
      <c r="D468" s="2"/>
      <c r="E468" s="6"/>
      <c r="F468" s="6"/>
      <c r="G468" s="6"/>
      <c r="H468" s="2"/>
      <c r="I468" s="6"/>
      <c r="J468" s="6"/>
      <c r="K468" s="6"/>
      <c r="L468" s="6"/>
      <c r="M468" s="6"/>
      <c r="N468" s="6"/>
      <c r="O468" s="6"/>
      <c r="P468" s="6"/>
      <c r="Q468" s="6"/>
    </row>
    <row r="469">
      <c r="A469" s="2"/>
      <c r="B469" s="2"/>
      <c r="C469" s="2"/>
      <c r="D469" s="2"/>
      <c r="E469" s="6"/>
      <c r="F469" s="6"/>
      <c r="G469" s="6"/>
      <c r="H469" s="2"/>
      <c r="I469" s="6"/>
      <c r="J469" s="6"/>
      <c r="K469" s="6"/>
      <c r="L469" s="6"/>
      <c r="M469" s="6"/>
      <c r="N469" s="6"/>
      <c r="O469" s="6"/>
      <c r="P469" s="6"/>
      <c r="Q469" s="6"/>
    </row>
    <row r="470">
      <c r="A470" s="2"/>
      <c r="B470" s="2"/>
      <c r="C470" s="2"/>
      <c r="D470" s="2"/>
      <c r="E470" s="6"/>
      <c r="F470" s="6"/>
      <c r="G470" s="6"/>
      <c r="H470" s="2"/>
      <c r="I470" s="6"/>
      <c r="J470" s="6"/>
      <c r="K470" s="6"/>
      <c r="L470" s="6"/>
      <c r="M470" s="6"/>
      <c r="N470" s="6"/>
      <c r="O470" s="6"/>
      <c r="P470" s="6"/>
      <c r="Q470" s="6"/>
    </row>
    <row r="471">
      <c r="A471" s="2"/>
      <c r="B471" s="2"/>
      <c r="C471" s="2"/>
      <c r="D471" s="2"/>
      <c r="E471" s="6"/>
      <c r="F471" s="6"/>
      <c r="G471" s="6"/>
      <c r="H471" s="2"/>
      <c r="I471" s="6"/>
      <c r="J471" s="6"/>
      <c r="K471" s="6"/>
      <c r="L471" s="6"/>
      <c r="M471" s="6"/>
      <c r="N471" s="6"/>
      <c r="O471" s="6"/>
      <c r="P471" s="6"/>
      <c r="Q471" s="6"/>
    </row>
    <row r="472">
      <c r="A472" s="2"/>
      <c r="B472" s="2"/>
      <c r="C472" s="2"/>
      <c r="D472" s="2"/>
      <c r="E472" s="6"/>
      <c r="F472" s="6"/>
      <c r="G472" s="6"/>
      <c r="H472" s="2"/>
      <c r="I472" s="6"/>
      <c r="J472" s="6"/>
      <c r="K472" s="6"/>
      <c r="L472" s="6"/>
      <c r="M472" s="6"/>
      <c r="N472" s="6"/>
      <c r="O472" s="6"/>
      <c r="P472" s="6"/>
      <c r="Q472" s="6"/>
    </row>
    <row r="473">
      <c r="A473" s="2"/>
      <c r="B473" s="2"/>
      <c r="C473" s="2"/>
      <c r="D473" s="2"/>
      <c r="E473" s="6"/>
      <c r="F473" s="6"/>
      <c r="G473" s="6"/>
      <c r="H473" s="2"/>
      <c r="I473" s="6"/>
      <c r="J473" s="6"/>
      <c r="K473" s="6"/>
      <c r="L473" s="6"/>
      <c r="M473" s="6"/>
      <c r="N473" s="6"/>
      <c r="O473" s="6"/>
      <c r="P473" s="6"/>
      <c r="Q473" s="6"/>
    </row>
    <row r="474">
      <c r="A474" s="2"/>
      <c r="B474" s="2"/>
      <c r="C474" s="2"/>
      <c r="D474" s="2"/>
      <c r="E474" s="6"/>
      <c r="F474" s="6"/>
      <c r="G474" s="6"/>
      <c r="H474" s="2"/>
      <c r="I474" s="6"/>
      <c r="J474" s="6"/>
      <c r="K474" s="6"/>
      <c r="L474" s="6"/>
      <c r="M474" s="6"/>
      <c r="N474" s="6"/>
      <c r="O474" s="6"/>
      <c r="P474" s="6"/>
      <c r="Q474" s="6"/>
    </row>
    <row r="475">
      <c r="A475" s="2"/>
      <c r="B475" s="2"/>
      <c r="C475" s="2"/>
      <c r="D475" s="2"/>
      <c r="E475" s="6"/>
      <c r="F475" s="6"/>
      <c r="G475" s="6"/>
      <c r="H475" s="2"/>
      <c r="I475" s="6"/>
      <c r="J475" s="6"/>
      <c r="K475" s="6"/>
      <c r="L475" s="6"/>
      <c r="M475" s="6"/>
      <c r="N475" s="6"/>
      <c r="O475" s="6"/>
      <c r="P475" s="6"/>
      <c r="Q475" s="6"/>
    </row>
    <row r="476">
      <c r="A476" s="2"/>
      <c r="B476" s="2"/>
      <c r="C476" s="2"/>
      <c r="D476" s="2"/>
      <c r="E476" s="6"/>
      <c r="F476" s="6"/>
      <c r="G476" s="6"/>
      <c r="H476" s="2"/>
      <c r="I476" s="6"/>
      <c r="J476" s="6"/>
      <c r="K476" s="6"/>
      <c r="L476" s="6"/>
      <c r="M476" s="6"/>
      <c r="N476" s="6"/>
      <c r="O476" s="6"/>
      <c r="P476" s="6"/>
      <c r="Q476" s="6"/>
    </row>
    <row r="477">
      <c r="A477" s="2"/>
      <c r="B477" s="2"/>
      <c r="C477" s="2"/>
      <c r="D477" s="2"/>
      <c r="E477" s="6"/>
      <c r="F477" s="6"/>
      <c r="G477" s="6"/>
      <c r="H477" s="2"/>
      <c r="I477" s="6"/>
      <c r="J477" s="6"/>
      <c r="K477" s="6"/>
      <c r="L477" s="6"/>
      <c r="M477" s="6"/>
      <c r="N477" s="6"/>
      <c r="O477" s="6"/>
      <c r="P477" s="6"/>
      <c r="Q477" s="6"/>
    </row>
    <row r="478">
      <c r="A478" s="2"/>
      <c r="B478" s="2"/>
      <c r="C478" s="2"/>
      <c r="D478" s="2"/>
      <c r="E478" s="6"/>
      <c r="F478" s="6"/>
      <c r="G478" s="6"/>
      <c r="H478" s="2"/>
      <c r="I478" s="6"/>
      <c r="J478" s="6"/>
      <c r="K478" s="6"/>
      <c r="L478" s="6"/>
      <c r="M478" s="6"/>
      <c r="N478" s="6"/>
      <c r="O478" s="6"/>
      <c r="P478" s="6"/>
      <c r="Q478" s="6"/>
    </row>
    <row r="479">
      <c r="A479" s="2"/>
      <c r="B479" s="2"/>
      <c r="C479" s="2"/>
      <c r="D479" s="2"/>
      <c r="E479" s="6"/>
      <c r="F479" s="6"/>
      <c r="G479" s="6"/>
      <c r="H479" s="2"/>
      <c r="I479" s="6"/>
      <c r="J479" s="6"/>
      <c r="K479" s="6"/>
      <c r="L479" s="6"/>
      <c r="M479" s="6"/>
      <c r="N479" s="6"/>
      <c r="O479" s="6"/>
      <c r="P479" s="6"/>
      <c r="Q479" s="6"/>
    </row>
    <row r="480">
      <c r="A480" s="2"/>
      <c r="B480" s="2"/>
      <c r="C480" s="2"/>
      <c r="D480" s="2"/>
      <c r="E480" s="6"/>
      <c r="F480" s="6"/>
      <c r="G480" s="6"/>
      <c r="H480" s="2"/>
      <c r="I480" s="6"/>
      <c r="J480" s="6"/>
      <c r="K480" s="6"/>
      <c r="L480" s="6"/>
      <c r="M480" s="6"/>
      <c r="N480" s="6"/>
      <c r="O480" s="6"/>
      <c r="P480" s="6"/>
      <c r="Q480" s="6"/>
    </row>
    <row r="481">
      <c r="A481" s="2"/>
      <c r="B481" s="2"/>
      <c r="C481" s="2"/>
      <c r="D481" s="2"/>
      <c r="E481" s="6"/>
      <c r="F481" s="6"/>
      <c r="G481" s="6"/>
      <c r="H481" s="2"/>
      <c r="I481" s="6"/>
      <c r="J481" s="6"/>
      <c r="K481" s="6"/>
      <c r="L481" s="6"/>
      <c r="M481" s="6"/>
      <c r="N481" s="6"/>
      <c r="O481" s="6"/>
      <c r="P481" s="6"/>
      <c r="Q481" s="6"/>
    </row>
    <row r="482">
      <c r="A482" s="2"/>
      <c r="B482" s="2"/>
      <c r="C482" s="2"/>
      <c r="D482" s="2"/>
      <c r="E482" s="6"/>
      <c r="F482" s="6"/>
      <c r="G482" s="6"/>
      <c r="H482" s="2"/>
      <c r="I482" s="6"/>
      <c r="J482" s="6"/>
      <c r="K482" s="6"/>
      <c r="L482" s="6"/>
      <c r="M482" s="6"/>
      <c r="N482" s="6"/>
      <c r="O482" s="6"/>
      <c r="P482" s="6"/>
      <c r="Q482" s="6"/>
    </row>
    <row r="483">
      <c r="A483" s="2"/>
      <c r="B483" s="2"/>
      <c r="C483" s="2"/>
      <c r="D483" s="2"/>
      <c r="E483" s="6"/>
      <c r="F483" s="6"/>
      <c r="G483" s="6"/>
      <c r="H483" s="2"/>
      <c r="I483" s="6"/>
      <c r="J483" s="6"/>
      <c r="K483" s="6"/>
      <c r="L483" s="6"/>
      <c r="M483" s="6"/>
      <c r="N483" s="6"/>
      <c r="O483" s="6"/>
      <c r="P483" s="6"/>
      <c r="Q483" s="6"/>
    </row>
    <row r="484">
      <c r="A484" s="2"/>
      <c r="B484" s="2"/>
      <c r="C484" s="2"/>
      <c r="D484" s="2"/>
      <c r="E484" s="6"/>
      <c r="F484" s="6"/>
      <c r="G484" s="6"/>
      <c r="H484" s="2"/>
      <c r="I484" s="6"/>
      <c r="J484" s="6"/>
      <c r="K484" s="6"/>
      <c r="L484" s="6"/>
      <c r="M484" s="6"/>
      <c r="N484" s="6"/>
      <c r="O484" s="6"/>
      <c r="P484" s="6"/>
      <c r="Q484" s="6"/>
    </row>
    <row r="485">
      <c r="A485" s="2"/>
      <c r="B485" s="2"/>
      <c r="C485" s="2"/>
      <c r="D485" s="2"/>
      <c r="E485" s="6"/>
      <c r="F485" s="6"/>
      <c r="G485" s="6"/>
      <c r="H485" s="2"/>
      <c r="I485" s="6"/>
      <c r="J485" s="6"/>
      <c r="K485" s="6"/>
      <c r="L485" s="6"/>
      <c r="M485" s="6"/>
      <c r="N485" s="6"/>
      <c r="O485" s="6"/>
      <c r="P485" s="6"/>
      <c r="Q485" s="6"/>
    </row>
    <row r="486">
      <c r="A486" s="2"/>
      <c r="B486" s="2"/>
      <c r="C486" s="2"/>
      <c r="D486" s="2"/>
      <c r="E486" s="6"/>
      <c r="F486" s="6"/>
      <c r="G486" s="6"/>
      <c r="H486" s="2"/>
      <c r="I486" s="6"/>
      <c r="J486" s="6"/>
      <c r="K486" s="6"/>
      <c r="L486" s="6"/>
      <c r="M486" s="6"/>
      <c r="N486" s="6"/>
      <c r="O486" s="6"/>
      <c r="P486" s="6"/>
      <c r="Q486" s="6"/>
    </row>
    <row r="487">
      <c r="A487" s="2"/>
      <c r="B487" s="2"/>
      <c r="C487" s="2"/>
      <c r="D487" s="2"/>
      <c r="E487" s="6"/>
      <c r="F487" s="6"/>
      <c r="G487" s="6"/>
      <c r="H487" s="2"/>
      <c r="I487" s="6"/>
      <c r="J487" s="6"/>
      <c r="K487" s="6"/>
      <c r="L487" s="6"/>
      <c r="M487" s="6"/>
      <c r="N487" s="6"/>
      <c r="O487" s="6"/>
      <c r="P487" s="6"/>
      <c r="Q487" s="6"/>
    </row>
    <row r="488">
      <c r="A488" s="2"/>
      <c r="B488" s="2"/>
      <c r="C488" s="2"/>
      <c r="D488" s="2"/>
      <c r="E488" s="6"/>
      <c r="F488" s="6"/>
      <c r="G488" s="6"/>
      <c r="H488" s="2"/>
      <c r="I488" s="6"/>
      <c r="J488" s="6"/>
      <c r="K488" s="6"/>
      <c r="L488" s="6"/>
      <c r="M488" s="6"/>
      <c r="N488" s="6"/>
      <c r="O488" s="6"/>
      <c r="P488" s="6"/>
      <c r="Q488" s="6"/>
    </row>
    <row r="489">
      <c r="A489" s="2"/>
      <c r="B489" s="2"/>
      <c r="C489" s="2"/>
      <c r="D489" s="2"/>
      <c r="E489" s="6"/>
      <c r="F489" s="6"/>
      <c r="G489" s="6"/>
      <c r="H489" s="2"/>
      <c r="I489" s="6"/>
      <c r="J489" s="6"/>
      <c r="K489" s="6"/>
      <c r="L489" s="6"/>
      <c r="M489" s="6"/>
      <c r="N489" s="6"/>
      <c r="O489" s="6"/>
      <c r="P489" s="6"/>
      <c r="Q489" s="6"/>
    </row>
    <row r="490">
      <c r="A490" s="2"/>
      <c r="B490" s="2"/>
      <c r="C490" s="2"/>
      <c r="D490" s="2"/>
      <c r="E490" s="6"/>
      <c r="F490" s="6"/>
      <c r="G490" s="6"/>
      <c r="H490" s="2"/>
      <c r="I490" s="6"/>
      <c r="J490" s="6"/>
      <c r="K490" s="6"/>
      <c r="L490" s="6"/>
      <c r="M490" s="6"/>
      <c r="N490" s="6"/>
      <c r="O490" s="6"/>
      <c r="P490" s="6"/>
      <c r="Q490" s="6"/>
    </row>
    <row r="491">
      <c r="A491" s="2"/>
      <c r="B491" s="2"/>
      <c r="C491" s="2"/>
      <c r="D491" s="2"/>
      <c r="E491" s="6"/>
      <c r="F491" s="6"/>
      <c r="G491" s="6"/>
      <c r="H491" s="2"/>
      <c r="I491" s="6"/>
      <c r="J491" s="6"/>
      <c r="K491" s="6"/>
      <c r="L491" s="6"/>
      <c r="M491" s="6"/>
      <c r="N491" s="6"/>
      <c r="O491" s="6"/>
      <c r="P491" s="6"/>
      <c r="Q491" s="6"/>
    </row>
    <row r="492">
      <c r="A492" s="2"/>
      <c r="B492" s="2"/>
      <c r="C492" s="2"/>
      <c r="D492" s="2"/>
      <c r="E492" s="6"/>
      <c r="F492" s="6"/>
      <c r="G492" s="6"/>
      <c r="H492" s="2"/>
      <c r="I492" s="6"/>
      <c r="J492" s="6"/>
      <c r="K492" s="6"/>
      <c r="L492" s="6"/>
      <c r="M492" s="6"/>
      <c r="N492" s="6"/>
      <c r="O492" s="6"/>
      <c r="P492" s="6"/>
      <c r="Q492" s="6"/>
    </row>
    <row r="493">
      <c r="A493" s="2"/>
      <c r="B493" s="2"/>
      <c r="C493" s="2"/>
      <c r="D493" s="2"/>
      <c r="E493" s="6"/>
      <c r="F493" s="6"/>
      <c r="G493" s="6"/>
      <c r="H493" s="2"/>
      <c r="I493" s="6"/>
      <c r="J493" s="6"/>
      <c r="K493" s="6"/>
      <c r="L493" s="6"/>
      <c r="M493" s="6"/>
      <c r="N493" s="6"/>
      <c r="O493" s="6"/>
      <c r="P493" s="6"/>
      <c r="Q493" s="6"/>
    </row>
    <row r="494">
      <c r="A494" s="2"/>
      <c r="B494" s="2"/>
      <c r="C494" s="2"/>
      <c r="D494" s="2"/>
      <c r="E494" s="6"/>
      <c r="F494" s="6"/>
      <c r="G494" s="6"/>
      <c r="H494" s="2"/>
      <c r="I494" s="6"/>
      <c r="J494" s="6"/>
      <c r="K494" s="6"/>
      <c r="L494" s="6"/>
      <c r="M494" s="6"/>
      <c r="N494" s="6"/>
      <c r="O494" s="6"/>
      <c r="P494" s="6"/>
      <c r="Q494" s="6"/>
    </row>
    <row r="495">
      <c r="A495" s="2"/>
      <c r="B495" s="2"/>
      <c r="C495" s="2"/>
      <c r="D495" s="2"/>
      <c r="E495" s="6"/>
      <c r="F495" s="6"/>
      <c r="G495" s="6"/>
      <c r="H495" s="2"/>
      <c r="I495" s="6"/>
      <c r="J495" s="6"/>
      <c r="K495" s="6"/>
      <c r="L495" s="6"/>
      <c r="M495" s="6"/>
      <c r="N495" s="6"/>
      <c r="O495" s="6"/>
      <c r="P495" s="6"/>
      <c r="Q495" s="6"/>
    </row>
    <row r="496">
      <c r="A496" s="2"/>
      <c r="B496" s="2"/>
      <c r="C496" s="2"/>
      <c r="D496" s="2"/>
      <c r="E496" s="6"/>
      <c r="F496" s="6"/>
      <c r="G496" s="6"/>
      <c r="H496" s="2"/>
      <c r="I496" s="6"/>
      <c r="J496" s="6"/>
      <c r="K496" s="6"/>
      <c r="L496" s="6"/>
      <c r="M496" s="6"/>
      <c r="N496" s="6"/>
      <c r="O496" s="6"/>
      <c r="P496" s="6"/>
      <c r="Q496" s="6"/>
    </row>
    <row r="497">
      <c r="A497" s="2"/>
      <c r="B497" s="2"/>
      <c r="C497" s="2"/>
      <c r="D497" s="2"/>
      <c r="E497" s="6"/>
      <c r="F497" s="6"/>
      <c r="G497" s="6"/>
      <c r="H497" s="2"/>
      <c r="I497" s="6"/>
      <c r="J497" s="6"/>
      <c r="K497" s="6"/>
      <c r="L497" s="6"/>
      <c r="M497" s="6"/>
      <c r="N497" s="6"/>
      <c r="O497" s="6"/>
      <c r="P497" s="6"/>
      <c r="Q497" s="6"/>
    </row>
    <row r="498">
      <c r="A498" s="2"/>
      <c r="B498" s="2"/>
      <c r="C498" s="2"/>
      <c r="D498" s="2"/>
      <c r="E498" s="6"/>
      <c r="F498" s="6"/>
      <c r="G498" s="6"/>
      <c r="H498" s="2"/>
      <c r="I498" s="6"/>
      <c r="J498" s="6"/>
      <c r="K498" s="6"/>
      <c r="L498" s="6"/>
      <c r="M498" s="6"/>
      <c r="N498" s="6"/>
      <c r="O498" s="6"/>
      <c r="P498" s="6"/>
      <c r="Q498" s="6"/>
    </row>
    <row r="499">
      <c r="A499" s="2"/>
      <c r="B499" s="2"/>
      <c r="C499" s="2"/>
      <c r="D499" s="2"/>
      <c r="E499" s="6"/>
      <c r="F499" s="6"/>
      <c r="G499" s="6"/>
      <c r="H499" s="2"/>
      <c r="I499" s="6"/>
      <c r="J499" s="6"/>
      <c r="K499" s="6"/>
      <c r="L499" s="6"/>
      <c r="M499" s="6"/>
      <c r="N499" s="6"/>
      <c r="O499" s="6"/>
      <c r="P499" s="6"/>
      <c r="Q499" s="6"/>
    </row>
    <row r="500">
      <c r="A500" s="2"/>
      <c r="B500" s="2"/>
      <c r="C500" s="2"/>
      <c r="D500" s="2"/>
      <c r="E500" s="6"/>
      <c r="F500" s="6"/>
      <c r="G500" s="6"/>
      <c r="H500" s="2"/>
      <c r="I500" s="6"/>
      <c r="J500" s="6"/>
      <c r="K500" s="6"/>
      <c r="L500" s="6"/>
      <c r="M500" s="6"/>
      <c r="N500" s="6"/>
      <c r="O500" s="6"/>
      <c r="P500" s="6"/>
      <c r="Q500" s="6"/>
    </row>
    <row r="501">
      <c r="A501" s="2"/>
      <c r="B501" s="2"/>
      <c r="C501" s="2"/>
      <c r="D501" s="2"/>
      <c r="E501" s="6"/>
      <c r="F501" s="6"/>
      <c r="G501" s="6"/>
      <c r="H501" s="2"/>
      <c r="I501" s="6"/>
      <c r="J501" s="6"/>
      <c r="K501" s="6"/>
      <c r="L501" s="6"/>
      <c r="M501" s="6"/>
      <c r="N501" s="6"/>
      <c r="O501" s="6"/>
      <c r="P501" s="6"/>
      <c r="Q501" s="6"/>
    </row>
    <row r="502">
      <c r="A502" s="2"/>
      <c r="B502" s="2"/>
      <c r="C502" s="2"/>
      <c r="D502" s="2"/>
      <c r="E502" s="6"/>
      <c r="F502" s="6"/>
      <c r="G502" s="6"/>
      <c r="H502" s="2"/>
      <c r="I502" s="6"/>
      <c r="J502" s="6"/>
      <c r="K502" s="6"/>
      <c r="L502" s="6"/>
      <c r="M502" s="6"/>
      <c r="N502" s="6"/>
      <c r="O502" s="6"/>
      <c r="P502" s="6"/>
      <c r="Q502" s="6"/>
    </row>
    <row r="503">
      <c r="A503" s="2"/>
      <c r="B503" s="2"/>
      <c r="C503" s="2"/>
      <c r="D503" s="2"/>
      <c r="E503" s="6"/>
      <c r="F503" s="6"/>
      <c r="G503" s="6"/>
      <c r="H503" s="2"/>
      <c r="I503" s="6"/>
      <c r="J503" s="6"/>
      <c r="K503" s="6"/>
      <c r="L503" s="6"/>
      <c r="M503" s="6"/>
      <c r="N503" s="6"/>
      <c r="O503" s="6"/>
      <c r="P503" s="6"/>
      <c r="Q503" s="6"/>
    </row>
    <row r="504">
      <c r="A504" s="2"/>
      <c r="B504" s="2"/>
      <c r="C504" s="2"/>
      <c r="D504" s="2"/>
      <c r="E504" s="6"/>
      <c r="F504" s="6"/>
      <c r="G504" s="6"/>
      <c r="H504" s="2"/>
      <c r="I504" s="6"/>
      <c r="J504" s="6"/>
      <c r="K504" s="6"/>
      <c r="L504" s="6"/>
      <c r="M504" s="6"/>
      <c r="N504" s="6"/>
      <c r="O504" s="6"/>
      <c r="P504" s="6"/>
      <c r="Q504" s="6"/>
    </row>
    <row r="505">
      <c r="A505" s="2"/>
      <c r="B505" s="2"/>
      <c r="C505" s="2"/>
      <c r="D505" s="2"/>
      <c r="E505" s="6"/>
      <c r="F505" s="6"/>
      <c r="G505" s="6"/>
      <c r="H505" s="2"/>
      <c r="I505" s="6"/>
      <c r="J505" s="6"/>
      <c r="K505" s="6"/>
      <c r="L505" s="6"/>
      <c r="M505" s="6"/>
      <c r="N505" s="6"/>
      <c r="O505" s="6"/>
      <c r="P505" s="6"/>
      <c r="Q505" s="6"/>
    </row>
    <row r="506">
      <c r="A506" s="2"/>
      <c r="B506" s="2"/>
      <c r="C506" s="2"/>
      <c r="D506" s="2"/>
      <c r="E506" s="6"/>
      <c r="F506" s="6"/>
      <c r="G506" s="6"/>
      <c r="H506" s="2"/>
      <c r="I506" s="6"/>
      <c r="J506" s="6"/>
      <c r="K506" s="6"/>
      <c r="L506" s="6"/>
      <c r="M506" s="6"/>
      <c r="N506" s="6"/>
      <c r="O506" s="6"/>
      <c r="P506" s="6"/>
      <c r="Q506" s="6"/>
    </row>
    <row r="507">
      <c r="A507" s="2"/>
      <c r="B507" s="2"/>
      <c r="C507" s="2"/>
      <c r="D507" s="2"/>
      <c r="E507" s="6"/>
      <c r="F507" s="6"/>
      <c r="G507" s="6"/>
      <c r="H507" s="2"/>
      <c r="I507" s="6"/>
      <c r="J507" s="6"/>
      <c r="K507" s="6"/>
      <c r="L507" s="6"/>
      <c r="M507" s="6"/>
      <c r="N507" s="6"/>
      <c r="O507" s="6"/>
      <c r="P507" s="6"/>
      <c r="Q507" s="6"/>
    </row>
    <row r="508">
      <c r="A508" s="2"/>
      <c r="B508" s="2"/>
      <c r="C508" s="2"/>
      <c r="D508" s="2"/>
      <c r="E508" s="6"/>
      <c r="F508" s="6"/>
      <c r="G508" s="6"/>
      <c r="H508" s="2"/>
      <c r="I508" s="6"/>
      <c r="J508" s="6"/>
      <c r="K508" s="6"/>
      <c r="L508" s="6"/>
      <c r="M508" s="6"/>
      <c r="N508" s="6"/>
      <c r="O508" s="6"/>
      <c r="P508" s="6"/>
      <c r="Q508" s="6"/>
    </row>
    <row r="509">
      <c r="A509" s="2"/>
      <c r="B509" s="2"/>
      <c r="C509" s="2"/>
      <c r="D509" s="2"/>
      <c r="E509" s="6"/>
      <c r="F509" s="6"/>
      <c r="G509" s="6"/>
      <c r="H509" s="2"/>
      <c r="I509" s="6"/>
      <c r="J509" s="6"/>
      <c r="K509" s="6"/>
      <c r="L509" s="6"/>
      <c r="M509" s="6"/>
      <c r="N509" s="6"/>
      <c r="O509" s="6"/>
      <c r="P509" s="6"/>
      <c r="Q509" s="6"/>
    </row>
    <row r="510">
      <c r="A510" s="2"/>
      <c r="B510" s="2"/>
      <c r="C510" s="2"/>
      <c r="D510" s="2"/>
      <c r="E510" s="6"/>
      <c r="F510" s="6"/>
      <c r="G510" s="6"/>
      <c r="H510" s="2"/>
      <c r="I510" s="6"/>
      <c r="J510" s="6"/>
      <c r="K510" s="6"/>
      <c r="L510" s="6"/>
      <c r="M510" s="6"/>
      <c r="N510" s="6"/>
      <c r="O510" s="6"/>
      <c r="P510" s="6"/>
      <c r="Q510" s="6"/>
    </row>
    <row r="511">
      <c r="A511" s="2"/>
      <c r="B511" s="2"/>
      <c r="C511" s="2"/>
      <c r="D511" s="2"/>
      <c r="E511" s="6"/>
      <c r="F511" s="6"/>
      <c r="G511" s="6"/>
      <c r="H511" s="2"/>
      <c r="I511" s="6"/>
      <c r="J511" s="6"/>
      <c r="K511" s="6"/>
      <c r="L511" s="6"/>
      <c r="M511" s="6"/>
      <c r="N511" s="6"/>
      <c r="O511" s="6"/>
      <c r="P511" s="6"/>
      <c r="Q511" s="6"/>
    </row>
    <row r="512">
      <c r="A512" s="2"/>
      <c r="B512" s="2"/>
      <c r="C512" s="2"/>
      <c r="D512" s="2"/>
      <c r="E512" s="6"/>
      <c r="F512" s="6"/>
      <c r="G512" s="6"/>
      <c r="H512" s="2"/>
      <c r="I512" s="6"/>
      <c r="J512" s="6"/>
      <c r="K512" s="6"/>
      <c r="L512" s="6"/>
      <c r="M512" s="6"/>
      <c r="N512" s="6"/>
      <c r="O512" s="6"/>
      <c r="P512" s="6"/>
      <c r="Q512" s="6"/>
    </row>
    <row r="513">
      <c r="A513" s="2"/>
      <c r="B513" s="2"/>
      <c r="C513" s="2"/>
      <c r="D513" s="2"/>
      <c r="E513" s="6"/>
      <c r="F513" s="6"/>
      <c r="G513" s="6"/>
      <c r="H513" s="2"/>
      <c r="I513" s="6"/>
      <c r="J513" s="6"/>
      <c r="K513" s="6"/>
      <c r="L513" s="6"/>
      <c r="M513" s="6"/>
      <c r="N513" s="6"/>
      <c r="O513" s="6"/>
      <c r="P513" s="6"/>
      <c r="Q513" s="6"/>
    </row>
    <row r="514">
      <c r="A514" s="2"/>
      <c r="B514" s="2"/>
      <c r="C514" s="2"/>
      <c r="D514" s="2"/>
      <c r="E514" s="6"/>
      <c r="F514" s="6"/>
      <c r="G514" s="6"/>
      <c r="H514" s="2"/>
      <c r="I514" s="6"/>
      <c r="J514" s="6"/>
      <c r="K514" s="6"/>
      <c r="L514" s="6"/>
      <c r="M514" s="6"/>
      <c r="N514" s="6"/>
      <c r="O514" s="6"/>
      <c r="P514" s="6"/>
      <c r="Q514" s="6"/>
    </row>
    <row r="515">
      <c r="A515" s="2"/>
      <c r="B515" s="2"/>
      <c r="C515" s="2"/>
      <c r="D515" s="2"/>
      <c r="E515" s="6"/>
      <c r="F515" s="6"/>
      <c r="G515" s="6"/>
      <c r="H515" s="2"/>
      <c r="I515" s="6"/>
      <c r="J515" s="6"/>
      <c r="K515" s="6"/>
      <c r="L515" s="6"/>
      <c r="M515" s="6"/>
      <c r="N515" s="6"/>
      <c r="O515" s="6"/>
      <c r="P515" s="6"/>
      <c r="Q515" s="6"/>
    </row>
    <row r="516">
      <c r="A516" s="2"/>
      <c r="B516" s="2"/>
      <c r="C516" s="2"/>
      <c r="D516" s="2"/>
      <c r="E516" s="6"/>
      <c r="F516" s="6"/>
      <c r="G516" s="6"/>
      <c r="H516" s="2"/>
      <c r="I516" s="6"/>
      <c r="J516" s="6"/>
      <c r="K516" s="6"/>
      <c r="L516" s="6"/>
      <c r="M516" s="6"/>
      <c r="N516" s="6"/>
      <c r="O516" s="6"/>
      <c r="P516" s="6"/>
      <c r="Q516" s="6"/>
    </row>
    <row r="517">
      <c r="A517" s="2"/>
      <c r="B517" s="2"/>
      <c r="C517" s="2"/>
      <c r="D517" s="2"/>
      <c r="E517" s="6"/>
      <c r="F517" s="6"/>
      <c r="G517" s="6"/>
      <c r="H517" s="2"/>
      <c r="I517" s="6"/>
      <c r="J517" s="6"/>
      <c r="K517" s="6"/>
      <c r="L517" s="6"/>
      <c r="M517" s="6"/>
      <c r="N517" s="6"/>
      <c r="O517" s="6"/>
      <c r="P517" s="6"/>
      <c r="Q517" s="6"/>
    </row>
    <row r="518">
      <c r="A518" s="2"/>
      <c r="B518" s="2"/>
      <c r="C518" s="2"/>
      <c r="D518" s="2"/>
      <c r="E518" s="6"/>
      <c r="F518" s="6"/>
      <c r="G518" s="6"/>
      <c r="H518" s="2"/>
      <c r="I518" s="6"/>
      <c r="J518" s="6"/>
      <c r="K518" s="6"/>
      <c r="L518" s="6"/>
      <c r="M518" s="6"/>
      <c r="N518" s="6"/>
      <c r="O518" s="6"/>
      <c r="P518" s="6"/>
      <c r="Q518" s="6"/>
    </row>
    <row r="519">
      <c r="A519" s="2"/>
      <c r="B519" s="2"/>
      <c r="C519" s="2"/>
      <c r="D519" s="2"/>
      <c r="E519" s="6"/>
      <c r="F519" s="6"/>
      <c r="G519" s="6"/>
      <c r="H519" s="2"/>
      <c r="I519" s="6"/>
      <c r="J519" s="6"/>
      <c r="K519" s="6"/>
      <c r="L519" s="6"/>
      <c r="M519" s="6"/>
      <c r="N519" s="6"/>
      <c r="O519" s="6"/>
      <c r="P519" s="6"/>
      <c r="Q519" s="6"/>
    </row>
    <row r="520">
      <c r="A520" s="2"/>
      <c r="B520" s="2"/>
      <c r="C520" s="2"/>
      <c r="D520" s="2"/>
      <c r="E520" s="6"/>
      <c r="F520" s="6"/>
      <c r="G520" s="6"/>
      <c r="H520" s="2"/>
      <c r="I520" s="6"/>
      <c r="J520" s="6"/>
      <c r="K520" s="6"/>
      <c r="L520" s="6"/>
      <c r="M520" s="6"/>
      <c r="N520" s="6"/>
      <c r="O520" s="6"/>
      <c r="P520" s="6"/>
      <c r="Q520" s="6"/>
    </row>
    <row r="521">
      <c r="A521" s="2"/>
      <c r="B521" s="2"/>
      <c r="C521" s="2"/>
      <c r="D521" s="2"/>
      <c r="E521" s="6"/>
      <c r="F521" s="6"/>
      <c r="G521" s="6"/>
      <c r="H521" s="2"/>
      <c r="I521" s="6"/>
      <c r="J521" s="6"/>
      <c r="K521" s="6"/>
      <c r="L521" s="6"/>
      <c r="M521" s="6"/>
      <c r="N521" s="6"/>
      <c r="O521" s="6"/>
      <c r="P521" s="6"/>
      <c r="Q521" s="6"/>
    </row>
    <row r="522">
      <c r="A522" s="2"/>
      <c r="B522" s="2"/>
      <c r="C522" s="2"/>
      <c r="D522" s="2"/>
      <c r="E522" s="6"/>
      <c r="F522" s="6"/>
      <c r="G522" s="6"/>
      <c r="H522" s="2"/>
      <c r="I522" s="6"/>
      <c r="J522" s="6"/>
      <c r="K522" s="6"/>
      <c r="L522" s="6"/>
      <c r="M522" s="6"/>
      <c r="N522" s="6"/>
      <c r="O522" s="6"/>
      <c r="P522" s="6"/>
      <c r="Q522" s="6"/>
    </row>
    <row r="523">
      <c r="A523" s="2"/>
      <c r="B523" s="2"/>
      <c r="C523" s="2"/>
      <c r="D523" s="2"/>
      <c r="E523" s="6"/>
      <c r="F523" s="6"/>
      <c r="G523" s="6"/>
      <c r="H523" s="2"/>
      <c r="I523" s="6"/>
      <c r="J523" s="6"/>
      <c r="K523" s="6"/>
      <c r="L523" s="6"/>
      <c r="M523" s="6"/>
      <c r="N523" s="6"/>
      <c r="O523" s="6"/>
      <c r="P523" s="6"/>
      <c r="Q523" s="6"/>
    </row>
    <row r="524">
      <c r="A524" s="2"/>
      <c r="B524" s="2"/>
      <c r="C524" s="2"/>
      <c r="D524" s="2"/>
      <c r="E524" s="6"/>
      <c r="F524" s="6"/>
      <c r="G524" s="6"/>
      <c r="H524" s="2"/>
      <c r="I524" s="6"/>
      <c r="J524" s="6"/>
      <c r="K524" s="6"/>
      <c r="L524" s="6"/>
      <c r="M524" s="6"/>
      <c r="N524" s="6"/>
      <c r="O524" s="6"/>
      <c r="P524" s="6"/>
      <c r="Q524" s="6"/>
    </row>
    <row r="525">
      <c r="A525" s="2"/>
      <c r="B525" s="2"/>
      <c r="C525" s="2"/>
      <c r="D525" s="2"/>
      <c r="E525" s="6"/>
      <c r="F525" s="6"/>
      <c r="G525" s="6"/>
      <c r="H525" s="2"/>
      <c r="I525" s="6"/>
      <c r="J525" s="6"/>
      <c r="K525" s="6"/>
      <c r="L525" s="6"/>
      <c r="M525" s="6"/>
      <c r="N525" s="6"/>
      <c r="O525" s="6"/>
      <c r="P525" s="6"/>
      <c r="Q525" s="6"/>
    </row>
    <row r="526">
      <c r="A526" s="2"/>
      <c r="B526" s="2"/>
      <c r="C526" s="2"/>
      <c r="D526" s="2"/>
      <c r="E526" s="6"/>
      <c r="F526" s="6"/>
      <c r="G526" s="6"/>
      <c r="H526" s="2"/>
      <c r="I526" s="6"/>
      <c r="J526" s="6"/>
      <c r="K526" s="6"/>
      <c r="L526" s="6"/>
      <c r="M526" s="6"/>
      <c r="N526" s="6"/>
      <c r="O526" s="6"/>
      <c r="P526" s="6"/>
      <c r="Q526" s="6"/>
    </row>
    <row r="527">
      <c r="A527" s="2"/>
      <c r="B527" s="2"/>
      <c r="C527" s="2"/>
      <c r="D527" s="2"/>
      <c r="E527" s="6"/>
      <c r="F527" s="6"/>
      <c r="G527" s="6"/>
      <c r="H527" s="2"/>
      <c r="I527" s="6"/>
      <c r="J527" s="6"/>
      <c r="K527" s="6"/>
      <c r="L527" s="6"/>
      <c r="M527" s="6"/>
      <c r="N527" s="6"/>
      <c r="O527" s="6"/>
      <c r="P527" s="6"/>
      <c r="Q527" s="6"/>
    </row>
    <row r="528">
      <c r="A528" s="2"/>
      <c r="B528" s="2"/>
      <c r="C528" s="2"/>
      <c r="D528" s="2"/>
      <c r="E528" s="6"/>
      <c r="F528" s="6"/>
      <c r="G528" s="6"/>
      <c r="H528" s="2"/>
      <c r="I528" s="6"/>
      <c r="J528" s="6"/>
      <c r="K528" s="6"/>
      <c r="L528" s="6"/>
      <c r="M528" s="6"/>
      <c r="N528" s="6"/>
      <c r="O528" s="6"/>
      <c r="P528" s="6"/>
      <c r="Q528" s="6"/>
    </row>
    <row r="529">
      <c r="A529" s="2"/>
      <c r="B529" s="2"/>
      <c r="C529" s="2"/>
      <c r="D529" s="2"/>
      <c r="E529" s="6"/>
      <c r="F529" s="6"/>
      <c r="G529" s="6"/>
      <c r="H529" s="2"/>
      <c r="I529" s="6"/>
      <c r="J529" s="6"/>
      <c r="K529" s="6"/>
      <c r="L529" s="6"/>
      <c r="M529" s="6"/>
      <c r="N529" s="6"/>
      <c r="O529" s="6"/>
      <c r="P529" s="6"/>
      <c r="Q529" s="6"/>
    </row>
    <row r="530">
      <c r="A530" s="2"/>
      <c r="B530" s="2"/>
      <c r="C530" s="2"/>
      <c r="D530" s="2"/>
      <c r="E530" s="6"/>
      <c r="F530" s="6"/>
      <c r="G530" s="6"/>
      <c r="H530" s="2"/>
      <c r="I530" s="6"/>
      <c r="J530" s="6"/>
      <c r="K530" s="6"/>
      <c r="L530" s="6"/>
      <c r="M530" s="6"/>
      <c r="N530" s="6"/>
      <c r="O530" s="6"/>
      <c r="P530" s="6"/>
      <c r="Q530" s="6"/>
    </row>
    <row r="531">
      <c r="A531" s="2"/>
      <c r="B531" s="2"/>
      <c r="C531" s="2"/>
      <c r="D531" s="2"/>
      <c r="E531" s="6"/>
      <c r="F531" s="6"/>
      <c r="G531" s="6"/>
      <c r="H531" s="2"/>
      <c r="I531" s="6"/>
      <c r="J531" s="6"/>
      <c r="K531" s="6"/>
      <c r="L531" s="6"/>
      <c r="M531" s="6"/>
      <c r="N531" s="6"/>
      <c r="O531" s="6"/>
      <c r="P531" s="6"/>
      <c r="Q531" s="6"/>
    </row>
    <row r="532">
      <c r="A532" s="2"/>
      <c r="B532" s="2"/>
      <c r="C532" s="2"/>
      <c r="D532" s="2"/>
      <c r="E532" s="6"/>
      <c r="F532" s="6"/>
      <c r="G532" s="6"/>
      <c r="H532" s="2"/>
      <c r="I532" s="6"/>
      <c r="J532" s="6"/>
      <c r="K532" s="6"/>
      <c r="L532" s="6"/>
      <c r="M532" s="6"/>
      <c r="N532" s="6"/>
      <c r="O532" s="6"/>
      <c r="P532" s="6"/>
      <c r="Q532" s="6"/>
    </row>
    <row r="533">
      <c r="A533" s="2"/>
      <c r="B533" s="2"/>
      <c r="C533" s="2"/>
      <c r="D533" s="2"/>
      <c r="E533" s="6"/>
      <c r="F533" s="6"/>
      <c r="G533" s="6"/>
      <c r="H533" s="2"/>
      <c r="I533" s="6"/>
      <c r="J533" s="6"/>
      <c r="K533" s="6"/>
      <c r="L533" s="6"/>
      <c r="M533" s="6"/>
      <c r="N533" s="6"/>
      <c r="O533" s="6"/>
      <c r="P533" s="6"/>
      <c r="Q533" s="6"/>
    </row>
    <row r="534">
      <c r="A534" s="2"/>
      <c r="B534" s="2"/>
      <c r="C534" s="2"/>
      <c r="D534" s="2"/>
      <c r="E534" s="6"/>
      <c r="F534" s="6"/>
      <c r="G534" s="6"/>
      <c r="H534" s="2"/>
      <c r="I534" s="6"/>
      <c r="J534" s="6"/>
      <c r="K534" s="6"/>
      <c r="L534" s="6"/>
      <c r="M534" s="6"/>
      <c r="N534" s="6"/>
      <c r="O534" s="6"/>
      <c r="P534" s="6"/>
      <c r="Q534" s="6"/>
    </row>
    <row r="535">
      <c r="A535" s="2"/>
      <c r="B535" s="2"/>
      <c r="C535" s="2"/>
      <c r="D535" s="2"/>
      <c r="E535" s="6"/>
      <c r="F535" s="6"/>
      <c r="G535" s="6"/>
      <c r="H535" s="2"/>
      <c r="I535" s="6"/>
      <c r="J535" s="6"/>
      <c r="K535" s="6"/>
      <c r="L535" s="6"/>
      <c r="M535" s="6"/>
      <c r="N535" s="6"/>
      <c r="O535" s="6"/>
      <c r="P535" s="6"/>
      <c r="Q535" s="6"/>
    </row>
    <row r="536">
      <c r="A536" s="2"/>
      <c r="B536" s="2"/>
      <c r="C536" s="2"/>
      <c r="D536" s="2"/>
      <c r="E536" s="6"/>
      <c r="F536" s="6"/>
      <c r="G536" s="6"/>
      <c r="H536" s="2"/>
      <c r="I536" s="6"/>
      <c r="J536" s="6"/>
      <c r="K536" s="6"/>
      <c r="L536" s="6"/>
      <c r="M536" s="6"/>
      <c r="N536" s="6"/>
      <c r="O536" s="6"/>
      <c r="P536" s="6"/>
      <c r="Q536" s="6"/>
    </row>
    <row r="537">
      <c r="A537" s="2"/>
      <c r="B537" s="2"/>
      <c r="C537" s="2"/>
      <c r="D537" s="2"/>
      <c r="E537" s="6"/>
      <c r="F537" s="6"/>
      <c r="G537" s="6"/>
      <c r="H537" s="2"/>
      <c r="I537" s="6"/>
      <c r="J537" s="6"/>
      <c r="K537" s="6"/>
      <c r="L537" s="6"/>
      <c r="M537" s="6"/>
      <c r="N537" s="6"/>
      <c r="O537" s="6"/>
      <c r="P537" s="6"/>
      <c r="Q537" s="6"/>
    </row>
    <row r="538">
      <c r="A538" s="2"/>
      <c r="B538" s="2"/>
      <c r="C538" s="2"/>
      <c r="D538" s="2"/>
      <c r="E538" s="6"/>
      <c r="F538" s="6"/>
      <c r="G538" s="6"/>
      <c r="H538" s="2"/>
      <c r="I538" s="6"/>
      <c r="J538" s="6"/>
      <c r="K538" s="6"/>
      <c r="L538" s="6"/>
      <c r="M538" s="6"/>
      <c r="N538" s="6"/>
      <c r="O538" s="6"/>
      <c r="P538" s="6"/>
      <c r="Q538" s="6"/>
    </row>
    <row r="539">
      <c r="A539" s="2"/>
      <c r="B539" s="2"/>
      <c r="C539" s="2"/>
      <c r="D539" s="2"/>
      <c r="E539" s="6"/>
      <c r="F539" s="6"/>
      <c r="G539" s="6"/>
      <c r="H539" s="2"/>
      <c r="I539" s="6"/>
      <c r="J539" s="6"/>
      <c r="K539" s="6"/>
      <c r="L539" s="6"/>
      <c r="M539" s="6"/>
      <c r="N539" s="6"/>
      <c r="O539" s="6"/>
      <c r="P539" s="6"/>
      <c r="Q539" s="6"/>
    </row>
    <row r="540">
      <c r="A540" s="2"/>
      <c r="B540" s="2"/>
      <c r="C540" s="2"/>
      <c r="D540" s="2"/>
      <c r="E540" s="6"/>
      <c r="F540" s="6"/>
      <c r="G540" s="6"/>
      <c r="H540" s="2"/>
      <c r="I540" s="6"/>
      <c r="J540" s="6"/>
      <c r="K540" s="6"/>
      <c r="L540" s="6"/>
      <c r="M540" s="6"/>
      <c r="N540" s="6"/>
      <c r="O540" s="6"/>
      <c r="P540" s="6"/>
      <c r="Q540" s="6"/>
    </row>
    <row r="541">
      <c r="A541" s="2"/>
      <c r="B541" s="2"/>
      <c r="C541" s="2"/>
      <c r="D541" s="2"/>
      <c r="E541" s="6"/>
      <c r="F541" s="6"/>
      <c r="G541" s="6"/>
      <c r="H541" s="2"/>
      <c r="I541" s="6"/>
      <c r="J541" s="6"/>
      <c r="K541" s="6"/>
      <c r="L541" s="6"/>
      <c r="M541" s="6"/>
      <c r="N541" s="6"/>
      <c r="O541" s="6"/>
      <c r="P541" s="6"/>
      <c r="Q541" s="6"/>
    </row>
    <row r="542">
      <c r="A542" s="2"/>
      <c r="B542" s="2"/>
      <c r="C542" s="2"/>
      <c r="D542" s="2"/>
      <c r="E542" s="6"/>
      <c r="F542" s="6"/>
      <c r="G542" s="6"/>
      <c r="H542" s="2"/>
      <c r="I542" s="6"/>
      <c r="J542" s="6"/>
      <c r="K542" s="6"/>
      <c r="L542" s="6"/>
      <c r="M542" s="6"/>
      <c r="N542" s="6"/>
      <c r="O542" s="6"/>
      <c r="P542" s="6"/>
      <c r="Q542" s="6"/>
    </row>
    <row r="543">
      <c r="A543" s="2"/>
      <c r="B543" s="2"/>
      <c r="C543" s="2"/>
      <c r="D543" s="2"/>
      <c r="E543" s="6"/>
      <c r="F543" s="6"/>
      <c r="G543" s="6"/>
      <c r="H543" s="2"/>
      <c r="I543" s="6"/>
      <c r="J543" s="6"/>
      <c r="K543" s="6"/>
      <c r="L543" s="6"/>
      <c r="M543" s="6"/>
      <c r="N543" s="6"/>
      <c r="O543" s="6"/>
      <c r="P543" s="6"/>
      <c r="Q543" s="6"/>
    </row>
    <row r="544">
      <c r="A544" s="2"/>
      <c r="B544" s="2"/>
      <c r="C544" s="2"/>
      <c r="D544" s="2"/>
      <c r="E544" s="6"/>
      <c r="F544" s="6"/>
      <c r="G544" s="6"/>
      <c r="H544" s="2"/>
      <c r="I544" s="6"/>
      <c r="J544" s="6"/>
      <c r="K544" s="6"/>
      <c r="L544" s="6"/>
      <c r="M544" s="6"/>
      <c r="N544" s="6"/>
      <c r="O544" s="6"/>
      <c r="P544" s="6"/>
      <c r="Q544" s="6"/>
    </row>
    <row r="545">
      <c r="A545" s="2"/>
      <c r="B545" s="2"/>
      <c r="C545" s="2"/>
      <c r="D545" s="2"/>
      <c r="E545" s="6"/>
      <c r="F545" s="6"/>
      <c r="G545" s="6"/>
      <c r="H545" s="2"/>
      <c r="I545" s="6"/>
      <c r="J545" s="6"/>
      <c r="K545" s="6"/>
      <c r="L545" s="6"/>
      <c r="M545" s="6"/>
      <c r="N545" s="6"/>
      <c r="O545" s="6"/>
      <c r="P545" s="6"/>
      <c r="Q545" s="6"/>
    </row>
    <row r="546">
      <c r="A546" s="2"/>
      <c r="B546" s="2"/>
      <c r="C546" s="2"/>
      <c r="D546" s="2"/>
      <c r="E546" s="6"/>
      <c r="F546" s="6"/>
      <c r="G546" s="6"/>
      <c r="H546" s="2"/>
      <c r="I546" s="6"/>
      <c r="J546" s="6"/>
      <c r="K546" s="6"/>
      <c r="L546" s="6"/>
      <c r="M546" s="6"/>
      <c r="N546" s="6"/>
      <c r="O546" s="6"/>
      <c r="P546" s="6"/>
      <c r="Q546" s="6"/>
    </row>
    <row r="547">
      <c r="A547" s="2"/>
      <c r="B547" s="2"/>
      <c r="C547" s="2"/>
      <c r="D547" s="2"/>
      <c r="E547" s="6"/>
      <c r="F547" s="6"/>
      <c r="G547" s="6"/>
      <c r="H547" s="2"/>
      <c r="I547" s="6"/>
      <c r="J547" s="6"/>
      <c r="K547" s="6"/>
      <c r="L547" s="6"/>
      <c r="M547" s="6"/>
      <c r="N547" s="6"/>
      <c r="O547" s="6"/>
      <c r="P547" s="6"/>
      <c r="Q547" s="6"/>
    </row>
    <row r="548">
      <c r="A548" s="2"/>
      <c r="B548" s="2"/>
      <c r="C548" s="2"/>
      <c r="D548" s="2"/>
      <c r="E548" s="6"/>
      <c r="F548" s="6"/>
      <c r="G548" s="6"/>
      <c r="H548" s="2"/>
      <c r="I548" s="6"/>
      <c r="J548" s="6"/>
      <c r="K548" s="6"/>
      <c r="L548" s="6"/>
      <c r="M548" s="6"/>
      <c r="N548" s="6"/>
      <c r="O548" s="6"/>
      <c r="P548" s="6"/>
      <c r="Q548" s="6"/>
    </row>
    <row r="549">
      <c r="A549" s="2"/>
      <c r="B549" s="2"/>
      <c r="C549" s="2"/>
      <c r="D549" s="2"/>
      <c r="E549" s="6"/>
      <c r="F549" s="6"/>
      <c r="G549" s="6"/>
      <c r="H549" s="2"/>
      <c r="I549" s="6"/>
      <c r="J549" s="6"/>
      <c r="K549" s="6"/>
      <c r="L549" s="6"/>
      <c r="M549" s="6"/>
      <c r="N549" s="6"/>
      <c r="O549" s="6"/>
      <c r="P549" s="6"/>
      <c r="Q549" s="6"/>
    </row>
    <row r="550">
      <c r="A550" s="2"/>
      <c r="B550" s="2"/>
      <c r="C550" s="2"/>
      <c r="D550" s="2"/>
      <c r="E550" s="6"/>
      <c r="F550" s="6"/>
      <c r="G550" s="6"/>
      <c r="H550" s="2"/>
      <c r="I550" s="6"/>
      <c r="J550" s="6"/>
      <c r="K550" s="6"/>
      <c r="L550" s="6"/>
      <c r="M550" s="6"/>
      <c r="N550" s="6"/>
      <c r="O550" s="6"/>
      <c r="P550" s="6"/>
      <c r="Q550" s="6"/>
    </row>
    <row r="551">
      <c r="A551" s="2"/>
      <c r="B551" s="2"/>
      <c r="C551" s="2"/>
      <c r="D551" s="2"/>
      <c r="E551" s="6"/>
      <c r="F551" s="6"/>
      <c r="G551" s="6"/>
      <c r="H551" s="2"/>
      <c r="I551" s="6"/>
      <c r="J551" s="6"/>
      <c r="K551" s="6"/>
      <c r="L551" s="6"/>
      <c r="M551" s="6"/>
      <c r="N551" s="6"/>
      <c r="O551" s="6"/>
      <c r="P551" s="6"/>
      <c r="Q551" s="6"/>
    </row>
    <row r="552">
      <c r="A552" s="2"/>
      <c r="B552" s="2"/>
      <c r="C552" s="2"/>
      <c r="D552" s="2"/>
      <c r="E552" s="6"/>
      <c r="F552" s="6"/>
      <c r="G552" s="6"/>
      <c r="H552" s="2"/>
      <c r="I552" s="6"/>
      <c r="J552" s="6"/>
      <c r="K552" s="6"/>
      <c r="L552" s="6"/>
      <c r="M552" s="6"/>
      <c r="N552" s="6"/>
      <c r="O552" s="6"/>
      <c r="P552" s="6"/>
      <c r="Q552" s="6"/>
    </row>
    <row r="553">
      <c r="A553" s="2"/>
      <c r="B553" s="2"/>
      <c r="C553" s="2"/>
      <c r="D553" s="2"/>
      <c r="E553" s="6"/>
      <c r="F553" s="6"/>
      <c r="G553" s="6"/>
      <c r="H553" s="2"/>
      <c r="I553" s="6"/>
      <c r="J553" s="6"/>
      <c r="K553" s="6"/>
      <c r="L553" s="6"/>
      <c r="M553" s="6"/>
      <c r="N553" s="6"/>
      <c r="O553" s="6"/>
      <c r="P553" s="6"/>
      <c r="Q553" s="6"/>
    </row>
    <row r="554">
      <c r="A554" s="2"/>
      <c r="B554" s="2"/>
      <c r="C554" s="2"/>
      <c r="D554" s="2"/>
      <c r="E554" s="6"/>
      <c r="F554" s="6"/>
      <c r="G554" s="6"/>
      <c r="H554" s="2"/>
      <c r="I554" s="6"/>
      <c r="J554" s="6"/>
      <c r="K554" s="6"/>
      <c r="L554" s="6"/>
      <c r="M554" s="6"/>
      <c r="N554" s="6"/>
      <c r="O554" s="6"/>
      <c r="P554" s="6"/>
      <c r="Q554" s="6"/>
    </row>
    <row r="555">
      <c r="A555" s="2"/>
      <c r="B555" s="2"/>
      <c r="C555" s="2"/>
      <c r="D555" s="2"/>
      <c r="E555" s="6"/>
      <c r="F555" s="6"/>
      <c r="G555" s="6"/>
      <c r="H555" s="2"/>
      <c r="I555" s="6"/>
      <c r="J555" s="6"/>
      <c r="K555" s="6"/>
      <c r="L555" s="6"/>
      <c r="M555" s="6"/>
      <c r="N555" s="6"/>
      <c r="O555" s="6"/>
      <c r="P555" s="6"/>
      <c r="Q555" s="6"/>
    </row>
    <row r="556">
      <c r="A556" s="2"/>
      <c r="B556" s="2"/>
      <c r="C556" s="2"/>
      <c r="D556" s="2"/>
      <c r="E556" s="6"/>
      <c r="F556" s="6"/>
      <c r="G556" s="6"/>
      <c r="H556" s="2"/>
      <c r="I556" s="6"/>
      <c r="J556" s="6"/>
      <c r="K556" s="6"/>
      <c r="L556" s="6"/>
      <c r="M556" s="6"/>
      <c r="N556" s="6"/>
      <c r="O556" s="6"/>
      <c r="P556" s="6"/>
      <c r="Q556" s="6"/>
    </row>
    <row r="557">
      <c r="A557" s="2"/>
      <c r="B557" s="2"/>
      <c r="C557" s="2"/>
      <c r="D557" s="2"/>
      <c r="E557" s="6"/>
      <c r="F557" s="6"/>
      <c r="G557" s="6"/>
      <c r="H557" s="2"/>
      <c r="I557" s="6"/>
      <c r="J557" s="6"/>
      <c r="K557" s="6"/>
      <c r="L557" s="6"/>
      <c r="M557" s="6"/>
      <c r="N557" s="6"/>
      <c r="O557" s="6"/>
      <c r="P557" s="6"/>
      <c r="Q557" s="6"/>
    </row>
    <row r="558">
      <c r="A558" s="2"/>
      <c r="B558" s="2"/>
      <c r="C558" s="2"/>
      <c r="D558" s="2"/>
      <c r="E558" s="6"/>
      <c r="F558" s="6"/>
      <c r="G558" s="6"/>
      <c r="H558" s="2"/>
      <c r="I558" s="6"/>
      <c r="J558" s="6"/>
      <c r="K558" s="6"/>
      <c r="L558" s="6"/>
      <c r="M558" s="6"/>
      <c r="N558" s="6"/>
      <c r="O558" s="6"/>
      <c r="P558" s="6"/>
      <c r="Q558" s="6"/>
    </row>
    <row r="559">
      <c r="A559" s="2"/>
      <c r="B559" s="2"/>
      <c r="C559" s="2"/>
      <c r="D559" s="2"/>
      <c r="E559" s="6"/>
      <c r="F559" s="6"/>
      <c r="G559" s="6"/>
      <c r="H559" s="2"/>
      <c r="I559" s="6"/>
      <c r="J559" s="6"/>
      <c r="K559" s="6"/>
      <c r="L559" s="6"/>
      <c r="M559" s="6"/>
      <c r="N559" s="6"/>
      <c r="O559" s="6"/>
      <c r="P559" s="6"/>
      <c r="Q559" s="6"/>
    </row>
    <row r="560">
      <c r="A560" s="2"/>
      <c r="B560" s="2"/>
      <c r="C560" s="2"/>
      <c r="D560" s="2"/>
      <c r="E560" s="6"/>
      <c r="F560" s="6"/>
      <c r="G560" s="6"/>
      <c r="H560" s="2"/>
      <c r="I560" s="6"/>
      <c r="J560" s="6"/>
      <c r="K560" s="6"/>
      <c r="L560" s="6"/>
      <c r="M560" s="6"/>
      <c r="N560" s="6"/>
      <c r="O560" s="6"/>
      <c r="P560" s="6"/>
      <c r="Q560" s="6"/>
    </row>
    <row r="561">
      <c r="A561" s="2"/>
      <c r="B561" s="2"/>
      <c r="C561" s="2"/>
      <c r="D561" s="2"/>
      <c r="E561" s="6"/>
      <c r="F561" s="6"/>
      <c r="G561" s="6"/>
      <c r="H561" s="2"/>
      <c r="I561" s="6"/>
      <c r="J561" s="6"/>
      <c r="K561" s="6"/>
      <c r="L561" s="6"/>
      <c r="M561" s="6"/>
      <c r="N561" s="6"/>
      <c r="O561" s="6"/>
      <c r="P561" s="6"/>
      <c r="Q561" s="6"/>
    </row>
    <row r="562">
      <c r="A562" s="2"/>
      <c r="B562" s="2"/>
      <c r="C562" s="2"/>
      <c r="D562" s="2"/>
      <c r="E562" s="6"/>
      <c r="F562" s="6"/>
      <c r="G562" s="6"/>
      <c r="H562" s="2"/>
      <c r="I562" s="6"/>
      <c r="J562" s="6"/>
      <c r="K562" s="6"/>
      <c r="L562" s="6"/>
      <c r="M562" s="6"/>
      <c r="N562" s="6"/>
      <c r="O562" s="6"/>
      <c r="P562" s="6"/>
      <c r="Q562" s="6"/>
    </row>
    <row r="563">
      <c r="A563" s="2"/>
      <c r="B563" s="2"/>
      <c r="C563" s="2"/>
      <c r="D563" s="2"/>
      <c r="E563" s="6"/>
      <c r="F563" s="6"/>
      <c r="G563" s="6"/>
      <c r="H563" s="2"/>
      <c r="I563" s="6"/>
      <c r="J563" s="6"/>
      <c r="K563" s="6"/>
      <c r="L563" s="6"/>
      <c r="M563" s="6"/>
      <c r="N563" s="6"/>
      <c r="O563" s="6"/>
      <c r="P563" s="6"/>
      <c r="Q563" s="6"/>
    </row>
    <row r="564">
      <c r="A564" s="2"/>
      <c r="B564" s="2"/>
      <c r="C564" s="2"/>
      <c r="D564" s="2"/>
      <c r="E564" s="6"/>
      <c r="F564" s="6"/>
      <c r="G564" s="6"/>
      <c r="H564" s="2"/>
      <c r="I564" s="6"/>
      <c r="J564" s="6"/>
      <c r="K564" s="6"/>
      <c r="L564" s="6"/>
      <c r="M564" s="6"/>
      <c r="N564" s="6"/>
      <c r="O564" s="6"/>
      <c r="P564" s="6"/>
      <c r="Q564" s="6"/>
    </row>
    <row r="565">
      <c r="A565" s="2"/>
      <c r="B565" s="2"/>
      <c r="C565" s="2"/>
      <c r="D565" s="2"/>
      <c r="E565" s="6"/>
      <c r="F565" s="6"/>
      <c r="G565" s="6"/>
      <c r="H565" s="2"/>
      <c r="I565" s="6"/>
      <c r="J565" s="6"/>
      <c r="K565" s="6"/>
      <c r="L565" s="6"/>
      <c r="M565" s="6"/>
      <c r="N565" s="6"/>
      <c r="O565" s="6"/>
      <c r="P565" s="6"/>
      <c r="Q565" s="6"/>
    </row>
    <row r="566">
      <c r="A566" s="2"/>
      <c r="B566" s="2"/>
      <c r="C566" s="2"/>
      <c r="D566" s="2"/>
      <c r="E566" s="6"/>
      <c r="F566" s="6"/>
      <c r="G566" s="6"/>
      <c r="H566" s="2"/>
      <c r="I566" s="6"/>
      <c r="J566" s="6"/>
      <c r="K566" s="6"/>
      <c r="L566" s="6"/>
      <c r="M566" s="6"/>
      <c r="N566" s="6"/>
      <c r="O566" s="6"/>
      <c r="P566" s="6"/>
      <c r="Q566" s="6"/>
    </row>
    <row r="567">
      <c r="A567" s="2"/>
      <c r="B567" s="2"/>
      <c r="C567" s="2"/>
      <c r="D567" s="2"/>
      <c r="E567" s="6"/>
      <c r="F567" s="6"/>
      <c r="G567" s="6"/>
      <c r="H567" s="2"/>
      <c r="I567" s="6"/>
      <c r="J567" s="6"/>
      <c r="K567" s="6"/>
      <c r="L567" s="6"/>
      <c r="M567" s="6"/>
      <c r="N567" s="6"/>
      <c r="O567" s="6"/>
      <c r="P567" s="6"/>
      <c r="Q567" s="6"/>
    </row>
    <row r="568">
      <c r="A568" s="2"/>
      <c r="B568" s="2"/>
      <c r="C568" s="2"/>
      <c r="D568" s="2"/>
      <c r="E568" s="6"/>
      <c r="F568" s="6"/>
      <c r="G568" s="6"/>
      <c r="H568" s="2"/>
      <c r="I568" s="6"/>
      <c r="J568" s="6"/>
      <c r="K568" s="6"/>
      <c r="L568" s="6"/>
      <c r="M568" s="6"/>
      <c r="N568" s="6"/>
      <c r="O568" s="6"/>
      <c r="P568" s="6"/>
      <c r="Q568" s="6"/>
    </row>
    <row r="569">
      <c r="A569" s="2"/>
      <c r="B569" s="2"/>
      <c r="C569" s="2"/>
      <c r="D569" s="2"/>
      <c r="E569" s="6"/>
      <c r="F569" s="6"/>
      <c r="G569" s="6"/>
      <c r="H569" s="2"/>
      <c r="I569" s="6"/>
      <c r="J569" s="6"/>
      <c r="K569" s="6"/>
      <c r="L569" s="6"/>
      <c r="M569" s="6"/>
      <c r="N569" s="6"/>
      <c r="O569" s="6"/>
      <c r="P569" s="6"/>
      <c r="Q569" s="6"/>
    </row>
    <row r="570">
      <c r="A570" s="2"/>
      <c r="B570" s="2"/>
      <c r="C570" s="2"/>
      <c r="D570" s="2"/>
      <c r="E570" s="6"/>
      <c r="F570" s="6"/>
      <c r="G570" s="6"/>
      <c r="H570" s="2"/>
      <c r="I570" s="6"/>
      <c r="J570" s="6"/>
      <c r="K570" s="6"/>
      <c r="L570" s="6"/>
      <c r="M570" s="6"/>
      <c r="N570" s="6"/>
      <c r="O570" s="6"/>
      <c r="P570" s="6"/>
      <c r="Q570" s="6"/>
    </row>
    <row r="571">
      <c r="A571" s="2"/>
      <c r="B571" s="2"/>
      <c r="C571" s="2"/>
      <c r="D571" s="2"/>
      <c r="E571" s="6"/>
      <c r="F571" s="6"/>
      <c r="G571" s="6"/>
      <c r="H571" s="2"/>
      <c r="I571" s="6"/>
      <c r="J571" s="6"/>
      <c r="K571" s="6"/>
      <c r="L571" s="6"/>
      <c r="M571" s="6"/>
      <c r="N571" s="6"/>
      <c r="O571" s="6"/>
      <c r="P571" s="6"/>
      <c r="Q571" s="6"/>
    </row>
    <row r="572">
      <c r="A572" s="2"/>
      <c r="B572" s="2"/>
      <c r="C572" s="2"/>
      <c r="D572" s="2"/>
      <c r="E572" s="6"/>
      <c r="F572" s="6"/>
      <c r="G572" s="6"/>
      <c r="H572" s="2"/>
      <c r="I572" s="6"/>
      <c r="J572" s="6"/>
      <c r="K572" s="6"/>
      <c r="L572" s="6"/>
      <c r="M572" s="6"/>
      <c r="N572" s="6"/>
      <c r="O572" s="6"/>
      <c r="P572" s="6"/>
      <c r="Q572" s="6"/>
    </row>
    <row r="573">
      <c r="A573" s="2"/>
      <c r="B573" s="2"/>
      <c r="C573" s="2"/>
      <c r="D573" s="2"/>
      <c r="E573" s="6"/>
      <c r="F573" s="6"/>
      <c r="G573" s="6"/>
      <c r="H573" s="2"/>
      <c r="I573" s="6"/>
      <c r="J573" s="6"/>
      <c r="K573" s="6"/>
      <c r="L573" s="6"/>
      <c r="M573" s="6"/>
      <c r="N573" s="6"/>
      <c r="O573" s="6"/>
      <c r="P573" s="6"/>
      <c r="Q573" s="6"/>
    </row>
    <row r="574">
      <c r="A574" s="2"/>
      <c r="B574" s="2"/>
      <c r="C574" s="2"/>
      <c r="D574" s="2"/>
      <c r="E574" s="6"/>
      <c r="F574" s="6"/>
      <c r="G574" s="6"/>
      <c r="H574" s="2"/>
      <c r="I574" s="6"/>
      <c r="J574" s="6"/>
      <c r="K574" s="6"/>
      <c r="L574" s="6"/>
      <c r="M574" s="6"/>
      <c r="N574" s="6"/>
      <c r="O574" s="6"/>
      <c r="P574" s="6"/>
      <c r="Q574" s="6"/>
    </row>
    <row r="575">
      <c r="A575" s="2"/>
      <c r="B575" s="2"/>
      <c r="C575" s="2"/>
      <c r="D575" s="2"/>
      <c r="E575" s="6"/>
      <c r="F575" s="6"/>
      <c r="G575" s="6"/>
      <c r="H575" s="2"/>
      <c r="I575" s="6"/>
      <c r="J575" s="6"/>
      <c r="K575" s="6"/>
      <c r="L575" s="6"/>
      <c r="M575" s="6"/>
      <c r="N575" s="6"/>
      <c r="O575" s="6"/>
      <c r="P575" s="6"/>
      <c r="Q575" s="6"/>
    </row>
    <row r="576">
      <c r="A576" s="2"/>
      <c r="B576" s="2"/>
      <c r="C576" s="2"/>
      <c r="D576" s="2"/>
      <c r="E576" s="6"/>
      <c r="F576" s="6"/>
      <c r="G576" s="6"/>
      <c r="H576" s="2"/>
      <c r="I576" s="6"/>
      <c r="J576" s="6"/>
      <c r="K576" s="6"/>
      <c r="L576" s="6"/>
      <c r="M576" s="6"/>
      <c r="N576" s="6"/>
      <c r="O576" s="6"/>
      <c r="P576" s="6"/>
      <c r="Q576" s="6"/>
    </row>
    <row r="577">
      <c r="A577" s="2"/>
      <c r="B577" s="2"/>
      <c r="C577" s="2"/>
      <c r="D577" s="2"/>
      <c r="E577" s="6"/>
      <c r="F577" s="6"/>
      <c r="G577" s="6"/>
      <c r="H577" s="2"/>
      <c r="I577" s="6"/>
      <c r="J577" s="6"/>
      <c r="K577" s="6"/>
      <c r="L577" s="6"/>
      <c r="M577" s="6"/>
      <c r="N577" s="6"/>
      <c r="O577" s="6"/>
      <c r="P577" s="6"/>
      <c r="Q577" s="6"/>
    </row>
    <row r="578">
      <c r="A578" s="2"/>
      <c r="B578" s="2"/>
      <c r="C578" s="2"/>
      <c r="D578" s="2"/>
      <c r="E578" s="6"/>
      <c r="F578" s="6"/>
      <c r="G578" s="6"/>
      <c r="H578" s="2"/>
      <c r="I578" s="6"/>
      <c r="J578" s="6"/>
      <c r="K578" s="6"/>
      <c r="L578" s="6"/>
      <c r="M578" s="6"/>
      <c r="N578" s="6"/>
      <c r="O578" s="6"/>
      <c r="P578" s="6"/>
      <c r="Q578" s="6"/>
    </row>
    <row r="579">
      <c r="A579" s="2"/>
      <c r="B579" s="2"/>
      <c r="C579" s="2"/>
      <c r="D579" s="2"/>
      <c r="E579" s="6"/>
      <c r="F579" s="6"/>
      <c r="G579" s="6"/>
      <c r="H579" s="2"/>
      <c r="I579" s="6"/>
      <c r="J579" s="6"/>
      <c r="K579" s="6"/>
      <c r="L579" s="6"/>
      <c r="M579" s="6"/>
      <c r="N579" s="6"/>
      <c r="O579" s="6"/>
      <c r="P579" s="6"/>
      <c r="Q579" s="6"/>
    </row>
    <row r="580">
      <c r="A580" s="2"/>
      <c r="B580" s="2"/>
      <c r="C580" s="2"/>
      <c r="D580" s="2"/>
      <c r="E580" s="6"/>
      <c r="F580" s="6"/>
      <c r="G580" s="6"/>
      <c r="H580" s="2"/>
      <c r="I580" s="6"/>
      <c r="J580" s="6"/>
      <c r="K580" s="6"/>
      <c r="L580" s="6"/>
      <c r="M580" s="6"/>
      <c r="N580" s="6"/>
      <c r="O580" s="6"/>
      <c r="P580" s="6"/>
      <c r="Q580" s="6"/>
    </row>
    <row r="581">
      <c r="A581" s="2"/>
      <c r="B581" s="2"/>
      <c r="C581" s="2"/>
      <c r="D581" s="2"/>
      <c r="E581" s="6"/>
      <c r="F581" s="6"/>
      <c r="G581" s="6"/>
      <c r="H581" s="2"/>
      <c r="I581" s="6"/>
      <c r="J581" s="6"/>
      <c r="K581" s="6"/>
      <c r="L581" s="6"/>
      <c r="M581" s="6"/>
      <c r="N581" s="6"/>
      <c r="O581" s="6"/>
      <c r="P581" s="6"/>
      <c r="Q581" s="6"/>
    </row>
    <row r="582">
      <c r="A582" s="2"/>
      <c r="B582" s="2"/>
      <c r="C582" s="2"/>
      <c r="D582" s="2"/>
      <c r="E582" s="6"/>
      <c r="F582" s="6"/>
      <c r="G582" s="6"/>
      <c r="H582" s="2"/>
      <c r="I582" s="6"/>
      <c r="J582" s="6"/>
      <c r="K582" s="6"/>
      <c r="L582" s="6"/>
      <c r="M582" s="6"/>
      <c r="N582" s="6"/>
      <c r="O582" s="6"/>
      <c r="P582" s="6"/>
      <c r="Q582" s="6"/>
    </row>
    <row r="583">
      <c r="A583" s="2"/>
      <c r="B583" s="2"/>
      <c r="C583" s="2"/>
      <c r="D583" s="2"/>
      <c r="E583" s="6"/>
      <c r="F583" s="6"/>
      <c r="G583" s="6"/>
      <c r="H583" s="2"/>
      <c r="I583" s="6"/>
      <c r="J583" s="6"/>
      <c r="K583" s="6"/>
      <c r="L583" s="6"/>
      <c r="M583" s="6"/>
      <c r="N583" s="6"/>
      <c r="O583" s="6"/>
      <c r="P583" s="6"/>
      <c r="Q583" s="6"/>
    </row>
    <row r="584">
      <c r="A584" s="2"/>
      <c r="B584" s="2"/>
      <c r="C584" s="2"/>
      <c r="D584" s="2"/>
      <c r="E584" s="6"/>
      <c r="F584" s="6"/>
      <c r="G584" s="6"/>
      <c r="H584" s="2"/>
      <c r="I584" s="6"/>
      <c r="J584" s="6"/>
      <c r="K584" s="6"/>
      <c r="L584" s="6"/>
      <c r="M584" s="6"/>
      <c r="N584" s="6"/>
      <c r="O584" s="6"/>
      <c r="P584" s="6"/>
      <c r="Q584" s="6"/>
    </row>
    <row r="585">
      <c r="A585" s="2"/>
      <c r="B585" s="2"/>
      <c r="C585" s="2"/>
      <c r="D585" s="2"/>
      <c r="E585" s="6"/>
      <c r="F585" s="6"/>
      <c r="G585" s="6"/>
      <c r="H585" s="2"/>
      <c r="I585" s="6"/>
      <c r="J585" s="6"/>
      <c r="K585" s="6"/>
      <c r="L585" s="6"/>
      <c r="M585" s="6"/>
      <c r="N585" s="6"/>
      <c r="O585" s="6"/>
      <c r="P585" s="6"/>
      <c r="Q585" s="6"/>
    </row>
    <row r="586">
      <c r="A586" s="2"/>
      <c r="B586" s="2"/>
      <c r="C586" s="2"/>
      <c r="D586" s="2"/>
      <c r="E586" s="6"/>
      <c r="F586" s="6"/>
      <c r="G586" s="6"/>
      <c r="H586" s="2"/>
      <c r="I586" s="6"/>
      <c r="J586" s="6"/>
      <c r="K586" s="6"/>
      <c r="L586" s="6"/>
      <c r="M586" s="6"/>
      <c r="N586" s="6"/>
      <c r="O586" s="6"/>
      <c r="P586" s="6"/>
      <c r="Q586" s="6"/>
    </row>
    <row r="587">
      <c r="A587" s="2"/>
      <c r="B587" s="2"/>
      <c r="C587" s="2"/>
      <c r="D587" s="2"/>
      <c r="E587" s="6"/>
      <c r="F587" s="6"/>
      <c r="G587" s="6"/>
      <c r="H587" s="2"/>
      <c r="I587" s="6"/>
      <c r="J587" s="6"/>
      <c r="K587" s="6"/>
      <c r="L587" s="6"/>
      <c r="M587" s="6"/>
      <c r="N587" s="6"/>
      <c r="O587" s="6"/>
      <c r="P587" s="6"/>
      <c r="Q587" s="6"/>
    </row>
    <row r="588">
      <c r="A588" s="2"/>
      <c r="B588" s="2"/>
      <c r="C588" s="2"/>
      <c r="D588" s="2"/>
      <c r="E588" s="6"/>
      <c r="F588" s="6"/>
      <c r="G588" s="6"/>
      <c r="H588" s="2"/>
      <c r="I588" s="6"/>
      <c r="J588" s="6"/>
      <c r="K588" s="6"/>
      <c r="L588" s="6"/>
      <c r="M588" s="6"/>
      <c r="N588" s="6"/>
      <c r="O588" s="6"/>
      <c r="P588" s="6"/>
      <c r="Q588" s="6"/>
    </row>
    <row r="589">
      <c r="A589" s="2"/>
      <c r="B589" s="2"/>
      <c r="C589" s="2"/>
      <c r="D589" s="2"/>
      <c r="E589" s="6"/>
      <c r="F589" s="6"/>
      <c r="G589" s="6"/>
      <c r="H589" s="2"/>
      <c r="I589" s="6"/>
      <c r="J589" s="6"/>
      <c r="K589" s="6"/>
      <c r="L589" s="6"/>
      <c r="M589" s="6"/>
      <c r="N589" s="6"/>
      <c r="O589" s="6"/>
      <c r="P589" s="6"/>
      <c r="Q589" s="6"/>
    </row>
    <row r="590">
      <c r="A590" s="2"/>
      <c r="B590" s="2"/>
      <c r="C590" s="2"/>
      <c r="D590" s="2"/>
      <c r="E590" s="6"/>
      <c r="F590" s="6"/>
      <c r="G590" s="6"/>
      <c r="H590" s="2"/>
      <c r="I590" s="6"/>
      <c r="J590" s="6"/>
      <c r="K590" s="6"/>
      <c r="L590" s="6"/>
      <c r="M590" s="6"/>
      <c r="N590" s="6"/>
      <c r="O590" s="6"/>
      <c r="P590" s="6"/>
      <c r="Q590" s="6"/>
    </row>
    <row r="591">
      <c r="A591" s="2"/>
      <c r="B591" s="2"/>
      <c r="C591" s="2"/>
      <c r="D591" s="2"/>
      <c r="E591" s="6"/>
      <c r="F591" s="6"/>
      <c r="G591" s="6"/>
      <c r="H591" s="2"/>
      <c r="I591" s="6"/>
      <c r="J591" s="6"/>
      <c r="K591" s="6"/>
      <c r="L591" s="6"/>
      <c r="M591" s="6"/>
      <c r="N591" s="6"/>
      <c r="O591" s="6"/>
      <c r="P591" s="6"/>
      <c r="Q591" s="6"/>
    </row>
    <row r="592">
      <c r="A592" s="2"/>
      <c r="B592" s="2"/>
      <c r="C592" s="2"/>
      <c r="D592" s="2"/>
      <c r="E592" s="6"/>
      <c r="F592" s="6"/>
      <c r="G592" s="6"/>
      <c r="H592" s="2"/>
      <c r="I592" s="6"/>
      <c r="J592" s="6"/>
      <c r="K592" s="6"/>
      <c r="L592" s="6"/>
      <c r="M592" s="6"/>
      <c r="N592" s="6"/>
      <c r="O592" s="6"/>
      <c r="P592" s="6"/>
      <c r="Q592" s="6"/>
    </row>
    <row r="593">
      <c r="A593" s="2"/>
      <c r="B593" s="2"/>
      <c r="C593" s="2"/>
      <c r="D593" s="2"/>
      <c r="E593" s="6"/>
      <c r="F593" s="6"/>
      <c r="G593" s="6"/>
      <c r="H593" s="2"/>
      <c r="I593" s="6"/>
      <c r="J593" s="6"/>
      <c r="K593" s="6"/>
      <c r="L593" s="6"/>
      <c r="M593" s="6"/>
      <c r="N593" s="6"/>
      <c r="O593" s="6"/>
      <c r="P593" s="6"/>
      <c r="Q593" s="6"/>
    </row>
    <row r="594">
      <c r="A594" s="2"/>
      <c r="B594" s="2"/>
      <c r="C594" s="2"/>
      <c r="D594" s="2"/>
      <c r="E594" s="6"/>
      <c r="F594" s="6"/>
      <c r="G594" s="6"/>
      <c r="H594" s="2"/>
      <c r="I594" s="6"/>
      <c r="J594" s="6"/>
      <c r="K594" s="6"/>
      <c r="L594" s="6"/>
      <c r="M594" s="6"/>
      <c r="N594" s="6"/>
      <c r="O594" s="6"/>
      <c r="P594" s="6"/>
      <c r="Q594" s="6"/>
    </row>
    <row r="595">
      <c r="A595" s="2"/>
      <c r="B595" s="2"/>
      <c r="C595" s="2"/>
      <c r="D595" s="2"/>
      <c r="E595" s="6"/>
      <c r="F595" s="6"/>
      <c r="G595" s="6"/>
      <c r="H595" s="2"/>
      <c r="I595" s="6"/>
      <c r="J595" s="6"/>
      <c r="K595" s="6"/>
      <c r="L595" s="6"/>
      <c r="M595" s="6"/>
      <c r="N595" s="6"/>
      <c r="O595" s="6"/>
      <c r="P595" s="6"/>
      <c r="Q595" s="6"/>
    </row>
    <row r="596">
      <c r="A596" s="2"/>
      <c r="B596" s="2"/>
      <c r="C596" s="2"/>
      <c r="D596" s="2"/>
      <c r="E596" s="6"/>
      <c r="F596" s="6"/>
      <c r="G596" s="6"/>
      <c r="H596" s="2"/>
      <c r="I596" s="6"/>
      <c r="J596" s="6"/>
      <c r="K596" s="6"/>
      <c r="L596" s="6"/>
      <c r="M596" s="6"/>
      <c r="N596" s="6"/>
      <c r="O596" s="6"/>
      <c r="P596" s="6"/>
      <c r="Q596" s="6"/>
    </row>
    <row r="597">
      <c r="A597" s="2"/>
      <c r="B597" s="2"/>
      <c r="C597" s="2"/>
      <c r="D597" s="2"/>
      <c r="E597" s="6"/>
      <c r="F597" s="6"/>
      <c r="G597" s="6"/>
      <c r="H597" s="2"/>
      <c r="I597" s="6"/>
      <c r="J597" s="6"/>
      <c r="K597" s="6"/>
      <c r="L597" s="6"/>
      <c r="M597" s="6"/>
      <c r="N597" s="6"/>
      <c r="O597" s="6"/>
      <c r="P597" s="6"/>
      <c r="Q597" s="6"/>
    </row>
    <row r="598">
      <c r="A598" s="2"/>
      <c r="B598" s="2"/>
      <c r="C598" s="2"/>
      <c r="D598" s="2"/>
      <c r="E598" s="6"/>
      <c r="F598" s="6"/>
      <c r="G598" s="6"/>
      <c r="H598" s="2"/>
      <c r="I598" s="6"/>
      <c r="J598" s="6"/>
      <c r="K598" s="6"/>
      <c r="L598" s="6"/>
      <c r="M598" s="6"/>
      <c r="N598" s="6"/>
      <c r="O598" s="6"/>
      <c r="P598" s="6"/>
      <c r="Q598" s="6"/>
    </row>
    <row r="599">
      <c r="A599" s="2"/>
      <c r="B599" s="2"/>
      <c r="C599" s="2"/>
      <c r="D599" s="2"/>
      <c r="E599" s="6"/>
      <c r="F599" s="6"/>
      <c r="G599" s="6"/>
      <c r="H599" s="2"/>
      <c r="I599" s="6"/>
      <c r="J599" s="6"/>
      <c r="K599" s="6"/>
      <c r="L599" s="6"/>
      <c r="M599" s="6"/>
      <c r="N599" s="6"/>
      <c r="O599" s="6"/>
      <c r="P599" s="6"/>
      <c r="Q599" s="6"/>
    </row>
    <row r="600">
      <c r="A600" s="2"/>
      <c r="B600" s="2"/>
      <c r="C600" s="2"/>
      <c r="D600" s="2"/>
      <c r="E600" s="6"/>
      <c r="F600" s="6"/>
      <c r="G600" s="6"/>
      <c r="H600" s="2"/>
      <c r="I600" s="6"/>
      <c r="J600" s="6"/>
      <c r="K600" s="6"/>
      <c r="L600" s="6"/>
      <c r="M600" s="6"/>
      <c r="N600" s="6"/>
      <c r="O600" s="6"/>
      <c r="P600" s="6"/>
      <c r="Q600" s="6"/>
    </row>
    <row r="601">
      <c r="A601" s="2"/>
      <c r="B601" s="2"/>
      <c r="C601" s="2"/>
      <c r="D601" s="2"/>
      <c r="E601" s="6"/>
      <c r="F601" s="6"/>
      <c r="G601" s="6"/>
      <c r="H601" s="2"/>
      <c r="I601" s="6"/>
      <c r="J601" s="6"/>
      <c r="K601" s="6"/>
      <c r="L601" s="6"/>
      <c r="M601" s="6"/>
      <c r="N601" s="6"/>
      <c r="O601" s="6"/>
      <c r="P601" s="6"/>
      <c r="Q601" s="6"/>
    </row>
    <row r="602">
      <c r="A602" s="2"/>
      <c r="B602" s="2"/>
      <c r="C602" s="2"/>
      <c r="D602" s="2"/>
      <c r="E602" s="6"/>
      <c r="F602" s="6"/>
      <c r="G602" s="6"/>
      <c r="H602" s="2"/>
      <c r="I602" s="6"/>
      <c r="J602" s="6"/>
      <c r="K602" s="6"/>
      <c r="L602" s="6"/>
      <c r="M602" s="6"/>
      <c r="N602" s="6"/>
      <c r="O602" s="6"/>
      <c r="P602" s="6"/>
      <c r="Q602" s="6"/>
    </row>
    <row r="603">
      <c r="A603" s="2"/>
      <c r="B603" s="2"/>
      <c r="C603" s="2"/>
      <c r="D603" s="2"/>
      <c r="E603" s="6"/>
      <c r="F603" s="6"/>
      <c r="G603" s="6"/>
      <c r="H603" s="2"/>
      <c r="I603" s="6"/>
      <c r="J603" s="6"/>
      <c r="K603" s="6"/>
      <c r="L603" s="6"/>
      <c r="M603" s="6"/>
      <c r="N603" s="6"/>
      <c r="O603" s="6"/>
      <c r="P603" s="6"/>
      <c r="Q603" s="6"/>
    </row>
    <row r="604">
      <c r="A604" s="2"/>
      <c r="B604" s="2"/>
      <c r="C604" s="2"/>
      <c r="D604" s="2"/>
      <c r="E604" s="6"/>
      <c r="F604" s="6"/>
      <c r="G604" s="6"/>
      <c r="H604" s="2"/>
      <c r="I604" s="6"/>
      <c r="J604" s="6"/>
      <c r="K604" s="6"/>
      <c r="L604" s="6"/>
      <c r="M604" s="6"/>
      <c r="N604" s="6"/>
      <c r="O604" s="6"/>
      <c r="P604" s="6"/>
      <c r="Q604" s="6"/>
    </row>
    <row r="605">
      <c r="A605" s="2"/>
      <c r="B605" s="2"/>
      <c r="C605" s="2"/>
      <c r="D605" s="2"/>
      <c r="E605" s="6"/>
      <c r="F605" s="6"/>
      <c r="G605" s="6"/>
      <c r="H605" s="2"/>
      <c r="I605" s="6"/>
      <c r="J605" s="6"/>
      <c r="K605" s="6"/>
      <c r="L605" s="6"/>
      <c r="M605" s="6"/>
      <c r="N605" s="6"/>
      <c r="O605" s="6"/>
      <c r="P605" s="6"/>
      <c r="Q605" s="6"/>
    </row>
    <row r="606">
      <c r="A606" s="2"/>
      <c r="B606" s="2"/>
      <c r="C606" s="2"/>
      <c r="D606" s="2"/>
      <c r="E606" s="6"/>
      <c r="F606" s="6"/>
      <c r="G606" s="6"/>
      <c r="H606" s="2"/>
      <c r="I606" s="6"/>
      <c r="J606" s="6"/>
      <c r="K606" s="6"/>
      <c r="L606" s="6"/>
      <c r="M606" s="6"/>
      <c r="N606" s="6"/>
      <c r="O606" s="6"/>
      <c r="P606" s="6"/>
      <c r="Q606" s="6"/>
    </row>
    <row r="607">
      <c r="A607" s="2"/>
      <c r="B607" s="2"/>
      <c r="C607" s="2"/>
      <c r="D607" s="2"/>
      <c r="E607" s="6"/>
      <c r="F607" s="6"/>
      <c r="G607" s="6"/>
      <c r="H607" s="2"/>
      <c r="I607" s="6"/>
      <c r="J607" s="6"/>
      <c r="K607" s="6"/>
      <c r="L607" s="6"/>
      <c r="M607" s="6"/>
      <c r="N607" s="6"/>
      <c r="O607" s="6"/>
      <c r="P607" s="6"/>
      <c r="Q607" s="6"/>
    </row>
    <row r="608">
      <c r="A608" s="2"/>
      <c r="B608" s="2"/>
      <c r="C608" s="2"/>
      <c r="D608" s="2"/>
      <c r="E608" s="6"/>
      <c r="F608" s="6"/>
      <c r="G608" s="6"/>
      <c r="H608" s="2"/>
      <c r="I608" s="6"/>
      <c r="J608" s="6"/>
      <c r="K608" s="6"/>
      <c r="L608" s="6"/>
      <c r="M608" s="6"/>
      <c r="N608" s="6"/>
      <c r="O608" s="6"/>
      <c r="P608" s="6"/>
      <c r="Q608" s="6"/>
    </row>
    <row r="609">
      <c r="A609" s="2"/>
      <c r="B609" s="2"/>
      <c r="C609" s="2"/>
      <c r="D609" s="2"/>
      <c r="E609" s="6"/>
      <c r="F609" s="6"/>
      <c r="G609" s="6"/>
      <c r="H609" s="2"/>
      <c r="I609" s="6"/>
      <c r="J609" s="6"/>
      <c r="K609" s="6"/>
      <c r="L609" s="6"/>
      <c r="M609" s="6"/>
      <c r="N609" s="6"/>
      <c r="O609" s="6"/>
      <c r="P609" s="6"/>
      <c r="Q609" s="6"/>
    </row>
    <row r="610">
      <c r="A610" s="2"/>
      <c r="B610" s="2"/>
      <c r="C610" s="2"/>
      <c r="D610" s="2"/>
      <c r="E610" s="6"/>
      <c r="F610" s="6"/>
      <c r="G610" s="6"/>
      <c r="H610" s="2"/>
      <c r="I610" s="6"/>
      <c r="J610" s="6"/>
      <c r="K610" s="6"/>
      <c r="L610" s="6"/>
      <c r="M610" s="6"/>
      <c r="N610" s="6"/>
      <c r="O610" s="6"/>
      <c r="P610" s="6"/>
      <c r="Q610" s="6"/>
    </row>
    <row r="611">
      <c r="A611" s="2"/>
      <c r="B611" s="2"/>
      <c r="C611" s="2"/>
      <c r="D611" s="2"/>
      <c r="E611" s="6"/>
      <c r="F611" s="6"/>
      <c r="G611" s="6"/>
      <c r="H611" s="2"/>
      <c r="I611" s="6"/>
      <c r="J611" s="6"/>
      <c r="K611" s="6"/>
      <c r="L611" s="6"/>
      <c r="M611" s="6"/>
      <c r="N611" s="6"/>
      <c r="O611" s="6"/>
      <c r="P611" s="6"/>
      <c r="Q611" s="6"/>
    </row>
    <row r="612">
      <c r="A612" s="2"/>
      <c r="B612" s="2"/>
      <c r="C612" s="2"/>
      <c r="D612" s="2"/>
      <c r="E612" s="6"/>
      <c r="F612" s="6"/>
      <c r="G612" s="6"/>
      <c r="H612" s="2"/>
      <c r="I612" s="6"/>
      <c r="J612" s="6"/>
      <c r="K612" s="6"/>
      <c r="L612" s="6"/>
      <c r="M612" s="6"/>
      <c r="N612" s="6"/>
      <c r="O612" s="6"/>
      <c r="P612" s="6"/>
      <c r="Q612" s="6"/>
    </row>
    <row r="613">
      <c r="A613" s="2"/>
      <c r="B613" s="2"/>
      <c r="C613" s="2"/>
      <c r="D613" s="2"/>
      <c r="E613" s="6"/>
      <c r="F613" s="6"/>
      <c r="G613" s="6"/>
      <c r="H613" s="2"/>
      <c r="I613" s="6"/>
      <c r="J613" s="6"/>
      <c r="K613" s="6"/>
      <c r="L613" s="6"/>
      <c r="M613" s="6"/>
      <c r="N613" s="6"/>
      <c r="O613" s="6"/>
      <c r="P613" s="6"/>
      <c r="Q613" s="6"/>
    </row>
    <row r="614">
      <c r="A614" s="2"/>
      <c r="B614" s="2"/>
      <c r="C614" s="2"/>
      <c r="D614" s="2"/>
      <c r="E614" s="6"/>
      <c r="F614" s="6"/>
      <c r="G614" s="6"/>
      <c r="H614" s="2"/>
      <c r="I614" s="6"/>
      <c r="J614" s="6"/>
      <c r="K614" s="6"/>
      <c r="L614" s="6"/>
      <c r="M614" s="6"/>
      <c r="N614" s="6"/>
      <c r="O614" s="6"/>
      <c r="P614" s="6"/>
      <c r="Q614" s="6"/>
    </row>
    <row r="615">
      <c r="A615" s="2"/>
      <c r="B615" s="2"/>
      <c r="C615" s="2"/>
      <c r="D615" s="2"/>
      <c r="E615" s="6"/>
      <c r="F615" s="6"/>
      <c r="G615" s="6"/>
      <c r="H615" s="2"/>
      <c r="I615" s="6"/>
      <c r="J615" s="6"/>
      <c r="K615" s="6"/>
      <c r="L615" s="6"/>
      <c r="M615" s="6"/>
      <c r="N615" s="6"/>
      <c r="O615" s="6"/>
      <c r="P615" s="6"/>
      <c r="Q615" s="6"/>
    </row>
    <row r="616">
      <c r="A616" s="2"/>
      <c r="B616" s="2"/>
      <c r="C616" s="2"/>
      <c r="D616" s="2"/>
      <c r="E616" s="6"/>
      <c r="F616" s="6"/>
      <c r="G616" s="6"/>
      <c r="H616" s="2"/>
      <c r="I616" s="6"/>
      <c r="J616" s="6"/>
      <c r="K616" s="6"/>
      <c r="L616" s="6"/>
      <c r="M616" s="6"/>
      <c r="N616" s="6"/>
      <c r="O616" s="6"/>
      <c r="P616" s="6"/>
      <c r="Q616" s="6"/>
    </row>
    <row r="617">
      <c r="A617" s="2"/>
      <c r="B617" s="2"/>
      <c r="C617" s="2"/>
      <c r="D617" s="2"/>
      <c r="E617" s="6"/>
      <c r="F617" s="6"/>
      <c r="G617" s="6"/>
      <c r="H617" s="2"/>
      <c r="I617" s="6"/>
      <c r="J617" s="6"/>
      <c r="K617" s="6"/>
      <c r="L617" s="6"/>
      <c r="M617" s="6"/>
      <c r="N617" s="6"/>
      <c r="O617" s="6"/>
      <c r="P617" s="6"/>
      <c r="Q617" s="6"/>
    </row>
    <row r="618">
      <c r="A618" s="2"/>
      <c r="B618" s="2"/>
      <c r="C618" s="2"/>
      <c r="D618" s="2"/>
      <c r="E618" s="6"/>
      <c r="F618" s="6"/>
      <c r="G618" s="6"/>
      <c r="H618" s="2"/>
      <c r="I618" s="6"/>
      <c r="J618" s="6"/>
      <c r="K618" s="6"/>
      <c r="L618" s="6"/>
      <c r="M618" s="6"/>
      <c r="N618" s="6"/>
      <c r="O618" s="6"/>
      <c r="P618" s="6"/>
      <c r="Q618" s="6"/>
    </row>
    <row r="619">
      <c r="A619" s="2"/>
      <c r="B619" s="2"/>
      <c r="C619" s="2"/>
      <c r="D619" s="2"/>
      <c r="E619" s="6"/>
      <c r="F619" s="6"/>
      <c r="G619" s="6"/>
      <c r="H619" s="2"/>
      <c r="I619" s="6"/>
      <c r="J619" s="6"/>
      <c r="K619" s="6"/>
      <c r="L619" s="6"/>
      <c r="M619" s="6"/>
      <c r="N619" s="6"/>
      <c r="O619" s="6"/>
      <c r="P619" s="6"/>
      <c r="Q619" s="6"/>
    </row>
    <row r="620">
      <c r="A620" s="2"/>
      <c r="B620" s="2"/>
      <c r="C620" s="2"/>
      <c r="D620" s="2"/>
      <c r="E620" s="6"/>
      <c r="F620" s="6"/>
      <c r="G620" s="6"/>
      <c r="H620" s="2"/>
      <c r="I620" s="6"/>
      <c r="J620" s="6"/>
      <c r="K620" s="6"/>
      <c r="L620" s="6"/>
      <c r="M620" s="6"/>
      <c r="N620" s="6"/>
      <c r="O620" s="6"/>
      <c r="P620" s="6"/>
      <c r="Q620" s="6"/>
    </row>
    <row r="621">
      <c r="A621" s="2"/>
      <c r="B621" s="2"/>
      <c r="C621" s="2"/>
      <c r="D621" s="2"/>
      <c r="E621" s="6"/>
      <c r="F621" s="6"/>
      <c r="G621" s="6"/>
      <c r="H621" s="2"/>
      <c r="I621" s="6"/>
      <c r="J621" s="6"/>
      <c r="K621" s="6"/>
      <c r="L621" s="6"/>
      <c r="M621" s="6"/>
      <c r="N621" s="6"/>
      <c r="O621" s="6"/>
      <c r="P621" s="6"/>
      <c r="Q621" s="6"/>
    </row>
    <row r="622">
      <c r="A622" s="2"/>
      <c r="B622" s="2"/>
      <c r="C622" s="2"/>
      <c r="D622" s="2"/>
      <c r="E622" s="6"/>
      <c r="F622" s="6"/>
      <c r="G622" s="6"/>
      <c r="H622" s="2"/>
      <c r="I622" s="6"/>
      <c r="J622" s="6"/>
      <c r="K622" s="6"/>
      <c r="L622" s="6"/>
      <c r="M622" s="6"/>
      <c r="N622" s="6"/>
      <c r="O622" s="6"/>
      <c r="P622" s="6"/>
      <c r="Q622" s="6"/>
    </row>
    <row r="623">
      <c r="A623" s="2"/>
      <c r="B623" s="2"/>
      <c r="C623" s="2"/>
      <c r="D623" s="2"/>
      <c r="E623" s="6"/>
      <c r="F623" s="6"/>
      <c r="G623" s="6"/>
      <c r="H623" s="2"/>
      <c r="I623" s="6"/>
      <c r="J623" s="6"/>
      <c r="K623" s="6"/>
      <c r="L623" s="6"/>
      <c r="M623" s="6"/>
      <c r="N623" s="6"/>
      <c r="O623" s="6"/>
      <c r="P623" s="6"/>
      <c r="Q623" s="6"/>
    </row>
    <row r="624">
      <c r="A624" s="2"/>
      <c r="B624" s="2"/>
      <c r="C624" s="2"/>
      <c r="D624" s="2"/>
      <c r="E624" s="6"/>
      <c r="F624" s="6"/>
      <c r="G624" s="6"/>
      <c r="H624" s="2"/>
      <c r="I624" s="6"/>
      <c r="J624" s="6"/>
      <c r="K624" s="6"/>
      <c r="L624" s="6"/>
      <c r="M624" s="6"/>
      <c r="N624" s="6"/>
      <c r="O624" s="6"/>
      <c r="P624" s="6"/>
      <c r="Q624" s="6"/>
    </row>
    <row r="625">
      <c r="A625" s="2"/>
      <c r="B625" s="2"/>
      <c r="C625" s="2"/>
      <c r="D625" s="2"/>
      <c r="E625" s="6"/>
      <c r="F625" s="6"/>
      <c r="G625" s="6"/>
      <c r="H625" s="2"/>
      <c r="I625" s="6"/>
      <c r="J625" s="6"/>
      <c r="K625" s="6"/>
      <c r="L625" s="6"/>
      <c r="M625" s="6"/>
      <c r="N625" s="6"/>
      <c r="O625" s="6"/>
      <c r="P625" s="6"/>
      <c r="Q625" s="6"/>
    </row>
    <row r="626">
      <c r="A626" s="2"/>
      <c r="B626" s="2"/>
      <c r="C626" s="2"/>
      <c r="D626" s="2"/>
      <c r="E626" s="6"/>
      <c r="F626" s="6"/>
      <c r="G626" s="6"/>
      <c r="H626" s="2"/>
      <c r="I626" s="6"/>
      <c r="J626" s="6"/>
      <c r="K626" s="6"/>
      <c r="L626" s="6"/>
      <c r="M626" s="6"/>
      <c r="N626" s="6"/>
      <c r="O626" s="6"/>
      <c r="P626" s="6"/>
      <c r="Q626" s="6"/>
    </row>
    <row r="627">
      <c r="A627" s="2"/>
      <c r="B627" s="2"/>
      <c r="C627" s="2"/>
      <c r="D627" s="2"/>
      <c r="E627" s="6"/>
      <c r="F627" s="6"/>
      <c r="G627" s="6"/>
      <c r="H627" s="2"/>
      <c r="I627" s="6"/>
      <c r="J627" s="6"/>
      <c r="K627" s="6"/>
      <c r="L627" s="6"/>
      <c r="M627" s="6"/>
      <c r="N627" s="6"/>
      <c r="O627" s="6"/>
      <c r="P627" s="6"/>
      <c r="Q627" s="6"/>
    </row>
    <row r="628">
      <c r="A628" s="2"/>
      <c r="B628" s="2"/>
      <c r="C628" s="2"/>
      <c r="D628" s="2"/>
      <c r="E628" s="6"/>
      <c r="F628" s="6"/>
      <c r="G628" s="6"/>
      <c r="H628" s="2"/>
      <c r="I628" s="6"/>
      <c r="J628" s="6"/>
      <c r="K628" s="6"/>
      <c r="L628" s="6"/>
      <c r="M628" s="6"/>
      <c r="N628" s="6"/>
      <c r="O628" s="6"/>
      <c r="P628" s="6"/>
      <c r="Q628" s="6"/>
    </row>
    <row r="629">
      <c r="A629" s="2"/>
      <c r="B629" s="2"/>
      <c r="C629" s="2"/>
      <c r="D629" s="2"/>
      <c r="E629" s="6"/>
      <c r="F629" s="6"/>
      <c r="G629" s="6"/>
      <c r="H629" s="2"/>
      <c r="I629" s="6"/>
      <c r="J629" s="6"/>
      <c r="K629" s="6"/>
      <c r="L629" s="6"/>
      <c r="M629" s="6"/>
      <c r="N629" s="6"/>
      <c r="O629" s="6"/>
      <c r="P629" s="6"/>
      <c r="Q629" s="6"/>
    </row>
    <row r="630">
      <c r="A630" s="2"/>
      <c r="B630" s="2"/>
      <c r="C630" s="2"/>
      <c r="D630" s="2"/>
      <c r="E630" s="6"/>
      <c r="F630" s="6"/>
      <c r="G630" s="6"/>
      <c r="H630" s="2"/>
      <c r="I630" s="6"/>
      <c r="J630" s="6"/>
      <c r="K630" s="6"/>
      <c r="L630" s="6"/>
      <c r="M630" s="6"/>
      <c r="N630" s="6"/>
      <c r="O630" s="6"/>
      <c r="P630" s="6"/>
      <c r="Q630" s="6"/>
    </row>
    <row r="631">
      <c r="A631" s="2"/>
      <c r="B631" s="2"/>
      <c r="C631" s="2"/>
      <c r="D631" s="2"/>
      <c r="E631" s="6"/>
      <c r="F631" s="6"/>
      <c r="G631" s="6"/>
      <c r="H631" s="2"/>
      <c r="I631" s="6"/>
      <c r="J631" s="6"/>
      <c r="K631" s="6"/>
      <c r="L631" s="6"/>
      <c r="M631" s="6"/>
      <c r="N631" s="6"/>
      <c r="O631" s="6"/>
      <c r="P631" s="6"/>
      <c r="Q631" s="6"/>
    </row>
    <row r="632">
      <c r="A632" s="2"/>
      <c r="B632" s="2"/>
      <c r="C632" s="2"/>
      <c r="D632" s="2"/>
      <c r="E632" s="6"/>
      <c r="F632" s="6"/>
      <c r="G632" s="6"/>
      <c r="H632" s="2"/>
      <c r="I632" s="6"/>
      <c r="J632" s="6"/>
      <c r="K632" s="6"/>
      <c r="L632" s="6"/>
      <c r="M632" s="6"/>
      <c r="N632" s="6"/>
      <c r="O632" s="6"/>
      <c r="P632" s="6"/>
      <c r="Q632" s="6"/>
    </row>
    <row r="633">
      <c r="A633" s="2"/>
      <c r="B633" s="2"/>
      <c r="C633" s="2"/>
      <c r="D633" s="2"/>
      <c r="E633" s="6"/>
      <c r="F633" s="6"/>
      <c r="G633" s="6"/>
      <c r="H633" s="2"/>
      <c r="I633" s="6"/>
      <c r="J633" s="6"/>
      <c r="K633" s="6"/>
      <c r="L633" s="6"/>
      <c r="M633" s="6"/>
      <c r="N633" s="6"/>
      <c r="O633" s="6"/>
      <c r="P633" s="6"/>
      <c r="Q633" s="6"/>
    </row>
    <row r="634">
      <c r="A634" s="2"/>
      <c r="B634" s="2"/>
      <c r="C634" s="2"/>
      <c r="D634" s="2"/>
      <c r="E634" s="6"/>
      <c r="F634" s="6"/>
      <c r="G634" s="6"/>
      <c r="H634" s="2"/>
      <c r="I634" s="6"/>
      <c r="J634" s="6"/>
      <c r="K634" s="6"/>
      <c r="L634" s="6"/>
      <c r="M634" s="6"/>
      <c r="N634" s="6"/>
      <c r="O634" s="6"/>
      <c r="P634" s="6"/>
      <c r="Q634" s="6"/>
    </row>
    <row r="635">
      <c r="A635" s="2"/>
      <c r="B635" s="2"/>
      <c r="C635" s="2"/>
      <c r="D635" s="2"/>
      <c r="E635" s="6"/>
      <c r="F635" s="6"/>
      <c r="G635" s="6"/>
      <c r="H635" s="2"/>
      <c r="I635" s="6"/>
      <c r="J635" s="6"/>
      <c r="K635" s="6"/>
      <c r="L635" s="6"/>
      <c r="M635" s="6"/>
      <c r="N635" s="6"/>
      <c r="O635" s="6"/>
      <c r="P635" s="6"/>
      <c r="Q635" s="6"/>
    </row>
    <row r="636">
      <c r="A636" s="2"/>
      <c r="B636" s="2"/>
      <c r="C636" s="2"/>
      <c r="D636" s="2"/>
      <c r="E636" s="6"/>
      <c r="F636" s="6"/>
      <c r="G636" s="6"/>
      <c r="H636" s="2"/>
      <c r="I636" s="6"/>
      <c r="J636" s="6"/>
      <c r="K636" s="6"/>
      <c r="L636" s="6"/>
      <c r="M636" s="6"/>
      <c r="N636" s="6"/>
      <c r="O636" s="6"/>
      <c r="P636" s="6"/>
      <c r="Q636" s="6"/>
    </row>
    <row r="637">
      <c r="A637" s="2"/>
      <c r="B637" s="2"/>
      <c r="C637" s="2"/>
      <c r="D637" s="2"/>
      <c r="E637" s="6"/>
      <c r="F637" s="6"/>
      <c r="G637" s="6"/>
      <c r="H637" s="2"/>
      <c r="I637" s="6"/>
      <c r="J637" s="6"/>
      <c r="K637" s="6"/>
      <c r="L637" s="6"/>
      <c r="M637" s="6"/>
      <c r="N637" s="6"/>
      <c r="O637" s="6"/>
      <c r="P637" s="6"/>
      <c r="Q637" s="6"/>
    </row>
    <row r="638">
      <c r="A638" s="2"/>
      <c r="B638" s="2"/>
      <c r="C638" s="2"/>
      <c r="D638" s="2"/>
      <c r="E638" s="6"/>
      <c r="F638" s="6"/>
      <c r="G638" s="6"/>
      <c r="H638" s="2"/>
      <c r="I638" s="6"/>
      <c r="J638" s="6"/>
      <c r="K638" s="6"/>
      <c r="L638" s="6"/>
      <c r="M638" s="6"/>
      <c r="N638" s="6"/>
      <c r="O638" s="6"/>
      <c r="P638" s="6"/>
      <c r="Q638" s="6"/>
    </row>
    <row r="639">
      <c r="A639" s="2"/>
      <c r="B639" s="2"/>
      <c r="C639" s="2"/>
      <c r="D639" s="2"/>
      <c r="E639" s="6"/>
      <c r="F639" s="6"/>
      <c r="G639" s="6"/>
      <c r="H639" s="2"/>
      <c r="I639" s="6"/>
      <c r="J639" s="6"/>
      <c r="K639" s="6"/>
      <c r="L639" s="6"/>
      <c r="M639" s="6"/>
      <c r="N639" s="6"/>
      <c r="O639" s="6"/>
      <c r="P639" s="6"/>
      <c r="Q639" s="6"/>
    </row>
    <row r="640">
      <c r="A640" s="2"/>
      <c r="B640" s="2"/>
      <c r="C640" s="2"/>
      <c r="D640" s="2"/>
      <c r="E640" s="6"/>
      <c r="F640" s="6"/>
      <c r="G640" s="6"/>
      <c r="H640" s="2"/>
      <c r="I640" s="6"/>
      <c r="J640" s="6"/>
      <c r="K640" s="6"/>
      <c r="L640" s="6"/>
      <c r="M640" s="6"/>
      <c r="N640" s="6"/>
      <c r="O640" s="6"/>
      <c r="P640" s="6"/>
      <c r="Q640" s="6"/>
    </row>
    <row r="641">
      <c r="A641" s="2"/>
      <c r="B641" s="2"/>
      <c r="C641" s="2"/>
      <c r="D641" s="2"/>
      <c r="E641" s="6"/>
      <c r="F641" s="6"/>
      <c r="G641" s="6"/>
      <c r="H641" s="2"/>
      <c r="I641" s="6"/>
      <c r="J641" s="6"/>
      <c r="K641" s="6"/>
      <c r="L641" s="6"/>
      <c r="M641" s="6"/>
      <c r="N641" s="6"/>
      <c r="O641" s="6"/>
      <c r="P641" s="6"/>
      <c r="Q641" s="6"/>
    </row>
    <row r="642">
      <c r="A642" s="2"/>
      <c r="B642" s="2"/>
      <c r="C642" s="2"/>
      <c r="D642" s="2"/>
      <c r="E642" s="6"/>
      <c r="F642" s="6"/>
      <c r="G642" s="6"/>
      <c r="H642" s="2"/>
      <c r="I642" s="6"/>
      <c r="J642" s="6"/>
      <c r="K642" s="6"/>
      <c r="L642" s="6"/>
      <c r="M642" s="6"/>
      <c r="N642" s="6"/>
      <c r="O642" s="6"/>
      <c r="P642" s="6"/>
      <c r="Q642" s="6"/>
    </row>
    <row r="643">
      <c r="A643" s="2"/>
      <c r="B643" s="2"/>
      <c r="C643" s="2"/>
      <c r="D643" s="2"/>
      <c r="E643" s="6"/>
      <c r="F643" s="6"/>
      <c r="G643" s="6"/>
      <c r="H643" s="2"/>
      <c r="I643" s="6"/>
      <c r="J643" s="6"/>
      <c r="K643" s="6"/>
      <c r="L643" s="6"/>
      <c r="M643" s="6"/>
      <c r="N643" s="6"/>
      <c r="O643" s="6"/>
      <c r="P643" s="6"/>
      <c r="Q643" s="6"/>
    </row>
    <row r="644">
      <c r="A644" s="2"/>
      <c r="B644" s="2"/>
      <c r="C644" s="2"/>
      <c r="D644" s="2"/>
      <c r="E644" s="6"/>
      <c r="F644" s="6"/>
      <c r="G644" s="6"/>
      <c r="H644" s="2"/>
      <c r="I644" s="6"/>
      <c r="J644" s="6"/>
      <c r="K644" s="6"/>
      <c r="L644" s="6"/>
      <c r="M644" s="6"/>
      <c r="N644" s="6"/>
      <c r="O644" s="6"/>
      <c r="P644" s="6"/>
      <c r="Q644" s="6"/>
    </row>
    <row r="645">
      <c r="A645" s="2"/>
      <c r="B645" s="2"/>
      <c r="C645" s="2"/>
      <c r="D645" s="2"/>
      <c r="E645" s="6"/>
      <c r="F645" s="6"/>
      <c r="G645" s="6"/>
      <c r="H645" s="2"/>
      <c r="I645" s="6"/>
      <c r="J645" s="6"/>
      <c r="K645" s="6"/>
      <c r="L645" s="6"/>
      <c r="M645" s="6"/>
      <c r="N645" s="6"/>
      <c r="O645" s="6"/>
      <c r="P645" s="6"/>
      <c r="Q645" s="6"/>
    </row>
    <row r="646">
      <c r="A646" s="2"/>
      <c r="B646" s="2"/>
      <c r="C646" s="2"/>
      <c r="D646" s="2"/>
      <c r="E646" s="6"/>
      <c r="F646" s="6"/>
      <c r="G646" s="6"/>
      <c r="H646" s="2"/>
      <c r="I646" s="6"/>
      <c r="J646" s="6"/>
      <c r="K646" s="6"/>
      <c r="L646" s="6"/>
      <c r="M646" s="6"/>
      <c r="N646" s="6"/>
      <c r="O646" s="6"/>
      <c r="P646" s="6"/>
      <c r="Q646" s="6"/>
    </row>
    <row r="647">
      <c r="A647" s="2"/>
      <c r="B647" s="2"/>
      <c r="C647" s="2"/>
      <c r="D647" s="2"/>
      <c r="E647" s="6"/>
      <c r="F647" s="6"/>
      <c r="G647" s="6"/>
      <c r="H647" s="2"/>
      <c r="I647" s="6"/>
      <c r="J647" s="6"/>
      <c r="K647" s="6"/>
      <c r="L647" s="6"/>
      <c r="M647" s="6"/>
      <c r="N647" s="6"/>
      <c r="O647" s="6"/>
      <c r="P647" s="6"/>
      <c r="Q647" s="6"/>
    </row>
    <row r="648">
      <c r="A648" s="2"/>
      <c r="B648" s="2"/>
      <c r="C648" s="2"/>
      <c r="D648" s="2"/>
      <c r="E648" s="6"/>
      <c r="F648" s="6"/>
      <c r="G648" s="6"/>
      <c r="H648" s="2"/>
      <c r="I648" s="6"/>
      <c r="J648" s="6"/>
      <c r="K648" s="6"/>
      <c r="L648" s="6"/>
      <c r="M648" s="6"/>
      <c r="N648" s="6"/>
      <c r="O648" s="6"/>
      <c r="P648" s="6"/>
      <c r="Q648" s="6"/>
    </row>
    <row r="649">
      <c r="A649" s="2"/>
      <c r="B649" s="2"/>
      <c r="C649" s="2"/>
      <c r="D649" s="2"/>
      <c r="E649" s="6"/>
      <c r="F649" s="6"/>
      <c r="G649" s="6"/>
      <c r="H649" s="2"/>
      <c r="I649" s="6"/>
      <c r="J649" s="6"/>
      <c r="K649" s="6"/>
      <c r="L649" s="6"/>
      <c r="M649" s="6"/>
      <c r="N649" s="6"/>
      <c r="O649" s="6"/>
      <c r="P649" s="6"/>
      <c r="Q649" s="6"/>
    </row>
    <row r="650">
      <c r="A650" s="2"/>
      <c r="B650" s="2"/>
      <c r="C650" s="2"/>
      <c r="D650" s="2"/>
      <c r="E650" s="6"/>
      <c r="F650" s="6"/>
      <c r="G650" s="6"/>
      <c r="H650" s="2"/>
      <c r="I650" s="6"/>
      <c r="J650" s="6"/>
      <c r="K650" s="6"/>
      <c r="L650" s="6"/>
      <c r="M650" s="6"/>
      <c r="N650" s="6"/>
      <c r="O650" s="6"/>
      <c r="P650" s="6"/>
      <c r="Q650" s="6"/>
    </row>
    <row r="651">
      <c r="A651" s="2"/>
      <c r="B651" s="2"/>
      <c r="C651" s="2"/>
      <c r="D651" s="2"/>
      <c r="E651" s="6"/>
      <c r="F651" s="6"/>
      <c r="G651" s="6"/>
      <c r="H651" s="2"/>
      <c r="I651" s="6"/>
      <c r="J651" s="6"/>
      <c r="K651" s="6"/>
      <c r="L651" s="6"/>
      <c r="M651" s="6"/>
      <c r="N651" s="6"/>
      <c r="O651" s="6"/>
      <c r="P651" s="6"/>
      <c r="Q651" s="6"/>
    </row>
    <row r="652">
      <c r="A652" s="2"/>
      <c r="B652" s="2"/>
      <c r="C652" s="2"/>
      <c r="D652" s="2"/>
      <c r="E652" s="6"/>
      <c r="F652" s="6"/>
      <c r="G652" s="6"/>
      <c r="H652" s="2"/>
      <c r="I652" s="6"/>
      <c r="J652" s="6"/>
      <c r="K652" s="6"/>
      <c r="L652" s="6"/>
      <c r="M652" s="6"/>
      <c r="N652" s="6"/>
      <c r="O652" s="6"/>
      <c r="P652" s="6"/>
      <c r="Q652" s="6"/>
    </row>
    <row r="653">
      <c r="A653" s="2"/>
      <c r="B653" s="2"/>
      <c r="C653" s="2"/>
      <c r="D653" s="2"/>
      <c r="E653" s="6"/>
      <c r="F653" s="6"/>
      <c r="G653" s="6"/>
      <c r="H653" s="2"/>
      <c r="I653" s="6"/>
      <c r="J653" s="6"/>
      <c r="K653" s="6"/>
      <c r="L653" s="6"/>
      <c r="M653" s="6"/>
      <c r="N653" s="6"/>
      <c r="O653" s="6"/>
      <c r="P653" s="6"/>
      <c r="Q653" s="6"/>
    </row>
    <row r="654">
      <c r="A654" s="2"/>
      <c r="B654" s="2"/>
      <c r="C654" s="2"/>
      <c r="D654" s="2"/>
      <c r="E654" s="6"/>
      <c r="F654" s="6"/>
      <c r="G654" s="6"/>
      <c r="H654" s="2"/>
      <c r="I654" s="6"/>
      <c r="J654" s="6"/>
      <c r="K654" s="6"/>
      <c r="L654" s="6"/>
      <c r="M654" s="6"/>
      <c r="N654" s="6"/>
      <c r="O654" s="6"/>
      <c r="P654" s="6"/>
      <c r="Q654" s="6"/>
    </row>
    <row r="655">
      <c r="A655" s="2"/>
      <c r="B655" s="2"/>
      <c r="C655" s="2"/>
      <c r="D655" s="2"/>
      <c r="E655" s="6"/>
      <c r="F655" s="6"/>
      <c r="G655" s="6"/>
      <c r="H655" s="2"/>
      <c r="I655" s="6"/>
      <c r="J655" s="6"/>
      <c r="K655" s="6"/>
      <c r="L655" s="6"/>
      <c r="M655" s="6"/>
      <c r="N655" s="6"/>
      <c r="O655" s="6"/>
      <c r="P655" s="6"/>
      <c r="Q655" s="6"/>
    </row>
    <row r="656">
      <c r="A656" s="2"/>
      <c r="B656" s="2"/>
      <c r="C656" s="2"/>
      <c r="D656" s="2"/>
      <c r="E656" s="6"/>
      <c r="F656" s="6"/>
      <c r="G656" s="6"/>
      <c r="H656" s="2"/>
      <c r="I656" s="6"/>
      <c r="J656" s="6"/>
      <c r="K656" s="6"/>
      <c r="L656" s="6"/>
      <c r="M656" s="6"/>
      <c r="N656" s="6"/>
      <c r="O656" s="6"/>
      <c r="P656" s="6"/>
      <c r="Q656" s="6"/>
    </row>
    <row r="657">
      <c r="A657" s="2"/>
      <c r="B657" s="2"/>
      <c r="C657" s="2"/>
      <c r="D657" s="2"/>
      <c r="E657" s="6"/>
      <c r="F657" s="6"/>
      <c r="G657" s="6"/>
      <c r="H657" s="2"/>
      <c r="I657" s="6"/>
      <c r="J657" s="6"/>
      <c r="K657" s="6"/>
      <c r="L657" s="6"/>
      <c r="M657" s="6"/>
      <c r="N657" s="6"/>
      <c r="O657" s="6"/>
      <c r="P657" s="6"/>
      <c r="Q657" s="6"/>
    </row>
    <row r="658">
      <c r="A658" s="2"/>
      <c r="B658" s="2"/>
      <c r="C658" s="2"/>
      <c r="D658" s="2"/>
      <c r="E658" s="6"/>
      <c r="F658" s="6"/>
      <c r="G658" s="6"/>
      <c r="H658" s="2"/>
      <c r="I658" s="6"/>
      <c r="J658" s="6"/>
      <c r="K658" s="6"/>
      <c r="L658" s="6"/>
      <c r="M658" s="6"/>
      <c r="N658" s="6"/>
      <c r="O658" s="6"/>
      <c r="P658" s="6"/>
      <c r="Q658" s="6"/>
    </row>
    <row r="659">
      <c r="A659" s="2"/>
      <c r="B659" s="2"/>
      <c r="C659" s="2"/>
      <c r="D659" s="2"/>
      <c r="E659" s="6"/>
      <c r="F659" s="6"/>
      <c r="G659" s="6"/>
      <c r="H659" s="2"/>
      <c r="I659" s="6"/>
      <c r="J659" s="6"/>
      <c r="K659" s="6"/>
      <c r="L659" s="6"/>
      <c r="M659" s="6"/>
      <c r="N659" s="6"/>
      <c r="O659" s="6"/>
      <c r="P659" s="6"/>
      <c r="Q659" s="6"/>
    </row>
    <row r="660">
      <c r="A660" s="2"/>
      <c r="B660" s="2"/>
      <c r="C660" s="2"/>
      <c r="D660" s="2"/>
      <c r="E660" s="6"/>
      <c r="F660" s="6"/>
      <c r="G660" s="6"/>
      <c r="H660" s="2"/>
      <c r="I660" s="6"/>
      <c r="J660" s="6"/>
      <c r="K660" s="6"/>
      <c r="L660" s="6"/>
      <c r="M660" s="6"/>
      <c r="N660" s="6"/>
      <c r="O660" s="6"/>
      <c r="P660" s="6"/>
      <c r="Q660" s="6"/>
    </row>
    <row r="661">
      <c r="A661" s="2"/>
      <c r="B661" s="2"/>
      <c r="C661" s="2"/>
      <c r="D661" s="2"/>
      <c r="E661" s="6"/>
      <c r="F661" s="6"/>
      <c r="G661" s="6"/>
      <c r="H661" s="2"/>
      <c r="I661" s="6"/>
      <c r="J661" s="6"/>
      <c r="K661" s="6"/>
      <c r="L661" s="6"/>
      <c r="M661" s="6"/>
      <c r="N661" s="6"/>
      <c r="O661" s="6"/>
      <c r="P661" s="6"/>
      <c r="Q661" s="6"/>
    </row>
    <row r="662">
      <c r="A662" s="2"/>
      <c r="B662" s="2"/>
      <c r="C662" s="2"/>
      <c r="D662" s="2"/>
      <c r="E662" s="6"/>
      <c r="F662" s="6"/>
      <c r="G662" s="6"/>
      <c r="H662" s="2"/>
      <c r="I662" s="6"/>
      <c r="J662" s="6"/>
      <c r="K662" s="6"/>
      <c r="L662" s="6"/>
      <c r="M662" s="6"/>
      <c r="N662" s="6"/>
      <c r="O662" s="6"/>
      <c r="P662" s="6"/>
      <c r="Q662" s="6"/>
    </row>
    <row r="663">
      <c r="A663" s="2"/>
      <c r="B663" s="2"/>
      <c r="C663" s="2"/>
      <c r="D663" s="2"/>
      <c r="E663" s="6"/>
      <c r="F663" s="6"/>
      <c r="G663" s="6"/>
      <c r="H663" s="2"/>
      <c r="I663" s="6"/>
      <c r="J663" s="6"/>
      <c r="K663" s="6"/>
      <c r="L663" s="6"/>
      <c r="M663" s="6"/>
      <c r="N663" s="6"/>
      <c r="O663" s="6"/>
      <c r="P663" s="6"/>
      <c r="Q663" s="6"/>
    </row>
    <row r="664">
      <c r="A664" s="2"/>
      <c r="B664" s="2"/>
      <c r="C664" s="2"/>
      <c r="D664" s="2"/>
      <c r="E664" s="6"/>
      <c r="F664" s="6"/>
      <c r="G664" s="6"/>
      <c r="H664" s="2"/>
      <c r="I664" s="6"/>
      <c r="J664" s="6"/>
      <c r="K664" s="6"/>
      <c r="L664" s="6"/>
      <c r="M664" s="6"/>
      <c r="N664" s="6"/>
      <c r="O664" s="6"/>
      <c r="P664" s="6"/>
      <c r="Q664" s="6"/>
    </row>
    <row r="665">
      <c r="A665" s="2"/>
      <c r="B665" s="2"/>
      <c r="C665" s="2"/>
      <c r="D665" s="2"/>
      <c r="E665" s="6"/>
      <c r="F665" s="6"/>
      <c r="G665" s="6"/>
      <c r="H665" s="2"/>
      <c r="I665" s="6"/>
      <c r="J665" s="6"/>
      <c r="K665" s="6"/>
      <c r="L665" s="6"/>
      <c r="M665" s="6"/>
      <c r="N665" s="6"/>
      <c r="O665" s="6"/>
      <c r="P665" s="6"/>
      <c r="Q665" s="6"/>
    </row>
    <row r="666">
      <c r="A666" s="2"/>
      <c r="B666" s="2"/>
      <c r="C666" s="2"/>
      <c r="D666" s="2"/>
      <c r="E666" s="6"/>
      <c r="F666" s="6"/>
      <c r="G666" s="6"/>
      <c r="H666" s="2"/>
      <c r="I666" s="6"/>
      <c r="J666" s="6"/>
      <c r="K666" s="6"/>
      <c r="L666" s="6"/>
      <c r="M666" s="6"/>
      <c r="N666" s="6"/>
      <c r="O666" s="6"/>
      <c r="P666" s="6"/>
      <c r="Q666" s="6"/>
    </row>
    <row r="667">
      <c r="A667" s="2"/>
      <c r="B667" s="2"/>
      <c r="C667" s="2"/>
      <c r="D667" s="2"/>
      <c r="E667" s="6"/>
      <c r="F667" s="6"/>
      <c r="G667" s="6"/>
      <c r="H667" s="2"/>
      <c r="I667" s="6"/>
      <c r="J667" s="6"/>
      <c r="K667" s="6"/>
      <c r="L667" s="6"/>
      <c r="M667" s="6"/>
      <c r="N667" s="6"/>
      <c r="O667" s="6"/>
      <c r="P667" s="6"/>
      <c r="Q667" s="6"/>
    </row>
    <row r="668">
      <c r="A668" s="2"/>
      <c r="B668" s="2"/>
      <c r="C668" s="2"/>
      <c r="D668" s="2"/>
      <c r="E668" s="6"/>
      <c r="F668" s="6"/>
      <c r="G668" s="6"/>
      <c r="H668" s="2"/>
      <c r="I668" s="6"/>
      <c r="J668" s="6"/>
      <c r="K668" s="6"/>
      <c r="L668" s="6"/>
      <c r="M668" s="6"/>
      <c r="N668" s="6"/>
      <c r="O668" s="6"/>
      <c r="P668" s="6"/>
      <c r="Q668" s="6"/>
    </row>
    <row r="669">
      <c r="A669" s="2"/>
      <c r="B669" s="2"/>
      <c r="C669" s="2"/>
      <c r="D669" s="2"/>
      <c r="E669" s="6"/>
      <c r="F669" s="6"/>
      <c r="G669" s="6"/>
      <c r="H669" s="2"/>
      <c r="I669" s="6"/>
      <c r="J669" s="6"/>
      <c r="K669" s="6"/>
      <c r="L669" s="6"/>
      <c r="M669" s="6"/>
      <c r="N669" s="6"/>
      <c r="O669" s="6"/>
      <c r="P669" s="6"/>
      <c r="Q669" s="6"/>
    </row>
    <row r="670">
      <c r="A670" s="2"/>
      <c r="B670" s="2"/>
      <c r="C670" s="2"/>
      <c r="D670" s="2"/>
      <c r="E670" s="6"/>
      <c r="F670" s="6"/>
      <c r="G670" s="6"/>
      <c r="H670" s="2"/>
      <c r="I670" s="6"/>
      <c r="J670" s="6"/>
      <c r="K670" s="6"/>
      <c r="L670" s="6"/>
      <c r="M670" s="6"/>
      <c r="N670" s="6"/>
      <c r="O670" s="6"/>
      <c r="P670" s="6"/>
      <c r="Q670" s="6"/>
    </row>
    <row r="671">
      <c r="A671" s="2"/>
      <c r="B671" s="2"/>
      <c r="C671" s="2"/>
      <c r="D671" s="2"/>
      <c r="E671" s="6"/>
      <c r="F671" s="6"/>
      <c r="G671" s="6"/>
      <c r="H671" s="2"/>
      <c r="I671" s="6"/>
      <c r="J671" s="6"/>
      <c r="K671" s="6"/>
      <c r="L671" s="6"/>
      <c r="M671" s="6"/>
      <c r="N671" s="6"/>
      <c r="O671" s="6"/>
      <c r="P671" s="6"/>
      <c r="Q671" s="6"/>
    </row>
    <row r="672">
      <c r="A672" s="2"/>
      <c r="B672" s="2"/>
      <c r="C672" s="2"/>
      <c r="D672" s="2"/>
      <c r="E672" s="6"/>
      <c r="F672" s="6"/>
      <c r="G672" s="6"/>
      <c r="H672" s="2"/>
      <c r="I672" s="6"/>
      <c r="J672" s="6"/>
      <c r="K672" s="6"/>
      <c r="L672" s="6"/>
      <c r="M672" s="6"/>
      <c r="N672" s="6"/>
      <c r="O672" s="6"/>
      <c r="P672" s="6"/>
      <c r="Q672" s="6"/>
    </row>
    <row r="673">
      <c r="A673" s="2"/>
      <c r="B673" s="2"/>
      <c r="C673" s="2"/>
      <c r="D673" s="2"/>
      <c r="E673" s="6"/>
      <c r="F673" s="6"/>
      <c r="G673" s="6"/>
      <c r="H673" s="2"/>
      <c r="I673" s="6"/>
      <c r="J673" s="6"/>
      <c r="K673" s="6"/>
      <c r="L673" s="6"/>
      <c r="M673" s="6"/>
      <c r="N673" s="6"/>
      <c r="O673" s="6"/>
      <c r="P673" s="6"/>
      <c r="Q673" s="6"/>
    </row>
    <row r="674">
      <c r="A674" s="2"/>
      <c r="B674" s="2"/>
      <c r="C674" s="2"/>
      <c r="D674" s="2"/>
      <c r="E674" s="6"/>
      <c r="F674" s="6"/>
      <c r="G674" s="6"/>
      <c r="H674" s="2"/>
      <c r="I674" s="6"/>
      <c r="J674" s="6"/>
      <c r="K674" s="6"/>
      <c r="L674" s="6"/>
      <c r="M674" s="6"/>
      <c r="N674" s="6"/>
      <c r="O674" s="6"/>
      <c r="P674" s="6"/>
      <c r="Q674" s="6"/>
    </row>
    <row r="675">
      <c r="A675" s="2"/>
      <c r="B675" s="2"/>
      <c r="C675" s="2"/>
      <c r="D675" s="2"/>
      <c r="E675" s="6"/>
      <c r="F675" s="6"/>
      <c r="G675" s="6"/>
      <c r="H675" s="2"/>
      <c r="I675" s="6"/>
      <c r="J675" s="6"/>
      <c r="K675" s="6"/>
      <c r="L675" s="6"/>
      <c r="M675" s="6"/>
      <c r="N675" s="6"/>
      <c r="O675" s="6"/>
      <c r="P675" s="6"/>
      <c r="Q675" s="6"/>
    </row>
    <row r="676">
      <c r="A676" s="2"/>
      <c r="B676" s="2"/>
      <c r="C676" s="2"/>
      <c r="D676" s="2"/>
      <c r="E676" s="6"/>
      <c r="F676" s="6"/>
      <c r="G676" s="6"/>
      <c r="H676" s="2"/>
      <c r="I676" s="6"/>
      <c r="J676" s="6"/>
      <c r="K676" s="6"/>
      <c r="L676" s="6"/>
      <c r="M676" s="6"/>
      <c r="N676" s="6"/>
      <c r="O676" s="6"/>
      <c r="P676" s="6"/>
      <c r="Q676" s="6"/>
    </row>
    <row r="677">
      <c r="A677" s="2"/>
      <c r="B677" s="2"/>
      <c r="C677" s="2"/>
      <c r="D677" s="2"/>
      <c r="E677" s="6"/>
      <c r="F677" s="6"/>
      <c r="G677" s="6"/>
      <c r="H677" s="2"/>
      <c r="I677" s="6"/>
      <c r="J677" s="6"/>
      <c r="K677" s="6"/>
      <c r="L677" s="6"/>
      <c r="M677" s="6"/>
      <c r="N677" s="6"/>
      <c r="O677" s="6"/>
      <c r="P677" s="6"/>
      <c r="Q677" s="6"/>
    </row>
    <row r="678">
      <c r="A678" s="2"/>
      <c r="B678" s="2"/>
      <c r="C678" s="2"/>
      <c r="D678" s="2"/>
      <c r="E678" s="6"/>
      <c r="F678" s="6"/>
      <c r="G678" s="6"/>
      <c r="H678" s="2"/>
      <c r="I678" s="6"/>
      <c r="J678" s="6"/>
      <c r="K678" s="6"/>
      <c r="L678" s="6"/>
      <c r="M678" s="6"/>
      <c r="N678" s="6"/>
      <c r="O678" s="6"/>
      <c r="P678" s="6"/>
      <c r="Q678" s="6"/>
    </row>
    <row r="679">
      <c r="A679" s="2"/>
      <c r="B679" s="2"/>
      <c r="C679" s="2"/>
      <c r="D679" s="2"/>
      <c r="E679" s="6"/>
      <c r="F679" s="6"/>
      <c r="G679" s="6"/>
      <c r="H679" s="2"/>
      <c r="I679" s="6"/>
      <c r="J679" s="6"/>
      <c r="K679" s="6"/>
      <c r="L679" s="6"/>
      <c r="M679" s="6"/>
      <c r="N679" s="6"/>
      <c r="O679" s="6"/>
      <c r="P679" s="6"/>
      <c r="Q679" s="6"/>
    </row>
    <row r="680">
      <c r="A680" s="2"/>
      <c r="B680" s="2"/>
      <c r="C680" s="2"/>
      <c r="D680" s="2"/>
      <c r="E680" s="6"/>
      <c r="F680" s="6"/>
      <c r="G680" s="6"/>
      <c r="H680" s="2"/>
      <c r="I680" s="6"/>
      <c r="J680" s="6"/>
      <c r="K680" s="6"/>
      <c r="L680" s="6"/>
      <c r="M680" s="6"/>
      <c r="N680" s="6"/>
      <c r="O680" s="6"/>
      <c r="P680" s="6"/>
      <c r="Q680" s="6"/>
    </row>
    <row r="681">
      <c r="A681" s="2"/>
      <c r="B681" s="2"/>
      <c r="C681" s="2"/>
      <c r="D681" s="2"/>
      <c r="E681" s="6"/>
      <c r="F681" s="6"/>
      <c r="G681" s="6"/>
      <c r="H681" s="2"/>
      <c r="I681" s="6"/>
      <c r="J681" s="6"/>
      <c r="K681" s="6"/>
      <c r="L681" s="6"/>
      <c r="M681" s="6"/>
      <c r="N681" s="6"/>
      <c r="O681" s="6"/>
      <c r="P681" s="6"/>
      <c r="Q681" s="6"/>
    </row>
    <row r="682">
      <c r="A682" s="2"/>
      <c r="B682" s="2"/>
      <c r="C682" s="2"/>
      <c r="D682" s="2"/>
      <c r="E682" s="6"/>
      <c r="F682" s="6"/>
      <c r="G682" s="6"/>
      <c r="H682" s="2"/>
      <c r="I682" s="6"/>
      <c r="J682" s="6"/>
      <c r="K682" s="6"/>
      <c r="L682" s="6"/>
      <c r="M682" s="6"/>
      <c r="N682" s="6"/>
      <c r="O682" s="6"/>
      <c r="P682" s="6"/>
      <c r="Q682" s="6"/>
    </row>
    <row r="683">
      <c r="A683" s="2"/>
      <c r="B683" s="2"/>
      <c r="C683" s="2"/>
      <c r="D683" s="2"/>
      <c r="E683" s="6"/>
      <c r="F683" s="6"/>
      <c r="G683" s="6"/>
      <c r="H683" s="2"/>
      <c r="I683" s="6"/>
      <c r="J683" s="6"/>
      <c r="K683" s="6"/>
      <c r="L683" s="6"/>
      <c r="M683" s="6"/>
      <c r="N683" s="6"/>
      <c r="O683" s="6"/>
      <c r="P683" s="6"/>
      <c r="Q683" s="6"/>
    </row>
    <row r="684">
      <c r="A684" s="2"/>
      <c r="B684" s="2"/>
      <c r="C684" s="2"/>
      <c r="D684" s="2"/>
      <c r="E684" s="6"/>
      <c r="F684" s="6"/>
      <c r="G684" s="6"/>
      <c r="H684" s="2"/>
      <c r="I684" s="6"/>
      <c r="J684" s="6"/>
      <c r="K684" s="6"/>
      <c r="L684" s="6"/>
      <c r="M684" s="6"/>
      <c r="N684" s="6"/>
      <c r="O684" s="6"/>
      <c r="P684" s="6"/>
      <c r="Q684" s="6"/>
    </row>
    <row r="685">
      <c r="A685" s="2"/>
      <c r="B685" s="2"/>
      <c r="C685" s="2"/>
      <c r="D685" s="2"/>
      <c r="E685" s="6"/>
      <c r="F685" s="6"/>
      <c r="G685" s="6"/>
      <c r="H685" s="2"/>
      <c r="I685" s="6"/>
      <c r="J685" s="6"/>
      <c r="K685" s="6"/>
      <c r="L685" s="6"/>
      <c r="M685" s="6"/>
      <c r="N685" s="6"/>
      <c r="O685" s="6"/>
      <c r="P685" s="6"/>
      <c r="Q685" s="6"/>
    </row>
    <row r="686">
      <c r="A686" s="2"/>
      <c r="B686" s="2"/>
      <c r="C686" s="2"/>
      <c r="D686" s="2"/>
      <c r="E686" s="6"/>
      <c r="F686" s="6"/>
      <c r="G686" s="6"/>
      <c r="H686" s="2"/>
      <c r="I686" s="6"/>
      <c r="J686" s="6"/>
      <c r="K686" s="6"/>
      <c r="L686" s="6"/>
      <c r="M686" s="6"/>
      <c r="N686" s="6"/>
      <c r="O686" s="6"/>
      <c r="P686" s="6"/>
      <c r="Q686" s="6"/>
    </row>
    <row r="687">
      <c r="A687" s="2"/>
      <c r="B687" s="2"/>
      <c r="C687" s="2"/>
      <c r="D687" s="2"/>
      <c r="E687" s="6"/>
      <c r="F687" s="6"/>
      <c r="G687" s="6"/>
      <c r="H687" s="2"/>
      <c r="I687" s="6"/>
      <c r="J687" s="6"/>
      <c r="K687" s="6"/>
      <c r="L687" s="6"/>
      <c r="M687" s="6"/>
      <c r="N687" s="6"/>
      <c r="O687" s="6"/>
      <c r="P687" s="6"/>
      <c r="Q687" s="6"/>
    </row>
    <row r="688">
      <c r="A688" s="2"/>
      <c r="B688" s="2"/>
      <c r="C688" s="2"/>
      <c r="D688" s="2"/>
      <c r="E688" s="6"/>
      <c r="F688" s="6"/>
      <c r="G688" s="6"/>
      <c r="H688" s="2"/>
      <c r="I688" s="6"/>
      <c r="J688" s="6"/>
      <c r="K688" s="6"/>
      <c r="L688" s="6"/>
      <c r="M688" s="6"/>
      <c r="N688" s="6"/>
      <c r="O688" s="6"/>
      <c r="P688" s="6"/>
      <c r="Q688" s="6"/>
    </row>
    <row r="689">
      <c r="A689" s="2"/>
      <c r="B689" s="2"/>
      <c r="C689" s="2"/>
      <c r="D689" s="2"/>
      <c r="E689" s="6"/>
      <c r="F689" s="6"/>
      <c r="G689" s="6"/>
      <c r="H689" s="2"/>
      <c r="I689" s="6"/>
      <c r="J689" s="6"/>
      <c r="K689" s="6"/>
      <c r="L689" s="6"/>
      <c r="M689" s="6"/>
      <c r="N689" s="6"/>
      <c r="O689" s="6"/>
      <c r="P689" s="6"/>
      <c r="Q689" s="6"/>
    </row>
    <row r="690">
      <c r="A690" s="2"/>
      <c r="B690" s="2"/>
      <c r="C690" s="2"/>
      <c r="D690" s="2"/>
      <c r="E690" s="6"/>
      <c r="F690" s="6"/>
      <c r="G690" s="6"/>
      <c r="H690" s="2"/>
      <c r="I690" s="6"/>
      <c r="J690" s="6"/>
      <c r="K690" s="6"/>
      <c r="L690" s="6"/>
      <c r="M690" s="6"/>
      <c r="N690" s="6"/>
      <c r="O690" s="6"/>
      <c r="P690" s="6"/>
      <c r="Q690" s="6"/>
    </row>
    <row r="691">
      <c r="A691" s="2"/>
      <c r="B691" s="2"/>
      <c r="C691" s="2"/>
      <c r="D691" s="2"/>
      <c r="E691" s="6"/>
      <c r="F691" s="6"/>
      <c r="G691" s="6"/>
      <c r="H691" s="2"/>
      <c r="I691" s="6"/>
      <c r="J691" s="6"/>
      <c r="K691" s="6"/>
      <c r="L691" s="6"/>
      <c r="M691" s="6"/>
      <c r="N691" s="6"/>
      <c r="O691" s="6"/>
      <c r="P691" s="6"/>
      <c r="Q691" s="6"/>
    </row>
    <row r="692">
      <c r="A692" s="2"/>
      <c r="B692" s="2"/>
      <c r="C692" s="2"/>
      <c r="D692" s="2"/>
      <c r="E692" s="6"/>
      <c r="F692" s="6"/>
      <c r="G692" s="6"/>
      <c r="H692" s="2"/>
      <c r="I692" s="6"/>
      <c r="J692" s="6"/>
      <c r="K692" s="6"/>
      <c r="L692" s="6"/>
      <c r="M692" s="6"/>
      <c r="N692" s="6"/>
      <c r="O692" s="6"/>
      <c r="P692" s="6"/>
      <c r="Q692" s="6"/>
    </row>
    <row r="693">
      <c r="A693" s="2"/>
      <c r="B693" s="2"/>
      <c r="C693" s="2"/>
      <c r="D693" s="2"/>
      <c r="E693" s="6"/>
      <c r="F693" s="6"/>
      <c r="G693" s="6"/>
      <c r="H693" s="2"/>
      <c r="I693" s="6"/>
      <c r="J693" s="6"/>
      <c r="K693" s="6"/>
      <c r="L693" s="6"/>
      <c r="M693" s="6"/>
      <c r="N693" s="6"/>
      <c r="O693" s="6"/>
      <c r="P693" s="6"/>
      <c r="Q693" s="6"/>
    </row>
    <row r="694">
      <c r="A694" s="2"/>
      <c r="B694" s="2"/>
      <c r="C694" s="2"/>
      <c r="D694" s="2"/>
      <c r="E694" s="6"/>
      <c r="F694" s="6"/>
      <c r="G694" s="6"/>
      <c r="H694" s="2"/>
      <c r="I694" s="6"/>
      <c r="J694" s="6"/>
      <c r="K694" s="6"/>
      <c r="L694" s="6"/>
      <c r="M694" s="6"/>
      <c r="N694" s="6"/>
      <c r="O694" s="6"/>
      <c r="P694" s="6"/>
      <c r="Q694" s="6"/>
    </row>
    <row r="695">
      <c r="A695" s="2"/>
      <c r="B695" s="2"/>
      <c r="C695" s="2"/>
      <c r="D695" s="2"/>
      <c r="E695" s="6"/>
      <c r="F695" s="6"/>
      <c r="G695" s="6"/>
      <c r="H695" s="2"/>
      <c r="I695" s="6"/>
      <c r="J695" s="6"/>
      <c r="K695" s="6"/>
      <c r="L695" s="6"/>
      <c r="M695" s="6"/>
      <c r="N695" s="6"/>
      <c r="O695" s="6"/>
      <c r="P695" s="6"/>
      <c r="Q695" s="6"/>
    </row>
    <row r="696">
      <c r="A696" s="2"/>
      <c r="B696" s="2"/>
      <c r="C696" s="2"/>
      <c r="D696" s="2"/>
      <c r="E696" s="6"/>
      <c r="F696" s="6"/>
      <c r="G696" s="6"/>
      <c r="H696" s="2"/>
      <c r="I696" s="6"/>
      <c r="J696" s="6"/>
      <c r="K696" s="6"/>
      <c r="L696" s="6"/>
      <c r="M696" s="6"/>
      <c r="N696" s="6"/>
      <c r="O696" s="6"/>
      <c r="P696" s="6"/>
      <c r="Q696" s="6"/>
    </row>
    <row r="697">
      <c r="A697" s="2"/>
      <c r="B697" s="2"/>
      <c r="C697" s="2"/>
      <c r="D697" s="2"/>
      <c r="E697" s="6"/>
      <c r="F697" s="6"/>
      <c r="G697" s="6"/>
      <c r="H697" s="2"/>
      <c r="I697" s="6"/>
      <c r="J697" s="6"/>
      <c r="K697" s="6"/>
      <c r="L697" s="6"/>
      <c r="M697" s="6"/>
      <c r="N697" s="6"/>
      <c r="O697" s="6"/>
      <c r="P697" s="6"/>
      <c r="Q697" s="6"/>
    </row>
    <row r="698">
      <c r="A698" s="2"/>
      <c r="B698" s="2"/>
      <c r="C698" s="2"/>
      <c r="D698" s="2"/>
      <c r="E698" s="6"/>
      <c r="F698" s="6"/>
      <c r="G698" s="6"/>
      <c r="H698" s="2"/>
      <c r="I698" s="6"/>
      <c r="J698" s="6"/>
      <c r="K698" s="6"/>
      <c r="L698" s="6"/>
      <c r="M698" s="6"/>
      <c r="N698" s="6"/>
      <c r="O698" s="6"/>
      <c r="P698" s="6"/>
      <c r="Q698" s="6"/>
    </row>
    <row r="699">
      <c r="A699" s="2"/>
      <c r="B699" s="2"/>
      <c r="C699" s="2"/>
      <c r="D699" s="2"/>
      <c r="E699" s="6"/>
      <c r="F699" s="6"/>
      <c r="G699" s="6"/>
      <c r="H699" s="2"/>
      <c r="I699" s="6"/>
      <c r="J699" s="6"/>
      <c r="K699" s="6"/>
      <c r="L699" s="6"/>
      <c r="M699" s="6"/>
      <c r="N699" s="6"/>
      <c r="O699" s="6"/>
      <c r="P699" s="6"/>
      <c r="Q699" s="6"/>
    </row>
    <row r="700">
      <c r="A700" s="2"/>
      <c r="B700" s="2"/>
      <c r="C700" s="2"/>
      <c r="D700" s="2"/>
      <c r="E700" s="6"/>
      <c r="F700" s="6"/>
      <c r="G700" s="6"/>
      <c r="H700" s="2"/>
      <c r="I700" s="6"/>
      <c r="J700" s="6"/>
      <c r="K700" s="6"/>
      <c r="L700" s="6"/>
      <c r="M700" s="6"/>
      <c r="N700" s="6"/>
      <c r="O700" s="6"/>
      <c r="P700" s="6"/>
      <c r="Q700" s="6"/>
    </row>
    <row r="701">
      <c r="A701" s="2"/>
      <c r="B701" s="2"/>
      <c r="C701" s="2"/>
      <c r="D701" s="2"/>
      <c r="E701" s="6"/>
      <c r="F701" s="6"/>
      <c r="G701" s="6"/>
      <c r="H701" s="2"/>
      <c r="I701" s="6"/>
      <c r="J701" s="6"/>
      <c r="K701" s="6"/>
      <c r="L701" s="6"/>
      <c r="M701" s="6"/>
      <c r="N701" s="6"/>
      <c r="O701" s="6"/>
      <c r="P701" s="6"/>
      <c r="Q701" s="6"/>
    </row>
    <row r="702">
      <c r="A702" s="2"/>
      <c r="B702" s="2"/>
      <c r="C702" s="2"/>
      <c r="D702" s="2"/>
      <c r="E702" s="6"/>
      <c r="F702" s="6"/>
      <c r="G702" s="6"/>
      <c r="H702" s="2"/>
      <c r="I702" s="6"/>
      <c r="J702" s="6"/>
      <c r="K702" s="6"/>
      <c r="L702" s="6"/>
      <c r="M702" s="6"/>
      <c r="N702" s="6"/>
      <c r="O702" s="6"/>
      <c r="P702" s="6"/>
      <c r="Q702" s="6"/>
    </row>
    <row r="703">
      <c r="A703" s="2"/>
      <c r="B703" s="2"/>
      <c r="C703" s="2"/>
      <c r="D703" s="2"/>
      <c r="E703" s="6"/>
      <c r="F703" s="6"/>
      <c r="G703" s="6"/>
      <c r="H703" s="2"/>
      <c r="I703" s="6"/>
      <c r="J703" s="6"/>
      <c r="K703" s="6"/>
      <c r="L703" s="6"/>
      <c r="M703" s="6"/>
      <c r="N703" s="6"/>
      <c r="O703" s="6"/>
      <c r="P703" s="6"/>
      <c r="Q703" s="6"/>
    </row>
    <row r="704">
      <c r="A704" s="2"/>
      <c r="B704" s="2"/>
      <c r="C704" s="2"/>
      <c r="D704" s="2"/>
      <c r="E704" s="6"/>
      <c r="F704" s="6"/>
      <c r="G704" s="6"/>
      <c r="H704" s="2"/>
      <c r="I704" s="6"/>
      <c r="J704" s="6"/>
      <c r="K704" s="6"/>
      <c r="L704" s="6"/>
      <c r="M704" s="6"/>
      <c r="N704" s="6"/>
      <c r="O704" s="6"/>
      <c r="P704" s="6"/>
      <c r="Q704" s="6"/>
    </row>
    <row r="705">
      <c r="A705" s="2"/>
      <c r="B705" s="2"/>
      <c r="C705" s="2"/>
      <c r="D705" s="2"/>
      <c r="E705" s="6"/>
      <c r="F705" s="6"/>
      <c r="G705" s="6"/>
      <c r="H705" s="2"/>
      <c r="I705" s="6"/>
      <c r="J705" s="6"/>
      <c r="K705" s="6"/>
      <c r="L705" s="6"/>
      <c r="M705" s="6"/>
      <c r="N705" s="6"/>
      <c r="O705" s="6"/>
      <c r="P705" s="6"/>
      <c r="Q705" s="6"/>
    </row>
    <row r="706">
      <c r="A706" s="2"/>
      <c r="B706" s="2"/>
      <c r="C706" s="2"/>
      <c r="D706" s="2"/>
      <c r="E706" s="6"/>
      <c r="F706" s="6"/>
      <c r="G706" s="6"/>
      <c r="H706" s="2"/>
      <c r="I706" s="6"/>
      <c r="J706" s="6"/>
      <c r="K706" s="6"/>
      <c r="L706" s="6"/>
      <c r="M706" s="6"/>
      <c r="N706" s="6"/>
      <c r="O706" s="6"/>
      <c r="P706" s="6"/>
      <c r="Q706" s="6"/>
    </row>
    <row r="707">
      <c r="A707" s="2"/>
      <c r="B707" s="2"/>
      <c r="C707" s="2"/>
      <c r="D707" s="2"/>
      <c r="E707" s="6"/>
      <c r="F707" s="6"/>
      <c r="G707" s="6"/>
      <c r="H707" s="2"/>
      <c r="I707" s="6"/>
      <c r="J707" s="6"/>
      <c r="K707" s="6"/>
      <c r="L707" s="6"/>
      <c r="M707" s="6"/>
      <c r="N707" s="6"/>
      <c r="O707" s="6"/>
      <c r="P707" s="6"/>
      <c r="Q707" s="6"/>
    </row>
    <row r="708">
      <c r="A708" s="2"/>
      <c r="B708" s="2"/>
      <c r="C708" s="2"/>
      <c r="D708" s="2"/>
      <c r="E708" s="6"/>
      <c r="F708" s="6"/>
      <c r="G708" s="6"/>
      <c r="H708" s="2"/>
      <c r="I708" s="6"/>
      <c r="J708" s="6"/>
      <c r="K708" s="6"/>
      <c r="L708" s="6"/>
      <c r="M708" s="6"/>
      <c r="N708" s="6"/>
      <c r="O708" s="6"/>
      <c r="P708" s="6"/>
      <c r="Q708" s="6"/>
    </row>
    <row r="709">
      <c r="A709" s="2"/>
      <c r="B709" s="2"/>
      <c r="C709" s="2"/>
      <c r="D709" s="2"/>
      <c r="E709" s="6"/>
      <c r="F709" s="6"/>
      <c r="G709" s="6"/>
      <c r="H709" s="2"/>
      <c r="I709" s="6"/>
      <c r="J709" s="6"/>
      <c r="K709" s="6"/>
      <c r="L709" s="6"/>
      <c r="M709" s="6"/>
      <c r="N709" s="6"/>
      <c r="O709" s="6"/>
      <c r="P709" s="6"/>
      <c r="Q709" s="6"/>
    </row>
    <row r="710">
      <c r="A710" s="2"/>
      <c r="B710" s="2"/>
      <c r="C710" s="2"/>
      <c r="D710" s="2"/>
      <c r="E710" s="6"/>
      <c r="F710" s="6"/>
      <c r="G710" s="6"/>
      <c r="H710" s="2"/>
      <c r="I710" s="6"/>
      <c r="J710" s="6"/>
      <c r="K710" s="6"/>
      <c r="L710" s="6"/>
      <c r="M710" s="6"/>
      <c r="N710" s="6"/>
      <c r="O710" s="6"/>
      <c r="P710" s="6"/>
      <c r="Q710" s="6"/>
    </row>
    <row r="711">
      <c r="A711" s="2"/>
      <c r="B711" s="2"/>
      <c r="C711" s="2"/>
      <c r="D711" s="2"/>
      <c r="E711" s="6"/>
      <c r="F711" s="6"/>
      <c r="G711" s="6"/>
      <c r="H711" s="2"/>
      <c r="I711" s="6"/>
      <c r="J711" s="6"/>
      <c r="K711" s="6"/>
      <c r="L711" s="6"/>
      <c r="M711" s="6"/>
      <c r="N711" s="6"/>
      <c r="O711" s="6"/>
      <c r="P711" s="6"/>
      <c r="Q711" s="6"/>
    </row>
    <row r="712">
      <c r="A712" s="2"/>
      <c r="B712" s="2"/>
      <c r="C712" s="2"/>
      <c r="D712" s="2"/>
      <c r="E712" s="6"/>
      <c r="F712" s="6"/>
      <c r="G712" s="6"/>
      <c r="H712" s="2"/>
      <c r="I712" s="6"/>
      <c r="J712" s="6"/>
      <c r="K712" s="6"/>
      <c r="L712" s="6"/>
      <c r="M712" s="6"/>
      <c r="N712" s="6"/>
      <c r="O712" s="6"/>
      <c r="P712" s="6"/>
      <c r="Q712" s="6"/>
    </row>
    <row r="713">
      <c r="A713" s="2"/>
      <c r="B713" s="2"/>
      <c r="C713" s="2"/>
      <c r="D713" s="2"/>
      <c r="E713" s="6"/>
      <c r="F713" s="6"/>
      <c r="G713" s="6"/>
      <c r="H713" s="2"/>
      <c r="I713" s="6"/>
      <c r="J713" s="6"/>
      <c r="K713" s="6"/>
      <c r="L713" s="6"/>
      <c r="M713" s="6"/>
      <c r="N713" s="6"/>
      <c r="O713" s="6"/>
      <c r="P713" s="6"/>
      <c r="Q713" s="6"/>
    </row>
    <row r="714">
      <c r="A714" s="2"/>
      <c r="B714" s="2"/>
      <c r="C714" s="2"/>
      <c r="D714" s="2"/>
      <c r="E714" s="6"/>
      <c r="F714" s="6"/>
      <c r="G714" s="6"/>
      <c r="H714" s="2"/>
      <c r="I714" s="6"/>
      <c r="J714" s="6"/>
      <c r="K714" s="6"/>
      <c r="L714" s="6"/>
      <c r="M714" s="6"/>
      <c r="N714" s="6"/>
      <c r="O714" s="6"/>
      <c r="P714" s="6"/>
      <c r="Q714" s="6"/>
    </row>
    <row r="715">
      <c r="A715" s="2"/>
      <c r="B715" s="2"/>
      <c r="C715" s="2"/>
      <c r="D715" s="2"/>
      <c r="E715" s="6"/>
      <c r="F715" s="6"/>
      <c r="G715" s="6"/>
      <c r="H715" s="2"/>
      <c r="I715" s="6"/>
      <c r="J715" s="6"/>
      <c r="K715" s="6"/>
      <c r="L715" s="6"/>
      <c r="M715" s="6"/>
      <c r="N715" s="6"/>
      <c r="O715" s="6"/>
      <c r="P715" s="6"/>
      <c r="Q715" s="6"/>
    </row>
    <row r="716">
      <c r="A716" s="2"/>
      <c r="B716" s="2"/>
      <c r="C716" s="2"/>
      <c r="D716" s="2"/>
      <c r="E716" s="6"/>
      <c r="F716" s="6"/>
      <c r="G716" s="6"/>
      <c r="H716" s="2"/>
      <c r="I716" s="6"/>
      <c r="J716" s="6"/>
      <c r="K716" s="6"/>
      <c r="L716" s="6"/>
      <c r="M716" s="6"/>
      <c r="N716" s="6"/>
      <c r="O716" s="6"/>
      <c r="P716" s="6"/>
      <c r="Q716" s="6"/>
    </row>
    <row r="717">
      <c r="A717" s="2"/>
      <c r="B717" s="2"/>
      <c r="C717" s="2"/>
      <c r="D717" s="2"/>
      <c r="E717" s="6"/>
      <c r="F717" s="6"/>
      <c r="G717" s="6"/>
      <c r="H717" s="2"/>
      <c r="I717" s="6"/>
      <c r="J717" s="6"/>
      <c r="K717" s="6"/>
      <c r="L717" s="6"/>
      <c r="M717" s="6"/>
      <c r="N717" s="6"/>
      <c r="O717" s="6"/>
      <c r="P717" s="6"/>
      <c r="Q717" s="6"/>
    </row>
    <row r="718">
      <c r="A718" s="2"/>
      <c r="B718" s="2"/>
      <c r="C718" s="2"/>
      <c r="D718" s="2"/>
      <c r="E718" s="6"/>
      <c r="F718" s="6"/>
      <c r="G718" s="6"/>
      <c r="H718" s="2"/>
      <c r="I718" s="6"/>
      <c r="J718" s="6"/>
      <c r="K718" s="6"/>
      <c r="L718" s="6"/>
      <c r="M718" s="6"/>
      <c r="N718" s="6"/>
      <c r="O718" s="6"/>
      <c r="P718" s="6"/>
      <c r="Q718" s="6"/>
    </row>
    <row r="719">
      <c r="A719" s="2"/>
      <c r="B719" s="2"/>
      <c r="C719" s="2"/>
      <c r="D719" s="2"/>
      <c r="E719" s="6"/>
      <c r="F719" s="6"/>
      <c r="G719" s="6"/>
      <c r="H719" s="2"/>
      <c r="I719" s="6"/>
      <c r="J719" s="6"/>
      <c r="K719" s="6"/>
      <c r="L719" s="6"/>
      <c r="M719" s="6"/>
      <c r="N719" s="6"/>
      <c r="O719" s="6"/>
      <c r="P719" s="6"/>
      <c r="Q719" s="6"/>
    </row>
    <row r="720">
      <c r="A720" s="2"/>
      <c r="B720" s="2"/>
      <c r="C720" s="2"/>
      <c r="D720" s="2"/>
      <c r="E720" s="6"/>
      <c r="F720" s="6"/>
      <c r="G720" s="6"/>
      <c r="H720" s="2"/>
      <c r="I720" s="6"/>
      <c r="J720" s="6"/>
      <c r="K720" s="6"/>
      <c r="L720" s="6"/>
      <c r="M720" s="6"/>
      <c r="N720" s="6"/>
      <c r="O720" s="6"/>
      <c r="P720" s="6"/>
      <c r="Q720" s="6"/>
    </row>
    <row r="721">
      <c r="A721" s="2"/>
      <c r="B721" s="2"/>
      <c r="C721" s="2"/>
      <c r="D721" s="2"/>
      <c r="E721" s="6"/>
      <c r="F721" s="6"/>
      <c r="G721" s="6"/>
      <c r="H721" s="2"/>
      <c r="I721" s="6"/>
      <c r="J721" s="6"/>
      <c r="K721" s="6"/>
      <c r="L721" s="6"/>
      <c r="M721" s="6"/>
      <c r="N721" s="6"/>
      <c r="O721" s="6"/>
      <c r="P721" s="6"/>
      <c r="Q721" s="6"/>
    </row>
    <row r="722">
      <c r="A722" s="2"/>
      <c r="B722" s="2"/>
      <c r="C722" s="2"/>
      <c r="D722" s="2"/>
      <c r="E722" s="6"/>
      <c r="F722" s="6"/>
      <c r="G722" s="6"/>
      <c r="H722" s="2"/>
      <c r="I722" s="6"/>
      <c r="J722" s="6"/>
      <c r="K722" s="6"/>
      <c r="L722" s="6"/>
      <c r="M722" s="6"/>
      <c r="N722" s="6"/>
      <c r="O722" s="6"/>
      <c r="P722" s="6"/>
      <c r="Q722" s="6"/>
    </row>
    <row r="723">
      <c r="A723" s="2"/>
      <c r="B723" s="2"/>
      <c r="C723" s="2"/>
      <c r="D723" s="2"/>
      <c r="E723" s="6"/>
      <c r="F723" s="6"/>
      <c r="G723" s="6"/>
      <c r="H723" s="2"/>
      <c r="I723" s="6"/>
      <c r="J723" s="6"/>
      <c r="K723" s="6"/>
      <c r="L723" s="6"/>
      <c r="M723" s="6"/>
      <c r="N723" s="6"/>
      <c r="O723" s="6"/>
      <c r="P723" s="6"/>
      <c r="Q723" s="6"/>
    </row>
    <row r="724">
      <c r="A724" s="2"/>
      <c r="B724" s="2"/>
      <c r="C724" s="2"/>
      <c r="D724" s="2"/>
      <c r="E724" s="6"/>
      <c r="F724" s="6"/>
      <c r="G724" s="6"/>
      <c r="H724" s="2"/>
      <c r="I724" s="6"/>
      <c r="J724" s="6"/>
      <c r="K724" s="6"/>
      <c r="L724" s="6"/>
      <c r="M724" s="6"/>
      <c r="N724" s="6"/>
      <c r="O724" s="6"/>
      <c r="P724" s="6"/>
      <c r="Q724" s="6"/>
    </row>
    <row r="725">
      <c r="A725" s="2"/>
      <c r="B725" s="2"/>
      <c r="C725" s="2"/>
      <c r="D725" s="2"/>
      <c r="E725" s="6"/>
      <c r="F725" s="6"/>
      <c r="G725" s="6"/>
      <c r="H725" s="2"/>
      <c r="I725" s="6"/>
      <c r="J725" s="6"/>
      <c r="K725" s="6"/>
      <c r="L725" s="6"/>
      <c r="M725" s="6"/>
      <c r="N725" s="6"/>
      <c r="O725" s="6"/>
      <c r="P725" s="6"/>
      <c r="Q725" s="6"/>
    </row>
    <row r="726">
      <c r="A726" s="2"/>
      <c r="B726" s="2"/>
      <c r="C726" s="2"/>
      <c r="D726" s="2"/>
      <c r="E726" s="6"/>
      <c r="F726" s="6"/>
      <c r="G726" s="6"/>
      <c r="H726" s="2"/>
      <c r="I726" s="6"/>
      <c r="J726" s="6"/>
      <c r="K726" s="6"/>
      <c r="L726" s="6"/>
      <c r="M726" s="6"/>
      <c r="N726" s="6"/>
      <c r="O726" s="6"/>
      <c r="P726" s="6"/>
      <c r="Q726" s="6"/>
    </row>
    <row r="727">
      <c r="A727" s="2"/>
      <c r="B727" s="2"/>
      <c r="C727" s="2"/>
      <c r="D727" s="2"/>
      <c r="E727" s="6"/>
      <c r="F727" s="6"/>
      <c r="G727" s="6"/>
      <c r="H727" s="2"/>
      <c r="I727" s="6"/>
      <c r="J727" s="6"/>
      <c r="K727" s="6"/>
      <c r="L727" s="6"/>
      <c r="M727" s="6"/>
      <c r="N727" s="6"/>
      <c r="O727" s="6"/>
      <c r="P727" s="6"/>
      <c r="Q727" s="6"/>
    </row>
    <row r="728">
      <c r="A728" s="2"/>
      <c r="B728" s="2"/>
      <c r="C728" s="2"/>
      <c r="D728" s="2"/>
      <c r="E728" s="6"/>
      <c r="F728" s="6"/>
      <c r="G728" s="6"/>
      <c r="H728" s="2"/>
      <c r="I728" s="6"/>
      <c r="J728" s="6"/>
      <c r="K728" s="6"/>
      <c r="L728" s="6"/>
      <c r="M728" s="6"/>
      <c r="N728" s="6"/>
      <c r="O728" s="6"/>
      <c r="P728" s="6"/>
      <c r="Q728" s="6"/>
    </row>
    <row r="729">
      <c r="A729" s="2"/>
      <c r="B729" s="2"/>
      <c r="C729" s="2"/>
      <c r="D729" s="2"/>
      <c r="E729" s="6"/>
      <c r="F729" s="6"/>
      <c r="G729" s="6"/>
      <c r="H729" s="2"/>
      <c r="I729" s="6"/>
      <c r="J729" s="6"/>
      <c r="K729" s="6"/>
      <c r="L729" s="6"/>
      <c r="M729" s="6"/>
      <c r="N729" s="6"/>
      <c r="O729" s="6"/>
      <c r="P729" s="6"/>
      <c r="Q729" s="6"/>
    </row>
    <row r="730">
      <c r="A730" s="2"/>
      <c r="B730" s="2"/>
      <c r="C730" s="2"/>
      <c r="D730" s="2"/>
      <c r="E730" s="6"/>
      <c r="F730" s="6"/>
      <c r="G730" s="6"/>
      <c r="H730" s="2"/>
      <c r="I730" s="6"/>
      <c r="J730" s="6"/>
      <c r="K730" s="6"/>
      <c r="L730" s="6"/>
      <c r="M730" s="6"/>
      <c r="N730" s="6"/>
      <c r="O730" s="6"/>
      <c r="P730" s="6"/>
      <c r="Q730" s="6"/>
    </row>
    <row r="731">
      <c r="A731" s="2"/>
      <c r="B731" s="2"/>
      <c r="C731" s="2"/>
      <c r="D731" s="2"/>
      <c r="E731" s="6"/>
      <c r="F731" s="6"/>
      <c r="G731" s="6"/>
      <c r="H731" s="2"/>
      <c r="I731" s="6"/>
      <c r="J731" s="6"/>
      <c r="K731" s="6"/>
      <c r="L731" s="6"/>
      <c r="M731" s="6"/>
      <c r="N731" s="6"/>
      <c r="O731" s="6"/>
      <c r="P731" s="6"/>
      <c r="Q731" s="6"/>
    </row>
    <row r="732">
      <c r="A732" s="2"/>
      <c r="B732" s="2"/>
      <c r="C732" s="2"/>
      <c r="D732" s="2"/>
      <c r="E732" s="6"/>
      <c r="F732" s="6"/>
      <c r="G732" s="6"/>
      <c r="H732" s="2"/>
      <c r="I732" s="6"/>
      <c r="J732" s="6"/>
      <c r="K732" s="6"/>
      <c r="L732" s="6"/>
      <c r="M732" s="6"/>
      <c r="N732" s="6"/>
      <c r="O732" s="6"/>
      <c r="P732" s="6"/>
      <c r="Q732" s="6"/>
    </row>
    <row r="733">
      <c r="A733" s="2"/>
      <c r="B733" s="2"/>
      <c r="C733" s="2"/>
      <c r="D733" s="2"/>
      <c r="E733" s="6"/>
      <c r="F733" s="6"/>
      <c r="G733" s="6"/>
      <c r="H733" s="2"/>
      <c r="I733" s="6"/>
      <c r="J733" s="6"/>
      <c r="K733" s="6"/>
      <c r="L733" s="6"/>
      <c r="M733" s="6"/>
      <c r="N733" s="6"/>
      <c r="O733" s="6"/>
      <c r="P733" s="6"/>
      <c r="Q733" s="6"/>
    </row>
    <row r="734">
      <c r="A734" s="2"/>
      <c r="B734" s="2"/>
      <c r="C734" s="2"/>
      <c r="D734" s="2"/>
      <c r="E734" s="6"/>
      <c r="F734" s="6"/>
      <c r="G734" s="6"/>
      <c r="H734" s="2"/>
      <c r="I734" s="6"/>
      <c r="J734" s="6"/>
      <c r="K734" s="6"/>
      <c r="L734" s="6"/>
      <c r="M734" s="6"/>
      <c r="N734" s="6"/>
      <c r="O734" s="6"/>
      <c r="P734" s="6"/>
      <c r="Q734" s="6"/>
    </row>
    <row r="735">
      <c r="A735" s="2"/>
      <c r="B735" s="2"/>
      <c r="C735" s="2"/>
      <c r="D735" s="2"/>
      <c r="E735" s="6"/>
      <c r="F735" s="6"/>
      <c r="G735" s="6"/>
      <c r="H735" s="2"/>
      <c r="I735" s="6"/>
      <c r="J735" s="6"/>
      <c r="K735" s="6"/>
      <c r="L735" s="6"/>
      <c r="M735" s="6"/>
      <c r="N735" s="6"/>
      <c r="O735" s="6"/>
      <c r="P735" s="6"/>
      <c r="Q735" s="6"/>
    </row>
    <row r="736">
      <c r="A736" s="2"/>
      <c r="B736" s="2"/>
      <c r="C736" s="2"/>
      <c r="D736" s="2"/>
      <c r="E736" s="6"/>
      <c r="F736" s="6"/>
      <c r="G736" s="6"/>
      <c r="H736" s="2"/>
      <c r="I736" s="6"/>
      <c r="J736" s="6"/>
      <c r="K736" s="6"/>
      <c r="L736" s="6"/>
      <c r="M736" s="6"/>
      <c r="N736" s="6"/>
      <c r="O736" s="6"/>
      <c r="P736" s="6"/>
      <c r="Q736" s="6"/>
    </row>
    <row r="737">
      <c r="A737" s="2"/>
      <c r="B737" s="2"/>
      <c r="C737" s="2"/>
      <c r="D737" s="2"/>
      <c r="E737" s="6"/>
      <c r="F737" s="6"/>
      <c r="G737" s="6"/>
      <c r="H737" s="2"/>
      <c r="I737" s="6"/>
      <c r="J737" s="6"/>
      <c r="K737" s="6"/>
      <c r="L737" s="6"/>
      <c r="M737" s="6"/>
      <c r="N737" s="6"/>
      <c r="O737" s="6"/>
      <c r="P737" s="6"/>
      <c r="Q737" s="6"/>
    </row>
    <row r="738">
      <c r="A738" s="2"/>
      <c r="B738" s="2"/>
      <c r="C738" s="2"/>
      <c r="D738" s="2"/>
      <c r="E738" s="6"/>
      <c r="F738" s="6"/>
      <c r="G738" s="6"/>
      <c r="H738" s="2"/>
      <c r="I738" s="6"/>
      <c r="J738" s="6"/>
      <c r="K738" s="6"/>
      <c r="L738" s="6"/>
      <c r="M738" s="6"/>
      <c r="N738" s="6"/>
      <c r="O738" s="6"/>
      <c r="P738" s="6"/>
      <c r="Q738" s="6"/>
    </row>
    <row r="739">
      <c r="A739" s="2"/>
      <c r="B739" s="2"/>
      <c r="C739" s="2"/>
      <c r="D739" s="2"/>
      <c r="E739" s="6"/>
      <c r="F739" s="6"/>
      <c r="G739" s="6"/>
      <c r="H739" s="2"/>
      <c r="I739" s="6"/>
      <c r="J739" s="6"/>
      <c r="K739" s="6"/>
      <c r="L739" s="6"/>
      <c r="M739" s="6"/>
      <c r="N739" s="6"/>
      <c r="O739" s="6"/>
      <c r="P739" s="6"/>
      <c r="Q739" s="6"/>
    </row>
    <row r="740">
      <c r="A740" s="2"/>
      <c r="B740" s="2"/>
      <c r="C740" s="2"/>
      <c r="D740" s="2"/>
      <c r="E740" s="6"/>
      <c r="F740" s="6"/>
      <c r="G740" s="6"/>
      <c r="H740" s="2"/>
      <c r="I740" s="6"/>
      <c r="J740" s="6"/>
      <c r="K740" s="6"/>
      <c r="L740" s="6"/>
      <c r="M740" s="6"/>
      <c r="N740" s="6"/>
      <c r="O740" s="6"/>
      <c r="P740" s="6"/>
      <c r="Q740" s="6"/>
    </row>
    <row r="741">
      <c r="A741" s="2"/>
      <c r="B741" s="2"/>
      <c r="C741" s="2"/>
      <c r="D741" s="2"/>
      <c r="E741" s="6"/>
      <c r="F741" s="6"/>
      <c r="G741" s="6"/>
      <c r="H741" s="2"/>
      <c r="I741" s="6"/>
      <c r="J741" s="6"/>
      <c r="K741" s="6"/>
      <c r="L741" s="6"/>
      <c r="M741" s="6"/>
      <c r="N741" s="6"/>
      <c r="O741" s="6"/>
      <c r="P741" s="6"/>
      <c r="Q741" s="6"/>
    </row>
    <row r="742">
      <c r="A742" s="2"/>
      <c r="B742" s="2"/>
      <c r="C742" s="2"/>
      <c r="D742" s="2"/>
      <c r="E742" s="6"/>
      <c r="F742" s="6"/>
      <c r="G742" s="6"/>
      <c r="H742" s="2"/>
      <c r="I742" s="6"/>
      <c r="J742" s="6"/>
      <c r="K742" s="6"/>
      <c r="L742" s="6"/>
      <c r="M742" s="6"/>
      <c r="N742" s="6"/>
      <c r="O742" s="6"/>
      <c r="P742" s="6"/>
      <c r="Q742" s="6"/>
    </row>
    <row r="743">
      <c r="A743" s="2"/>
      <c r="B743" s="2"/>
      <c r="C743" s="2"/>
      <c r="D743" s="2"/>
      <c r="E743" s="6"/>
      <c r="F743" s="6"/>
      <c r="G743" s="6"/>
      <c r="H743" s="2"/>
      <c r="I743" s="6"/>
      <c r="J743" s="6"/>
      <c r="K743" s="6"/>
      <c r="L743" s="6"/>
      <c r="M743" s="6"/>
      <c r="N743" s="6"/>
      <c r="O743" s="6"/>
      <c r="P743" s="6"/>
      <c r="Q743" s="6"/>
    </row>
    <row r="744">
      <c r="A744" s="2"/>
      <c r="B744" s="2"/>
      <c r="C744" s="2"/>
      <c r="D744" s="2"/>
      <c r="E744" s="6"/>
      <c r="F744" s="6"/>
      <c r="G744" s="6"/>
      <c r="H744" s="2"/>
      <c r="I744" s="6"/>
      <c r="J744" s="6"/>
      <c r="K744" s="6"/>
      <c r="L744" s="6"/>
      <c r="M744" s="6"/>
      <c r="N744" s="6"/>
      <c r="O744" s="6"/>
      <c r="P744" s="6"/>
      <c r="Q744" s="6"/>
    </row>
    <row r="745">
      <c r="A745" s="2"/>
      <c r="B745" s="2"/>
      <c r="C745" s="2"/>
      <c r="D745" s="2"/>
      <c r="E745" s="6"/>
      <c r="F745" s="6"/>
      <c r="G745" s="6"/>
      <c r="H745" s="2"/>
      <c r="I745" s="6"/>
      <c r="J745" s="6"/>
      <c r="K745" s="6"/>
      <c r="L745" s="6"/>
      <c r="M745" s="6"/>
      <c r="N745" s="6"/>
      <c r="O745" s="6"/>
      <c r="P745" s="6"/>
      <c r="Q745" s="6"/>
    </row>
    <row r="746">
      <c r="A746" s="2"/>
      <c r="B746" s="2"/>
      <c r="C746" s="2"/>
      <c r="D746" s="2"/>
      <c r="E746" s="6"/>
      <c r="F746" s="6"/>
      <c r="G746" s="6"/>
      <c r="H746" s="2"/>
      <c r="I746" s="6"/>
      <c r="J746" s="6"/>
      <c r="K746" s="6"/>
      <c r="L746" s="6"/>
      <c r="M746" s="6"/>
      <c r="N746" s="6"/>
      <c r="O746" s="6"/>
      <c r="P746" s="6"/>
      <c r="Q746" s="6"/>
    </row>
    <row r="747">
      <c r="A747" s="2"/>
      <c r="B747" s="2"/>
      <c r="C747" s="2"/>
      <c r="D747" s="2"/>
      <c r="E747" s="6"/>
      <c r="F747" s="6"/>
      <c r="G747" s="6"/>
      <c r="H747" s="2"/>
      <c r="I747" s="6"/>
      <c r="J747" s="6"/>
      <c r="K747" s="6"/>
      <c r="L747" s="6"/>
      <c r="M747" s="6"/>
      <c r="N747" s="6"/>
      <c r="O747" s="6"/>
      <c r="P747" s="6"/>
      <c r="Q747" s="6"/>
    </row>
    <row r="748">
      <c r="A748" s="2"/>
      <c r="B748" s="2"/>
      <c r="C748" s="2"/>
      <c r="D748" s="2"/>
      <c r="E748" s="6"/>
      <c r="F748" s="6"/>
      <c r="G748" s="6"/>
      <c r="H748" s="2"/>
      <c r="I748" s="6"/>
      <c r="J748" s="6"/>
      <c r="K748" s="6"/>
      <c r="L748" s="6"/>
      <c r="M748" s="6"/>
      <c r="N748" s="6"/>
      <c r="O748" s="6"/>
      <c r="P748" s="6"/>
      <c r="Q748" s="6"/>
    </row>
    <row r="749">
      <c r="A749" s="2"/>
      <c r="B749" s="2"/>
      <c r="C749" s="2"/>
      <c r="D749" s="2"/>
      <c r="E749" s="6"/>
      <c r="F749" s="6"/>
      <c r="G749" s="6"/>
      <c r="H749" s="2"/>
      <c r="I749" s="6"/>
      <c r="J749" s="6"/>
      <c r="K749" s="6"/>
      <c r="L749" s="6"/>
      <c r="M749" s="6"/>
      <c r="N749" s="6"/>
      <c r="O749" s="6"/>
      <c r="P749" s="6"/>
      <c r="Q749" s="6"/>
    </row>
    <row r="750">
      <c r="A750" s="2"/>
      <c r="B750" s="2"/>
      <c r="C750" s="2"/>
      <c r="D750" s="2"/>
      <c r="E750" s="6"/>
      <c r="F750" s="6"/>
      <c r="G750" s="6"/>
      <c r="H750" s="2"/>
      <c r="I750" s="6"/>
      <c r="J750" s="6"/>
      <c r="K750" s="6"/>
      <c r="L750" s="6"/>
      <c r="M750" s="6"/>
      <c r="N750" s="6"/>
      <c r="O750" s="6"/>
      <c r="P750" s="6"/>
      <c r="Q750" s="6"/>
    </row>
    <row r="751">
      <c r="A751" s="2"/>
      <c r="B751" s="2"/>
      <c r="C751" s="2"/>
      <c r="D751" s="2"/>
      <c r="E751" s="6"/>
      <c r="F751" s="6"/>
      <c r="G751" s="6"/>
      <c r="H751" s="2"/>
      <c r="I751" s="6"/>
      <c r="J751" s="6"/>
      <c r="K751" s="6"/>
      <c r="L751" s="6"/>
      <c r="M751" s="6"/>
      <c r="N751" s="6"/>
      <c r="O751" s="6"/>
      <c r="P751" s="6"/>
      <c r="Q751" s="6"/>
    </row>
    <row r="752">
      <c r="A752" s="2"/>
      <c r="B752" s="2"/>
      <c r="C752" s="2"/>
      <c r="D752" s="2"/>
      <c r="E752" s="6"/>
      <c r="F752" s="6"/>
      <c r="G752" s="6"/>
      <c r="H752" s="2"/>
      <c r="I752" s="6"/>
      <c r="J752" s="6"/>
      <c r="K752" s="6"/>
      <c r="L752" s="6"/>
      <c r="M752" s="6"/>
      <c r="N752" s="6"/>
      <c r="O752" s="6"/>
      <c r="P752" s="6"/>
      <c r="Q752" s="6"/>
    </row>
    <row r="753">
      <c r="A753" s="2"/>
      <c r="B753" s="2"/>
      <c r="C753" s="2"/>
      <c r="D753" s="2"/>
      <c r="E753" s="6"/>
      <c r="F753" s="6"/>
      <c r="G753" s="6"/>
      <c r="H753" s="2"/>
      <c r="I753" s="6"/>
      <c r="J753" s="6"/>
      <c r="K753" s="6"/>
      <c r="L753" s="6"/>
      <c r="M753" s="6"/>
      <c r="N753" s="6"/>
      <c r="O753" s="6"/>
      <c r="P753" s="6"/>
      <c r="Q753" s="6"/>
    </row>
    <row r="754">
      <c r="A754" s="2"/>
      <c r="B754" s="2"/>
      <c r="C754" s="2"/>
      <c r="D754" s="2"/>
      <c r="E754" s="6"/>
      <c r="F754" s="6"/>
      <c r="G754" s="6"/>
      <c r="H754" s="2"/>
      <c r="I754" s="6"/>
      <c r="J754" s="6"/>
      <c r="K754" s="6"/>
      <c r="L754" s="6"/>
      <c r="M754" s="6"/>
      <c r="N754" s="6"/>
      <c r="O754" s="6"/>
      <c r="P754" s="6"/>
      <c r="Q754" s="6"/>
    </row>
    <row r="755">
      <c r="A755" s="2"/>
      <c r="B755" s="2"/>
      <c r="C755" s="2"/>
      <c r="D755" s="2"/>
      <c r="E755" s="6"/>
      <c r="F755" s="6"/>
      <c r="G755" s="6"/>
      <c r="H755" s="2"/>
      <c r="I755" s="6"/>
      <c r="J755" s="6"/>
      <c r="K755" s="6"/>
      <c r="L755" s="6"/>
      <c r="M755" s="6"/>
      <c r="N755" s="6"/>
      <c r="O755" s="6"/>
      <c r="P755" s="6"/>
      <c r="Q755" s="6"/>
    </row>
    <row r="756">
      <c r="A756" s="2"/>
      <c r="B756" s="2"/>
      <c r="C756" s="2"/>
      <c r="D756" s="2"/>
      <c r="E756" s="6"/>
      <c r="F756" s="6"/>
      <c r="G756" s="6"/>
      <c r="H756" s="2"/>
      <c r="I756" s="6"/>
      <c r="J756" s="6"/>
      <c r="K756" s="6"/>
      <c r="L756" s="6"/>
      <c r="M756" s="6"/>
      <c r="N756" s="6"/>
      <c r="O756" s="6"/>
      <c r="P756" s="6"/>
      <c r="Q756" s="6"/>
    </row>
    <row r="757">
      <c r="A757" s="2"/>
      <c r="B757" s="2"/>
      <c r="C757" s="2"/>
      <c r="D757" s="2"/>
      <c r="E757" s="6"/>
      <c r="F757" s="6"/>
      <c r="G757" s="6"/>
      <c r="H757" s="2"/>
      <c r="I757" s="6"/>
      <c r="J757" s="6"/>
      <c r="K757" s="6"/>
      <c r="L757" s="6"/>
      <c r="M757" s="6"/>
      <c r="N757" s="6"/>
      <c r="O757" s="6"/>
      <c r="P757" s="6"/>
      <c r="Q757" s="6"/>
    </row>
    <row r="758">
      <c r="A758" s="2"/>
      <c r="B758" s="2"/>
      <c r="C758" s="2"/>
      <c r="D758" s="2"/>
      <c r="E758" s="6"/>
      <c r="F758" s="6"/>
      <c r="G758" s="6"/>
      <c r="H758" s="2"/>
      <c r="I758" s="6"/>
      <c r="J758" s="6"/>
      <c r="K758" s="6"/>
      <c r="L758" s="6"/>
      <c r="M758" s="6"/>
      <c r="N758" s="6"/>
      <c r="O758" s="6"/>
      <c r="P758" s="6"/>
      <c r="Q758" s="6"/>
    </row>
    <row r="759">
      <c r="A759" s="2"/>
      <c r="B759" s="2"/>
      <c r="C759" s="2"/>
      <c r="D759" s="2"/>
      <c r="E759" s="6"/>
      <c r="F759" s="6"/>
      <c r="G759" s="6"/>
      <c r="H759" s="2"/>
      <c r="I759" s="6"/>
      <c r="J759" s="6"/>
      <c r="K759" s="6"/>
      <c r="L759" s="6"/>
      <c r="M759" s="6"/>
      <c r="N759" s="6"/>
      <c r="O759" s="6"/>
      <c r="P759" s="6"/>
      <c r="Q759" s="6"/>
    </row>
    <row r="760">
      <c r="A760" s="2"/>
      <c r="B760" s="2"/>
      <c r="C760" s="2"/>
      <c r="D760" s="2"/>
      <c r="E760" s="6"/>
      <c r="F760" s="6"/>
      <c r="G760" s="6"/>
      <c r="H760" s="2"/>
      <c r="I760" s="6"/>
      <c r="J760" s="6"/>
      <c r="K760" s="6"/>
      <c r="L760" s="6"/>
      <c r="M760" s="6"/>
      <c r="N760" s="6"/>
      <c r="O760" s="6"/>
      <c r="P760" s="6"/>
      <c r="Q760" s="6"/>
    </row>
    <row r="761">
      <c r="A761" s="2"/>
      <c r="B761" s="2"/>
      <c r="C761" s="2"/>
      <c r="D761" s="2"/>
      <c r="E761" s="6"/>
      <c r="F761" s="6"/>
      <c r="G761" s="6"/>
      <c r="H761" s="2"/>
      <c r="I761" s="6"/>
      <c r="J761" s="6"/>
      <c r="K761" s="6"/>
      <c r="L761" s="6"/>
      <c r="M761" s="6"/>
      <c r="N761" s="6"/>
      <c r="O761" s="6"/>
      <c r="P761" s="6"/>
      <c r="Q761" s="6"/>
    </row>
    <row r="762">
      <c r="A762" s="2"/>
      <c r="B762" s="2"/>
      <c r="C762" s="2"/>
      <c r="D762" s="2"/>
      <c r="E762" s="6"/>
      <c r="F762" s="6"/>
      <c r="G762" s="6"/>
      <c r="H762" s="2"/>
      <c r="I762" s="6"/>
      <c r="J762" s="6"/>
      <c r="K762" s="6"/>
      <c r="L762" s="6"/>
      <c r="M762" s="6"/>
      <c r="N762" s="6"/>
      <c r="O762" s="6"/>
      <c r="P762" s="6"/>
      <c r="Q762" s="6"/>
    </row>
    <row r="763">
      <c r="A763" s="2"/>
      <c r="B763" s="2"/>
      <c r="C763" s="2"/>
      <c r="D763" s="2"/>
      <c r="E763" s="6"/>
      <c r="F763" s="6"/>
      <c r="G763" s="6"/>
      <c r="H763" s="2"/>
      <c r="I763" s="6"/>
      <c r="J763" s="6"/>
      <c r="K763" s="6"/>
      <c r="L763" s="6"/>
      <c r="M763" s="6"/>
      <c r="N763" s="6"/>
      <c r="O763" s="6"/>
      <c r="P763" s="6"/>
      <c r="Q763" s="6"/>
    </row>
    <row r="764">
      <c r="A764" s="2"/>
      <c r="B764" s="2"/>
      <c r="C764" s="2"/>
      <c r="D764" s="2"/>
      <c r="E764" s="6"/>
      <c r="F764" s="6"/>
      <c r="G764" s="6"/>
      <c r="H764" s="2"/>
      <c r="I764" s="6"/>
      <c r="J764" s="6"/>
      <c r="K764" s="6"/>
      <c r="L764" s="6"/>
      <c r="M764" s="6"/>
      <c r="N764" s="6"/>
      <c r="O764" s="6"/>
      <c r="P764" s="6"/>
      <c r="Q764" s="6"/>
    </row>
    <row r="765">
      <c r="A765" s="2"/>
      <c r="B765" s="2"/>
      <c r="C765" s="2"/>
      <c r="D765" s="2"/>
      <c r="E765" s="6"/>
      <c r="F765" s="6"/>
      <c r="G765" s="6"/>
      <c r="H765" s="2"/>
      <c r="I765" s="6"/>
      <c r="J765" s="6"/>
      <c r="K765" s="6"/>
      <c r="L765" s="6"/>
      <c r="M765" s="6"/>
      <c r="N765" s="6"/>
      <c r="O765" s="6"/>
      <c r="P765" s="6"/>
      <c r="Q765" s="6"/>
    </row>
    <row r="766">
      <c r="A766" s="2"/>
      <c r="B766" s="2"/>
      <c r="C766" s="2"/>
      <c r="D766" s="2"/>
      <c r="E766" s="6"/>
      <c r="F766" s="6"/>
      <c r="G766" s="6"/>
      <c r="H766" s="2"/>
      <c r="I766" s="6"/>
      <c r="J766" s="6"/>
      <c r="K766" s="6"/>
      <c r="L766" s="6"/>
      <c r="M766" s="6"/>
      <c r="N766" s="6"/>
      <c r="O766" s="6"/>
      <c r="P766" s="6"/>
      <c r="Q766" s="6"/>
    </row>
    <row r="767">
      <c r="A767" s="2"/>
      <c r="B767" s="2"/>
      <c r="C767" s="2"/>
      <c r="D767" s="2"/>
      <c r="E767" s="6"/>
      <c r="F767" s="6"/>
      <c r="G767" s="6"/>
      <c r="H767" s="2"/>
      <c r="I767" s="6"/>
      <c r="J767" s="6"/>
      <c r="K767" s="6"/>
      <c r="L767" s="6"/>
      <c r="M767" s="6"/>
      <c r="N767" s="6"/>
      <c r="O767" s="6"/>
      <c r="P767" s="6"/>
      <c r="Q767" s="6"/>
    </row>
    <row r="768">
      <c r="A768" s="2"/>
      <c r="B768" s="2"/>
      <c r="C768" s="2"/>
      <c r="D768" s="2"/>
      <c r="E768" s="6"/>
      <c r="F768" s="6"/>
      <c r="G768" s="6"/>
      <c r="H768" s="2"/>
      <c r="I768" s="6"/>
      <c r="J768" s="6"/>
      <c r="K768" s="6"/>
      <c r="L768" s="6"/>
      <c r="M768" s="6"/>
      <c r="N768" s="6"/>
      <c r="O768" s="6"/>
      <c r="P768" s="6"/>
      <c r="Q768" s="6"/>
    </row>
    <row r="769">
      <c r="A769" s="2"/>
      <c r="B769" s="2"/>
      <c r="C769" s="2"/>
      <c r="D769" s="2"/>
      <c r="E769" s="6"/>
      <c r="F769" s="6"/>
      <c r="G769" s="6"/>
      <c r="H769" s="2"/>
      <c r="I769" s="6"/>
      <c r="J769" s="6"/>
      <c r="K769" s="6"/>
      <c r="L769" s="6"/>
      <c r="M769" s="6"/>
      <c r="N769" s="6"/>
      <c r="O769" s="6"/>
      <c r="P769" s="6"/>
      <c r="Q769" s="6"/>
    </row>
    <row r="770">
      <c r="A770" s="2"/>
      <c r="B770" s="2"/>
      <c r="C770" s="2"/>
      <c r="D770" s="2"/>
      <c r="E770" s="6"/>
      <c r="F770" s="6"/>
      <c r="G770" s="6"/>
      <c r="H770" s="2"/>
      <c r="I770" s="6"/>
      <c r="J770" s="6"/>
      <c r="K770" s="6"/>
      <c r="L770" s="6"/>
      <c r="M770" s="6"/>
      <c r="N770" s="6"/>
      <c r="O770" s="6"/>
      <c r="P770" s="6"/>
      <c r="Q770" s="6"/>
    </row>
    <row r="771">
      <c r="A771" s="2"/>
      <c r="B771" s="2"/>
      <c r="C771" s="2"/>
      <c r="D771" s="2"/>
      <c r="E771" s="6"/>
      <c r="F771" s="6"/>
      <c r="G771" s="6"/>
      <c r="H771" s="2"/>
      <c r="I771" s="6"/>
      <c r="J771" s="6"/>
      <c r="K771" s="6"/>
      <c r="L771" s="6"/>
      <c r="M771" s="6"/>
      <c r="N771" s="6"/>
      <c r="O771" s="6"/>
      <c r="P771" s="6"/>
      <c r="Q771" s="6"/>
    </row>
    <row r="772">
      <c r="A772" s="2"/>
      <c r="B772" s="2"/>
      <c r="C772" s="2"/>
      <c r="D772" s="2"/>
      <c r="E772" s="6"/>
      <c r="F772" s="6"/>
      <c r="G772" s="6"/>
      <c r="H772" s="2"/>
      <c r="I772" s="6"/>
      <c r="J772" s="6"/>
      <c r="K772" s="6"/>
      <c r="L772" s="6"/>
      <c r="M772" s="6"/>
      <c r="N772" s="6"/>
      <c r="O772" s="6"/>
      <c r="P772" s="6"/>
      <c r="Q772" s="6"/>
    </row>
    <row r="773">
      <c r="A773" s="2"/>
      <c r="B773" s="2"/>
      <c r="C773" s="2"/>
      <c r="D773" s="2"/>
      <c r="E773" s="6"/>
      <c r="F773" s="6"/>
      <c r="G773" s="6"/>
      <c r="H773" s="2"/>
      <c r="I773" s="6"/>
      <c r="J773" s="6"/>
      <c r="K773" s="6"/>
      <c r="L773" s="6"/>
      <c r="M773" s="6"/>
      <c r="N773" s="6"/>
      <c r="O773" s="6"/>
      <c r="P773" s="6"/>
      <c r="Q773" s="6"/>
    </row>
    <row r="774">
      <c r="A774" s="2"/>
      <c r="B774" s="2"/>
      <c r="C774" s="2"/>
      <c r="D774" s="2"/>
      <c r="E774" s="6"/>
      <c r="F774" s="6"/>
      <c r="G774" s="6"/>
      <c r="H774" s="2"/>
      <c r="I774" s="6"/>
      <c r="J774" s="6"/>
      <c r="K774" s="6"/>
      <c r="L774" s="6"/>
      <c r="M774" s="6"/>
      <c r="N774" s="6"/>
      <c r="O774" s="6"/>
      <c r="P774" s="6"/>
      <c r="Q774" s="6"/>
    </row>
    <row r="775">
      <c r="A775" s="2"/>
      <c r="B775" s="2"/>
      <c r="C775" s="2"/>
      <c r="D775" s="2"/>
      <c r="E775" s="6"/>
      <c r="F775" s="6"/>
      <c r="G775" s="6"/>
      <c r="H775" s="2"/>
      <c r="I775" s="6"/>
      <c r="J775" s="6"/>
      <c r="K775" s="6"/>
      <c r="L775" s="6"/>
      <c r="M775" s="6"/>
      <c r="N775" s="6"/>
      <c r="O775" s="6"/>
      <c r="P775" s="6"/>
      <c r="Q775" s="6"/>
    </row>
    <row r="776">
      <c r="A776" s="2"/>
      <c r="B776" s="2"/>
      <c r="C776" s="2"/>
      <c r="D776" s="2"/>
      <c r="E776" s="6"/>
      <c r="F776" s="6"/>
      <c r="G776" s="6"/>
      <c r="H776" s="2"/>
      <c r="I776" s="6"/>
      <c r="J776" s="6"/>
      <c r="K776" s="6"/>
      <c r="L776" s="6"/>
      <c r="M776" s="6"/>
      <c r="N776" s="6"/>
      <c r="O776" s="6"/>
      <c r="P776" s="6"/>
      <c r="Q776" s="6"/>
    </row>
    <row r="777">
      <c r="A777" s="2"/>
      <c r="B777" s="2"/>
      <c r="C777" s="2"/>
      <c r="D777" s="2"/>
      <c r="E777" s="6"/>
      <c r="F777" s="6"/>
      <c r="G777" s="6"/>
      <c r="H777" s="2"/>
      <c r="I777" s="6"/>
      <c r="J777" s="6"/>
      <c r="K777" s="6"/>
      <c r="L777" s="6"/>
      <c r="M777" s="6"/>
      <c r="N777" s="6"/>
      <c r="O777" s="6"/>
      <c r="P777" s="6"/>
      <c r="Q777" s="6"/>
    </row>
    <row r="778">
      <c r="A778" s="2"/>
      <c r="B778" s="2"/>
      <c r="C778" s="2"/>
      <c r="D778" s="2"/>
      <c r="E778" s="6"/>
      <c r="F778" s="6"/>
      <c r="G778" s="6"/>
      <c r="H778" s="2"/>
      <c r="I778" s="6"/>
      <c r="J778" s="6"/>
      <c r="K778" s="6"/>
      <c r="L778" s="6"/>
      <c r="M778" s="6"/>
      <c r="N778" s="6"/>
      <c r="O778" s="6"/>
      <c r="P778" s="6"/>
      <c r="Q778" s="6"/>
    </row>
    <row r="779">
      <c r="A779" s="2"/>
      <c r="B779" s="2"/>
      <c r="C779" s="2"/>
      <c r="D779" s="2"/>
      <c r="E779" s="6"/>
      <c r="F779" s="6"/>
      <c r="G779" s="6"/>
      <c r="H779" s="2"/>
      <c r="I779" s="6"/>
      <c r="J779" s="6"/>
      <c r="K779" s="6"/>
      <c r="L779" s="6"/>
      <c r="M779" s="6"/>
      <c r="N779" s="6"/>
      <c r="O779" s="6"/>
      <c r="P779" s="6"/>
      <c r="Q779" s="6"/>
    </row>
    <row r="780">
      <c r="A780" s="2"/>
      <c r="B780" s="2"/>
      <c r="C780" s="2"/>
      <c r="D780" s="2"/>
      <c r="E780" s="6"/>
      <c r="F780" s="6"/>
      <c r="G780" s="6"/>
      <c r="H780" s="2"/>
      <c r="I780" s="6"/>
      <c r="J780" s="6"/>
      <c r="K780" s="6"/>
      <c r="L780" s="6"/>
      <c r="M780" s="6"/>
      <c r="N780" s="6"/>
      <c r="O780" s="6"/>
      <c r="P780" s="6"/>
      <c r="Q780" s="6"/>
    </row>
    <row r="781">
      <c r="A781" s="2"/>
      <c r="B781" s="2"/>
      <c r="C781" s="2"/>
      <c r="D781" s="2"/>
      <c r="E781" s="6"/>
      <c r="F781" s="6"/>
      <c r="G781" s="6"/>
      <c r="H781" s="2"/>
      <c r="I781" s="6"/>
      <c r="J781" s="6"/>
      <c r="K781" s="6"/>
      <c r="L781" s="6"/>
      <c r="M781" s="6"/>
      <c r="N781" s="6"/>
      <c r="O781" s="6"/>
      <c r="P781" s="6"/>
      <c r="Q781" s="6"/>
    </row>
    <row r="782">
      <c r="A782" s="2"/>
      <c r="B782" s="2"/>
      <c r="C782" s="2"/>
      <c r="D782" s="2"/>
      <c r="E782" s="6"/>
      <c r="F782" s="6"/>
      <c r="G782" s="6"/>
      <c r="H782" s="2"/>
      <c r="I782" s="6"/>
      <c r="J782" s="6"/>
      <c r="K782" s="6"/>
      <c r="L782" s="6"/>
      <c r="M782" s="6"/>
      <c r="N782" s="6"/>
      <c r="O782" s="6"/>
      <c r="P782" s="6"/>
      <c r="Q782" s="6"/>
    </row>
    <row r="783">
      <c r="A783" s="2"/>
      <c r="B783" s="2"/>
      <c r="C783" s="2"/>
      <c r="D783" s="2"/>
      <c r="E783" s="6"/>
      <c r="F783" s="6"/>
      <c r="G783" s="6"/>
      <c r="H783" s="2"/>
      <c r="I783" s="6"/>
      <c r="J783" s="6"/>
      <c r="K783" s="6"/>
      <c r="L783" s="6"/>
      <c r="M783" s="6"/>
      <c r="N783" s="6"/>
      <c r="O783" s="6"/>
      <c r="P783" s="6"/>
      <c r="Q783" s="6"/>
    </row>
    <row r="784">
      <c r="A784" s="2"/>
      <c r="B784" s="2"/>
      <c r="C784" s="2"/>
      <c r="D784" s="2"/>
      <c r="E784" s="6"/>
      <c r="F784" s="6"/>
      <c r="G784" s="6"/>
      <c r="H784" s="2"/>
      <c r="I784" s="6"/>
      <c r="J784" s="6"/>
      <c r="K784" s="6"/>
      <c r="L784" s="6"/>
      <c r="M784" s="6"/>
      <c r="N784" s="6"/>
      <c r="O784" s="6"/>
      <c r="P784" s="6"/>
      <c r="Q784" s="6"/>
    </row>
    <row r="785">
      <c r="A785" s="2"/>
      <c r="B785" s="2"/>
      <c r="C785" s="2"/>
      <c r="D785" s="2"/>
      <c r="E785" s="6"/>
      <c r="F785" s="6"/>
      <c r="G785" s="6"/>
      <c r="H785" s="2"/>
      <c r="I785" s="6"/>
      <c r="J785" s="6"/>
      <c r="K785" s="6"/>
      <c r="L785" s="6"/>
      <c r="M785" s="6"/>
      <c r="N785" s="6"/>
      <c r="O785" s="6"/>
      <c r="P785" s="6"/>
      <c r="Q785" s="6"/>
    </row>
    <row r="786">
      <c r="A786" s="2"/>
      <c r="B786" s="2"/>
      <c r="C786" s="2"/>
      <c r="D786" s="2"/>
      <c r="E786" s="6"/>
      <c r="F786" s="6"/>
      <c r="G786" s="6"/>
      <c r="H786" s="2"/>
      <c r="I786" s="6"/>
      <c r="J786" s="6"/>
      <c r="K786" s="6"/>
      <c r="L786" s="6"/>
      <c r="M786" s="6"/>
      <c r="N786" s="6"/>
      <c r="O786" s="6"/>
      <c r="P786" s="6"/>
      <c r="Q786" s="6"/>
    </row>
    <row r="787">
      <c r="A787" s="2"/>
      <c r="B787" s="2"/>
      <c r="C787" s="2"/>
      <c r="D787" s="2"/>
      <c r="E787" s="6"/>
      <c r="F787" s="6"/>
      <c r="G787" s="6"/>
      <c r="H787" s="2"/>
      <c r="I787" s="6"/>
      <c r="J787" s="6"/>
      <c r="K787" s="6"/>
      <c r="L787" s="6"/>
      <c r="M787" s="6"/>
      <c r="N787" s="6"/>
      <c r="O787" s="6"/>
      <c r="P787" s="6"/>
      <c r="Q787" s="6"/>
    </row>
    <row r="788">
      <c r="A788" s="2"/>
      <c r="B788" s="2"/>
      <c r="C788" s="2"/>
      <c r="D788" s="2"/>
      <c r="E788" s="6"/>
      <c r="F788" s="6"/>
      <c r="G788" s="6"/>
      <c r="H788" s="2"/>
      <c r="I788" s="6"/>
      <c r="J788" s="6"/>
      <c r="K788" s="6"/>
      <c r="L788" s="6"/>
      <c r="M788" s="6"/>
      <c r="N788" s="6"/>
      <c r="O788" s="6"/>
      <c r="P788" s="6"/>
      <c r="Q788" s="6"/>
    </row>
    <row r="789">
      <c r="A789" s="2"/>
      <c r="B789" s="2"/>
      <c r="C789" s="2"/>
      <c r="D789" s="2"/>
      <c r="E789" s="6"/>
      <c r="F789" s="6"/>
      <c r="G789" s="6"/>
      <c r="H789" s="2"/>
      <c r="I789" s="6"/>
      <c r="J789" s="6"/>
      <c r="K789" s="6"/>
      <c r="L789" s="6"/>
      <c r="M789" s="6"/>
      <c r="N789" s="6"/>
      <c r="O789" s="6"/>
      <c r="P789" s="6"/>
      <c r="Q789" s="6"/>
    </row>
    <row r="790">
      <c r="A790" s="2"/>
      <c r="B790" s="2"/>
      <c r="C790" s="2"/>
      <c r="D790" s="2"/>
      <c r="E790" s="6"/>
      <c r="F790" s="6"/>
      <c r="G790" s="6"/>
      <c r="H790" s="2"/>
      <c r="I790" s="6"/>
      <c r="J790" s="6"/>
      <c r="K790" s="6"/>
      <c r="L790" s="6"/>
      <c r="M790" s="6"/>
      <c r="N790" s="6"/>
      <c r="O790" s="6"/>
      <c r="P790" s="6"/>
      <c r="Q790" s="6"/>
    </row>
    <row r="791">
      <c r="A791" s="2"/>
      <c r="B791" s="2"/>
      <c r="C791" s="2"/>
      <c r="D791" s="2"/>
      <c r="E791" s="6"/>
      <c r="F791" s="6"/>
      <c r="G791" s="6"/>
      <c r="H791" s="2"/>
      <c r="I791" s="6"/>
      <c r="J791" s="6"/>
      <c r="K791" s="6"/>
      <c r="L791" s="6"/>
      <c r="M791" s="6"/>
      <c r="N791" s="6"/>
      <c r="O791" s="6"/>
      <c r="P791" s="6"/>
      <c r="Q791" s="6"/>
    </row>
    <row r="792">
      <c r="A792" s="2"/>
      <c r="B792" s="2"/>
      <c r="C792" s="2"/>
      <c r="D792" s="2"/>
      <c r="E792" s="6"/>
      <c r="F792" s="6"/>
      <c r="G792" s="6"/>
      <c r="H792" s="2"/>
      <c r="I792" s="6"/>
      <c r="J792" s="6"/>
      <c r="K792" s="6"/>
      <c r="L792" s="6"/>
      <c r="M792" s="6"/>
      <c r="N792" s="6"/>
      <c r="O792" s="6"/>
      <c r="P792" s="6"/>
      <c r="Q792" s="6"/>
    </row>
    <row r="793">
      <c r="A793" s="2"/>
      <c r="B793" s="2"/>
      <c r="C793" s="2"/>
      <c r="D793" s="2"/>
      <c r="E793" s="6"/>
      <c r="F793" s="6"/>
      <c r="G793" s="6"/>
      <c r="H793" s="2"/>
      <c r="I793" s="6"/>
      <c r="J793" s="6"/>
      <c r="K793" s="6"/>
      <c r="L793" s="6"/>
      <c r="M793" s="6"/>
      <c r="N793" s="6"/>
      <c r="O793" s="6"/>
      <c r="P793" s="6"/>
      <c r="Q793" s="6"/>
    </row>
    <row r="794">
      <c r="A794" s="2"/>
      <c r="B794" s="2"/>
      <c r="C794" s="2"/>
      <c r="D794" s="2"/>
      <c r="E794" s="6"/>
      <c r="F794" s="6"/>
      <c r="G794" s="6"/>
      <c r="H794" s="2"/>
      <c r="I794" s="6"/>
      <c r="J794" s="6"/>
      <c r="K794" s="6"/>
      <c r="L794" s="6"/>
      <c r="M794" s="6"/>
      <c r="N794" s="6"/>
      <c r="O794" s="6"/>
      <c r="P794" s="6"/>
      <c r="Q794" s="6"/>
    </row>
    <row r="795">
      <c r="A795" s="2"/>
      <c r="B795" s="2"/>
      <c r="C795" s="2"/>
      <c r="D795" s="2"/>
      <c r="E795" s="6"/>
      <c r="F795" s="6"/>
      <c r="G795" s="6"/>
      <c r="H795" s="2"/>
      <c r="I795" s="6"/>
      <c r="J795" s="6"/>
      <c r="K795" s="6"/>
      <c r="L795" s="6"/>
      <c r="M795" s="6"/>
      <c r="N795" s="6"/>
      <c r="O795" s="6"/>
      <c r="P795" s="6"/>
      <c r="Q795" s="6"/>
    </row>
    <row r="796">
      <c r="A796" s="2"/>
      <c r="B796" s="2"/>
      <c r="C796" s="2"/>
      <c r="D796" s="2"/>
      <c r="E796" s="6"/>
      <c r="F796" s="6"/>
      <c r="G796" s="6"/>
      <c r="H796" s="2"/>
      <c r="I796" s="6"/>
      <c r="J796" s="6"/>
      <c r="K796" s="6"/>
      <c r="L796" s="6"/>
      <c r="M796" s="6"/>
      <c r="N796" s="6"/>
      <c r="O796" s="6"/>
      <c r="P796" s="6"/>
      <c r="Q796" s="6"/>
    </row>
    <row r="797">
      <c r="A797" s="2"/>
      <c r="B797" s="2"/>
      <c r="C797" s="2"/>
      <c r="D797" s="2"/>
      <c r="E797" s="6"/>
      <c r="F797" s="6"/>
      <c r="G797" s="6"/>
      <c r="H797" s="2"/>
      <c r="I797" s="6"/>
      <c r="J797" s="6"/>
      <c r="K797" s="6"/>
      <c r="L797" s="6"/>
      <c r="M797" s="6"/>
      <c r="N797" s="6"/>
      <c r="O797" s="6"/>
      <c r="P797" s="6"/>
      <c r="Q797" s="6"/>
    </row>
    <row r="798">
      <c r="A798" s="2"/>
      <c r="B798" s="2"/>
      <c r="C798" s="2"/>
      <c r="D798" s="2"/>
      <c r="E798" s="6"/>
      <c r="F798" s="6"/>
      <c r="G798" s="6"/>
      <c r="H798" s="2"/>
      <c r="I798" s="6"/>
      <c r="J798" s="6"/>
      <c r="K798" s="6"/>
      <c r="L798" s="6"/>
      <c r="M798" s="6"/>
      <c r="N798" s="6"/>
      <c r="O798" s="6"/>
      <c r="P798" s="6"/>
      <c r="Q798" s="6"/>
    </row>
    <row r="799">
      <c r="A799" s="2"/>
      <c r="B799" s="2"/>
      <c r="C799" s="2"/>
      <c r="D799" s="2"/>
      <c r="E799" s="6"/>
      <c r="F799" s="6"/>
      <c r="G799" s="6"/>
      <c r="H799" s="2"/>
      <c r="I799" s="6"/>
      <c r="J799" s="6"/>
      <c r="K799" s="6"/>
      <c r="L799" s="6"/>
      <c r="M799" s="6"/>
      <c r="N799" s="6"/>
      <c r="O799" s="6"/>
      <c r="P799" s="6"/>
      <c r="Q799" s="6"/>
    </row>
    <row r="800">
      <c r="A800" s="2"/>
      <c r="B800" s="2"/>
      <c r="C800" s="2"/>
      <c r="D800" s="2"/>
      <c r="E800" s="6"/>
      <c r="F800" s="6"/>
      <c r="G800" s="6"/>
      <c r="H800" s="2"/>
      <c r="I800" s="6"/>
      <c r="J800" s="6"/>
      <c r="K800" s="6"/>
      <c r="L800" s="6"/>
      <c r="M800" s="6"/>
      <c r="N800" s="6"/>
      <c r="O800" s="6"/>
      <c r="P800" s="6"/>
      <c r="Q800" s="6"/>
    </row>
    <row r="801">
      <c r="A801" s="2"/>
      <c r="B801" s="2"/>
      <c r="C801" s="2"/>
      <c r="D801" s="2"/>
      <c r="E801" s="6"/>
      <c r="F801" s="6"/>
      <c r="G801" s="6"/>
      <c r="H801" s="2"/>
      <c r="I801" s="6"/>
      <c r="J801" s="6"/>
      <c r="K801" s="6"/>
      <c r="L801" s="6"/>
      <c r="M801" s="6"/>
      <c r="N801" s="6"/>
      <c r="O801" s="6"/>
      <c r="P801" s="6"/>
      <c r="Q801" s="6"/>
    </row>
    <row r="802">
      <c r="A802" s="2"/>
      <c r="B802" s="2"/>
      <c r="C802" s="2"/>
      <c r="D802" s="2"/>
      <c r="E802" s="6"/>
      <c r="F802" s="6"/>
      <c r="G802" s="6"/>
      <c r="H802" s="2"/>
      <c r="I802" s="6"/>
      <c r="J802" s="6"/>
      <c r="K802" s="6"/>
      <c r="L802" s="6"/>
      <c r="M802" s="6"/>
      <c r="N802" s="6"/>
      <c r="O802" s="6"/>
      <c r="P802" s="6"/>
      <c r="Q802" s="6"/>
    </row>
    <row r="803">
      <c r="A803" s="2"/>
      <c r="B803" s="2"/>
      <c r="C803" s="2"/>
      <c r="D803" s="2"/>
      <c r="E803" s="6"/>
      <c r="F803" s="6"/>
      <c r="G803" s="6"/>
      <c r="H803" s="2"/>
      <c r="I803" s="6"/>
      <c r="J803" s="6"/>
      <c r="K803" s="6"/>
      <c r="L803" s="6"/>
      <c r="M803" s="6"/>
      <c r="N803" s="6"/>
      <c r="O803" s="6"/>
      <c r="P803" s="6"/>
      <c r="Q803" s="6"/>
    </row>
    <row r="804">
      <c r="A804" s="2"/>
      <c r="B804" s="2"/>
      <c r="C804" s="2"/>
      <c r="D804" s="2"/>
      <c r="E804" s="6"/>
      <c r="F804" s="6"/>
      <c r="G804" s="6"/>
      <c r="H804" s="2"/>
      <c r="I804" s="6"/>
      <c r="J804" s="6"/>
      <c r="K804" s="6"/>
      <c r="L804" s="6"/>
      <c r="M804" s="6"/>
      <c r="N804" s="6"/>
      <c r="O804" s="6"/>
      <c r="P804" s="6"/>
      <c r="Q804" s="6"/>
    </row>
    <row r="805">
      <c r="A805" s="2"/>
      <c r="B805" s="2"/>
      <c r="C805" s="2"/>
      <c r="D805" s="2"/>
      <c r="E805" s="6"/>
      <c r="F805" s="6"/>
      <c r="G805" s="6"/>
      <c r="H805" s="2"/>
      <c r="I805" s="6"/>
      <c r="J805" s="6"/>
      <c r="K805" s="6"/>
      <c r="L805" s="6"/>
      <c r="M805" s="6"/>
      <c r="N805" s="6"/>
      <c r="O805" s="6"/>
      <c r="P805" s="6"/>
      <c r="Q805" s="6"/>
    </row>
    <row r="806">
      <c r="A806" s="2"/>
      <c r="B806" s="2"/>
      <c r="C806" s="2"/>
      <c r="D806" s="2"/>
      <c r="E806" s="6"/>
      <c r="F806" s="6"/>
      <c r="G806" s="6"/>
      <c r="H806" s="2"/>
      <c r="I806" s="6"/>
      <c r="J806" s="6"/>
      <c r="K806" s="6"/>
      <c r="L806" s="6"/>
      <c r="M806" s="6"/>
      <c r="N806" s="6"/>
      <c r="O806" s="6"/>
      <c r="P806" s="6"/>
      <c r="Q806" s="6"/>
    </row>
    <row r="807">
      <c r="A807" s="2"/>
      <c r="B807" s="2"/>
      <c r="C807" s="2"/>
      <c r="D807" s="2"/>
      <c r="E807" s="6"/>
      <c r="F807" s="6"/>
      <c r="G807" s="6"/>
      <c r="H807" s="2"/>
      <c r="I807" s="6"/>
      <c r="J807" s="6"/>
      <c r="K807" s="6"/>
      <c r="L807" s="6"/>
      <c r="M807" s="6"/>
      <c r="N807" s="6"/>
      <c r="O807" s="6"/>
      <c r="P807" s="6"/>
      <c r="Q807" s="6"/>
    </row>
    <row r="808">
      <c r="A808" s="2"/>
      <c r="B808" s="2"/>
      <c r="C808" s="2"/>
      <c r="D808" s="2"/>
      <c r="E808" s="6"/>
      <c r="F808" s="6"/>
      <c r="G808" s="6"/>
      <c r="H808" s="2"/>
      <c r="I808" s="6"/>
      <c r="J808" s="6"/>
      <c r="K808" s="6"/>
      <c r="L808" s="6"/>
      <c r="M808" s="6"/>
      <c r="N808" s="6"/>
      <c r="O808" s="6"/>
      <c r="P808" s="6"/>
      <c r="Q808" s="6"/>
    </row>
    <row r="809">
      <c r="A809" s="2"/>
      <c r="B809" s="2"/>
      <c r="C809" s="2"/>
      <c r="D809" s="2"/>
      <c r="E809" s="6"/>
      <c r="F809" s="6"/>
      <c r="G809" s="6"/>
      <c r="H809" s="2"/>
      <c r="I809" s="6"/>
      <c r="J809" s="6"/>
      <c r="K809" s="6"/>
      <c r="L809" s="6"/>
      <c r="M809" s="6"/>
      <c r="N809" s="6"/>
      <c r="O809" s="6"/>
      <c r="P809" s="6"/>
      <c r="Q809" s="6"/>
    </row>
    <row r="810">
      <c r="A810" s="2"/>
      <c r="B810" s="2"/>
      <c r="C810" s="2"/>
      <c r="D810" s="2"/>
      <c r="E810" s="6"/>
      <c r="F810" s="6"/>
      <c r="G810" s="6"/>
      <c r="H810" s="2"/>
      <c r="I810" s="6"/>
      <c r="J810" s="6"/>
      <c r="K810" s="6"/>
      <c r="L810" s="6"/>
      <c r="M810" s="6"/>
      <c r="N810" s="6"/>
      <c r="O810" s="6"/>
      <c r="P810" s="6"/>
      <c r="Q810" s="6"/>
    </row>
    <row r="811">
      <c r="A811" s="2"/>
      <c r="B811" s="2"/>
      <c r="C811" s="2"/>
      <c r="D811" s="2"/>
      <c r="E811" s="6"/>
      <c r="F811" s="6"/>
      <c r="G811" s="6"/>
      <c r="H811" s="2"/>
      <c r="I811" s="6"/>
      <c r="J811" s="6"/>
      <c r="K811" s="6"/>
      <c r="L811" s="6"/>
      <c r="M811" s="6"/>
      <c r="N811" s="6"/>
      <c r="O811" s="6"/>
      <c r="P811" s="6"/>
      <c r="Q811" s="6"/>
    </row>
    <row r="812">
      <c r="A812" s="2"/>
      <c r="B812" s="2"/>
      <c r="C812" s="2"/>
      <c r="D812" s="2"/>
      <c r="E812" s="6"/>
      <c r="F812" s="6"/>
      <c r="G812" s="6"/>
      <c r="H812" s="2"/>
      <c r="I812" s="6"/>
      <c r="J812" s="6"/>
      <c r="K812" s="6"/>
      <c r="L812" s="6"/>
      <c r="M812" s="6"/>
      <c r="N812" s="6"/>
      <c r="O812" s="6"/>
      <c r="P812" s="6"/>
      <c r="Q812" s="6"/>
    </row>
    <row r="813">
      <c r="A813" s="2"/>
      <c r="B813" s="2"/>
      <c r="C813" s="2"/>
      <c r="D813" s="2"/>
      <c r="E813" s="6"/>
      <c r="F813" s="6"/>
      <c r="G813" s="6"/>
      <c r="H813" s="2"/>
      <c r="I813" s="6"/>
      <c r="J813" s="6"/>
      <c r="K813" s="6"/>
      <c r="L813" s="6"/>
      <c r="M813" s="6"/>
      <c r="N813" s="6"/>
      <c r="O813" s="6"/>
      <c r="P813" s="6"/>
      <c r="Q813" s="6"/>
    </row>
    <row r="814">
      <c r="A814" s="2"/>
      <c r="B814" s="2"/>
      <c r="C814" s="2"/>
      <c r="D814" s="2"/>
      <c r="E814" s="6"/>
      <c r="F814" s="6"/>
      <c r="G814" s="6"/>
      <c r="H814" s="2"/>
      <c r="I814" s="6"/>
      <c r="J814" s="6"/>
      <c r="K814" s="6"/>
      <c r="L814" s="6"/>
      <c r="M814" s="6"/>
      <c r="N814" s="6"/>
      <c r="O814" s="6"/>
      <c r="P814" s="6"/>
      <c r="Q814" s="6"/>
    </row>
    <row r="815">
      <c r="A815" s="2"/>
      <c r="B815" s="2"/>
      <c r="C815" s="2"/>
      <c r="D815" s="2"/>
      <c r="E815" s="6"/>
      <c r="F815" s="6"/>
      <c r="G815" s="6"/>
      <c r="H815" s="2"/>
      <c r="I815" s="6"/>
      <c r="J815" s="6"/>
      <c r="K815" s="6"/>
      <c r="L815" s="6"/>
      <c r="M815" s="6"/>
      <c r="N815" s="6"/>
      <c r="O815" s="6"/>
      <c r="P815" s="6"/>
      <c r="Q815" s="6"/>
    </row>
    <row r="816">
      <c r="A816" s="2"/>
      <c r="B816" s="2"/>
      <c r="C816" s="2"/>
      <c r="D816" s="2"/>
      <c r="E816" s="6"/>
      <c r="F816" s="6"/>
      <c r="G816" s="6"/>
      <c r="H816" s="2"/>
      <c r="I816" s="6"/>
      <c r="J816" s="6"/>
      <c r="K816" s="6"/>
      <c r="L816" s="6"/>
      <c r="M816" s="6"/>
      <c r="N816" s="6"/>
      <c r="O816" s="6"/>
      <c r="P816" s="6"/>
      <c r="Q816" s="6"/>
    </row>
    <row r="817">
      <c r="A817" s="2"/>
      <c r="B817" s="2"/>
      <c r="C817" s="2"/>
      <c r="D817" s="2"/>
      <c r="E817" s="6"/>
      <c r="F817" s="6"/>
      <c r="G817" s="6"/>
      <c r="H817" s="2"/>
      <c r="I817" s="6"/>
      <c r="J817" s="6"/>
      <c r="K817" s="6"/>
      <c r="L817" s="6"/>
      <c r="M817" s="6"/>
      <c r="N817" s="6"/>
      <c r="O817" s="6"/>
      <c r="P817" s="6"/>
      <c r="Q817" s="6"/>
    </row>
    <row r="818">
      <c r="A818" s="2"/>
      <c r="B818" s="2"/>
      <c r="C818" s="2"/>
      <c r="D818" s="2"/>
      <c r="E818" s="6"/>
      <c r="F818" s="6"/>
      <c r="G818" s="6"/>
      <c r="H818" s="2"/>
      <c r="I818" s="6"/>
      <c r="J818" s="6"/>
      <c r="K818" s="6"/>
      <c r="L818" s="6"/>
      <c r="M818" s="6"/>
      <c r="N818" s="6"/>
      <c r="O818" s="6"/>
      <c r="P818" s="6"/>
      <c r="Q818" s="6"/>
    </row>
    <row r="819">
      <c r="A819" s="2"/>
      <c r="B819" s="2"/>
      <c r="C819" s="2"/>
      <c r="D819" s="2"/>
      <c r="E819" s="6"/>
      <c r="F819" s="6"/>
      <c r="G819" s="6"/>
      <c r="H819" s="2"/>
      <c r="I819" s="6"/>
      <c r="J819" s="6"/>
      <c r="K819" s="6"/>
      <c r="L819" s="6"/>
      <c r="M819" s="6"/>
      <c r="N819" s="6"/>
      <c r="O819" s="6"/>
      <c r="P819" s="6"/>
      <c r="Q819" s="6"/>
    </row>
    <row r="820">
      <c r="A820" s="2"/>
      <c r="B820" s="2"/>
      <c r="C820" s="2"/>
      <c r="D820" s="2"/>
      <c r="E820" s="6"/>
      <c r="F820" s="6"/>
      <c r="G820" s="6"/>
      <c r="H820" s="2"/>
      <c r="I820" s="6"/>
      <c r="J820" s="6"/>
      <c r="K820" s="6"/>
      <c r="L820" s="6"/>
      <c r="M820" s="6"/>
      <c r="N820" s="6"/>
      <c r="O820" s="6"/>
      <c r="P820" s="6"/>
      <c r="Q820" s="6"/>
    </row>
    <row r="821">
      <c r="A821" s="2"/>
      <c r="B821" s="2"/>
      <c r="C821" s="2"/>
      <c r="D821" s="2"/>
      <c r="E821" s="6"/>
      <c r="F821" s="6"/>
      <c r="G821" s="6"/>
      <c r="H821" s="2"/>
      <c r="I821" s="6"/>
      <c r="J821" s="6"/>
      <c r="K821" s="6"/>
      <c r="L821" s="6"/>
      <c r="M821" s="6"/>
      <c r="N821" s="6"/>
      <c r="O821" s="6"/>
      <c r="P821" s="6"/>
      <c r="Q821" s="6"/>
    </row>
    <row r="822">
      <c r="A822" s="2"/>
      <c r="B822" s="2"/>
      <c r="C822" s="2"/>
      <c r="D822" s="2"/>
      <c r="E822" s="6"/>
      <c r="F822" s="6"/>
      <c r="G822" s="6"/>
      <c r="H822" s="2"/>
      <c r="I822" s="6"/>
      <c r="J822" s="6"/>
      <c r="K822" s="6"/>
      <c r="L822" s="6"/>
      <c r="M822" s="6"/>
      <c r="N822" s="6"/>
      <c r="O822" s="6"/>
      <c r="P822" s="6"/>
      <c r="Q822" s="6"/>
    </row>
    <row r="823">
      <c r="A823" s="2"/>
      <c r="B823" s="2"/>
      <c r="C823" s="2"/>
      <c r="D823" s="2"/>
      <c r="E823" s="6"/>
      <c r="F823" s="6"/>
      <c r="G823" s="6"/>
      <c r="H823" s="2"/>
      <c r="I823" s="6"/>
      <c r="J823" s="6"/>
      <c r="K823" s="6"/>
      <c r="L823" s="6"/>
      <c r="M823" s="6"/>
      <c r="N823" s="6"/>
      <c r="O823" s="6"/>
      <c r="P823" s="6"/>
      <c r="Q823" s="6"/>
    </row>
    <row r="824">
      <c r="A824" s="2"/>
      <c r="B824" s="2"/>
      <c r="C824" s="2"/>
      <c r="D824" s="2"/>
      <c r="E824" s="6"/>
      <c r="F824" s="6"/>
      <c r="G824" s="6"/>
      <c r="H824" s="2"/>
      <c r="I824" s="6"/>
      <c r="J824" s="6"/>
      <c r="K824" s="6"/>
      <c r="L824" s="6"/>
      <c r="M824" s="6"/>
      <c r="N824" s="6"/>
      <c r="O824" s="6"/>
      <c r="P824" s="6"/>
      <c r="Q824" s="6"/>
    </row>
    <row r="825">
      <c r="A825" s="2"/>
      <c r="B825" s="2"/>
      <c r="C825" s="2"/>
      <c r="D825" s="2"/>
      <c r="E825" s="6"/>
      <c r="F825" s="6"/>
      <c r="G825" s="6"/>
      <c r="H825" s="2"/>
      <c r="I825" s="6"/>
      <c r="J825" s="6"/>
      <c r="K825" s="6"/>
      <c r="L825" s="6"/>
      <c r="M825" s="6"/>
      <c r="N825" s="6"/>
      <c r="O825" s="6"/>
      <c r="P825" s="6"/>
      <c r="Q825" s="6"/>
    </row>
    <row r="826">
      <c r="A826" s="2"/>
      <c r="B826" s="2"/>
      <c r="C826" s="2"/>
      <c r="D826" s="2"/>
      <c r="E826" s="6"/>
      <c r="F826" s="6"/>
      <c r="G826" s="6"/>
      <c r="H826" s="2"/>
      <c r="I826" s="6"/>
      <c r="J826" s="6"/>
      <c r="K826" s="6"/>
      <c r="L826" s="6"/>
      <c r="M826" s="6"/>
      <c r="N826" s="6"/>
      <c r="O826" s="6"/>
      <c r="P826" s="6"/>
      <c r="Q826" s="6"/>
    </row>
    <row r="827">
      <c r="A827" s="2"/>
      <c r="B827" s="2"/>
      <c r="C827" s="2"/>
      <c r="D827" s="2"/>
      <c r="E827" s="6"/>
      <c r="F827" s="6"/>
      <c r="G827" s="6"/>
      <c r="H827" s="2"/>
      <c r="I827" s="6"/>
      <c r="J827" s="6"/>
      <c r="K827" s="6"/>
      <c r="L827" s="6"/>
      <c r="M827" s="6"/>
      <c r="N827" s="6"/>
      <c r="O827" s="6"/>
      <c r="P827" s="6"/>
      <c r="Q827" s="6"/>
    </row>
    <row r="828">
      <c r="A828" s="2"/>
      <c r="B828" s="2"/>
      <c r="C828" s="2"/>
      <c r="D828" s="2"/>
      <c r="E828" s="6"/>
      <c r="F828" s="6"/>
      <c r="G828" s="6"/>
      <c r="H828" s="2"/>
      <c r="I828" s="6"/>
      <c r="J828" s="6"/>
      <c r="K828" s="6"/>
      <c r="L828" s="6"/>
      <c r="M828" s="6"/>
      <c r="N828" s="6"/>
      <c r="O828" s="6"/>
      <c r="P828" s="6"/>
      <c r="Q828" s="6"/>
    </row>
    <row r="829">
      <c r="A829" s="2"/>
      <c r="B829" s="2"/>
      <c r="C829" s="2"/>
      <c r="D829" s="2"/>
      <c r="E829" s="6"/>
      <c r="F829" s="6"/>
      <c r="G829" s="6"/>
      <c r="H829" s="2"/>
      <c r="I829" s="6"/>
      <c r="J829" s="6"/>
      <c r="K829" s="6"/>
      <c r="L829" s="6"/>
      <c r="M829" s="6"/>
      <c r="N829" s="6"/>
      <c r="O829" s="6"/>
      <c r="P829" s="6"/>
      <c r="Q829" s="6"/>
    </row>
    <row r="830">
      <c r="A830" s="2"/>
      <c r="B830" s="2"/>
      <c r="C830" s="2"/>
      <c r="D830" s="2"/>
      <c r="E830" s="6"/>
      <c r="F830" s="6"/>
      <c r="G830" s="6"/>
      <c r="H830" s="2"/>
      <c r="I830" s="6"/>
      <c r="J830" s="6"/>
      <c r="K830" s="6"/>
      <c r="L830" s="6"/>
      <c r="M830" s="6"/>
      <c r="N830" s="6"/>
      <c r="O830" s="6"/>
      <c r="P830" s="6"/>
      <c r="Q830" s="6"/>
    </row>
    <row r="831">
      <c r="A831" s="2"/>
      <c r="B831" s="2"/>
      <c r="C831" s="2"/>
      <c r="D831" s="2"/>
      <c r="E831" s="6"/>
      <c r="F831" s="6"/>
      <c r="G831" s="6"/>
      <c r="H831" s="2"/>
      <c r="I831" s="6"/>
      <c r="J831" s="6"/>
      <c r="K831" s="6"/>
      <c r="L831" s="6"/>
      <c r="M831" s="6"/>
      <c r="N831" s="6"/>
      <c r="O831" s="6"/>
      <c r="P831" s="6"/>
      <c r="Q831" s="6"/>
    </row>
    <row r="832">
      <c r="A832" s="2"/>
      <c r="B832" s="2"/>
      <c r="C832" s="2"/>
      <c r="D832" s="2"/>
      <c r="E832" s="6"/>
      <c r="F832" s="6"/>
      <c r="G832" s="6"/>
      <c r="H832" s="2"/>
      <c r="I832" s="6"/>
      <c r="J832" s="6"/>
      <c r="K832" s="6"/>
      <c r="L832" s="6"/>
      <c r="M832" s="6"/>
      <c r="N832" s="6"/>
      <c r="O832" s="6"/>
      <c r="P832" s="6"/>
      <c r="Q832" s="6"/>
    </row>
    <row r="833">
      <c r="A833" s="2"/>
      <c r="B833" s="2"/>
      <c r="C833" s="2"/>
      <c r="D833" s="2"/>
      <c r="E833" s="6"/>
      <c r="F833" s="6"/>
      <c r="G833" s="6"/>
      <c r="H833" s="2"/>
      <c r="I833" s="6"/>
      <c r="J833" s="6"/>
      <c r="K833" s="6"/>
      <c r="L833" s="6"/>
      <c r="M833" s="6"/>
      <c r="N833" s="6"/>
      <c r="O833" s="6"/>
      <c r="P833" s="6"/>
      <c r="Q833" s="6"/>
    </row>
    <row r="834">
      <c r="A834" s="2"/>
      <c r="B834" s="2"/>
      <c r="C834" s="2"/>
      <c r="D834" s="2"/>
      <c r="E834" s="6"/>
      <c r="F834" s="6"/>
      <c r="G834" s="6"/>
      <c r="H834" s="2"/>
      <c r="I834" s="6"/>
      <c r="J834" s="6"/>
      <c r="K834" s="6"/>
      <c r="L834" s="6"/>
      <c r="M834" s="6"/>
      <c r="N834" s="6"/>
      <c r="O834" s="6"/>
      <c r="P834" s="6"/>
      <c r="Q834" s="6"/>
    </row>
    <row r="835">
      <c r="A835" s="2"/>
      <c r="B835" s="2"/>
      <c r="C835" s="2"/>
      <c r="D835" s="2"/>
      <c r="E835" s="6"/>
      <c r="F835" s="6"/>
      <c r="G835" s="6"/>
      <c r="H835" s="2"/>
      <c r="I835" s="6"/>
      <c r="J835" s="6"/>
      <c r="K835" s="6"/>
      <c r="L835" s="6"/>
      <c r="M835" s="6"/>
      <c r="N835" s="6"/>
      <c r="O835" s="6"/>
      <c r="P835" s="6"/>
      <c r="Q835" s="6"/>
    </row>
    <row r="836">
      <c r="A836" s="2"/>
      <c r="B836" s="2"/>
      <c r="C836" s="2"/>
      <c r="D836" s="2"/>
      <c r="E836" s="6"/>
      <c r="F836" s="6"/>
      <c r="G836" s="6"/>
      <c r="H836" s="2"/>
      <c r="I836" s="6"/>
      <c r="J836" s="6"/>
      <c r="K836" s="6"/>
      <c r="L836" s="6"/>
      <c r="M836" s="6"/>
      <c r="N836" s="6"/>
      <c r="O836" s="6"/>
      <c r="P836" s="6"/>
      <c r="Q836" s="6"/>
    </row>
    <row r="837">
      <c r="A837" s="2"/>
      <c r="B837" s="2"/>
      <c r="C837" s="2"/>
      <c r="D837" s="2"/>
      <c r="E837" s="6"/>
      <c r="F837" s="6"/>
      <c r="G837" s="6"/>
      <c r="H837" s="2"/>
      <c r="I837" s="6"/>
      <c r="J837" s="6"/>
      <c r="K837" s="6"/>
      <c r="L837" s="6"/>
      <c r="M837" s="6"/>
      <c r="N837" s="6"/>
      <c r="O837" s="6"/>
      <c r="P837" s="6"/>
      <c r="Q837" s="6"/>
    </row>
    <row r="838">
      <c r="A838" s="2"/>
      <c r="B838" s="2"/>
      <c r="C838" s="2"/>
      <c r="D838" s="2"/>
      <c r="E838" s="6"/>
      <c r="F838" s="6"/>
      <c r="G838" s="6"/>
      <c r="H838" s="2"/>
      <c r="I838" s="6"/>
      <c r="J838" s="6"/>
      <c r="K838" s="6"/>
      <c r="L838" s="6"/>
      <c r="M838" s="6"/>
      <c r="N838" s="6"/>
      <c r="O838" s="6"/>
      <c r="P838" s="6"/>
      <c r="Q838" s="6"/>
    </row>
    <row r="839">
      <c r="A839" s="2"/>
      <c r="B839" s="2"/>
      <c r="C839" s="2"/>
      <c r="D839" s="2"/>
      <c r="E839" s="6"/>
      <c r="F839" s="6"/>
      <c r="G839" s="6"/>
      <c r="H839" s="2"/>
      <c r="I839" s="6"/>
      <c r="J839" s="6"/>
      <c r="K839" s="6"/>
      <c r="L839" s="6"/>
      <c r="M839" s="6"/>
      <c r="N839" s="6"/>
      <c r="O839" s="6"/>
      <c r="P839" s="6"/>
      <c r="Q839" s="6"/>
    </row>
    <row r="840">
      <c r="A840" s="2"/>
      <c r="B840" s="2"/>
      <c r="C840" s="2"/>
      <c r="D840" s="2"/>
      <c r="E840" s="6"/>
      <c r="F840" s="6"/>
      <c r="G840" s="6"/>
      <c r="H840" s="2"/>
      <c r="I840" s="6"/>
      <c r="J840" s="6"/>
      <c r="K840" s="6"/>
      <c r="L840" s="6"/>
      <c r="M840" s="6"/>
      <c r="N840" s="6"/>
      <c r="O840" s="6"/>
      <c r="P840" s="6"/>
      <c r="Q840" s="6"/>
    </row>
    <row r="841">
      <c r="A841" s="2"/>
      <c r="B841" s="2"/>
      <c r="C841" s="2"/>
      <c r="D841" s="2"/>
      <c r="E841" s="6"/>
      <c r="F841" s="6"/>
      <c r="G841" s="6"/>
      <c r="H841" s="2"/>
      <c r="I841" s="6"/>
      <c r="J841" s="6"/>
      <c r="K841" s="6"/>
      <c r="L841" s="6"/>
      <c r="M841" s="6"/>
      <c r="N841" s="6"/>
      <c r="O841" s="6"/>
      <c r="P841" s="6"/>
      <c r="Q841" s="6"/>
    </row>
    <row r="842">
      <c r="A842" s="2"/>
      <c r="B842" s="2"/>
      <c r="C842" s="2"/>
      <c r="D842" s="2"/>
      <c r="E842" s="6"/>
      <c r="F842" s="6"/>
      <c r="G842" s="6"/>
      <c r="H842" s="2"/>
      <c r="I842" s="6"/>
      <c r="J842" s="6"/>
      <c r="K842" s="6"/>
      <c r="L842" s="6"/>
      <c r="M842" s="6"/>
      <c r="N842" s="6"/>
      <c r="O842" s="6"/>
      <c r="P842" s="6"/>
      <c r="Q842" s="6"/>
    </row>
    <row r="843">
      <c r="A843" s="2"/>
      <c r="B843" s="2"/>
      <c r="C843" s="2"/>
      <c r="D843" s="2"/>
      <c r="E843" s="6"/>
      <c r="F843" s="6"/>
      <c r="G843" s="6"/>
      <c r="H843" s="2"/>
      <c r="I843" s="6"/>
      <c r="J843" s="6"/>
      <c r="K843" s="6"/>
      <c r="L843" s="6"/>
      <c r="M843" s="6"/>
      <c r="N843" s="6"/>
      <c r="O843" s="6"/>
      <c r="P843" s="6"/>
      <c r="Q843" s="6"/>
    </row>
    <row r="844">
      <c r="A844" s="2"/>
      <c r="B844" s="2"/>
      <c r="C844" s="2"/>
      <c r="D844" s="2"/>
      <c r="E844" s="6"/>
      <c r="F844" s="6"/>
      <c r="G844" s="6"/>
      <c r="H844" s="2"/>
      <c r="I844" s="6"/>
      <c r="J844" s="6"/>
      <c r="K844" s="6"/>
      <c r="L844" s="6"/>
      <c r="M844" s="6"/>
      <c r="N844" s="6"/>
      <c r="O844" s="6"/>
      <c r="P844" s="6"/>
      <c r="Q844" s="6"/>
    </row>
    <row r="845">
      <c r="A845" s="2"/>
      <c r="B845" s="2"/>
      <c r="C845" s="2"/>
      <c r="D845" s="2"/>
      <c r="E845" s="6"/>
      <c r="F845" s="6"/>
      <c r="G845" s="6"/>
      <c r="H845" s="2"/>
      <c r="I845" s="6"/>
      <c r="J845" s="6"/>
      <c r="K845" s="6"/>
      <c r="L845" s="6"/>
      <c r="M845" s="6"/>
      <c r="N845" s="6"/>
      <c r="O845" s="6"/>
      <c r="P845" s="6"/>
      <c r="Q845" s="6"/>
    </row>
    <row r="846">
      <c r="A846" s="2"/>
      <c r="B846" s="2"/>
      <c r="C846" s="2"/>
      <c r="D846" s="2"/>
      <c r="E846" s="6"/>
      <c r="F846" s="6"/>
      <c r="G846" s="6"/>
      <c r="H846" s="2"/>
      <c r="I846" s="6"/>
      <c r="J846" s="6"/>
      <c r="K846" s="6"/>
      <c r="L846" s="6"/>
      <c r="M846" s="6"/>
      <c r="N846" s="6"/>
      <c r="O846" s="6"/>
      <c r="P846" s="6"/>
      <c r="Q846" s="6"/>
    </row>
    <row r="847">
      <c r="A847" s="2"/>
      <c r="B847" s="2"/>
      <c r="C847" s="2"/>
      <c r="D847" s="2"/>
      <c r="E847" s="6"/>
      <c r="F847" s="6"/>
      <c r="G847" s="6"/>
      <c r="H847" s="2"/>
      <c r="I847" s="6"/>
      <c r="J847" s="6"/>
      <c r="K847" s="6"/>
      <c r="L847" s="6"/>
      <c r="M847" s="6"/>
      <c r="N847" s="6"/>
      <c r="O847" s="6"/>
      <c r="P847" s="6"/>
      <c r="Q847" s="6"/>
    </row>
    <row r="848">
      <c r="A848" s="2"/>
      <c r="B848" s="2"/>
      <c r="C848" s="2"/>
      <c r="D848" s="2"/>
      <c r="E848" s="6"/>
      <c r="F848" s="6"/>
      <c r="G848" s="6"/>
      <c r="H848" s="2"/>
      <c r="I848" s="6"/>
      <c r="J848" s="6"/>
      <c r="K848" s="6"/>
      <c r="L848" s="6"/>
      <c r="M848" s="6"/>
      <c r="N848" s="6"/>
      <c r="O848" s="6"/>
      <c r="P848" s="6"/>
      <c r="Q848" s="6"/>
    </row>
    <row r="849">
      <c r="A849" s="2"/>
      <c r="B849" s="2"/>
      <c r="C849" s="2"/>
      <c r="D849" s="2"/>
      <c r="E849" s="6"/>
      <c r="F849" s="6"/>
      <c r="G849" s="6"/>
      <c r="H849" s="2"/>
      <c r="I849" s="6"/>
      <c r="J849" s="6"/>
      <c r="K849" s="6"/>
      <c r="L849" s="6"/>
      <c r="M849" s="6"/>
      <c r="N849" s="6"/>
      <c r="O849" s="6"/>
      <c r="P849" s="6"/>
      <c r="Q849" s="6"/>
    </row>
    <row r="850">
      <c r="A850" s="2"/>
      <c r="B850" s="2"/>
      <c r="C850" s="2"/>
      <c r="D850" s="2"/>
      <c r="E850" s="6"/>
      <c r="F850" s="6"/>
      <c r="G850" s="6"/>
      <c r="H850" s="2"/>
      <c r="I850" s="6"/>
      <c r="J850" s="6"/>
      <c r="K850" s="6"/>
      <c r="L850" s="6"/>
      <c r="M850" s="6"/>
      <c r="N850" s="6"/>
      <c r="O850" s="6"/>
      <c r="P850" s="6"/>
      <c r="Q850" s="6"/>
    </row>
    <row r="851">
      <c r="A851" s="2"/>
      <c r="B851" s="2"/>
      <c r="C851" s="2"/>
      <c r="D851" s="2"/>
      <c r="E851" s="6"/>
      <c r="F851" s="6"/>
      <c r="G851" s="6"/>
      <c r="H851" s="2"/>
      <c r="I851" s="6"/>
      <c r="J851" s="6"/>
      <c r="K851" s="6"/>
      <c r="L851" s="6"/>
      <c r="M851" s="6"/>
      <c r="N851" s="6"/>
      <c r="O851" s="6"/>
      <c r="P851" s="6"/>
      <c r="Q851" s="6"/>
    </row>
    <row r="852">
      <c r="A852" s="2"/>
      <c r="B852" s="2"/>
      <c r="C852" s="2"/>
      <c r="D852" s="2"/>
      <c r="E852" s="6"/>
      <c r="F852" s="6"/>
      <c r="G852" s="6"/>
      <c r="H852" s="2"/>
      <c r="I852" s="6"/>
      <c r="J852" s="6"/>
      <c r="K852" s="6"/>
      <c r="L852" s="6"/>
      <c r="M852" s="6"/>
      <c r="N852" s="6"/>
      <c r="O852" s="6"/>
      <c r="P852" s="6"/>
      <c r="Q852" s="6"/>
    </row>
    <row r="853">
      <c r="A853" s="2"/>
      <c r="B853" s="2"/>
      <c r="C853" s="2"/>
      <c r="D853" s="2"/>
      <c r="E853" s="6"/>
      <c r="F853" s="6"/>
      <c r="G853" s="6"/>
      <c r="H853" s="2"/>
      <c r="I853" s="6"/>
      <c r="J853" s="6"/>
      <c r="K853" s="6"/>
      <c r="L853" s="6"/>
      <c r="M853" s="6"/>
      <c r="N853" s="6"/>
      <c r="O853" s="6"/>
      <c r="P853" s="6"/>
      <c r="Q853" s="6"/>
    </row>
    <row r="854">
      <c r="A854" s="2"/>
      <c r="B854" s="2"/>
      <c r="C854" s="2"/>
      <c r="D854" s="2"/>
      <c r="E854" s="6"/>
      <c r="F854" s="6"/>
      <c r="G854" s="6"/>
      <c r="H854" s="2"/>
      <c r="I854" s="6"/>
      <c r="J854" s="6"/>
      <c r="K854" s="6"/>
      <c r="L854" s="6"/>
      <c r="M854" s="6"/>
      <c r="N854" s="6"/>
      <c r="O854" s="6"/>
      <c r="P854" s="6"/>
      <c r="Q854" s="6"/>
    </row>
    <row r="855">
      <c r="A855" s="2"/>
      <c r="B855" s="2"/>
      <c r="C855" s="2"/>
      <c r="D855" s="2"/>
      <c r="E855" s="6"/>
      <c r="F855" s="6"/>
      <c r="G855" s="6"/>
      <c r="H855" s="2"/>
      <c r="I855" s="6"/>
      <c r="J855" s="6"/>
      <c r="K855" s="6"/>
      <c r="L855" s="6"/>
      <c r="M855" s="6"/>
      <c r="N855" s="6"/>
      <c r="O855" s="6"/>
      <c r="P855" s="6"/>
      <c r="Q855" s="6"/>
    </row>
    <row r="856">
      <c r="A856" s="2"/>
      <c r="B856" s="2"/>
      <c r="C856" s="2"/>
      <c r="D856" s="2"/>
      <c r="E856" s="6"/>
      <c r="F856" s="6"/>
      <c r="G856" s="6"/>
      <c r="H856" s="2"/>
      <c r="I856" s="6"/>
      <c r="J856" s="6"/>
      <c r="K856" s="6"/>
      <c r="L856" s="6"/>
      <c r="M856" s="6"/>
      <c r="N856" s="6"/>
      <c r="O856" s="6"/>
      <c r="P856" s="6"/>
      <c r="Q856" s="6"/>
    </row>
    <row r="857">
      <c r="A857" s="2"/>
      <c r="B857" s="2"/>
      <c r="C857" s="2"/>
      <c r="D857" s="2"/>
      <c r="E857" s="6"/>
      <c r="F857" s="6"/>
      <c r="G857" s="6"/>
      <c r="H857" s="2"/>
      <c r="I857" s="6"/>
      <c r="J857" s="6"/>
      <c r="K857" s="6"/>
      <c r="L857" s="6"/>
      <c r="M857" s="6"/>
      <c r="N857" s="6"/>
      <c r="O857" s="6"/>
      <c r="P857" s="6"/>
      <c r="Q857" s="6"/>
    </row>
    <row r="858">
      <c r="A858" s="2"/>
      <c r="B858" s="2"/>
      <c r="C858" s="2"/>
      <c r="D858" s="2"/>
      <c r="E858" s="6"/>
      <c r="F858" s="6"/>
      <c r="G858" s="6"/>
      <c r="H858" s="2"/>
      <c r="I858" s="6"/>
      <c r="J858" s="6"/>
      <c r="K858" s="6"/>
      <c r="L858" s="6"/>
      <c r="M858" s="6"/>
      <c r="N858" s="6"/>
      <c r="O858" s="6"/>
      <c r="P858" s="6"/>
      <c r="Q858" s="6"/>
    </row>
    <row r="859">
      <c r="A859" s="2"/>
      <c r="B859" s="2"/>
      <c r="C859" s="2"/>
      <c r="D859" s="2"/>
      <c r="E859" s="6"/>
      <c r="F859" s="6"/>
      <c r="G859" s="6"/>
      <c r="H859" s="2"/>
      <c r="I859" s="6"/>
      <c r="J859" s="6"/>
      <c r="K859" s="6"/>
      <c r="L859" s="6"/>
      <c r="M859" s="6"/>
      <c r="N859" s="6"/>
      <c r="O859" s="6"/>
      <c r="P859" s="6"/>
      <c r="Q859" s="6"/>
    </row>
    <row r="860">
      <c r="A860" s="2"/>
      <c r="B860" s="2"/>
      <c r="C860" s="2"/>
      <c r="D860" s="2"/>
      <c r="E860" s="6"/>
      <c r="F860" s="6"/>
      <c r="G860" s="6"/>
      <c r="H860" s="2"/>
      <c r="I860" s="6"/>
      <c r="J860" s="6"/>
      <c r="K860" s="6"/>
      <c r="L860" s="6"/>
      <c r="M860" s="6"/>
      <c r="N860" s="6"/>
      <c r="O860" s="6"/>
      <c r="P860" s="6"/>
      <c r="Q860" s="6"/>
    </row>
    <row r="861">
      <c r="A861" s="2"/>
      <c r="B861" s="2"/>
      <c r="C861" s="2"/>
      <c r="D861" s="2"/>
      <c r="E861" s="6"/>
      <c r="F861" s="6"/>
      <c r="G861" s="6"/>
      <c r="H861" s="2"/>
      <c r="I861" s="6"/>
      <c r="J861" s="6"/>
      <c r="K861" s="6"/>
      <c r="L861" s="6"/>
      <c r="M861" s="6"/>
      <c r="N861" s="6"/>
      <c r="O861" s="6"/>
      <c r="P861" s="6"/>
      <c r="Q861" s="6"/>
    </row>
    <row r="862">
      <c r="A862" s="2"/>
      <c r="B862" s="2"/>
      <c r="C862" s="2"/>
      <c r="D862" s="2"/>
      <c r="E862" s="6"/>
      <c r="F862" s="6"/>
      <c r="G862" s="6"/>
      <c r="H862" s="2"/>
      <c r="I862" s="6"/>
      <c r="J862" s="6"/>
      <c r="K862" s="6"/>
      <c r="L862" s="6"/>
      <c r="M862" s="6"/>
      <c r="N862" s="6"/>
      <c r="O862" s="6"/>
      <c r="P862" s="6"/>
      <c r="Q862" s="6"/>
    </row>
    <row r="863">
      <c r="A863" s="2"/>
      <c r="B863" s="2"/>
      <c r="C863" s="2"/>
      <c r="D863" s="2"/>
      <c r="E863" s="6"/>
      <c r="F863" s="6"/>
      <c r="G863" s="6"/>
      <c r="H863" s="2"/>
      <c r="I863" s="6"/>
      <c r="J863" s="6"/>
      <c r="K863" s="6"/>
      <c r="L863" s="6"/>
      <c r="M863" s="6"/>
      <c r="N863" s="6"/>
      <c r="O863" s="6"/>
      <c r="P863" s="6"/>
      <c r="Q863" s="6"/>
    </row>
    <row r="864">
      <c r="A864" s="2"/>
      <c r="B864" s="2"/>
      <c r="C864" s="2"/>
      <c r="D864" s="2"/>
      <c r="E864" s="6"/>
      <c r="F864" s="6"/>
      <c r="G864" s="6"/>
      <c r="H864" s="2"/>
      <c r="I864" s="6"/>
      <c r="J864" s="6"/>
      <c r="K864" s="6"/>
      <c r="L864" s="6"/>
      <c r="M864" s="6"/>
      <c r="N864" s="6"/>
      <c r="O864" s="6"/>
      <c r="P864" s="6"/>
      <c r="Q864" s="6"/>
    </row>
    <row r="865">
      <c r="A865" s="2"/>
      <c r="B865" s="2"/>
      <c r="C865" s="2"/>
      <c r="D865" s="2"/>
      <c r="E865" s="6"/>
      <c r="F865" s="6"/>
      <c r="G865" s="6"/>
      <c r="H865" s="2"/>
      <c r="I865" s="6"/>
      <c r="J865" s="6"/>
      <c r="K865" s="6"/>
      <c r="L865" s="6"/>
      <c r="M865" s="6"/>
      <c r="N865" s="6"/>
      <c r="O865" s="6"/>
      <c r="P865" s="6"/>
      <c r="Q865" s="6"/>
    </row>
    <row r="866">
      <c r="A866" s="2"/>
      <c r="B866" s="2"/>
      <c r="C866" s="2"/>
      <c r="D866" s="2"/>
      <c r="E866" s="6"/>
      <c r="F866" s="6"/>
      <c r="G866" s="6"/>
      <c r="H866" s="2"/>
      <c r="I866" s="6"/>
      <c r="J866" s="6"/>
      <c r="K866" s="6"/>
      <c r="L866" s="6"/>
      <c r="M866" s="6"/>
      <c r="N866" s="6"/>
      <c r="O866" s="6"/>
      <c r="P866" s="6"/>
      <c r="Q866" s="6"/>
    </row>
    <row r="867">
      <c r="A867" s="2"/>
      <c r="B867" s="2"/>
      <c r="C867" s="2"/>
      <c r="D867" s="2"/>
      <c r="E867" s="6"/>
      <c r="F867" s="6"/>
      <c r="G867" s="6"/>
      <c r="H867" s="2"/>
      <c r="I867" s="6"/>
      <c r="J867" s="6"/>
      <c r="K867" s="6"/>
      <c r="L867" s="6"/>
      <c r="M867" s="6"/>
      <c r="N867" s="6"/>
      <c r="O867" s="6"/>
      <c r="P867" s="6"/>
      <c r="Q867" s="6"/>
    </row>
    <row r="868">
      <c r="A868" s="2"/>
      <c r="B868" s="2"/>
      <c r="C868" s="2"/>
      <c r="D868" s="2"/>
      <c r="E868" s="6"/>
      <c r="F868" s="6"/>
      <c r="G868" s="6"/>
      <c r="H868" s="2"/>
      <c r="I868" s="6"/>
      <c r="J868" s="6"/>
      <c r="K868" s="6"/>
      <c r="L868" s="6"/>
      <c r="M868" s="6"/>
      <c r="N868" s="6"/>
      <c r="O868" s="6"/>
      <c r="P868" s="6"/>
      <c r="Q868" s="6"/>
    </row>
    <row r="869">
      <c r="A869" s="2"/>
      <c r="B869" s="2"/>
      <c r="C869" s="2"/>
      <c r="D869" s="2"/>
      <c r="E869" s="6"/>
      <c r="F869" s="6"/>
      <c r="G869" s="6"/>
      <c r="H869" s="2"/>
      <c r="I869" s="6"/>
      <c r="J869" s="6"/>
      <c r="K869" s="6"/>
      <c r="L869" s="6"/>
      <c r="M869" s="6"/>
      <c r="N869" s="6"/>
      <c r="O869" s="6"/>
      <c r="P869" s="6"/>
      <c r="Q869" s="6"/>
    </row>
    <row r="870">
      <c r="A870" s="2"/>
      <c r="B870" s="2"/>
      <c r="C870" s="2"/>
      <c r="D870" s="2"/>
      <c r="E870" s="6"/>
      <c r="F870" s="6"/>
      <c r="G870" s="6"/>
      <c r="H870" s="2"/>
      <c r="I870" s="6"/>
      <c r="J870" s="6"/>
      <c r="K870" s="6"/>
      <c r="L870" s="6"/>
      <c r="M870" s="6"/>
      <c r="N870" s="6"/>
      <c r="O870" s="6"/>
      <c r="P870" s="6"/>
      <c r="Q870" s="6"/>
    </row>
    <row r="871">
      <c r="A871" s="2"/>
      <c r="B871" s="2"/>
      <c r="C871" s="2"/>
      <c r="D871" s="2"/>
      <c r="E871" s="6"/>
      <c r="F871" s="6"/>
      <c r="G871" s="6"/>
      <c r="H871" s="2"/>
      <c r="I871" s="6"/>
      <c r="J871" s="6"/>
      <c r="K871" s="6"/>
      <c r="L871" s="6"/>
      <c r="M871" s="6"/>
      <c r="N871" s="6"/>
      <c r="O871" s="6"/>
      <c r="P871" s="6"/>
      <c r="Q871" s="6"/>
    </row>
    <row r="872">
      <c r="A872" s="2"/>
      <c r="B872" s="2"/>
      <c r="C872" s="2"/>
      <c r="D872" s="2"/>
      <c r="E872" s="6"/>
      <c r="F872" s="6"/>
      <c r="G872" s="6"/>
      <c r="H872" s="2"/>
      <c r="I872" s="6"/>
      <c r="J872" s="6"/>
      <c r="K872" s="6"/>
      <c r="L872" s="6"/>
      <c r="M872" s="6"/>
      <c r="N872" s="6"/>
      <c r="O872" s="6"/>
      <c r="P872" s="6"/>
      <c r="Q872" s="6"/>
    </row>
    <row r="873">
      <c r="A873" s="2"/>
      <c r="B873" s="2"/>
      <c r="C873" s="2"/>
      <c r="D873" s="2"/>
      <c r="E873" s="6"/>
      <c r="F873" s="6"/>
      <c r="G873" s="6"/>
      <c r="H873" s="2"/>
      <c r="I873" s="6"/>
      <c r="J873" s="6"/>
      <c r="K873" s="6"/>
      <c r="L873" s="6"/>
      <c r="M873" s="6"/>
      <c r="N873" s="6"/>
      <c r="O873" s="6"/>
      <c r="P873" s="6"/>
      <c r="Q873" s="6"/>
    </row>
    <row r="874">
      <c r="A874" s="2"/>
      <c r="B874" s="2"/>
      <c r="C874" s="2"/>
      <c r="D874" s="2"/>
      <c r="E874" s="6"/>
      <c r="F874" s="6"/>
      <c r="G874" s="6"/>
      <c r="H874" s="2"/>
      <c r="I874" s="6"/>
      <c r="J874" s="6"/>
      <c r="K874" s="6"/>
      <c r="L874" s="6"/>
      <c r="M874" s="6"/>
      <c r="N874" s="6"/>
      <c r="O874" s="6"/>
      <c r="P874" s="6"/>
      <c r="Q874" s="6"/>
    </row>
    <row r="875">
      <c r="A875" s="2"/>
      <c r="B875" s="2"/>
      <c r="C875" s="2"/>
      <c r="D875" s="2"/>
      <c r="E875" s="6"/>
      <c r="F875" s="6"/>
      <c r="G875" s="6"/>
      <c r="H875" s="2"/>
      <c r="I875" s="6"/>
      <c r="J875" s="6"/>
      <c r="K875" s="6"/>
      <c r="L875" s="6"/>
      <c r="M875" s="6"/>
      <c r="N875" s="6"/>
      <c r="O875" s="6"/>
      <c r="P875" s="6"/>
      <c r="Q875" s="6"/>
    </row>
    <row r="876">
      <c r="A876" s="2"/>
      <c r="B876" s="2"/>
      <c r="C876" s="2"/>
      <c r="D876" s="2"/>
      <c r="E876" s="6"/>
      <c r="F876" s="6"/>
      <c r="G876" s="6"/>
      <c r="H876" s="2"/>
      <c r="I876" s="6"/>
      <c r="J876" s="6"/>
      <c r="K876" s="6"/>
      <c r="L876" s="6"/>
      <c r="M876" s="6"/>
      <c r="N876" s="6"/>
      <c r="O876" s="6"/>
      <c r="P876" s="6"/>
      <c r="Q876" s="6"/>
    </row>
    <row r="877">
      <c r="A877" s="2"/>
      <c r="B877" s="2"/>
      <c r="C877" s="2"/>
      <c r="D877" s="2"/>
      <c r="E877" s="6"/>
      <c r="F877" s="6"/>
      <c r="G877" s="6"/>
      <c r="H877" s="2"/>
      <c r="I877" s="6"/>
      <c r="J877" s="6"/>
      <c r="K877" s="6"/>
      <c r="L877" s="6"/>
      <c r="M877" s="6"/>
      <c r="N877" s="6"/>
      <c r="O877" s="6"/>
      <c r="P877" s="6"/>
      <c r="Q877" s="6"/>
    </row>
    <row r="878">
      <c r="A878" s="2"/>
      <c r="B878" s="2"/>
      <c r="C878" s="2"/>
      <c r="D878" s="2"/>
      <c r="E878" s="6"/>
      <c r="F878" s="6"/>
      <c r="G878" s="6"/>
      <c r="H878" s="2"/>
      <c r="I878" s="6"/>
      <c r="J878" s="6"/>
      <c r="K878" s="6"/>
      <c r="L878" s="6"/>
      <c r="M878" s="6"/>
      <c r="N878" s="6"/>
      <c r="O878" s="6"/>
      <c r="P878" s="6"/>
      <c r="Q878" s="6"/>
    </row>
    <row r="879">
      <c r="A879" s="2"/>
      <c r="B879" s="2"/>
      <c r="C879" s="2"/>
      <c r="D879" s="2"/>
      <c r="E879" s="6"/>
      <c r="F879" s="6"/>
      <c r="G879" s="6"/>
      <c r="H879" s="2"/>
      <c r="I879" s="6"/>
      <c r="J879" s="6"/>
      <c r="K879" s="6"/>
      <c r="L879" s="6"/>
      <c r="M879" s="6"/>
      <c r="N879" s="6"/>
      <c r="O879" s="6"/>
      <c r="P879" s="6"/>
      <c r="Q879" s="6"/>
    </row>
    <row r="880">
      <c r="A880" s="2"/>
      <c r="B880" s="2"/>
      <c r="C880" s="2"/>
      <c r="D880" s="2"/>
      <c r="E880" s="6"/>
      <c r="F880" s="6"/>
      <c r="G880" s="6"/>
      <c r="H880" s="2"/>
      <c r="I880" s="6"/>
      <c r="J880" s="6"/>
      <c r="K880" s="6"/>
      <c r="L880" s="6"/>
      <c r="M880" s="6"/>
      <c r="N880" s="6"/>
      <c r="O880" s="6"/>
      <c r="P880" s="6"/>
      <c r="Q880" s="6"/>
    </row>
    <row r="881">
      <c r="A881" s="2"/>
      <c r="B881" s="2"/>
      <c r="C881" s="2"/>
      <c r="D881" s="2"/>
      <c r="E881" s="6"/>
      <c r="F881" s="6"/>
      <c r="G881" s="6"/>
      <c r="H881" s="2"/>
      <c r="I881" s="6"/>
      <c r="J881" s="6"/>
      <c r="K881" s="6"/>
      <c r="L881" s="6"/>
      <c r="M881" s="6"/>
      <c r="N881" s="6"/>
      <c r="O881" s="6"/>
      <c r="P881" s="6"/>
      <c r="Q881" s="6"/>
    </row>
    <row r="882">
      <c r="A882" s="2"/>
      <c r="B882" s="2"/>
      <c r="C882" s="2"/>
      <c r="D882" s="2"/>
      <c r="E882" s="6"/>
      <c r="F882" s="6"/>
      <c r="G882" s="6"/>
      <c r="H882" s="2"/>
      <c r="I882" s="6"/>
      <c r="J882" s="6"/>
      <c r="K882" s="6"/>
      <c r="L882" s="6"/>
      <c r="M882" s="6"/>
      <c r="N882" s="6"/>
      <c r="O882" s="6"/>
      <c r="P882" s="6"/>
      <c r="Q882" s="6"/>
    </row>
    <row r="883">
      <c r="A883" s="2"/>
      <c r="B883" s="2"/>
      <c r="C883" s="2"/>
      <c r="D883" s="2"/>
      <c r="E883" s="6"/>
      <c r="F883" s="6"/>
      <c r="G883" s="6"/>
      <c r="H883" s="2"/>
      <c r="I883" s="6"/>
      <c r="J883" s="6"/>
      <c r="K883" s="6"/>
      <c r="L883" s="6"/>
      <c r="M883" s="6"/>
      <c r="N883" s="6"/>
      <c r="O883" s="6"/>
      <c r="P883" s="6"/>
      <c r="Q883" s="6"/>
    </row>
    <row r="884">
      <c r="A884" s="2"/>
      <c r="B884" s="2"/>
      <c r="C884" s="2"/>
      <c r="D884" s="2"/>
      <c r="E884" s="6"/>
      <c r="F884" s="6"/>
      <c r="G884" s="6"/>
      <c r="H884" s="2"/>
      <c r="I884" s="6"/>
      <c r="J884" s="6"/>
      <c r="K884" s="6"/>
      <c r="L884" s="6"/>
      <c r="M884" s="6"/>
      <c r="N884" s="6"/>
      <c r="O884" s="6"/>
      <c r="P884" s="6"/>
      <c r="Q884" s="6"/>
    </row>
    <row r="885">
      <c r="A885" s="2"/>
      <c r="B885" s="2"/>
      <c r="C885" s="2"/>
      <c r="D885" s="2"/>
      <c r="E885" s="6"/>
      <c r="F885" s="6"/>
      <c r="G885" s="6"/>
      <c r="H885" s="2"/>
      <c r="I885" s="6"/>
      <c r="J885" s="6"/>
      <c r="K885" s="6"/>
      <c r="L885" s="6"/>
      <c r="M885" s="6"/>
      <c r="N885" s="6"/>
      <c r="O885" s="6"/>
      <c r="P885" s="6"/>
      <c r="Q885" s="6"/>
    </row>
    <row r="886">
      <c r="A886" s="2"/>
      <c r="B886" s="2"/>
      <c r="C886" s="2"/>
      <c r="D886" s="2"/>
      <c r="E886" s="6"/>
      <c r="F886" s="6"/>
      <c r="G886" s="6"/>
      <c r="H886" s="2"/>
      <c r="I886" s="6"/>
      <c r="J886" s="6"/>
      <c r="K886" s="6"/>
      <c r="L886" s="6"/>
      <c r="M886" s="6"/>
      <c r="N886" s="6"/>
      <c r="O886" s="6"/>
      <c r="P886" s="6"/>
      <c r="Q886" s="6"/>
    </row>
    <row r="887">
      <c r="A887" s="2"/>
      <c r="B887" s="2"/>
      <c r="C887" s="2"/>
      <c r="D887" s="2"/>
      <c r="E887" s="6"/>
      <c r="F887" s="6"/>
      <c r="G887" s="6"/>
      <c r="H887" s="2"/>
      <c r="I887" s="6"/>
      <c r="J887" s="6"/>
      <c r="K887" s="6"/>
      <c r="L887" s="6"/>
      <c r="M887" s="6"/>
      <c r="N887" s="6"/>
      <c r="O887" s="6"/>
      <c r="P887" s="6"/>
      <c r="Q887" s="6"/>
    </row>
    <row r="888">
      <c r="A888" s="2"/>
      <c r="B888" s="2"/>
      <c r="C888" s="2"/>
      <c r="D888" s="2"/>
      <c r="E888" s="6"/>
      <c r="F888" s="6"/>
      <c r="G888" s="6"/>
      <c r="H888" s="2"/>
      <c r="I888" s="6"/>
      <c r="J888" s="6"/>
      <c r="K888" s="6"/>
      <c r="L888" s="6"/>
      <c r="M888" s="6"/>
      <c r="N888" s="6"/>
      <c r="O888" s="6"/>
      <c r="P888" s="6"/>
      <c r="Q888" s="6"/>
    </row>
    <row r="889">
      <c r="A889" s="2"/>
      <c r="B889" s="2"/>
      <c r="C889" s="2"/>
      <c r="D889" s="2"/>
      <c r="E889" s="6"/>
      <c r="F889" s="6"/>
      <c r="G889" s="6"/>
      <c r="H889" s="2"/>
      <c r="I889" s="6"/>
      <c r="J889" s="6"/>
      <c r="K889" s="6"/>
      <c r="L889" s="6"/>
      <c r="M889" s="6"/>
      <c r="N889" s="6"/>
      <c r="O889" s="6"/>
      <c r="P889" s="6"/>
      <c r="Q889" s="6"/>
    </row>
    <row r="890">
      <c r="A890" s="2"/>
      <c r="B890" s="2"/>
      <c r="C890" s="2"/>
      <c r="D890" s="2"/>
      <c r="E890" s="6"/>
      <c r="F890" s="6"/>
      <c r="G890" s="6"/>
      <c r="H890" s="2"/>
      <c r="I890" s="6"/>
      <c r="J890" s="6"/>
      <c r="K890" s="6"/>
      <c r="L890" s="6"/>
      <c r="M890" s="6"/>
      <c r="N890" s="6"/>
      <c r="O890" s="6"/>
      <c r="P890" s="6"/>
      <c r="Q890" s="6"/>
    </row>
    <row r="891">
      <c r="A891" s="2"/>
      <c r="B891" s="2"/>
      <c r="C891" s="2"/>
      <c r="D891" s="2"/>
      <c r="E891" s="6"/>
      <c r="F891" s="6"/>
      <c r="G891" s="6"/>
      <c r="H891" s="2"/>
      <c r="I891" s="6"/>
      <c r="J891" s="6"/>
      <c r="K891" s="6"/>
      <c r="L891" s="6"/>
      <c r="M891" s="6"/>
      <c r="N891" s="6"/>
      <c r="O891" s="6"/>
      <c r="P891" s="6"/>
      <c r="Q891" s="6"/>
    </row>
    <row r="892">
      <c r="A892" s="2"/>
      <c r="B892" s="2"/>
      <c r="C892" s="2"/>
      <c r="D892" s="2"/>
      <c r="E892" s="6"/>
      <c r="F892" s="6"/>
      <c r="G892" s="6"/>
      <c r="H892" s="2"/>
      <c r="I892" s="6"/>
      <c r="J892" s="6"/>
      <c r="K892" s="6"/>
      <c r="L892" s="6"/>
      <c r="M892" s="6"/>
      <c r="N892" s="6"/>
      <c r="O892" s="6"/>
      <c r="P892" s="6"/>
      <c r="Q892" s="6"/>
    </row>
    <row r="893">
      <c r="A893" s="2"/>
      <c r="B893" s="2"/>
      <c r="C893" s="2"/>
      <c r="D893" s="2"/>
      <c r="E893" s="6"/>
      <c r="F893" s="6"/>
      <c r="G893" s="6"/>
      <c r="H893" s="2"/>
      <c r="I893" s="6"/>
      <c r="J893" s="6"/>
      <c r="K893" s="6"/>
      <c r="L893" s="6"/>
      <c r="M893" s="6"/>
      <c r="N893" s="6"/>
      <c r="O893" s="6"/>
      <c r="P893" s="6"/>
      <c r="Q893" s="6"/>
    </row>
    <row r="894">
      <c r="A894" s="2"/>
      <c r="B894" s="2"/>
      <c r="C894" s="2"/>
      <c r="D894" s="2"/>
      <c r="E894" s="6"/>
      <c r="F894" s="6"/>
      <c r="G894" s="6"/>
      <c r="H894" s="2"/>
      <c r="I894" s="6"/>
      <c r="J894" s="6"/>
      <c r="K894" s="6"/>
      <c r="L894" s="6"/>
      <c r="M894" s="6"/>
      <c r="N894" s="6"/>
      <c r="O894" s="6"/>
      <c r="P894" s="6"/>
      <c r="Q894" s="6"/>
    </row>
    <row r="895">
      <c r="A895" s="2"/>
      <c r="B895" s="2"/>
      <c r="C895" s="2"/>
      <c r="D895" s="2"/>
      <c r="E895" s="6"/>
      <c r="F895" s="6"/>
      <c r="G895" s="6"/>
      <c r="H895" s="2"/>
      <c r="I895" s="6"/>
      <c r="J895" s="6"/>
      <c r="K895" s="6"/>
      <c r="L895" s="6"/>
      <c r="M895" s="6"/>
      <c r="N895" s="6"/>
      <c r="O895" s="6"/>
      <c r="P895" s="6"/>
      <c r="Q895" s="6"/>
    </row>
    <row r="896">
      <c r="A896" s="2"/>
      <c r="B896" s="2"/>
      <c r="C896" s="2"/>
      <c r="D896" s="2"/>
      <c r="E896" s="6"/>
      <c r="F896" s="6"/>
      <c r="G896" s="6"/>
      <c r="H896" s="2"/>
      <c r="I896" s="6"/>
      <c r="J896" s="6"/>
      <c r="K896" s="6"/>
      <c r="L896" s="6"/>
      <c r="M896" s="6"/>
      <c r="N896" s="6"/>
      <c r="O896" s="6"/>
      <c r="P896" s="6"/>
      <c r="Q896" s="6"/>
    </row>
    <row r="897">
      <c r="A897" s="2"/>
      <c r="B897" s="2"/>
      <c r="C897" s="2"/>
      <c r="D897" s="2"/>
      <c r="E897" s="6"/>
      <c r="F897" s="6"/>
      <c r="G897" s="6"/>
      <c r="H897" s="2"/>
      <c r="I897" s="6"/>
      <c r="J897" s="6"/>
      <c r="K897" s="6"/>
      <c r="L897" s="6"/>
      <c r="M897" s="6"/>
      <c r="N897" s="6"/>
      <c r="O897" s="6"/>
      <c r="P897" s="6"/>
      <c r="Q897" s="6"/>
    </row>
    <row r="898">
      <c r="A898" s="2"/>
      <c r="B898" s="2"/>
      <c r="C898" s="2"/>
      <c r="D898" s="2"/>
      <c r="E898" s="6"/>
      <c r="F898" s="6"/>
      <c r="G898" s="6"/>
      <c r="H898" s="2"/>
      <c r="I898" s="6"/>
      <c r="J898" s="6"/>
      <c r="K898" s="6"/>
      <c r="L898" s="6"/>
      <c r="M898" s="6"/>
      <c r="N898" s="6"/>
      <c r="O898" s="6"/>
      <c r="P898" s="6"/>
      <c r="Q898" s="6"/>
    </row>
    <row r="899">
      <c r="A899" s="2"/>
      <c r="B899" s="2"/>
      <c r="C899" s="2"/>
      <c r="D899" s="2"/>
      <c r="E899" s="6"/>
      <c r="F899" s="6"/>
      <c r="G899" s="6"/>
      <c r="H899" s="2"/>
      <c r="I899" s="6"/>
      <c r="J899" s="6"/>
      <c r="K899" s="6"/>
      <c r="L899" s="6"/>
      <c r="M899" s="6"/>
      <c r="N899" s="6"/>
      <c r="O899" s="6"/>
      <c r="P899" s="6"/>
      <c r="Q899" s="6"/>
    </row>
    <row r="900">
      <c r="A900" s="2"/>
      <c r="B900" s="2"/>
      <c r="C900" s="2"/>
      <c r="D900" s="2"/>
      <c r="E900" s="6"/>
      <c r="F900" s="6"/>
      <c r="G900" s="6"/>
      <c r="H900" s="2"/>
      <c r="I900" s="6"/>
      <c r="J900" s="6"/>
      <c r="K900" s="6"/>
      <c r="L900" s="6"/>
      <c r="M900" s="6"/>
      <c r="N900" s="6"/>
      <c r="O900" s="6"/>
      <c r="P900" s="6"/>
      <c r="Q900" s="6"/>
    </row>
    <row r="901">
      <c r="A901" s="2"/>
      <c r="B901" s="2"/>
      <c r="C901" s="2"/>
      <c r="D901" s="2"/>
      <c r="E901" s="6"/>
      <c r="F901" s="6"/>
      <c r="G901" s="6"/>
      <c r="H901" s="2"/>
      <c r="I901" s="6"/>
      <c r="J901" s="6"/>
      <c r="K901" s="6"/>
      <c r="L901" s="6"/>
      <c r="M901" s="6"/>
      <c r="N901" s="6"/>
      <c r="O901" s="6"/>
      <c r="P901" s="6"/>
      <c r="Q901" s="6"/>
    </row>
    <row r="902">
      <c r="A902" s="2"/>
      <c r="B902" s="2"/>
      <c r="C902" s="2"/>
      <c r="D902" s="2"/>
      <c r="E902" s="6"/>
      <c r="F902" s="6"/>
      <c r="G902" s="6"/>
      <c r="H902" s="2"/>
      <c r="I902" s="6"/>
      <c r="J902" s="6"/>
      <c r="K902" s="6"/>
      <c r="L902" s="6"/>
      <c r="M902" s="6"/>
      <c r="N902" s="6"/>
      <c r="O902" s="6"/>
      <c r="P902" s="6"/>
      <c r="Q902" s="6"/>
    </row>
    <row r="903">
      <c r="A903" s="2"/>
      <c r="B903" s="2"/>
      <c r="C903" s="2"/>
      <c r="D903" s="2"/>
      <c r="E903" s="6"/>
      <c r="F903" s="6"/>
      <c r="G903" s="6"/>
      <c r="H903" s="2"/>
      <c r="I903" s="6"/>
      <c r="J903" s="6"/>
      <c r="K903" s="6"/>
      <c r="L903" s="6"/>
      <c r="M903" s="6"/>
      <c r="N903" s="6"/>
      <c r="O903" s="6"/>
      <c r="P903" s="6"/>
      <c r="Q903" s="6"/>
    </row>
    <row r="904">
      <c r="A904" s="2"/>
      <c r="B904" s="2"/>
      <c r="C904" s="2"/>
      <c r="D904" s="2"/>
      <c r="E904" s="6"/>
      <c r="F904" s="6"/>
      <c r="G904" s="6"/>
      <c r="H904" s="2"/>
      <c r="I904" s="6"/>
      <c r="J904" s="6"/>
      <c r="K904" s="6"/>
      <c r="L904" s="6"/>
      <c r="M904" s="6"/>
      <c r="N904" s="6"/>
      <c r="O904" s="6"/>
      <c r="P904" s="6"/>
      <c r="Q904" s="6"/>
    </row>
    <row r="905">
      <c r="A905" s="2"/>
      <c r="B905" s="2"/>
      <c r="C905" s="2"/>
      <c r="D905" s="2"/>
      <c r="E905" s="6"/>
      <c r="F905" s="6"/>
      <c r="G905" s="6"/>
      <c r="H905" s="2"/>
      <c r="I905" s="6"/>
      <c r="J905" s="6"/>
      <c r="K905" s="6"/>
      <c r="L905" s="6"/>
      <c r="M905" s="6"/>
      <c r="N905" s="6"/>
      <c r="O905" s="6"/>
      <c r="P905" s="6"/>
      <c r="Q905" s="6"/>
    </row>
    <row r="906">
      <c r="A906" s="2"/>
      <c r="B906" s="2"/>
      <c r="C906" s="2"/>
      <c r="D906" s="2"/>
      <c r="E906" s="6"/>
      <c r="F906" s="6"/>
      <c r="G906" s="6"/>
      <c r="H906" s="2"/>
      <c r="I906" s="6"/>
      <c r="J906" s="6"/>
      <c r="K906" s="6"/>
      <c r="L906" s="6"/>
      <c r="M906" s="6"/>
      <c r="N906" s="6"/>
      <c r="O906" s="6"/>
      <c r="P906" s="6"/>
      <c r="Q906" s="6"/>
    </row>
    <row r="907">
      <c r="A907" s="2"/>
      <c r="B907" s="2"/>
      <c r="C907" s="2"/>
      <c r="D907" s="2"/>
      <c r="E907" s="6"/>
      <c r="F907" s="6"/>
      <c r="G907" s="6"/>
      <c r="H907" s="2"/>
      <c r="I907" s="6"/>
      <c r="J907" s="6"/>
      <c r="K907" s="6"/>
      <c r="L907" s="6"/>
      <c r="M907" s="6"/>
      <c r="N907" s="6"/>
      <c r="O907" s="6"/>
      <c r="P907" s="6"/>
      <c r="Q907" s="6"/>
    </row>
    <row r="908">
      <c r="A908" s="2"/>
      <c r="B908" s="2"/>
      <c r="C908" s="2"/>
      <c r="D908" s="2"/>
      <c r="E908" s="6"/>
      <c r="F908" s="6"/>
      <c r="G908" s="6"/>
      <c r="H908" s="2"/>
      <c r="I908" s="6"/>
      <c r="J908" s="6"/>
      <c r="K908" s="6"/>
      <c r="L908" s="6"/>
      <c r="M908" s="6"/>
      <c r="N908" s="6"/>
      <c r="O908" s="6"/>
      <c r="P908" s="6"/>
      <c r="Q908" s="6"/>
    </row>
    <row r="909">
      <c r="A909" s="2"/>
      <c r="B909" s="2"/>
      <c r="C909" s="2"/>
      <c r="D909" s="2"/>
      <c r="E909" s="6"/>
      <c r="F909" s="6"/>
      <c r="G909" s="6"/>
      <c r="H909" s="2"/>
      <c r="I909" s="6"/>
      <c r="J909" s="6"/>
      <c r="K909" s="6"/>
      <c r="L909" s="6"/>
      <c r="M909" s="6"/>
      <c r="N909" s="6"/>
      <c r="O909" s="6"/>
      <c r="P909" s="6"/>
      <c r="Q909" s="6"/>
    </row>
    <row r="910">
      <c r="A910" s="2"/>
      <c r="B910" s="2"/>
      <c r="C910" s="2"/>
      <c r="D910" s="2"/>
      <c r="E910" s="6"/>
      <c r="F910" s="6"/>
      <c r="G910" s="6"/>
      <c r="H910" s="2"/>
      <c r="I910" s="6"/>
      <c r="J910" s="6"/>
      <c r="K910" s="6"/>
      <c r="L910" s="6"/>
      <c r="M910" s="6"/>
      <c r="N910" s="6"/>
      <c r="O910" s="6"/>
      <c r="P910" s="6"/>
      <c r="Q910" s="6"/>
    </row>
    <row r="911">
      <c r="A911" s="2"/>
      <c r="B911" s="2"/>
      <c r="C911" s="2"/>
      <c r="D911" s="2"/>
      <c r="E911" s="6"/>
      <c r="F911" s="6"/>
      <c r="G911" s="6"/>
      <c r="H911" s="2"/>
      <c r="I911" s="6"/>
      <c r="J911" s="6"/>
      <c r="K911" s="6"/>
      <c r="L911" s="6"/>
      <c r="M911" s="6"/>
      <c r="N911" s="6"/>
      <c r="O911" s="6"/>
      <c r="P911" s="6"/>
      <c r="Q911" s="6"/>
    </row>
    <row r="912">
      <c r="A912" s="2"/>
      <c r="B912" s="2"/>
      <c r="C912" s="2"/>
      <c r="D912" s="2"/>
      <c r="E912" s="6"/>
      <c r="F912" s="6"/>
      <c r="G912" s="6"/>
      <c r="H912" s="2"/>
      <c r="I912" s="6"/>
      <c r="J912" s="6"/>
      <c r="K912" s="6"/>
      <c r="L912" s="6"/>
      <c r="M912" s="6"/>
      <c r="N912" s="6"/>
      <c r="O912" s="6"/>
      <c r="P912" s="6"/>
      <c r="Q912" s="6"/>
    </row>
    <row r="913">
      <c r="A913" s="2"/>
      <c r="B913" s="2"/>
      <c r="C913" s="2"/>
      <c r="D913" s="2"/>
      <c r="E913" s="6"/>
      <c r="F913" s="6"/>
      <c r="G913" s="6"/>
      <c r="H913" s="2"/>
      <c r="I913" s="6"/>
      <c r="J913" s="6"/>
      <c r="K913" s="6"/>
      <c r="L913" s="6"/>
      <c r="M913" s="6"/>
      <c r="N913" s="6"/>
      <c r="O913" s="6"/>
      <c r="P913" s="6"/>
      <c r="Q913" s="6"/>
    </row>
    <row r="914">
      <c r="A914" s="2"/>
      <c r="B914" s="2"/>
      <c r="C914" s="2"/>
      <c r="D914" s="2"/>
      <c r="E914" s="6"/>
      <c r="F914" s="6"/>
      <c r="G914" s="6"/>
      <c r="H914" s="2"/>
      <c r="I914" s="6"/>
      <c r="J914" s="6"/>
      <c r="K914" s="6"/>
      <c r="L914" s="6"/>
      <c r="M914" s="6"/>
      <c r="N914" s="6"/>
      <c r="O914" s="6"/>
      <c r="P914" s="6"/>
      <c r="Q914" s="6"/>
    </row>
    <row r="915">
      <c r="A915" s="2"/>
      <c r="B915" s="2"/>
      <c r="C915" s="2"/>
      <c r="D915" s="2"/>
      <c r="E915" s="6"/>
      <c r="F915" s="6"/>
      <c r="G915" s="6"/>
      <c r="H915" s="2"/>
      <c r="I915" s="6"/>
      <c r="J915" s="6"/>
      <c r="K915" s="6"/>
      <c r="L915" s="6"/>
      <c r="M915" s="6"/>
      <c r="N915" s="6"/>
      <c r="O915" s="6"/>
      <c r="P915" s="6"/>
      <c r="Q915" s="6"/>
    </row>
    <row r="916">
      <c r="A916" s="2"/>
      <c r="B916" s="2"/>
      <c r="C916" s="2"/>
      <c r="D916" s="2"/>
      <c r="E916" s="6"/>
      <c r="F916" s="6"/>
      <c r="G916" s="6"/>
      <c r="H916" s="2"/>
      <c r="I916" s="6"/>
      <c r="J916" s="6"/>
      <c r="K916" s="6"/>
      <c r="L916" s="6"/>
      <c r="M916" s="6"/>
      <c r="N916" s="6"/>
      <c r="O916" s="6"/>
      <c r="P916" s="6"/>
      <c r="Q916" s="6"/>
    </row>
    <row r="917">
      <c r="A917" s="2"/>
      <c r="B917" s="2"/>
      <c r="C917" s="2"/>
      <c r="D917" s="2"/>
      <c r="E917" s="6"/>
      <c r="F917" s="6"/>
      <c r="G917" s="6"/>
      <c r="H917" s="2"/>
      <c r="I917" s="6"/>
      <c r="J917" s="6"/>
      <c r="K917" s="6"/>
      <c r="L917" s="6"/>
      <c r="M917" s="6"/>
      <c r="N917" s="6"/>
      <c r="O917" s="6"/>
      <c r="P917" s="6"/>
      <c r="Q917" s="6"/>
    </row>
    <row r="918">
      <c r="A918" s="2"/>
      <c r="B918" s="2"/>
      <c r="C918" s="2"/>
      <c r="D918" s="2"/>
      <c r="E918" s="6"/>
      <c r="F918" s="6"/>
      <c r="G918" s="6"/>
      <c r="H918" s="2"/>
      <c r="I918" s="6"/>
      <c r="J918" s="6"/>
      <c r="K918" s="6"/>
      <c r="L918" s="6"/>
      <c r="M918" s="6"/>
      <c r="N918" s="6"/>
      <c r="O918" s="6"/>
      <c r="P918" s="6"/>
      <c r="Q918" s="6"/>
    </row>
    <row r="919">
      <c r="A919" s="2"/>
      <c r="B919" s="2"/>
      <c r="C919" s="2"/>
      <c r="D919" s="2"/>
      <c r="E919" s="6"/>
      <c r="F919" s="6"/>
      <c r="G919" s="6"/>
      <c r="H919" s="2"/>
      <c r="I919" s="6"/>
      <c r="J919" s="6"/>
      <c r="K919" s="6"/>
      <c r="L919" s="6"/>
      <c r="M919" s="6"/>
      <c r="N919" s="6"/>
      <c r="O919" s="6"/>
      <c r="P919" s="6"/>
      <c r="Q919" s="6"/>
    </row>
    <row r="920">
      <c r="A920" s="2"/>
      <c r="B920" s="2"/>
      <c r="C920" s="2"/>
      <c r="D920" s="2"/>
      <c r="E920" s="6"/>
      <c r="F920" s="6"/>
      <c r="G920" s="6"/>
      <c r="H920" s="2"/>
      <c r="I920" s="6"/>
      <c r="J920" s="6"/>
      <c r="K920" s="6"/>
      <c r="L920" s="6"/>
      <c r="M920" s="6"/>
      <c r="N920" s="6"/>
      <c r="O920" s="6"/>
      <c r="P920" s="6"/>
      <c r="Q920" s="6"/>
    </row>
    <row r="921">
      <c r="A921" s="2"/>
      <c r="B921" s="2"/>
      <c r="C921" s="2"/>
      <c r="D921" s="2"/>
      <c r="E921" s="6"/>
      <c r="F921" s="6"/>
      <c r="G921" s="6"/>
      <c r="H921" s="2"/>
      <c r="I921" s="6"/>
      <c r="J921" s="6"/>
      <c r="K921" s="6"/>
      <c r="L921" s="6"/>
      <c r="M921" s="6"/>
      <c r="N921" s="6"/>
      <c r="O921" s="6"/>
      <c r="P921" s="6"/>
      <c r="Q921" s="6"/>
    </row>
    <row r="922">
      <c r="A922" s="2"/>
      <c r="B922" s="2"/>
      <c r="C922" s="2"/>
      <c r="D922" s="2"/>
      <c r="E922" s="6"/>
      <c r="F922" s="6"/>
      <c r="G922" s="6"/>
      <c r="H922" s="2"/>
      <c r="I922" s="6"/>
      <c r="J922" s="6"/>
      <c r="K922" s="6"/>
      <c r="L922" s="6"/>
      <c r="M922" s="6"/>
      <c r="N922" s="6"/>
      <c r="O922" s="6"/>
      <c r="P922" s="6"/>
      <c r="Q922" s="6"/>
    </row>
    <row r="923">
      <c r="A923" s="2"/>
      <c r="B923" s="2"/>
      <c r="C923" s="2"/>
      <c r="D923" s="2"/>
      <c r="E923" s="6"/>
      <c r="F923" s="6"/>
      <c r="G923" s="6"/>
      <c r="H923" s="2"/>
      <c r="I923" s="6"/>
      <c r="J923" s="6"/>
      <c r="K923" s="6"/>
      <c r="L923" s="6"/>
      <c r="M923" s="6"/>
      <c r="N923" s="6"/>
      <c r="O923" s="6"/>
      <c r="P923" s="6"/>
      <c r="Q923" s="6"/>
    </row>
    <row r="924">
      <c r="A924" s="2"/>
      <c r="B924" s="2"/>
      <c r="C924" s="2"/>
      <c r="D924" s="2"/>
      <c r="E924" s="6"/>
      <c r="F924" s="6"/>
      <c r="G924" s="6"/>
      <c r="H924" s="2"/>
      <c r="I924" s="6"/>
      <c r="J924" s="6"/>
      <c r="K924" s="6"/>
      <c r="L924" s="6"/>
      <c r="M924" s="6"/>
      <c r="N924" s="6"/>
      <c r="O924" s="6"/>
      <c r="P924" s="6"/>
      <c r="Q924" s="6"/>
    </row>
    <row r="925">
      <c r="A925" s="2"/>
      <c r="B925" s="2"/>
      <c r="C925" s="2"/>
      <c r="D925" s="2"/>
      <c r="E925" s="6"/>
      <c r="F925" s="6"/>
      <c r="G925" s="6"/>
      <c r="H925" s="2"/>
      <c r="I925" s="6"/>
      <c r="J925" s="6"/>
      <c r="K925" s="6"/>
      <c r="L925" s="6"/>
      <c r="M925" s="6"/>
      <c r="N925" s="6"/>
      <c r="O925" s="6"/>
      <c r="P925" s="6"/>
      <c r="Q925" s="6"/>
    </row>
    <row r="926">
      <c r="A926" s="2"/>
      <c r="B926" s="2"/>
      <c r="C926" s="2"/>
      <c r="D926" s="2"/>
      <c r="E926" s="6"/>
      <c r="F926" s="6"/>
      <c r="G926" s="6"/>
      <c r="H926" s="2"/>
      <c r="I926" s="6"/>
      <c r="J926" s="6"/>
      <c r="K926" s="6"/>
      <c r="L926" s="6"/>
      <c r="M926" s="6"/>
      <c r="N926" s="6"/>
      <c r="O926" s="6"/>
      <c r="P926" s="6"/>
      <c r="Q926" s="6"/>
    </row>
    <row r="927">
      <c r="A927" s="2"/>
      <c r="B927" s="2"/>
      <c r="C927" s="2"/>
      <c r="D927" s="2"/>
      <c r="E927" s="6"/>
      <c r="F927" s="6"/>
      <c r="G927" s="6"/>
      <c r="H927" s="2"/>
      <c r="I927" s="6"/>
      <c r="J927" s="6"/>
      <c r="K927" s="6"/>
      <c r="L927" s="6"/>
      <c r="M927" s="6"/>
      <c r="N927" s="6"/>
      <c r="O927" s="6"/>
      <c r="P927" s="6"/>
      <c r="Q927" s="6"/>
    </row>
    <row r="928">
      <c r="A928" s="2"/>
      <c r="B928" s="2"/>
      <c r="C928" s="2"/>
      <c r="D928" s="2"/>
      <c r="E928" s="6"/>
      <c r="F928" s="6"/>
      <c r="G928" s="6"/>
      <c r="H928" s="2"/>
      <c r="I928" s="6"/>
      <c r="J928" s="6"/>
      <c r="K928" s="6"/>
      <c r="L928" s="6"/>
      <c r="M928" s="6"/>
      <c r="N928" s="6"/>
      <c r="O928" s="6"/>
      <c r="P928" s="6"/>
      <c r="Q928" s="6"/>
    </row>
    <row r="929">
      <c r="A929" s="2"/>
      <c r="B929" s="2"/>
      <c r="C929" s="2"/>
      <c r="D929" s="2"/>
      <c r="E929" s="6"/>
      <c r="F929" s="6"/>
      <c r="G929" s="6"/>
      <c r="H929" s="2"/>
      <c r="I929" s="6"/>
      <c r="J929" s="6"/>
      <c r="K929" s="6"/>
      <c r="L929" s="6"/>
      <c r="M929" s="6"/>
      <c r="N929" s="6"/>
      <c r="O929" s="6"/>
      <c r="P929" s="6"/>
      <c r="Q929" s="6"/>
    </row>
    <row r="930">
      <c r="A930" s="2"/>
      <c r="B930" s="2"/>
      <c r="C930" s="2"/>
      <c r="D930" s="2"/>
      <c r="E930" s="6"/>
      <c r="F930" s="6"/>
      <c r="G930" s="6"/>
      <c r="H930" s="2"/>
      <c r="I930" s="6"/>
      <c r="J930" s="6"/>
      <c r="K930" s="6"/>
      <c r="L930" s="6"/>
      <c r="M930" s="6"/>
      <c r="N930" s="6"/>
      <c r="O930" s="6"/>
      <c r="P930" s="6"/>
      <c r="Q930" s="6"/>
    </row>
    <row r="931">
      <c r="A931" s="2"/>
      <c r="B931" s="2"/>
      <c r="C931" s="2"/>
      <c r="D931" s="2"/>
      <c r="E931" s="6"/>
      <c r="F931" s="6"/>
      <c r="G931" s="6"/>
      <c r="H931" s="2"/>
      <c r="I931" s="6"/>
      <c r="J931" s="6"/>
      <c r="K931" s="6"/>
      <c r="L931" s="6"/>
      <c r="M931" s="6"/>
      <c r="N931" s="6"/>
      <c r="O931" s="6"/>
      <c r="P931" s="6"/>
      <c r="Q931" s="6"/>
    </row>
    <row r="932">
      <c r="A932" s="2"/>
      <c r="B932" s="2"/>
      <c r="C932" s="2"/>
      <c r="D932" s="2"/>
      <c r="E932" s="6"/>
      <c r="F932" s="6"/>
      <c r="G932" s="6"/>
      <c r="H932" s="2"/>
      <c r="I932" s="6"/>
      <c r="J932" s="6"/>
      <c r="K932" s="6"/>
      <c r="L932" s="6"/>
      <c r="M932" s="6"/>
      <c r="N932" s="6"/>
      <c r="O932" s="6"/>
      <c r="P932" s="6"/>
      <c r="Q932" s="6"/>
    </row>
    <row r="933">
      <c r="A933" s="2"/>
      <c r="B933" s="2"/>
      <c r="C933" s="2"/>
      <c r="D933" s="2"/>
      <c r="E933" s="6"/>
      <c r="F933" s="6"/>
      <c r="G933" s="6"/>
      <c r="H933" s="2"/>
      <c r="I933" s="6"/>
      <c r="J933" s="6"/>
      <c r="K933" s="6"/>
      <c r="L933" s="6"/>
      <c r="M933" s="6"/>
      <c r="N933" s="6"/>
      <c r="O933" s="6"/>
      <c r="P933" s="6"/>
      <c r="Q933" s="6"/>
    </row>
    <row r="934">
      <c r="A934" s="2"/>
      <c r="B934" s="2"/>
      <c r="C934" s="2"/>
      <c r="D934" s="2"/>
      <c r="E934" s="6"/>
      <c r="F934" s="6"/>
      <c r="G934" s="6"/>
      <c r="H934" s="2"/>
      <c r="I934" s="6"/>
      <c r="J934" s="6"/>
      <c r="K934" s="6"/>
      <c r="L934" s="6"/>
      <c r="M934" s="6"/>
      <c r="N934" s="6"/>
      <c r="O934" s="6"/>
      <c r="P934" s="6"/>
      <c r="Q934" s="6"/>
    </row>
    <row r="935">
      <c r="A935" s="2"/>
      <c r="B935" s="2"/>
      <c r="C935" s="2"/>
      <c r="D935" s="2"/>
      <c r="E935" s="6"/>
      <c r="F935" s="6"/>
      <c r="G935" s="6"/>
      <c r="H935" s="2"/>
      <c r="I935" s="6"/>
      <c r="J935" s="6"/>
      <c r="K935" s="6"/>
      <c r="L935" s="6"/>
      <c r="M935" s="6"/>
      <c r="N935" s="6"/>
      <c r="O935" s="6"/>
      <c r="P935" s="6"/>
      <c r="Q935" s="6"/>
    </row>
    <row r="936">
      <c r="A936" s="2"/>
      <c r="B936" s="2"/>
      <c r="C936" s="2"/>
      <c r="D936" s="2"/>
      <c r="E936" s="6"/>
      <c r="F936" s="6"/>
      <c r="G936" s="6"/>
      <c r="H936" s="2"/>
      <c r="I936" s="6"/>
      <c r="J936" s="6"/>
      <c r="K936" s="6"/>
      <c r="L936" s="6"/>
      <c r="M936" s="6"/>
      <c r="N936" s="6"/>
      <c r="O936" s="6"/>
      <c r="P936" s="6"/>
      <c r="Q936" s="6"/>
    </row>
    <row r="937">
      <c r="A937" s="2"/>
      <c r="B937" s="2"/>
      <c r="C937" s="2"/>
      <c r="D937" s="2"/>
      <c r="E937" s="6"/>
      <c r="F937" s="6"/>
      <c r="G937" s="6"/>
      <c r="H937" s="2"/>
      <c r="I937" s="6"/>
      <c r="J937" s="6"/>
      <c r="K937" s="6"/>
      <c r="L937" s="6"/>
      <c r="M937" s="6"/>
      <c r="N937" s="6"/>
      <c r="O937" s="6"/>
      <c r="P937" s="6"/>
      <c r="Q937" s="6"/>
    </row>
    <row r="938">
      <c r="A938" s="2"/>
      <c r="B938" s="2"/>
      <c r="C938" s="2"/>
      <c r="D938" s="2"/>
      <c r="E938" s="6"/>
      <c r="F938" s="6"/>
      <c r="G938" s="6"/>
      <c r="H938" s="2"/>
      <c r="I938" s="6"/>
      <c r="J938" s="6"/>
      <c r="K938" s="6"/>
      <c r="L938" s="6"/>
      <c r="M938" s="6"/>
      <c r="N938" s="6"/>
      <c r="O938" s="6"/>
      <c r="P938" s="6"/>
      <c r="Q938" s="6"/>
    </row>
    <row r="939">
      <c r="A939" s="2"/>
      <c r="B939" s="2"/>
      <c r="C939" s="2"/>
      <c r="D939" s="2"/>
      <c r="E939" s="6"/>
      <c r="F939" s="6"/>
      <c r="G939" s="6"/>
      <c r="H939" s="2"/>
      <c r="I939" s="6"/>
      <c r="J939" s="6"/>
      <c r="K939" s="6"/>
      <c r="L939" s="6"/>
      <c r="M939" s="6"/>
      <c r="N939" s="6"/>
      <c r="O939" s="6"/>
      <c r="P939" s="6"/>
      <c r="Q939" s="6"/>
    </row>
    <row r="940">
      <c r="A940" s="2"/>
      <c r="B940" s="2"/>
      <c r="C940" s="2"/>
      <c r="D940" s="2"/>
      <c r="E940" s="6"/>
      <c r="F940" s="6"/>
      <c r="G940" s="6"/>
      <c r="H940" s="2"/>
      <c r="I940" s="6"/>
      <c r="J940" s="6"/>
      <c r="K940" s="6"/>
      <c r="L940" s="6"/>
      <c r="M940" s="6"/>
      <c r="N940" s="6"/>
      <c r="O940" s="6"/>
      <c r="P940" s="6"/>
      <c r="Q940" s="6"/>
    </row>
    <row r="941">
      <c r="A941" s="2"/>
      <c r="B941" s="2"/>
      <c r="C941" s="2"/>
      <c r="D941" s="2"/>
      <c r="E941" s="6"/>
      <c r="F941" s="6"/>
      <c r="G941" s="6"/>
      <c r="H941" s="2"/>
      <c r="I941" s="6"/>
      <c r="J941" s="6"/>
      <c r="K941" s="6"/>
      <c r="L941" s="6"/>
      <c r="M941" s="6"/>
      <c r="N941" s="6"/>
      <c r="O941" s="6"/>
      <c r="P941" s="6"/>
      <c r="Q941" s="6"/>
    </row>
    <row r="942">
      <c r="A942" s="2"/>
      <c r="B942" s="2"/>
      <c r="C942" s="2"/>
      <c r="D942" s="2"/>
      <c r="E942" s="6"/>
      <c r="F942" s="6"/>
      <c r="G942" s="6"/>
      <c r="H942" s="2"/>
      <c r="I942" s="6"/>
      <c r="J942" s="6"/>
      <c r="K942" s="6"/>
      <c r="L942" s="6"/>
      <c r="M942" s="6"/>
      <c r="N942" s="6"/>
      <c r="O942" s="6"/>
      <c r="P942" s="6"/>
      <c r="Q942" s="6"/>
    </row>
    <row r="943">
      <c r="A943" s="2"/>
      <c r="B943" s="2"/>
      <c r="C943" s="2"/>
      <c r="D943" s="2"/>
      <c r="E943" s="6"/>
      <c r="F943" s="6"/>
      <c r="G943" s="6"/>
      <c r="H943" s="2"/>
      <c r="I943" s="6"/>
      <c r="J943" s="6"/>
      <c r="K943" s="6"/>
      <c r="L943" s="6"/>
      <c r="M943" s="6"/>
      <c r="N943" s="6"/>
      <c r="O943" s="6"/>
      <c r="P943" s="6"/>
      <c r="Q943" s="6"/>
    </row>
    <row r="944">
      <c r="A944" s="2"/>
      <c r="B944" s="2"/>
      <c r="C944" s="2"/>
      <c r="D944" s="2"/>
      <c r="E944" s="6"/>
      <c r="F944" s="6"/>
      <c r="G944" s="6"/>
      <c r="H944" s="2"/>
      <c r="I944" s="6"/>
      <c r="J944" s="6"/>
      <c r="K944" s="6"/>
      <c r="L944" s="6"/>
      <c r="M944" s="6"/>
      <c r="N944" s="6"/>
      <c r="O944" s="6"/>
      <c r="P944" s="6"/>
      <c r="Q944" s="6"/>
    </row>
    <row r="945">
      <c r="A945" s="2"/>
      <c r="B945" s="2"/>
      <c r="C945" s="2"/>
      <c r="D945" s="2"/>
      <c r="E945" s="6"/>
      <c r="F945" s="6"/>
      <c r="G945" s="6"/>
      <c r="H945" s="2"/>
      <c r="I945" s="6"/>
      <c r="J945" s="6"/>
      <c r="K945" s="6"/>
      <c r="L945" s="6"/>
      <c r="M945" s="6"/>
      <c r="N945" s="6"/>
      <c r="O945" s="6"/>
      <c r="P945" s="6"/>
      <c r="Q945" s="6"/>
    </row>
    <row r="946">
      <c r="A946" s="2"/>
      <c r="B946" s="2"/>
      <c r="C946" s="2"/>
      <c r="D946" s="2"/>
      <c r="E946" s="6"/>
      <c r="F946" s="6"/>
      <c r="G946" s="6"/>
      <c r="H946" s="2"/>
      <c r="I946" s="6"/>
      <c r="J946" s="6"/>
      <c r="K946" s="6"/>
      <c r="L946" s="6"/>
      <c r="M946" s="6"/>
      <c r="N946" s="6"/>
      <c r="O946" s="6"/>
      <c r="P946" s="6"/>
      <c r="Q946" s="6"/>
    </row>
    <row r="947">
      <c r="A947" s="2"/>
      <c r="B947" s="2"/>
      <c r="C947" s="2"/>
      <c r="D947" s="2"/>
      <c r="E947" s="6"/>
      <c r="F947" s="6"/>
      <c r="G947" s="6"/>
      <c r="H947" s="2"/>
      <c r="I947" s="6"/>
      <c r="J947" s="6"/>
      <c r="K947" s="6"/>
      <c r="L947" s="6"/>
      <c r="M947" s="6"/>
      <c r="N947" s="6"/>
      <c r="O947" s="6"/>
      <c r="P947" s="6"/>
      <c r="Q947" s="6"/>
    </row>
    <row r="948">
      <c r="A948" s="2"/>
      <c r="B948" s="2"/>
      <c r="C948" s="2"/>
      <c r="D948" s="2"/>
      <c r="E948" s="6"/>
      <c r="F948" s="6"/>
      <c r="G948" s="6"/>
      <c r="H948" s="2"/>
      <c r="I948" s="6"/>
      <c r="J948" s="6"/>
      <c r="K948" s="6"/>
      <c r="L948" s="6"/>
      <c r="M948" s="6"/>
      <c r="N948" s="6"/>
      <c r="O948" s="6"/>
      <c r="P948" s="6"/>
      <c r="Q948" s="6"/>
    </row>
    <row r="949">
      <c r="A949" s="2"/>
      <c r="B949" s="2"/>
      <c r="C949" s="2"/>
      <c r="D949" s="2"/>
      <c r="E949" s="6"/>
      <c r="F949" s="6"/>
      <c r="G949" s="6"/>
      <c r="H949" s="2"/>
      <c r="I949" s="6"/>
      <c r="J949" s="6"/>
      <c r="K949" s="6"/>
      <c r="L949" s="6"/>
      <c r="M949" s="6"/>
      <c r="N949" s="6"/>
      <c r="O949" s="6"/>
      <c r="P949" s="6"/>
      <c r="Q949" s="6"/>
    </row>
    <row r="950">
      <c r="A950" s="2"/>
      <c r="B950" s="2"/>
      <c r="C950" s="2"/>
      <c r="D950" s="2"/>
      <c r="E950" s="6"/>
      <c r="F950" s="6"/>
      <c r="G950" s="6"/>
      <c r="H950" s="2"/>
      <c r="I950" s="6"/>
      <c r="J950" s="6"/>
      <c r="K950" s="6"/>
      <c r="L950" s="6"/>
      <c r="M950" s="6"/>
      <c r="N950" s="6"/>
      <c r="O950" s="6"/>
      <c r="P950" s="6"/>
      <c r="Q950" s="6"/>
    </row>
    <row r="951">
      <c r="A951" s="2"/>
      <c r="B951" s="2"/>
      <c r="C951" s="2"/>
      <c r="D951" s="2"/>
      <c r="E951" s="6"/>
      <c r="F951" s="6"/>
      <c r="G951" s="6"/>
      <c r="H951" s="2"/>
      <c r="I951" s="6"/>
      <c r="J951" s="6"/>
      <c r="K951" s="6"/>
      <c r="L951" s="6"/>
      <c r="M951" s="6"/>
      <c r="N951" s="6"/>
      <c r="O951" s="6"/>
      <c r="P951" s="6"/>
      <c r="Q951" s="6"/>
    </row>
    <row r="952">
      <c r="A952" s="2"/>
      <c r="B952" s="2"/>
      <c r="C952" s="2"/>
      <c r="D952" s="2"/>
      <c r="E952" s="6"/>
      <c r="F952" s="6"/>
      <c r="G952" s="6"/>
      <c r="H952" s="2"/>
      <c r="I952" s="6"/>
      <c r="J952" s="6"/>
      <c r="K952" s="6"/>
      <c r="L952" s="6"/>
      <c r="M952" s="6"/>
      <c r="N952" s="6"/>
      <c r="O952" s="6"/>
      <c r="P952" s="6"/>
      <c r="Q952" s="6"/>
    </row>
    <row r="953">
      <c r="A953" s="2"/>
      <c r="B953" s="2"/>
      <c r="C953" s="2"/>
      <c r="D953" s="2"/>
      <c r="E953" s="6"/>
      <c r="F953" s="6"/>
      <c r="G953" s="6"/>
      <c r="H953" s="2"/>
      <c r="I953" s="6"/>
      <c r="J953" s="6"/>
      <c r="K953" s="6"/>
      <c r="L953" s="6"/>
      <c r="M953" s="6"/>
      <c r="N953" s="6"/>
      <c r="O953" s="6"/>
      <c r="P953" s="6"/>
      <c r="Q953" s="6"/>
    </row>
    <row r="954">
      <c r="A954" s="2"/>
      <c r="B954" s="2"/>
      <c r="C954" s="2"/>
      <c r="D954" s="2"/>
      <c r="E954" s="6"/>
      <c r="F954" s="6"/>
      <c r="G954" s="6"/>
      <c r="H954" s="2"/>
      <c r="I954" s="6"/>
      <c r="J954" s="6"/>
      <c r="K954" s="6"/>
      <c r="L954" s="6"/>
      <c r="M954" s="6"/>
      <c r="N954" s="6"/>
      <c r="O954" s="6"/>
      <c r="P954" s="6"/>
      <c r="Q954" s="6"/>
    </row>
    <row r="955">
      <c r="A955" s="2"/>
      <c r="B955" s="2"/>
      <c r="C955" s="2"/>
      <c r="D955" s="2"/>
      <c r="E955" s="6"/>
      <c r="F955" s="6"/>
      <c r="G955" s="6"/>
      <c r="H955" s="2"/>
      <c r="I955" s="6"/>
      <c r="J955" s="6"/>
      <c r="K955" s="6"/>
      <c r="L955" s="6"/>
      <c r="M955" s="6"/>
      <c r="N955" s="6"/>
      <c r="O955" s="6"/>
      <c r="P955" s="6"/>
      <c r="Q955" s="6"/>
    </row>
    <row r="956">
      <c r="A956" s="2"/>
      <c r="B956" s="2"/>
      <c r="C956" s="2"/>
      <c r="D956" s="2"/>
      <c r="E956" s="6"/>
      <c r="F956" s="6"/>
      <c r="G956" s="6"/>
      <c r="H956" s="2"/>
      <c r="I956" s="6"/>
      <c r="J956" s="6"/>
      <c r="K956" s="6"/>
      <c r="L956" s="6"/>
      <c r="M956" s="6"/>
      <c r="N956" s="6"/>
      <c r="O956" s="6"/>
      <c r="P956" s="6"/>
      <c r="Q956" s="6"/>
    </row>
    <row r="957">
      <c r="A957" s="2"/>
      <c r="B957" s="2"/>
      <c r="C957" s="2"/>
      <c r="D957" s="2"/>
      <c r="E957" s="6"/>
      <c r="F957" s="6"/>
      <c r="G957" s="6"/>
      <c r="H957" s="2"/>
      <c r="I957" s="6"/>
      <c r="J957" s="6"/>
      <c r="K957" s="6"/>
      <c r="L957" s="6"/>
      <c r="M957" s="6"/>
      <c r="N957" s="6"/>
      <c r="O957" s="6"/>
      <c r="P957" s="6"/>
      <c r="Q957" s="6"/>
    </row>
    <row r="958">
      <c r="A958" s="2"/>
      <c r="B958" s="2"/>
      <c r="C958" s="2"/>
      <c r="D958" s="2"/>
      <c r="E958" s="6"/>
      <c r="F958" s="6"/>
      <c r="G958" s="6"/>
      <c r="H958" s="2"/>
      <c r="I958" s="6"/>
      <c r="J958" s="6"/>
      <c r="K958" s="6"/>
      <c r="L958" s="6"/>
      <c r="M958" s="6"/>
      <c r="N958" s="6"/>
      <c r="O958" s="6"/>
      <c r="P958" s="6"/>
      <c r="Q958" s="6"/>
    </row>
    <row r="959">
      <c r="A959" s="2"/>
      <c r="B959" s="2"/>
      <c r="C959" s="2"/>
      <c r="D959" s="2"/>
      <c r="E959" s="6"/>
      <c r="F959" s="6"/>
      <c r="G959" s="6"/>
      <c r="H959" s="2"/>
      <c r="I959" s="6"/>
      <c r="J959" s="6"/>
      <c r="K959" s="6"/>
      <c r="L959" s="6"/>
      <c r="M959" s="6"/>
      <c r="N959" s="6"/>
      <c r="O959" s="6"/>
      <c r="P959" s="6"/>
      <c r="Q959" s="6"/>
    </row>
    <row r="960">
      <c r="A960" s="2"/>
      <c r="B960" s="2"/>
      <c r="C960" s="2"/>
      <c r="D960" s="2"/>
      <c r="E960" s="6"/>
      <c r="F960" s="6"/>
      <c r="G960" s="6"/>
      <c r="H960" s="2"/>
      <c r="I960" s="6"/>
      <c r="J960" s="6"/>
      <c r="K960" s="6"/>
      <c r="L960" s="6"/>
      <c r="M960" s="6"/>
      <c r="N960" s="6"/>
      <c r="O960" s="6"/>
      <c r="P960" s="6"/>
      <c r="Q960" s="6"/>
    </row>
    <row r="961">
      <c r="A961" s="2"/>
      <c r="B961" s="2"/>
      <c r="C961" s="2"/>
      <c r="D961" s="2"/>
      <c r="E961" s="6"/>
      <c r="F961" s="6"/>
      <c r="G961" s="6"/>
      <c r="H961" s="2"/>
      <c r="I961" s="6"/>
      <c r="J961" s="6"/>
      <c r="K961" s="6"/>
      <c r="L961" s="6"/>
      <c r="M961" s="6"/>
      <c r="N961" s="6"/>
      <c r="O961" s="6"/>
      <c r="P961" s="6"/>
      <c r="Q961" s="6"/>
    </row>
    <row r="962">
      <c r="A962" s="2"/>
      <c r="B962" s="2"/>
      <c r="C962" s="2"/>
      <c r="D962" s="2"/>
      <c r="E962" s="6"/>
      <c r="F962" s="6"/>
      <c r="G962" s="6"/>
      <c r="H962" s="2"/>
      <c r="I962" s="6"/>
      <c r="J962" s="6"/>
      <c r="K962" s="6"/>
      <c r="L962" s="6"/>
      <c r="M962" s="6"/>
      <c r="N962" s="6"/>
      <c r="O962" s="6"/>
      <c r="P962" s="6"/>
      <c r="Q962" s="6"/>
    </row>
    <row r="963">
      <c r="A963" s="2"/>
      <c r="B963" s="2"/>
      <c r="C963" s="2"/>
      <c r="D963" s="2"/>
      <c r="E963" s="6"/>
      <c r="F963" s="6"/>
      <c r="G963" s="6"/>
      <c r="H963" s="2"/>
      <c r="I963" s="6"/>
      <c r="J963" s="6"/>
      <c r="K963" s="6"/>
      <c r="L963" s="6"/>
      <c r="M963" s="6"/>
      <c r="N963" s="6"/>
      <c r="O963" s="6"/>
      <c r="P963" s="6"/>
      <c r="Q963" s="6"/>
    </row>
    <row r="964">
      <c r="A964" s="2"/>
      <c r="B964" s="2"/>
      <c r="C964" s="2"/>
      <c r="D964" s="2"/>
      <c r="E964" s="6"/>
      <c r="F964" s="6"/>
      <c r="G964" s="6"/>
      <c r="H964" s="2"/>
      <c r="I964" s="6"/>
      <c r="J964" s="6"/>
      <c r="K964" s="6"/>
      <c r="L964" s="6"/>
      <c r="M964" s="6"/>
      <c r="N964" s="6"/>
      <c r="O964" s="6"/>
      <c r="P964" s="6"/>
      <c r="Q964" s="6"/>
    </row>
    <row r="965">
      <c r="A965" s="2"/>
      <c r="B965" s="2"/>
      <c r="C965" s="2"/>
      <c r="D965" s="2"/>
      <c r="E965" s="6"/>
      <c r="F965" s="6"/>
      <c r="G965" s="6"/>
      <c r="H965" s="2"/>
      <c r="I965" s="6"/>
      <c r="J965" s="6"/>
      <c r="K965" s="6"/>
      <c r="L965" s="6"/>
      <c r="M965" s="6"/>
      <c r="N965" s="6"/>
      <c r="O965" s="6"/>
      <c r="P965" s="6"/>
      <c r="Q965" s="6"/>
    </row>
    <row r="966">
      <c r="A966" s="2"/>
      <c r="B966" s="2"/>
      <c r="C966" s="2"/>
      <c r="D966" s="2"/>
      <c r="E966" s="6"/>
      <c r="F966" s="6"/>
      <c r="G966" s="6"/>
      <c r="H966" s="2"/>
      <c r="I966" s="6"/>
      <c r="J966" s="6"/>
      <c r="K966" s="6"/>
      <c r="L966" s="6"/>
      <c r="M966" s="6"/>
      <c r="N966" s="6"/>
      <c r="O966" s="6"/>
      <c r="P966" s="6"/>
      <c r="Q966" s="6"/>
    </row>
    <row r="967">
      <c r="A967" s="2"/>
      <c r="B967" s="2"/>
      <c r="C967" s="2"/>
      <c r="D967" s="2"/>
      <c r="E967" s="6"/>
      <c r="F967" s="6"/>
      <c r="G967" s="6"/>
      <c r="H967" s="2"/>
      <c r="I967" s="6"/>
      <c r="J967" s="6"/>
      <c r="K967" s="6"/>
      <c r="L967" s="6"/>
      <c r="M967" s="6"/>
      <c r="N967" s="6"/>
      <c r="O967" s="6"/>
      <c r="P967" s="6"/>
      <c r="Q967" s="6"/>
    </row>
    <row r="968">
      <c r="A968" s="2"/>
      <c r="B968" s="2"/>
      <c r="C968" s="2"/>
      <c r="D968" s="2"/>
      <c r="E968" s="6"/>
      <c r="F968" s="6"/>
      <c r="G968" s="6"/>
      <c r="H968" s="2"/>
      <c r="I968" s="6"/>
      <c r="J968" s="6"/>
      <c r="K968" s="6"/>
      <c r="L968" s="6"/>
      <c r="M968" s="6"/>
      <c r="N968" s="6"/>
      <c r="O968" s="6"/>
      <c r="P968" s="6"/>
      <c r="Q968" s="6"/>
    </row>
    <row r="969">
      <c r="A969" s="2"/>
      <c r="B969" s="2"/>
      <c r="C969" s="2"/>
      <c r="D969" s="2"/>
      <c r="E969" s="6"/>
      <c r="F969" s="6"/>
      <c r="G969" s="6"/>
      <c r="H969" s="2"/>
      <c r="I969" s="6"/>
      <c r="J969" s="6"/>
      <c r="K969" s="6"/>
      <c r="L969" s="6"/>
      <c r="M969" s="6"/>
      <c r="N969" s="6"/>
      <c r="O969" s="6"/>
      <c r="P969" s="6"/>
      <c r="Q969" s="6"/>
    </row>
    <row r="970">
      <c r="A970" s="2"/>
      <c r="B970" s="2"/>
      <c r="C970" s="2"/>
      <c r="D970" s="2"/>
      <c r="E970" s="6"/>
      <c r="F970" s="6"/>
      <c r="G970" s="6"/>
      <c r="H970" s="2"/>
      <c r="I970" s="6"/>
      <c r="J970" s="6"/>
      <c r="K970" s="6"/>
      <c r="L970" s="6"/>
      <c r="M970" s="6"/>
      <c r="N970" s="6"/>
      <c r="O970" s="6"/>
      <c r="P970" s="6"/>
      <c r="Q970" s="6"/>
    </row>
    <row r="971">
      <c r="A971" s="2"/>
      <c r="B971" s="2"/>
      <c r="C971" s="2"/>
      <c r="D971" s="2"/>
      <c r="E971" s="6"/>
      <c r="F971" s="6"/>
      <c r="G971" s="6"/>
      <c r="H971" s="2"/>
      <c r="I971" s="6"/>
      <c r="J971" s="6"/>
      <c r="K971" s="6"/>
      <c r="L971" s="6"/>
      <c r="M971" s="6"/>
      <c r="N971" s="6"/>
      <c r="O971" s="6"/>
      <c r="P971" s="6"/>
      <c r="Q971" s="6"/>
    </row>
    <row r="972">
      <c r="A972" s="2"/>
      <c r="B972" s="2"/>
      <c r="C972" s="2"/>
      <c r="D972" s="2"/>
      <c r="E972" s="6"/>
      <c r="F972" s="6"/>
      <c r="G972" s="6"/>
      <c r="H972" s="2"/>
      <c r="I972" s="6"/>
      <c r="J972" s="6"/>
      <c r="K972" s="6"/>
      <c r="L972" s="6"/>
      <c r="M972" s="6"/>
      <c r="N972" s="6"/>
      <c r="O972" s="6"/>
      <c r="P972" s="6"/>
      <c r="Q972" s="6"/>
    </row>
    <row r="973">
      <c r="A973" s="2"/>
      <c r="B973" s="2"/>
      <c r="C973" s="2"/>
      <c r="D973" s="2"/>
      <c r="E973" s="6"/>
      <c r="F973" s="6"/>
      <c r="G973" s="6"/>
      <c r="H973" s="2"/>
      <c r="I973" s="6"/>
      <c r="J973" s="6"/>
      <c r="K973" s="6"/>
      <c r="L973" s="6"/>
      <c r="M973" s="6"/>
      <c r="N973" s="6"/>
      <c r="O973" s="6"/>
      <c r="P973" s="6"/>
      <c r="Q973" s="6"/>
    </row>
    <row r="974">
      <c r="A974" s="2"/>
      <c r="B974" s="2"/>
      <c r="C974" s="2"/>
      <c r="D974" s="2"/>
      <c r="E974" s="6"/>
      <c r="F974" s="6"/>
      <c r="G974" s="6"/>
      <c r="H974" s="2"/>
      <c r="I974" s="6"/>
      <c r="J974" s="6"/>
      <c r="K974" s="6"/>
      <c r="L974" s="6"/>
      <c r="M974" s="6"/>
      <c r="N974" s="6"/>
      <c r="O974" s="6"/>
      <c r="P974" s="6"/>
      <c r="Q974" s="6"/>
    </row>
    <row r="975">
      <c r="A975" s="2"/>
      <c r="B975" s="2"/>
      <c r="C975" s="2"/>
      <c r="D975" s="2"/>
      <c r="E975" s="6"/>
      <c r="F975" s="6"/>
      <c r="G975" s="6"/>
      <c r="H975" s="2"/>
      <c r="I975" s="6"/>
      <c r="J975" s="6"/>
      <c r="K975" s="6"/>
      <c r="L975" s="6"/>
      <c r="M975" s="6"/>
      <c r="N975" s="6"/>
      <c r="O975" s="6"/>
      <c r="P975" s="6"/>
      <c r="Q975" s="6"/>
    </row>
    <row r="976">
      <c r="A976" s="2"/>
      <c r="B976" s="2"/>
      <c r="C976" s="2"/>
      <c r="D976" s="2"/>
      <c r="E976" s="6"/>
      <c r="F976" s="6"/>
      <c r="G976" s="6"/>
      <c r="H976" s="2"/>
      <c r="I976" s="6"/>
      <c r="J976" s="6"/>
      <c r="K976" s="6"/>
      <c r="L976" s="6"/>
      <c r="M976" s="6"/>
      <c r="N976" s="6"/>
      <c r="O976" s="6"/>
      <c r="P976" s="6"/>
      <c r="Q976" s="6"/>
    </row>
    <row r="977">
      <c r="A977" s="2"/>
      <c r="B977" s="2"/>
      <c r="C977" s="2"/>
      <c r="D977" s="2"/>
      <c r="E977" s="6"/>
      <c r="F977" s="6"/>
      <c r="G977" s="6"/>
      <c r="H977" s="2"/>
      <c r="I977" s="6"/>
      <c r="J977" s="6"/>
      <c r="K977" s="6"/>
      <c r="L977" s="6"/>
      <c r="M977" s="6"/>
      <c r="N977" s="6"/>
      <c r="O977" s="6"/>
      <c r="P977" s="6"/>
      <c r="Q977" s="6"/>
    </row>
    <row r="978">
      <c r="A978" s="2"/>
      <c r="B978" s="2"/>
      <c r="C978" s="2"/>
      <c r="D978" s="2"/>
      <c r="E978" s="6"/>
      <c r="F978" s="6"/>
      <c r="G978" s="6"/>
      <c r="H978" s="2"/>
      <c r="I978" s="6"/>
      <c r="J978" s="6"/>
      <c r="K978" s="6"/>
      <c r="L978" s="6"/>
      <c r="M978" s="6"/>
      <c r="N978" s="6"/>
      <c r="O978" s="6"/>
      <c r="P978" s="6"/>
      <c r="Q978" s="6"/>
    </row>
    <row r="979">
      <c r="A979" s="2"/>
      <c r="B979" s="2"/>
      <c r="C979" s="2"/>
      <c r="D979" s="2"/>
      <c r="E979" s="6"/>
      <c r="F979" s="6"/>
      <c r="G979" s="6"/>
      <c r="H979" s="2"/>
      <c r="I979" s="6"/>
      <c r="J979" s="6"/>
      <c r="K979" s="6"/>
      <c r="L979" s="6"/>
      <c r="M979" s="6"/>
      <c r="N979" s="6"/>
      <c r="O979" s="6"/>
      <c r="P979" s="6"/>
      <c r="Q979" s="6"/>
    </row>
    <row r="980">
      <c r="A980" s="2"/>
      <c r="B980" s="2"/>
      <c r="C980" s="2"/>
      <c r="D980" s="2"/>
      <c r="E980" s="6"/>
      <c r="F980" s="6"/>
      <c r="G980" s="6"/>
      <c r="H980" s="2"/>
      <c r="I980" s="6"/>
      <c r="J980" s="6"/>
      <c r="K980" s="6"/>
      <c r="L980" s="6"/>
      <c r="M980" s="6"/>
      <c r="N980" s="6"/>
      <c r="O980" s="6"/>
      <c r="P980" s="6"/>
      <c r="Q980" s="6"/>
    </row>
    <row r="981">
      <c r="A981" s="2"/>
      <c r="B981" s="2"/>
      <c r="C981" s="2"/>
      <c r="D981" s="2"/>
      <c r="E981" s="6"/>
      <c r="F981" s="6"/>
      <c r="G981" s="6"/>
      <c r="H981" s="2"/>
      <c r="I981" s="6"/>
      <c r="J981" s="6"/>
      <c r="K981" s="6"/>
      <c r="L981" s="6"/>
      <c r="M981" s="6"/>
      <c r="N981" s="6"/>
      <c r="O981" s="6"/>
      <c r="P981" s="6"/>
      <c r="Q981" s="6"/>
    </row>
    <row r="982">
      <c r="A982" s="2"/>
      <c r="B982" s="2"/>
      <c r="C982" s="2"/>
      <c r="D982" s="2"/>
      <c r="E982" s="6"/>
      <c r="F982" s="6"/>
      <c r="G982" s="6"/>
      <c r="H982" s="2"/>
      <c r="I982" s="6"/>
      <c r="J982" s="6"/>
      <c r="K982" s="6"/>
      <c r="L982" s="6"/>
      <c r="M982" s="6"/>
      <c r="N982" s="6"/>
      <c r="O982" s="6"/>
      <c r="P982" s="6"/>
      <c r="Q982" s="6"/>
    </row>
    <row r="983">
      <c r="A983" s="2"/>
      <c r="B983" s="2"/>
      <c r="C983" s="2"/>
      <c r="D983" s="2"/>
      <c r="E983" s="6"/>
      <c r="F983" s="6"/>
      <c r="G983" s="6"/>
      <c r="H983" s="2"/>
      <c r="I983" s="6"/>
      <c r="J983" s="6"/>
      <c r="K983" s="6"/>
      <c r="L983" s="6"/>
      <c r="M983" s="6"/>
      <c r="N983" s="6"/>
      <c r="O983" s="6"/>
      <c r="P983" s="6"/>
      <c r="Q983" s="6"/>
    </row>
    <row r="984">
      <c r="A984" s="2"/>
      <c r="B984" s="2"/>
      <c r="C984" s="2"/>
      <c r="D984" s="2"/>
      <c r="E984" s="6"/>
      <c r="F984" s="6"/>
      <c r="G984" s="6"/>
      <c r="H984" s="2"/>
      <c r="I984" s="6"/>
      <c r="J984" s="6"/>
      <c r="K984" s="6"/>
      <c r="L984" s="6"/>
      <c r="M984" s="6"/>
      <c r="N984" s="6"/>
      <c r="O984" s="6"/>
      <c r="P984" s="6"/>
      <c r="Q984" s="6"/>
    </row>
    <row r="985">
      <c r="A985" s="2"/>
      <c r="B985" s="2"/>
      <c r="C985" s="2"/>
      <c r="D985" s="2"/>
      <c r="E985" s="6"/>
      <c r="F985" s="6"/>
      <c r="G985" s="6"/>
      <c r="H985" s="2"/>
      <c r="I985" s="6"/>
      <c r="J985" s="6"/>
      <c r="K985" s="6"/>
      <c r="L985" s="6"/>
      <c r="M985" s="6"/>
      <c r="N985" s="6"/>
      <c r="O985" s="6"/>
      <c r="P985" s="6"/>
      <c r="Q985" s="6"/>
    </row>
    <row r="986">
      <c r="A986" s="2"/>
      <c r="B986" s="2"/>
      <c r="C986" s="2"/>
      <c r="D986" s="2"/>
      <c r="E986" s="6"/>
      <c r="F986" s="6"/>
      <c r="G986" s="6"/>
      <c r="H986" s="2"/>
      <c r="I986" s="6"/>
      <c r="J986" s="6"/>
      <c r="K986" s="6"/>
      <c r="L986" s="6"/>
      <c r="M986" s="6"/>
      <c r="N986" s="6"/>
      <c r="O986" s="6"/>
      <c r="P986" s="6"/>
      <c r="Q986" s="6"/>
    </row>
    <row r="987">
      <c r="A987" s="2"/>
      <c r="B987" s="2"/>
      <c r="C987" s="2"/>
      <c r="D987" s="2"/>
      <c r="E987" s="6"/>
      <c r="F987" s="6"/>
      <c r="G987" s="6"/>
      <c r="H987" s="2"/>
      <c r="I987" s="6"/>
      <c r="J987" s="6"/>
      <c r="K987" s="6"/>
      <c r="L987" s="6"/>
      <c r="M987" s="6"/>
      <c r="N987" s="6"/>
      <c r="O987" s="6"/>
      <c r="P987" s="6"/>
      <c r="Q987" s="6"/>
    </row>
    <row r="988">
      <c r="A988" s="2"/>
      <c r="B988" s="2"/>
      <c r="C988" s="2"/>
      <c r="D988" s="2"/>
      <c r="E988" s="6"/>
      <c r="F988" s="6"/>
      <c r="G988" s="6"/>
      <c r="H988" s="2"/>
      <c r="I988" s="6"/>
      <c r="J988" s="6"/>
      <c r="K988" s="6"/>
      <c r="L988" s="6"/>
      <c r="M988" s="6"/>
      <c r="N988" s="6"/>
      <c r="O988" s="6"/>
      <c r="P988" s="6"/>
      <c r="Q988" s="6"/>
    </row>
    <row r="989">
      <c r="A989" s="2"/>
      <c r="B989" s="2"/>
      <c r="C989" s="2"/>
      <c r="D989" s="2"/>
      <c r="E989" s="6"/>
      <c r="F989" s="6"/>
      <c r="G989" s="6"/>
      <c r="H989" s="2"/>
      <c r="I989" s="6"/>
      <c r="J989" s="6"/>
      <c r="K989" s="6"/>
      <c r="L989" s="6"/>
      <c r="M989" s="6"/>
      <c r="N989" s="6"/>
      <c r="O989" s="6"/>
      <c r="P989" s="6"/>
      <c r="Q989" s="6"/>
    </row>
    <row r="990">
      <c r="A990" s="2"/>
      <c r="B990" s="2"/>
      <c r="C990" s="2"/>
      <c r="D990" s="2"/>
      <c r="E990" s="6"/>
      <c r="F990" s="6"/>
      <c r="G990" s="6"/>
      <c r="H990" s="2"/>
      <c r="I990" s="6"/>
      <c r="J990" s="6"/>
      <c r="K990" s="6"/>
      <c r="L990" s="6"/>
      <c r="M990" s="6"/>
      <c r="N990" s="6"/>
      <c r="O990" s="6"/>
      <c r="P990" s="6"/>
      <c r="Q990" s="6"/>
    </row>
    <row r="991">
      <c r="A991" s="2"/>
      <c r="B991" s="2"/>
      <c r="C991" s="2"/>
      <c r="D991" s="2"/>
      <c r="E991" s="6"/>
      <c r="F991" s="6"/>
      <c r="G991" s="6"/>
      <c r="H991" s="2"/>
      <c r="I991" s="6"/>
      <c r="J991" s="6"/>
      <c r="K991" s="6"/>
      <c r="L991" s="6"/>
      <c r="M991" s="6"/>
      <c r="N991" s="6"/>
      <c r="O991" s="6"/>
      <c r="P991" s="6"/>
      <c r="Q991" s="6"/>
    </row>
    <row r="992">
      <c r="A992" s="2"/>
      <c r="B992" s="2"/>
      <c r="C992" s="2"/>
      <c r="D992" s="2"/>
      <c r="E992" s="6"/>
      <c r="F992" s="6"/>
      <c r="G992" s="6"/>
      <c r="H992" s="2"/>
      <c r="I992" s="6"/>
      <c r="J992" s="6"/>
      <c r="K992" s="6"/>
      <c r="L992" s="6"/>
      <c r="M992" s="6"/>
      <c r="N992" s="6"/>
      <c r="O992" s="6"/>
      <c r="P992" s="6"/>
      <c r="Q992" s="6"/>
    </row>
    <row r="993">
      <c r="A993" s="2"/>
      <c r="B993" s="2"/>
      <c r="C993" s="2"/>
      <c r="D993" s="2"/>
      <c r="E993" s="6"/>
      <c r="F993" s="6"/>
      <c r="G993" s="6"/>
      <c r="H993" s="2"/>
      <c r="I993" s="6"/>
      <c r="J993" s="6"/>
      <c r="K993" s="6"/>
      <c r="L993" s="6"/>
      <c r="M993" s="6"/>
      <c r="N993" s="6"/>
      <c r="O993" s="6"/>
      <c r="P993" s="6"/>
      <c r="Q993" s="6"/>
    </row>
    <row r="994">
      <c r="A994" s="2"/>
      <c r="B994" s="2"/>
      <c r="C994" s="2"/>
      <c r="D994" s="2"/>
      <c r="E994" s="6"/>
      <c r="F994" s="6"/>
      <c r="G994" s="6"/>
      <c r="H994" s="2"/>
      <c r="I994" s="6"/>
      <c r="J994" s="6"/>
      <c r="K994" s="6"/>
      <c r="L994" s="6"/>
      <c r="M994" s="6"/>
      <c r="N994" s="6"/>
      <c r="O994" s="6"/>
      <c r="P994" s="6"/>
      <c r="Q994" s="6"/>
    </row>
    <row r="995">
      <c r="A995" s="2"/>
      <c r="B995" s="2"/>
      <c r="C995" s="2"/>
      <c r="D995" s="2"/>
      <c r="E995" s="6"/>
      <c r="F995" s="6"/>
      <c r="G995" s="6"/>
      <c r="H995" s="2"/>
      <c r="I995" s="6"/>
      <c r="J995" s="6"/>
      <c r="K995" s="6"/>
      <c r="L995" s="6"/>
      <c r="M995" s="6"/>
      <c r="N995" s="6"/>
      <c r="O995" s="6"/>
      <c r="P995" s="6"/>
      <c r="Q995" s="6"/>
    </row>
    <row r="996">
      <c r="A996" s="2"/>
      <c r="B996" s="2"/>
      <c r="C996" s="2"/>
      <c r="D996" s="2"/>
      <c r="E996" s="6"/>
      <c r="F996" s="6"/>
      <c r="G996" s="6"/>
      <c r="H996" s="2"/>
      <c r="I996" s="6"/>
      <c r="J996" s="6"/>
      <c r="K996" s="6"/>
      <c r="L996" s="6"/>
      <c r="M996" s="6"/>
      <c r="N996" s="6"/>
      <c r="O996" s="6"/>
      <c r="P996" s="6"/>
      <c r="Q996" s="6"/>
    </row>
    <row r="997">
      <c r="A997" s="2"/>
      <c r="B997" s="2"/>
      <c r="C997" s="2"/>
      <c r="D997" s="2"/>
      <c r="E997" s="6"/>
      <c r="F997" s="6"/>
      <c r="G997" s="6"/>
      <c r="H997" s="2"/>
      <c r="I997" s="6"/>
      <c r="J997" s="6"/>
      <c r="K997" s="6"/>
      <c r="L997" s="6"/>
      <c r="M997" s="6"/>
      <c r="N997" s="6"/>
      <c r="O997" s="6"/>
      <c r="P997" s="6"/>
      <c r="Q997" s="6"/>
    </row>
    <row r="998">
      <c r="A998" s="2"/>
      <c r="B998" s="2"/>
      <c r="C998" s="2"/>
      <c r="D998" s="2"/>
      <c r="E998" s="6"/>
      <c r="F998" s="6"/>
      <c r="G998" s="6"/>
      <c r="H998" s="2"/>
      <c r="I998" s="6"/>
      <c r="J998" s="6"/>
      <c r="K998" s="6"/>
      <c r="L998" s="6"/>
      <c r="M998" s="6"/>
      <c r="N998" s="6"/>
      <c r="O998" s="6"/>
      <c r="P998" s="6"/>
      <c r="Q998" s="6"/>
    </row>
    <row r="999">
      <c r="A999" s="2"/>
      <c r="B999" s="2"/>
      <c r="C999" s="2"/>
      <c r="D999" s="2"/>
      <c r="E999" s="6"/>
      <c r="F999" s="6"/>
      <c r="G999" s="6"/>
      <c r="H999" s="2"/>
      <c r="I999" s="6"/>
      <c r="J999" s="6"/>
      <c r="K999" s="6"/>
      <c r="L999" s="6"/>
      <c r="M999" s="6"/>
      <c r="N999" s="6"/>
      <c r="O999" s="6"/>
      <c r="P999" s="6"/>
      <c r="Q999" s="6"/>
    </row>
    <row r="1000">
      <c r="A1000" s="2"/>
      <c r="B1000" s="2"/>
      <c r="C1000" s="2"/>
      <c r="D1000" s="2"/>
      <c r="E1000" s="6"/>
      <c r="F1000" s="6"/>
      <c r="G1000" s="6"/>
      <c r="H1000" s="2"/>
      <c r="I1000" s="6"/>
      <c r="J1000" s="6"/>
      <c r="K1000" s="6"/>
      <c r="L1000" s="6"/>
      <c r="M1000" s="6"/>
      <c r="N1000" s="6"/>
      <c r="O1000" s="6"/>
      <c r="P1000" s="6"/>
      <c r="Q1000" s="6"/>
    </row>
    <row r="1001">
      <c r="A1001" s="2"/>
      <c r="B1001" s="2"/>
      <c r="C1001" s="2"/>
      <c r="D1001" s="2"/>
      <c r="E1001" s="6"/>
      <c r="F1001" s="6"/>
      <c r="G1001" s="6"/>
      <c r="H1001" s="2"/>
      <c r="I1001" s="6"/>
      <c r="J1001" s="6"/>
      <c r="K1001" s="6"/>
      <c r="L1001" s="6"/>
      <c r="M1001" s="6"/>
      <c r="N1001" s="6"/>
      <c r="O1001" s="6"/>
      <c r="P1001" s="6"/>
      <c r="Q1001" s="6"/>
    </row>
    <row r="1002">
      <c r="A1002" s="2"/>
      <c r="B1002" s="2"/>
      <c r="C1002" s="2"/>
      <c r="D1002" s="2"/>
      <c r="E1002" s="6"/>
      <c r="F1002" s="6"/>
      <c r="G1002" s="6"/>
      <c r="H1002" s="2"/>
      <c r="I1002" s="6"/>
      <c r="J1002" s="6"/>
      <c r="K1002" s="6"/>
      <c r="L1002" s="6"/>
      <c r="M1002" s="6"/>
      <c r="N1002" s="6"/>
      <c r="O1002" s="6"/>
      <c r="P1002" s="6"/>
      <c r="Q1002" s="6"/>
    </row>
    <row r="1003">
      <c r="A1003" s="2"/>
      <c r="B1003" s="2"/>
      <c r="C1003" s="2"/>
      <c r="D1003" s="2"/>
      <c r="E1003" s="6"/>
      <c r="F1003" s="6"/>
      <c r="G1003" s="6"/>
      <c r="H1003" s="2"/>
      <c r="I1003" s="6"/>
      <c r="J1003" s="6"/>
      <c r="K1003" s="6"/>
      <c r="L1003" s="6"/>
      <c r="M1003" s="6"/>
      <c r="N1003" s="6"/>
      <c r="O1003" s="6"/>
      <c r="P1003" s="6"/>
      <c r="Q1003" s="6"/>
    </row>
    <row r="1004">
      <c r="A1004" s="2"/>
      <c r="B1004" s="2"/>
      <c r="C1004" s="2"/>
      <c r="D1004" s="2"/>
      <c r="E1004" s="6"/>
      <c r="F1004" s="6"/>
      <c r="G1004" s="6"/>
      <c r="H1004" s="2"/>
      <c r="I1004" s="6"/>
      <c r="J1004" s="6"/>
      <c r="K1004" s="6"/>
      <c r="L1004" s="6"/>
      <c r="M1004" s="6"/>
      <c r="N1004" s="6"/>
      <c r="O1004" s="6"/>
      <c r="P1004" s="6"/>
      <c r="Q1004" s="6"/>
    </row>
    <row r="1005">
      <c r="A1005" s="2"/>
      <c r="B1005" s="2"/>
      <c r="C1005" s="2"/>
      <c r="D1005" s="2"/>
      <c r="E1005" s="6"/>
      <c r="F1005" s="6"/>
      <c r="G1005" s="6"/>
      <c r="H1005" s="2"/>
      <c r="I1005" s="6"/>
      <c r="J1005" s="6"/>
      <c r="K1005" s="6"/>
      <c r="L1005" s="6"/>
      <c r="M1005" s="6"/>
      <c r="N1005" s="6"/>
      <c r="O1005" s="6"/>
      <c r="P1005" s="6"/>
      <c r="Q1005" s="6"/>
    </row>
    <row r="1006">
      <c r="A1006" s="2"/>
      <c r="B1006" s="2"/>
      <c r="C1006" s="2"/>
      <c r="D1006" s="2"/>
      <c r="E1006" s="6"/>
      <c r="F1006" s="6"/>
      <c r="G1006" s="6"/>
      <c r="H1006" s="2"/>
      <c r="I1006" s="6"/>
      <c r="J1006" s="6"/>
      <c r="K1006" s="6"/>
      <c r="L1006" s="6"/>
      <c r="M1006" s="6"/>
      <c r="N1006" s="6"/>
      <c r="O1006" s="6"/>
      <c r="P1006" s="6"/>
      <c r="Q1006" s="6"/>
    </row>
    <row r="1007">
      <c r="A1007" s="2"/>
      <c r="B1007" s="2"/>
      <c r="C1007" s="2"/>
      <c r="D1007" s="2"/>
      <c r="E1007" s="6"/>
      <c r="F1007" s="6"/>
      <c r="G1007" s="6"/>
      <c r="H1007" s="2"/>
      <c r="I1007" s="6"/>
      <c r="J1007" s="6"/>
      <c r="K1007" s="6"/>
      <c r="L1007" s="6"/>
      <c r="M1007" s="6"/>
      <c r="N1007" s="6"/>
      <c r="O1007" s="6"/>
      <c r="P1007" s="6"/>
      <c r="Q1007" s="6"/>
    </row>
    <row r="1008">
      <c r="A1008" s="2"/>
      <c r="B1008" s="2"/>
      <c r="C1008" s="2"/>
      <c r="D1008" s="2"/>
      <c r="E1008" s="6"/>
      <c r="F1008" s="6"/>
      <c r="G1008" s="6"/>
      <c r="H1008" s="2"/>
      <c r="I1008" s="6"/>
      <c r="J1008" s="6"/>
      <c r="K1008" s="6"/>
      <c r="L1008" s="6"/>
      <c r="M1008" s="6"/>
      <c r="N1008" s="6"/>
      <c r="O1008" s="6"/>
      <c r="P1008" s="6"/>
      <c r="Q1008" s="6"/>
    </row>
    <row r="1009">
      <c r="A1009" s="2"/>
      <c r="B1009" s="2"/>
      <c r="C1009" s="2"/>
      <c r="D1009" s="2"/>
      <c r="E1009" s="6"/>
      <c r="F1009" s="6"/>
      <c r="G1009" s="6"/>
      <c r="H1009" s="2"/>
      <c r="I1009" s="6"/>
      <c r="J1009" s="6"/>
      <c r="K1009" s="6"/>
      <c r="L1009" s="6"/>
      <c r="M1009" s="6"/>
      <c r="N1009" s="6"/>
      <c r="O1009" s="6"/>
      <c r="P1009" s="6"/>
      <c r="Q1009" s="6"/>
    </row>
    <row r="1010">
      <c r="A1010" s="2"/>
      <c r="B1010" s="2"/>
      <c r="C1010" s="2"/>
      <c r="D1010" s="2"/>
      <c r="E1010" s="6"/>
      <c r="F1010" s="6"/>
      <c r="G1010" s="6"/>
      <c r="H1010" s="2"/>
      <c r="I1010" s="6"/>
      <c r="J1010" s="6"/>
      <c r="K1010" s="6"/>
      <c r="L1010" s="6"/>
      <c r="M1010" s="6"/>
      <c r="N1010" s="6"/>
      <c r="O1010" s="6"/>
      <c r="P1010" s="6"/>
      <c r="Q1010" s="6"/>
    </row>
    <row r="1011">
      <c r="A1011" s="2"/>
      <c r="B1011" s="2"/>
      <c r="C1011" s="2"/>
      <c r="D1011" s="2"/>
      <c r="E1011" s="6"/>
      <c r="F1011" s="6"/>
      <c r="G1011" s="6"/>
      <c r="H1011" s="2"/>
      <c r="I1011" s="6"/>
      <c r="J1011" s="6"/>
      <c r="K1011" s="6"/>
      <c r="L1011" s="6"/>
      <c r="M1011" s="6"/>
      <c r="N1011" s="6"/>
      <c r="O1011" s="6"/>
      <c r="P1011" s="6"/>
      <c r="Q1011" s="6"/>
    </row>
    <row r="1012">
      <c r="A1012" s="2"/>
      <c r="B1012" s="2"/>
      <c r="C1012" s="2"/>
      <c r="D1012" s="2"/>
      <c r="E1012" s="6"/>
      <c r="F1012" s="6"/>
      <c r="G1012" s="6"/>
      <c r="H1012" s="2"/>
      <c r="I1012" s="6"/>
      <c r="J1012" s="6"/>
      <c r="K1012" s="6"/>
      <c r="L1012" s="6"/>
      <c r="M1012" s="6"/>
      <c r="N1012" s="6"/>
      <c r="O1012" s="6"/>
      <c r="P1012" s="6"/>
      <c r="Q1012" s="6"/>
    </row>
    <row r="1013">
      <c r="A1013" s="2"/>
      <c r="B1013" s="2"/>
      <c r="C1013" s="2"/>
      <c r="D1013" s="2"/>
      <c r="E1013" s="6"/>
      <c r="F1013" s="6"/>
      <c r="G1013" s="6"/>
      <c r="H1013" s="2"/>
      <c r="I1013" s="6"/>
      <c r="J1013" s="6"/>
      <c r="K1013" s="6"/>
      <c r="L1013" s="6"/>
      <c r="M1013" s="6"/>
      <c r="N1013" s="6"/>
      <c r="O1013" s="6"/>
      <c r="P1013" s="6"/>
      <c r="Q1013" s="6"/>
    </row>
    <row r="1014">
      <c r="A1014" s="2"/>
      <c r="B1014" s="2"/>
      <c r="C1014" s="2"/>
      <c r="D1014" s="2"/>
      <c r="E1014" s="6"/>
      <c r="F1014" s="6"/>
      <c r="G1014" s="6"/>
      <c r="H1014" s="2"/>
      <c r="I1014" s="6"/>
      <c r="J1014" s="6"/>
      <c r="K1014" s="6"/>
      <c r="L1014" s="6"/>
      <c r="M1014" s="6"/>
      <c r="N1014" s="6"/>
      <c r="O1014" s="6"/>
      <c r="P1014" s="6"/>
      <c r="Q1014" s="6"/>
    </row>
    <row r="1015">
      <c r="A1015" s="2"/>
      <c r="B1015" s="2"/>
      <c r="C1015" s="2"/>
      <c r="D1015" s="2"/>
      <c r="E1015" s="6"/>
      <c r="F1015" s="6"/>
      <c r="G1015" s="6"/>
      <c r="H1015" s="2"/>
      <c r="I1015" s="6"/>
      <c r="J1015" s="6"/>
      <c r="K1015" s="6"/>
      <c r="L1015" s="6"/>
      <c r="M1015" s="6"/>
      <c r="N1015" s="6"/>
      <c r="O1015" s="6"/>
      <c r="P1015" s="6"/>
      <c r="Q1015" s="6"/>
    </row>
    <row r="1016">
      <c r="A1016" s="2"/>
      <c r="B1016" s="2"/>
      <c r="C1016" s="2"/>
      <c r="D1016" s="2"/>
      <c r="E1016" s="6"/>
      <c r="F1016" s="6"/>
      <c r="G1016" s="6"/>
      <c r="H1016" s="2"/>
      <c r="I1016" s="6"/>
      <c r="J1016" s="6"/>
      <c r="K1016" s="6"/>
      <c r="L1016" s="6"/>
      <c r="M1016" s="6"/>
      <c r="N1016" s="6"/>
      <c r="O1016" s="6"/>
      <c r="P1016" s="6"/>
      <c r="Q1016" s="6"/>
    </row>
    <row r="1017">
      <c r="A1017" s="2"/>
      <c r="B1017" s="2"/>
      <c r="C1017" s="2"/>
      <c r="D1017" s="2"/>
      <c r="E1017" s="6"/>
      <c r="F1017" s="6"/>
      <c r="G1017" s="6"/>
      <c r="H1017" s="2"/>
      <c r="I1017" s="6"/>
      <c r="J1017" s="6"/>
      <c r="K1017" s="6"/>
      <c r="L1017" s="6"/>
      <c r="M1017" s="6"/>
      <c r="N1017" s="6"/>
      <c r="O1017" s="6"/>
      <c r="P1017" s="6"/>
      <c r="Q1017" s="6"/>
    </row>
    <row r="1018">
      <c r="A1018" s="2"/>
      <c r="B1018" s="2"/>
      <c r="C1018" s="2"/>
      <c r="D1018" s="2"/>
      <c r="E1018" s="6"/>
      <c r="F1018" s="6"/>
      <c r="G1018" s="6"/>
      <c r="H1018" s="2"/>
      <c r="I1018" s="6"/>
      <c r="J1018" s="6"/>
      <c r="K1018" s="6"/>
      <c r="L1018" s="6"/>
      <c r="M1018" s="6"/>
      <c r="N1018" s="6"/>
      <c r="O1018" s="6"/>
      <c r="P1018" s="6"/>
      <c r="Q1018" s="6"/>
    </row>
    <row r="1019">
      <c r="A1019" s="2"/>
      <c r="B1019" s="2"/>
      <c r="C1019" s="2"/>
      <c r="D1019" s="2"/>
      <c r="E1019" s="6"/>
      <c r="F1019" s="6"/>
      <c r="G1019" s="6"/>
      <c r="H1019" s="2"/>
      <c r="I1019" s="6"/>
      <c r="J1019" s="6"/>
      <c r="K1019" s="6"/>
      <c r="L1019" s="6"/>
      <c r="M1019" s="6"/>
      <c r="N1019" s="6"/>
      <c r="O1019" s="6"/>
      <c r="P1019" s="6"/>
      <c r="Q1019" s="6"/>
    </row>
    <row r="1020">
      <c r="A1020" s="2"/>
      <c r="B1020" s="2"/>
      <c r="C1020" s="2"/>
      <c r="D1020" s="2"/>
      <c r="E1020" s="6"/>
      <c r="F1020" s="6"/>
      <c r="G1020" s="6"/>
      <c r="H1020" s="2"/>
      <c r="I1020" s="6"/>
      <c r="J1020" s="6"/>
      <c r="K1020" s="6"/>
      <c r="L1020" s="6"/>
      <c r="M1020" s="6"/>
      <c r="N1020" s="6"/>
      <c r="O1020" s="6"/>
      <c r="P1020" s="6"/>
      <c r="Q1020" s="6"/>
    </row>
    <row r="1021">
      <c r="A1021" s="2"/>
      <c r="B1021" s="2"/>
      <c r="C1021" s="2"/>
      <c r="D1021" s="2"/>
      <c r="E1021" s="6"/>
      <c r="F1021" s="6"/>
      <c r="G1021" s="6"/>
      <c r="H1021" s="2"/>
      <c r="I1021" s="6"/>
      <c r="J1021" s="6"/>
      <c r="K1021" s="6"/>
      <c r="L1021" s="6"/>
      <c r="M1021" s="6"/>
      <c r="N1021" s="6"/>
      <c r="O1021" s="6"/>
      <c r="P1021" s="6"/>
      <c r="Q1021" s="6"/>
    </row>
    <row r="1022">
      <c r="A1022" s="2"/>
      <c r="B1022" s="2"/>
      <c r="C1022" s="2"/>
      <c r="D1022" s="2"/>
      <c r="E1022" s="6"/>
      <c r="F1022" s="6"/>
      <c r="G1022" s="6"/>
      <c r="H1022" s="2"/>
      <c r="I1022" s="6"/>
      <c r="J1022" s="6"/>
      <c r="K1022" s="6"/>
      <c r="L1022" s="6"/>
      <c r="M1022" s="6"/>
      <c r="N1022" s="6"/>
      <c r="O1022" s="6"/>
      <c r="P1022" s="6"/>
      <c r="Q1022" s="6"/>
    </row>
    <row r="1023">
      <c r="A1023" s="2"/>
      <c r="B1023" s="2"/>
      <c r="C1023" s="2"/>
      <c r="D1023" s="2"/>
      <c r="E1023" s="6"/>
      <c r="F1023" s="6"/>
      <c r="G1023" s="6"/>
      <c r="H1023" s="2"/>
      <c r="I1023" s="6"/>
      <c r="J1023" s="6"/>
      <c r="K1023" s="6"/>
      <c r="L1023" s="6"/>
      <c r="M1023" s="6"/>
      <c r="N1023" s="6"/>
      <c r="O1023" s="6"/>
      <c r="P1023" s="6"/>
      <c r="Q1023" s="6"/>
    </row>
    <row r="1024">
      <c r="A1024" s="2"/>
      <c r="B1024" s="2"/>
      <c r="C1024" s="2"/>
      <c r="D1024" s="2"/>
      <c r="E1024" s="6"/>
      <c r="F1024" s="6"/>
      <c r="G1024" s="6"/>
      <c r="H1024" s="2"/>
      <c r="I1024" s="6"/>
      <c r="J1024" s="6"/>
      <c r="K1024" s="6"/>
      <c r="L1024" s="6"/>
      <c r="M1024" s="6"/>
      <c r="N1024" s="6"/>
      <c r="O1024" s="6"/>
      <c r="P1024" s="6"/>
      <c r="Q1024" s="6"/>
    </row>
    <row r="1025">
      <c r="A1025" s="2"/>
      <c r="B1025" s="2"/>
      <c r="C1025" s="2"/>
      <c r="D1025" s="2"/>
      <c r="E1025" s="6"/>
      <c r="F1025" s="6"/>
      <c r="G1025" s="6"/>
      <c r="H1025" s="2"/>
      <c r="I1025" s="6"/>
      <c r="J1025" s="6"/>
      <c r="K1025" s="6"/>
      <c r="L1025" s="6"/>
      <c r="M1025" s="6"/>
      <c r="N1025" s="6"/>
      <c r="O1025" s="6"/>
      <c r="P1025" s="6"/>
      <c r="Q1025" s="6"/>
    </row>
    <row r="1026">
      <c r="A1026" s="2"/>
      <c r="B1026" s="2"/>
      <c r="C1026" s="2"/>
      <c r="D1026" s="2"/>
      <c r="E1026" s="6"/>
      <c r="F1026" s="6"/>
      <c r="G1026" s="6"/>
      <c r="H1026" s="2"/>
      <c r="I1026" s="6"/>
      <c r="J1026" s="6"/>
      <c r="K1026" s="6"/>
      <c r="L1026" s="6"/>
      <c r="M1026" s="6"/>
      <c r="N1026" s="6"/>
      <c r="O1026" s="6"/>
      <c r="P1026" s="6"/>
      <c r="Q1026" s="6"/>
    </row>
    <row r="1027">
      <c r="A1027" s="2"/>
      <c r="B1027" s="2"/>
      <c r="C1027" s="2"/>
      <c r="D1027" s="2"/>
      <c r="E1027" s="6"/>
      <c r="F1027" s="6"/>
      <c r="G1027" s="6"/>
      <c r="H1027" s="2"/>
      <c r="I1027" s="6"/>
      <c r="J1027" s="6"/>
      <c r="K1027" s="6"/>
      <c r="L1027" s="6"/>
      <c r="M1027" s="6"/>
      <c r="N1027" s="6"/>
      <c r="O1027" s="6"/>
      <c r="P1027" s="6"/>
      <c r="Q1027" s="6"/>
    </row>
    <row r="1028">
      <c r="A1028" s="2"/>
      <c r="B1028" s="2"/>
      <c r="C1028" s="2"/>
      <c r="D1028" s="2"/>
      <c r="E1028" s="6"/>
      <c r="F1028" s="6"/>
      <c r="G1028" s="6"/>
      <c r="H1028" s="2"/>
      <c r="I1028" s="6"/>
      <c r="J1028" s="6"/>
      <c r="K1028" s="6"/>
      <c r="L1028" s="6"/>
      <c r="M1028" s="6"/>
      <c r="N1028" s="6"/>
      <c r="O1028" s="6"/>
      <c r="P1028" s="6"/>
      <c r="Q1028" s="6"/>
    </row>
    <row r="1029">
      <c r="A1029" s="2"/>
      <c r="B1029" s="2"/>
      <c r="C1029" s="2"/>
      <c r="D1029" s="2"/>
      <c r="E1029" s="6"/>
      <c r="F1029" s="6"/>
      <c r="G1029" s="6"/>
      <c r="H1029" s="2"/>
      <c r="I1029" s="6"/>
      <c r="J1029" s="6"/>
      <c r="K1029" s="6"/>
      <c r="L1029" s="6"/>
      <c r="M1029" s="6"/>
      <c r="N1029" s="6"/>
      <c r="O1029" s="6"/>
      <c r="P1029" s="6"/>
      <c r="Q1029" s="6"/>
    </row>
    <row r="1030">
      <c r="A1030" s="2"/>
      <c r="B1030" s="2"/>
      <c r="C1030" s="2"/>
      <c r="D1030" s="2"/>
      <c r="E1030" s="6"/>
      <c r="F1030" s="6"/>
      <c r="G1030" s="6"/>
      <c r="H1030" s="2"/>
      <c r="I1030" s="6"/>
      <c r="J1030" s="6"/>
      <c r="K1030" s="6"/>
      <c r="L1030" s="6"/>
      <c r="M1030" s="6"/>
      <c r="N1030" s="6"/>
      <c r="O1030" s="6"/>
      <c r="P1030" s="6"/>
      <c r="Q1030" s="6"/>
    </row>
    <row r="1031">
      <c r="A1031" s="2"/>
      <c r="B1031" s="2"/>
      <c r="C1031" s="2"/>
      <c r="D1031" s="2"/>
      <c r="E1031" s="6"/>
      <c r="F1031" s="6"/>
      <c r="G1031" s="6"/>
      <c r="H1031" s="2"/>
      <c r="I1031" s="6"/>
      <c r="J1031" s="6"/>
      <c r="K1031" s="6"/>
      <c r="L1031" s="6"/>
      <c r="M1031" s="6"/>
      <c r="N1031" s="6"/>
      <c r="O1031" s="6"/>
      <c r="P1031" s="6"/>
      <c r="Q1031" s="6"/>
    </row>
    <row r="1032">
      <c r="A1032" s="2"/>
      <c r="B1032" s="2"/>
      <c r="C1032" s="2"/>
      <c r="D1032" s="2"/>
      <c r="E1032" s="6"/>
      <c r="F1032" s="6"/>
      <c r="G1032" s="6"/>
      <c r="H1032" s="2"/>
      <c r="I1032" s="6"/>
      <c r="J1032" s="6"/>
      <c r="K1032" s="6"/>
      <c r="L1032" s="6"/>
      <c r="M1032" s="6"/>
      <c r="N1032" s="6"/>
      <c r="O1032" s="6"/>
      <c r="P1032" s="6"/>
      <c r="Q1032" s="6"/>
    </row>
    <row r="1033">
      <c r="A1033" s="2"/>
      <c r="B1033" s="2"/>
      <c r="C1033" s="2"/>
      <c r="D1033" s="2"/>
      <c r="E1033" s="6"/>
      <c r="F1033" s="6"/>
      <c r="G1033" s="6"/>
      <c r="H1033" s="2"/>
      <c r="I1033" s="6"/>
      <c r="J1033" s="6"/>
      <c r="K1033" s="6"/>
      <c r="L1033" s="6"/>
      <c r="M1033" s="6"/>
      <c r="N1033" s="6"/>
      <c r="O1033" s="6"/>
      <c r="P1033" s="6"/>
      <c r="Q103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 outlineLevelCol="1"/>
  <cols>
    <col customWidth="1" min="1" max="1" width="4.57"/>
    <col customWidth="1" min="2" max="2" width="30.14"/>
    <col customWidth="1" min="3" max="3" width="54.43"/>
    <col customWidth="1" min="4" max="4" width="68.57"/>
  </cols>
  <sheetData>
    <row r="1">
      <c r="A1" s="1"/>
      <c r="B1" s="4" t="s">
        <v>1</v>
      </c>
      <c r="C1" s="4" t="s">
        <v>2</v>
      </c>
      <c r="D1" s="7"/>
      <c r="E1" s="7"/>
      <c r="F1" s="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7</v>
      </c>
      <c r="C2" s="4" t="s">
        <v>8</v>
      </c>
      <c r="D2" s="7"/>
      <c r="E2" s="7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4" t="s">
        <v>11</v>
      </c>
      <c r="C3" s="4" t="s">
        <v>12</v>
      </c>
      <c r="D3" s="7"/>
      <c r="E3" s="7"/>
      <c r="F3" s="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13</v>
      </c>
      <c r="C4" s="4" t="s">
        <v>14</v>
      </c>
      <c r="D4" s="7"/>
      <c r="E4" s="7"/>
      <c r="F4" s="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22</v>
      </c>
      <c r="C5" s="4" t="s">
        <v>14</v>
      </c>
      <c r="D5" s="7"/>
      <c r="E5" s="7"/>
      <c r="F5" s="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4" t="s">
        <v>27</v>
      </c>
      <c r="C6" s="4" t="s">
        <v>28</v>
      </c>
      <c r="D6" s="7"/>
      <c r="E6" s="7"/>
      <c r="F6" s="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" t="s">
        <v>32</v>
      </c>
      <c r="C7" s="4" t="s">
        <v>33</v>
      </c>
      <c r="D7" s="7"/>
      <c r="E7" s="7"/>
      <c r="F7" s="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 t="s">
        <v>36</v>
      </c>
      <c r="C8" s="4" t="s">
        <v>37</v>
      </c>
      <c r="D8" s="7"/>
      <c r="E8" s="7"/>
      <c r="F8" s="9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6"/>
      <c r="C9" s="4"/>
      <c r="D9" s="7"/>
      <c r="E9" s="7"/>
      <c r="F9" s="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9">
        <v>45833.0</v>
      </c>
      <c r="C10" s="6"/>
      <c r="D10" s="7"/>
      <c r="E10" s="7"/>
      <c r="F10" s="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4" t="s">
        <v>50</v>
      </c>
      <c r="C11" s="4" t="s">
        <v>53</v>
      </c>
      <c r="D11" s="7"/>
      <c r="E11" s="7"/>
      <c r="F11" s="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C12" s="4" t="s">
        <v>57</v>
      </c>
      <c r="D12" s="7"/>
      <c r="E12" s="7"/>
      <c r="F12" s="9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C13" s="4" t="s">
        <v>62</v>
      </c>
      <c r="D13" s="7"/>
      <c r="E13" s="7"/>
      <c r="F13" s="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" t="s">
        <v>64</v>
      </c>
      <c r="C14" s="4" t="s">
        <v>65</v>
      </c>
      <c r="D14" s="7"/>
      <c r="E14" s="7"/>
      <c r="F14" s="9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C15" s="4" t="s">
        <v>70</v>
      </c>
      <c r="D15" s="7"/>
      <c r="E15" s="7"/>
      <c r="F15" s="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4" t="s">
        <v>76</v>
      </c>
      <c r="C16" s="4" t="s">
        <v>77</v>
      </c>
      <c r="D16" s="7"/>
      <c r="E16" s="7"/>
      <c r="F16" s="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C17" s="4" t="s">
        <v>81</v>
      </c>
      <c r="D17" s="7"/>
      <c r="E17" s="7"/>
      <c r="F17" s="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C18" s="4" t="s">
        <v>88</v>
      </c>
      <c r="D18" s="7"/>
      <c r="E18" s="7"/>
      <c r="F18" s="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C19" s="4" t="s">
        <v>36</v>
      </c>
      <c r="D19" s="7"/>
      <c r="E19" s="7"/>
      <c r="F19" s="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4" t="s">
        <v>98</v>
      </c>
      <c r="C20" s="4" t="s">
        <v>100</v>
      </c>
      <c r="D20" s="7"/>
      <c r="E20" s="7"/>
      <c r="F20" s="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4" t="s">
        <v>104</v>
      </c>
      <c r="C21" s="4" t="s">
        <v>106</v>
      </c>
      <c r="D21" s="7"/>
      <c r="E21" s="7"/>
      <c r="F21" s="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4" t="s">
        <v>110</v>
      </c>
      <c r="C22" s="4" t="s">
        <v>111</v>
      </c>
      <c r="D22" s="7"/>
      <c r="E22" s="7"/>
      <c r="F22" s="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4" t="s">
        <v>114</v>
      </c>
      <c r="C23" s="4" t="s">
        <v>115</v>
      </c>
      <c r="D23" s="7"/>
      <c r="E23" s="7"/>
      <c r="F23" s="9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4" t="s">
        <v>77</v>
      </c>
      <c r="C24" s="4" t="s">
        <v>119</v>
      </c>
      <c r="D24" s="7"/>
      <c r="E24" s="7"/>
      <c r="F24" s="9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4" t="s">
        <v>81</v>
      </c>
      <c r="C25" s="4" t="s">
        <v>125</v>
      </c>
      <c r="D25" s="7"/>
      <c r="E25" s="7"/>
      <c r="F25" s="9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4"/>
      <c r="C26" s="6"/>
      <c r="D26" s="7"/>
      <c r="E26" s="7"/>
      <c r="F26" s="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4"/>
      <c r="C27" s="4"/>
      <c r="D27" s="4"/>
      <c r="E27" s="7"/>
      <c r="F27" s="9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4"/>
      <c r="C28" s="6"/>
      <c r="D28" s="7"/>
      <c r="E28" s="7"/>
      <c r="F28" s="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4"/>
      <c r="C29" s="6"/>
      <c r="D29" s="7"/>
      <c r="E29" s="7"/>
      <c r="F29" s="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4"/>
      <c r="C30" s="6"/>
      <c r="D30" s="7"/>
      <c r="E30" s="7"/>
      <c r="F30" s="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4"/>
      <c r="C31" s="6"/>
      <c r="D31" s="7"/>
      <c r="E31" s="7"/>
      <c r="F31" s="9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"/>
      <c r="C32" s="4"/>
      <c r="D32" s="7"/>
      <c r="E32" s="7"/>
      <c r="F32" s="9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"/>
      <c r="C33" s="4"/>
      <c r="D33" s="7"/>
      <c r="E33" s="7"/>
      <c r="F33" s="9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4"/>
      <c r="C34" s="4"/>
      <c r="D34" s="7"/>
      <c r="E34" s="7"/>
      <c r="F34" s="9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4"/>
      <c r="C35" s="4"/>
      <c r="D35" s="7"/>
      <c r="E35" s="7"/>
      <c r="F35" s="9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4"/>
      <c r="C36" s="6"/>
      <c r="D36" s="7"/>
      <c r="E36" s="7"/>
      <c r="F36" s="9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4"/>
      <c r="C37" s="6"/>
      <c r="D37" s="7"/>
      <c r="E37" s="7"/>
      <c r="F37" s="9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6"/>
      <c r="C38" s="6"/>
      <c r="D38" s="7"/>
      <c r="E38" s="7"/>
      <c r="F38" s="9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6"/>
      <c r="C39" s="6"/>
      <c r="D39" s="7"/>
      <c r="E39" s="7"/>
      <c r="F39" s="9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6"/>
      <c r="C40" s="6"/>
      <c r="D40" s="7"/>
      <c r="E40" s="7"/>
      <c r="F40" s="9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6"/>
      <c r="C41" s="6"/>
      <c r="D41" s="7"/>
      <c r="E41" s="7"/>
      <c r="F41" s="9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6"/>
      <c r="C42" s="6"/>
      <c r="D42" s="7"/>
      <c r="E42" s="7"/>
      <c r="F42" s="9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6"/>
      <c r="C43" s="6"/>
      <c r="D43" s="7"/>
      <c r="E43" s="7"/>
      <c r="F43" s="9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6"/>
      <c r="C44" s="6"/>
      <c r="D44" s="7"/>
      <c r="E44" s="7"/>
      <c r="F44" s="9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6"/>
      <c r="C45" s="6"/>
      <c r="D45" s="7"/>
      <c r="E45" s="7"/>
      <c r="F45" s="9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6"/>
      <c r="C46" s="6"/>
      <c r="D46" s="7"/>
      <c r="E46" s="7"/>
      <c r="F46" s="9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6"/>
      <c r="C47" s="6"/>
      <c r="D47" s="7"/>
      <c r="E47" s="7"/>
      <c r="F47" s="9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6"/>
      <c r="C48" s="6"/>
      <c r="D48" s="7"/>
      <c r="E48" s="7"/>
      <c r="F48" s="9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6"/>
      <c r="C49" s="6"/>
      <c r="D49" s="7"/>
      <c r="E49" s="7"/>
      <c r="F49" s="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6"/>
      <c r="C50" s="6"/>
      <c r="D50" s="7"/>
      <c r="E50" s="7"/>
      <c r="F50" s="9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6"/>
      <c r="C51" s="6"/>
      <c r="D51" s="7"/>
      <c r="E51" s="7"/>
      <c r="F51" s="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6"/>
      <c r="C52" s="6"/>
      <c r="D52" s="7"/>
      <c r="E52" s="7"/>
      <c r="F52" s="9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6"/>
      <c r="C53" s="6"/>
      <c r="D53" s="7"/>
      <c r="E53" s="7"/>
      <c r="F53" s="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6"/>
      <c r="C54" s="6"/>
      <c r="D54" s="7"/>
      <c r="E54" s="7"/>
      <c r="F54" s="9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6"/>
      <c r="C55" s="6"/>
      <c r="D55" s="7"/>
      <c r="E55" s="7"/>
      <c r="F55" s="9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6"/>
      <c r="C56" s="6"/>
      <c r="D56" s="7"/>
      <c r="E56" s="7"/>
      <c r="F56" s="9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6"/>
      <c r="C57" s="6"/>
      <c r="D57" s="7"/>
      <c r="E57" s="7"/>
      <c r="F57" s="9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6"/>
      <c r="C58" s="6"/>
      <c r="D58" s="7"/>
      <c r="E58" s="7"/>
      <c r="F58" s="9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6"/>
      <c r="C59" s="6"/>
      <c r="D59" s="7"/>
      <c r="E59" s="7"/>
      <c r="F59" s="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6"/>
      <c r="C60" s="6"/>
      <c r="D60" s="7"/>
      <c r="E60" s="7"/>
      <c r="F60" s="9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6"/>
      <c r="C61" s="6"/>
      <c r="D61" s="7"/>
      <c r="E61" s="7"/>
      <c r="F61" s="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6"/>
      <c r="C62" s="6"/>
      <c r="D62" s="7"/>
      <c r="E62" s="7"/>
      <c r="F62" s="9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6"/>
      <c r="C63" s="6"/>
      <c r="D63" s="7"/>
      <c r="E63" s="7"/>
      <c r="F63" s="9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6"/>
      <c r="C64" s="6"/>
      <c r="D64" s="7"/>
      <c r="E64" s="7"/>
      <c r="F64" s="9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6"/>
      <c r="C65" s="6"/>
      <c r="D65" s="7"/>
      <c r="E65" s="7"/>
      <c r="F65" s="9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6"/>
      <c r="C66" s="6"/>
      <c r="D66" s="7"/>
      <c r="E66" s="7"/>
      <c r="F66" s="9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6"/>
      <c r="C67" s="6"/>
      <c r="D67" s="7"/>
      <c r="E67" s="7"/>
      <c r="F67" s="9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6"/>
      <c r="C68" s="6"/>
      <c r="D68" s="7"/>
      <c r="E68" s="7"/>
      <c r="F68" s="9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6"/>
      <c r="C69" s="6"/>
      <c r="D69" s="7"/>
      <c r="E69" s="7"/>
      <c r="F69" s="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6"/>
      <c r="C70" s="6"/>
      <c r="D70" s="7"/>
      <c r="E70" s="7"/>
      <c r="F70" s="9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6"/>
      <c r="C71" s="6"/>
      <c r="D71" s="7"/>
      <c r="E71" s="7"/>
      <c r="F71" s="9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6"/>
      <c r="C72" s="6"/>
      <c r="D72" s="7"/>
      <c r="E72" s="7"/>
      <c r="F72" s="9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6"/>
      <c r="C73" s="6"/>
      <c r="D73" s="1"/>
      <c r="E73" s="1"/>
      <c r="F73" s="5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6"/>
      <c r="C74" s="6"/>
      <c r="D74" s="1"/>
      <c r="E74" s="1"/>
      <c r="F74" s="5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6"/>
      <c r="C75" s="6"/>
      <c r="D75" s="1"/>
      <c r="E75" s="1"/>
      <c r="F75" s="5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6"/>
      <c r="C76" s="6"/>
      <c r="D76" s="1"/>
      <c r="E76" s="1"/>
      <c r="F76" s="5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6"/>
      <c r="C77" s="6"/>
      <c r="D77" s="1"/>
      <c r="E77" s="1"/>
      <c r="F77" s="5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6"/>
      <c r="C78" s="6"/>
      <c r="D78" s="1"/>
      <c r="E78" s="1"/>
      <c r="F78" s="5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6"/>
      <c r="C79" s="6"/>
      <c r="D79" s="1"/>
      <c r="E79" s="1"/>
      <c r="F79" s="5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6"/>
      <c r="C80" s="6"/>
      <c r="D80" s="1"/>
      <c r="E80" s="1"/>
      <c r="F80" s="5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6"/>
      <c r="C81" s="6"/>
      <c r="D81" s="1"/>
      <c r="E81" s="1"/>
      <c r="F81" s="5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6"/>
      <c r="C82" s="6"/>
      <c r="D82" s="1"/>
      <c r="E82" s="1"/>
      <c r="F82" s="5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6"/>
      <c r="C83" s="6"/>
      <c r="D83" s="1"/>
      <c r="E83" s="1"/>
      <c r="F83" s="5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6"/>
      <c r="C84" s="6"/>
      <c r="D84" s="1"/>
      <c r="E84" s="1"/>
      <c r="F84" s="5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6"/>
      <c r="C85" s="6"/>
      <c r="D85" s="1"/>
      <c r="E85" s="1"/>
      <c r="F85" s="5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6"/>
      <c r="C86" s="6"/>
      <c r="D86" s="1"/>
      <c r="E86" s="1"/>
      <c r="F86" s="5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6"/>
      <c r="C87" s="6"/>
      <c r="D87" s="1"/>
      <c r="E87" s="1"/>
      <c r="F87" s="5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6"/>
      <c r="C88" s="6"/>
      <c r="D88" s="1"/>
      <c r="E88" s="1"/>
      <c r="F88" s="5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6"/>
      <c r="C89" s="6"/>
      <c r="D89" s="1"/>
      <c r="E89" s="1"/>
      <c r="F89" s="5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6"/>
      <c r="C90" s="6"/>
      <c r="D90" s="1"/>
      <c r="E90" s="1"/>
      <c r="F90" s="5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6"/>
      <c r="C91" s="6"/>
      <c r="D91" s="1"/>
      <c r="E91" s="1"/>
      <c r="F91" s="5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6"/>
      <c r="C92" s="6"/>
      <c r="D92" s="1"/>
      <c r="E92" s="1"/>
      <c r="F92" s="5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6"/>
      <c r="C93" s="6"/>
      <c r="D93" s="1"/>
      <c r="E93" s="1"/>
      <c r="F93" s="5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6"/>
      <c r="C94" s="6"/>
      <c r="D94" s="1"/>
      <c r="E94" s="1"/>
      <c r="F94" s="5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6"/>
      <c r="C95" s="6"/>
      <c r="D95" s="1"/>
      <c r="E95" s="1"/>
      <c r="F95" s="5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6"/>
      <c r="C96" s="6"/>
      <c r="D96" s="1"/>
      <c r="E96" s="1"/>
      <c r="F96" s="5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6"/>
      <c r="C97" s="6"/>
      <c r="D97" s="1"/>
      <c r="E97" s="1"/>
      <c r="F97" s="5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6"/>
      <c r="C98" s="6"/>
      <c r="D98" s="1"/>
      <c r="E98" s="1"/>
      <c r="F98" s="5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6"/>
      <c r="C99" s="6"/>
      <c r="D99" s="1"/>
      <c r="E99" s="1"/>
      <c r="F99" s="5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6"/>
      <c r="C100" s="6"/>
      <c r="D100" s="1"/>
      <c r="E100" s="1"/>
      <c r="F100" s="5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6"/>
      <c r="C101" s="6"/>
      <c r="D101" s="1"/>
      <c r="E101" s="1"/>
      <c r="F101" s="5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6"/>
      <c r="C102" s="6"/>
      <c r="D102" s="1"/>
      <c r="E102" s="1"/>
      <c r="F102" s="5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6"/>
      <c r="C103" s="6"/>
      <c r="D103" s="1"/>
      <c r="E103" s="1"/>
      <c r="F103" s="5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6"/>
      <c r="C104" s="6"/>
      <c r="D104" s="1"/>
      <c r="E104" s="1"/>
      <c r="F104" s="5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6"/>
      <c r="C105" s="6"/>
      <c r="D105" s="1"/>
      <c r="E105" s="1"/>
      <c r="F105" s="5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6"/>
      <c r="C106" s="6"/>
      <c r="D106" s="1"/>
      <c r="E106" s="1"/>
      <c r="F106" s="5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6"/>
      <c r="C107" s="6"/>
      <c r="D107" s="1"/>
      <c r="E107" s="1"/>
      <c r="F107" s="5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6"/>
      <c r="C108" s="6"/>
      <c r="D108" s="1"/>
      <c r="E108" s="1"/>
      <c r="F108" s="5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6"/>
      <c r="C109" s="6"/>
      <c r="D109" s="1"/>
      <c r="E109" s="1"/>
      <c r="F109" s="5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6"/>
      <c r="C110" s="6"/>
      <c r="D110" s="1"/>
      <c r="E110" s="1"/>
      <c r="F110" s="5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6"/>
      <c r="C111" s="6"/>
      <c r="D111" s="1"/>
      <c r="E111" s="1"/>
      <c r="F111" s="5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6"/>
      <c r="C112" s="6"/>
      <c r="D112" s="1"/>
      <c r="E112" s="1"/>
      <c r="F112" s="5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6"/>
      <c r="C113" s="6"/>
      <c r="D113" s="1"/>
      <c r="E113" s="1"/>
      <c r="F113" s="5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6"/>
      <c r="C114" s="6"/>
      <c r="D114" s="1"/>
      <c r="E114" s="1"/>
      <c r="F114" s="5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6"/>
      <c r="C115" s="6"/>
      <c r="D115" s="1"/>
      <c r="E115" s="1"/>
      <c r="F115" s="5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6"/>
      <c r="C116" s="6"/>
      <c r="D116" s="1"/>
      <c r="E116" s="1"/>
      <c r="F116" s="5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6"/>
      <c r="C117" s="6"/>
      <c r="D117" s="1"/>
      <c r="E117" s="1"/>
      <c r="F117" s="5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6"/>
      <c r="C118" s="6"/>
      <c r="D118" s="1"/>
      <c r="E118" s="1"/>
      <c r="F118" s="5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6"/>
      <c r="C119" s="6"/>
      <c r="D119" s="1"/>
      <c r="E119" s="1"/>
      <c r="F119" s="5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6"/>
      <c r="C120" s="6"/>
      <c r="D120" s="1"/>
      <c r="E120" s="1"/>
      <c r="F120" s="5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6"/>
      <c r="C121" s="6"/>
      <c r="D121" s="1"/>
      <c r="E121" s="1"/>
      <c r="F121" s="5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6"/>
      <c r="C122" s="6"/>
      <c r="D122" s="1"/>
      <c r="E122" s="1"/>
      <c r="F122" s="5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6"/>
      <c r="C123" s="6"/>
      <c r="D123" s="1"/>
      <c r="E123" s="1"/>
      <c r="F123" s="5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6"/>
      <c r="C124" s="6"/>
      <c r="D124" s="1"/>
      <c r="E124" s="1"/>
      <c r="F124" s="5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6"/>
      <c r="C125" s="6"/>
      <c r="D125" s="1"/>
      <c r="E125" s="1"/>
      <c r="F125" s="5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6"/>
      <c r="C126" s="6"/>
      <c r="D126" s="1"/>
      <c r="E126" s="1"/>
      <c r="F126" s="5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6"/>
      <c r="C127" s="6"/>
      <c r="D127" s="1"/>
      <c r="E127" s="1"/>
      <c r="F127" s="5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6"/>
      <c r="C128" s="6"/>
      <c r="D128" s="1"/>
      <c r="E128" s="1"/>
      <c r="F128" s="5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6"/>
      <c r="C129" s="6"/>
      <c r="D129" s="1"/>
      <c r="E129" s="1"/>
      <c r="F129" s="5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6"/>
      <c r="C130" s="6"/>
      <c r="D130" s="1"/>
      <c r="E130" s="1"/>
      <c r="F130" s="5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6"/>
      <c r="C131" s="6"/>
      <c r="D131" s="1"/>
      <c r="E131" s="1"/>
      <c r="F131" s="5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6"/>
      <c r="C132" s="6"/>
      <c r="D132" s="1"/>
      <c r="E132" s="1"/>
      <c r="F132" s="5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6"/>
      <c r="C133" s="6"/>
      <c r="D133" s="1"/>
      <c r="E133" s="1"/>
      <c r="F133" s="5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6"/>
      <c r="C134" s="6"/>
      <c r="D134" s="1"/>
      <c r="E134" s="1"/>
      <c r="F134" s="5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6"/>
      <c r="C135" s="6"/>
      <c r="D135" s="1"/>
      <c r="E135" s="1"/>
      <c r="F135" s="5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6"/>
      <c r="C136" s="6"/>
      <c r="D136" s="1"/>
      <c r="E136" s="1"/>
      <c r="F136" s="5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6"/>
      <c r="C137" s="6"/>
      <c r="D137" s="1"/>
      <c r="E137" s="1"/>
      <c r="F137" s="5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6"/>
      <c r="C138" s="6"/>
      <c r="D138" s="1"/>
      <c r="E138" s="1"/>
      <c r="F138" s="5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6"/>
      <c r="C139" s="6"/>
      <c r="D139" s="1"/>
      <c r="E139" s="1"/>
      <c r="F139" s="5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6"/>
      <c r="C140" s="6"/>
      <c r="D140" s="1"/>
      <c r="E140" s="1"/>
      <c r="F140" s="5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6"/>
      <c r="C141" s="6"/>
      <c r="D141" s="1"/>
      <c r="E141" s="1"/>
      <c r="F141" s="5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6"/>
      <c r="C142" s="6"/>
      <c r="D142" s="1"/>
      <c r="E142" s="1"/>
      <c r="F142" s="5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6"/>
      <c r="C143" s="6"/>
      <c r="D143" s="1"/>
      <c r="E143" s="1"/>
      <c r="F143" s="5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6"/>
      <c r="C144" s="6"/>
      <c r="D144" s="1"/>
      <c r="E144" s="1"/>
      <c r="F144" s="5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6"/>
      <c r="C145" s="6"/>
      <c r="D145" s="1"/>
      <c r="E145" s="1"/>
      <c r="F145" s="5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6"/>
      <c r="C146" s="6"/>
      <c r="D146" s="1"/>
      <c r="E146" s="1"/>
      <c r="F146" s="5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6"/>
      <c r="C147" s="6"/>
      <c r="D147" s="1"/>
      <c r="E147" s="1"/>
      <c r="F147" s="5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6"/>
      <c r="C148" s="6"/>
      <c r="D148" s="1"/>
      <c r="E148" s="1"/>
      <c r="F148" s="5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6"/>
      <c r="C149" s="6"/>
      <c r="D149" s="1"/>
      <c r="E149" s="1"/>
      <c r="F149" s="5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6"/>
      <c r="C150" s="6"/>
      <c r="D150" s="1"/>
      <c r="E150" s="1"/>
      <c r="F150" s="5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6"/>
      <c r="C151" s="6"/>
      <c r="D151" s="1"/>
      <c r="E151" s="1"/>
      <c r="F151" s="5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6"/>
      <c r="C152" s="6"/>
      <c r="D152" s="1"/>
      <c r="E152" s="1"/>
      <c r="F152" s="5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6"/>
      <c r="C153" s="6"/>
      <c r="D153" s="1"/>
      <c r="E153" s="1"/>
      <c r="F153" s="5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6"/>
      <c r="C154" s="6"/>
      <c r="D154" s="1"/>
      <c r="E154" s="1"/>
      <c r="F154" s="5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6"/>
      <c r="C155" s="6"/>
      <c r="D155" s="1"/>
      <c r="E155" s="1"/>
      <c r="F155" s="5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6"/>
      <c r="C156" s="6"/>
      <c r="D156" s="1"/>
      <c r="E156" s="1"/>
      <c r="F156" s="5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6"/>
      <c r="C157" s="6"/>
      <c r="D157" s="1"/>
      <c r="E157" s="1"/>
      <c r="F157" s="5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6"/>
      <c r="C158" s="6"/>
      <c r="D158" s="1"/>
      <c r="E158" s="1"/>
      <c r="F158" s="5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6"/>
      <c r="C159" s="6"/>
      <c r="D159" s="1"/>
      <c r="E159" s="1"/>
      <c r="F159" s="5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6"/>
      <c r="C160" s="6"/>
      <c r="D160" s="1"/>
      <c r="E160" s="1"/>
      <c r="F160" s="5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6"/>
      <c r="C161" s="6"/>
      <c r="D161" s="1"/>
      <c r="E161" s="1"/>
      <c r="F161" s="5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6"/>
      <c r="C162" s="6"/>
      <c r="D162" s="1"/>
      <c r="E162" s="1"/>
      <c r="F162" s="5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6"/>
      <c r="C163" s="6"/>
      <c r="D163" s="1"/>
      <c r="E163" s="1"/>
      <c r="F163" s="5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6"/>
      <c r="C164" s="6"/>
      <c r="D164" s="1"/>
      <c r="E164" s="1"/>
      <c r="F164" s="5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6"/>
      <c r="C165" s="6"/>
      <c r="D165" s="1"/>
      <c r="E165" s="1"/>
      <c r="F165" s="5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6"/>
      <c r="C166" s="6"/>
      <c r="D166" s="1"/>
      <c r="E166" s="1"/>
      <c r="F166" s="5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6"/>
      <c r="C167" s="6"/>
      <c r="D167" s="1"/>
      <c r="E167" s="1"/>
      <c r="F167" s="5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6"/>
      <c r="C168" s="6"/>
      <c r="D168" s="1"/>
      <c r="E168" s="1"/>
      <c r="F168" s="5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6"/>
      <c r="C169" s="6"/>
      <c r="D169" s="1"/>
      <c r="E169" s="1"/>
      <c r="F169" s="5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6"/>
      <c r="C170" s="6"/>
      <c r="D170" s="1"/>
      <c r="E170" s="1"/>
      <c r="F170" s="5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6"/>
      <c r="C171" s="6"/>
      <c r="D171" s="1"/>
      <c r="E171" s="1"/>
      <c r="F171" s="5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6"/>
      <c r="C172" s="6"/>
      <c r="D172" s="1"/>
      <c r="E172" s="1"/>
      <c r="F172" s="5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6"/>
      <c r="C173" s="6"/>
      <c r="D173" s="1"/>
      <c r="E173" s="1"/>
      <c r="F173" s="5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6"/>
      <c r="C174" s="6"/>
      <c r="D174" s="1"/>
      <c r="E174" s="1"/>
      <c r="F174" s="5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6"/>
      <c r="C175" s="6"/>
      <c r="D175" s="1"/>
      <c r="E175" s="1"/>
      <c r="F175" s="5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6"/>
      <c r="C176" s="6"/>
      <c r="D176" s="1"/>
      <c r="E176" s="1"/>
      <c r="F176" s="5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6"/>
      <c r="C177" s="6"/>
      <c r="D177" s="1"/>
      <c r="E177" s="1"/>
      <c r="F177" s="5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6"/>
      <c r="C178" s="6"/>
      <c r="D178" s="1"/>
      <c r="E178" s="1"/>
      <c r="F178" s="5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6"/>
      <c r="C179" s="6"/>
      <c r="D179" s="1"/>
      <c r="E179" s="1"/>
      <c r="F179" s="5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6"/>
      <c r="C180" s="6"/>
      <c r="D180" s="1"/>
      <c r="E180" s="1"/>
      <c r="F180" s="5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6"/>
      <c r="C181" s="6"/>
      <c r="D181" s="1"/>
      <c r="E181" s="1"/>
      <c r="F181" s="5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6"/>
      <c r="C182" s="6"/>
      <c r="D182" s="1"/>
      <c r="E182" s="1"/>
      <c r="F182" s="5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6"/>
      <c r="C183" s="6"/>
      <c r="D183" s="1"/>
      <c r="E183" s="1"/>
      <c r="F183" s="5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6"/>
      <c r="C184" s="6"/>
      <c r="D184" s="1"/>
      <c r="E184" s="1"/>
      <c r="F184" s="5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6"/>
      <c r="C185" s="6"/>
      <c r="D185" s="1"/>
      <c r="E185" s="1"/>
      <c r="F185" s="5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6"/>
      <c r="C186" s="6"/>
      <c r="D186" s="1"/>
      <c r="E186" s="1"/>
      <c r="F186" s="5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6"/>
      <c r="C187" s="6"/>
      <c r="D187" s="1"/>
      <c r="E187" s="1"/>
      <c r="F187" s="5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6"/>
      <c r="C188" s="6"/>
      <c r="D188" s="1"/>
      <c r="E188" s="1"/>
      <c r="F188" s="5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6"/>
      <c r="C189" s="6"/>
      <c r="D189" s="1"/>
      <c r="E189" s="1"/>
      <c r="F189" s="5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6"/>
      <c r="C190" s="6"/>
      <c r="D190" s="1"/>
      <c r="E190" s="1"/>
      <c r="F190" s="5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6"/>
      <c r="C191" s="6"/>
      <c r="D191" s="1"/>
      <c r="E191" s="1"/>
      <c r="F191" s="5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6"/>
      <c r="C192" s="6"/>
      <c r="D192" s="1"/>
      <c r="E192" s="1"/>
      <c r="F192" s="5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6"/>
      <c r="C193" s="6"/>
      <c r="D193" s="1"/>
      <c r="E193" s="1"/>
      <c r="F193" s="5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6"/>
      <c r="C194" s="6"/>
      <c r="D194" s="1"/>
      <c r="E194" s="1"/>
      <c r="F194" s="5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6"/>
      <c r="C195" s="6"/>
      <c r="D195" s="1"/>
      <c r="E195" s="1"/>
      <c r="F195" s="5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6"/>
      <c r="C196" s="6"/>
      <c r="D196" s="1"/>
      <c r="E196" s="1"/>
      <c r="F196" s="5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6"/>
      <c r="C197" s="6"/>
      <c r="D197" s="1"/>
      <c r="E197" s="1"/>
      <c r="F197" s="5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6"/>
      <c r="C198" s="6"/>
      <c r="D198" s="1"/>
      <c r="E198" s="1"/>
      <c r="F198" s="5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6"/>
      <c r="C199" s="6"/>
      <c r="D199" s="1"/>
      <c r="E199" s="1"/>
      <c r="F199" s="5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6"/>
      <c r="C200" s="6"/>
      <c r="D200" s="1"/>
      <c r="E200" s="1"/>
      <c r="F200" s="5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6"/>
      <c r="C201" s="6"/>
      <c r="D201" s="1"/>
      <c r="E201" s="1"/>
      <c r="F201" s="5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6"/>
      <c r="C202" s="6"/>
      <c r="D202" s="1"/>
      <c r="E202" s="1"/>
      <c r="F202" s="5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6"/>
      <c r="C203" s="6"/>
      <c r="D203" s="1"/>
      <c r="E203" s="1"/>
      <c r="F203" s="5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6"/>
      <c r="C204" s="6"/>
      <c r="D204" s="1"/>
      <c r="E204" s="1"/>
      <c r="F204" s="5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6"/>
      <c r="C205" s="6"/>
      <c r="D205" s="1"/>
      <c r="E205" s="1"/>
      <c r="F205" s="5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6"/>
      <c r="C206" s="6"/>
      <c r="D206" s="1"/>
      <c r="E206" s="1"/>
      <c r="F206" s="5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6"/>
      <c r="C207" s="6"/>
      <c r="D207" s="1"/>
      <c r="E207" s="1"/>
      <c r="F207" s="5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6"/>
      <c r="C208" s="6"/>
      <c r="D208" s="1"/>
      <c r="E208" s="1"/>
      <c r="F208" s="5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6"/>
      <c r="C209" s="6"/>
      <c r="D209" s="1"/>
      <c r="E209" s="1"/>
      <c r="F209" s="5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6"/>
      <c r="C210" s="6"/>
      <c r="D210" s="1"/>
      <c r="E210" s="1"/>
      <c r="F210" s="5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6"/>
      <c r="C211" s="6"/>
      <c r="D211" s="1"/>
      <c r="E211" s="1"/>
      <c r="F211" s="5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6"/>
      <c r="C212" s="6"/>
      <c r="D212" s="1"/>
      <c r="E212" s="1"/>
      <c r="F212" s="5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6"/>
      <c r="C213" s="6"/>
      <c r="D213" s="1"/>
      <c r="E213" s="1"/>
      <c r="F213" s="5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6"/>
      <c r="C214" s="6"/>
      <c r="D214" s="1"/>
      <c r="E214" s="1"/>
      <c r="F214" s="5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6"/>
      <c r="C215" s="6"/>
      <c r="D215" s="1"/>
      <c r="E215" s="1"/>
      <c r="F215" s="5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6"/>
      <c r="C216" s="6"/>
      <c r="D216" s="1"/>
      <c r="E216" s="1"/>
      <c r="F216" s="5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6"/>
      <c r="C217" s="6"/>
      <c r="D217" s="1"/>
      <c r="E217" s="1"/>
      <c r="F217" s="5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6"/>
      <c r="C218" s="6"/>
      <c r="D218" s="1"/>
      <c r="E218" s="1"/>
      <c r="F218" s="5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6"/>
      <c r="C219" s="6"/>
      <c r="D219" s="1"/>
      <c r="E219" s="1"/>
      <c r="F219" s="5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6"/>
      <c r="C220" s="6"/>
      <c r="D220" s="1"/>
      <c r="E220" s="1"/>
      <c r="F220" s="5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6"/>
      <c r="C221" s="6"/>
      <c r="D221" s="1"/>
      <c r="E221" s="1"/>
      <c r="F221" s="5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6"/>
      <c r="C222" s="6"/>
      <c r="D222" s="1"/>
      <c r="E222" s="1"/>
      <c r="F222" s="5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6"/>
      <c r="C223" s="6"/>
      <c r="D223" s="1"/>
      <c r="E223" s="1"/>
      <c r="F223" s="5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6"/>
      <c r="C224" s="6"/>
      <c r="D224" s="1"/>
      <c r="E224" s="1"/>
      <c r="F224" s="5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6"/>
      <c r="C225" s="6"/>
      <c r="D225" s="1"/>
      <c r="E225" s="1"/>
      <c r="F225" s="5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6"/>
      <c r="C226" s="6"/>
      <c r="D226" s="1"/>
      <c r="E226" s="1"/>
      <c r="F226" s="5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6"/>
      <c r="C227" s="6"/>
      <c r="D227" s="1"/>
      <c r="E227" s="1"/>
      <c r="F227" s="5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6"/>
      <c r="C228" s="6"/>
      <c r="D228" s="1"/>
      <c r="E228" s="1"/>
      <c r="F228" s="5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6"/>
      <c r="C229" s="6"/>
      <c r="D229" s="1"/>
      <c r="E229" s="1"/>
      <c r="F229" s="5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6"/>
      <c r="C230" s="6"/>
      <c r="D230" s="1"/>
      <c r="E230" s="1"/>
      <c r="F230" s="5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6"/>
      <c r="C231" s="6"/>
      <c r="D231" s="1"/>
      <c r="E231" s="1"/>
      <c r="F231" s="5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6"/>
      <c r="C232" s="6"/>
      <c r="D232" s="1"/>
      <c r="E232" s="1"/>
      <c r="F232" s="5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6"/>
      <c r="C233" s="6"/>
      <c r="D233" s="1"/>
      <c r="E233" s="1"/>
      <c r="F233" s="5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6"/>
      <c r="C234" s="6"/>
      <c r="D234" s="1"/>
      <c r="E234" s="1"/>
      <c r="F234" s="5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6"/>
      <c r="C235" s="6"/>
      <c r="D235" s="1"/>
      <c r="E235" s="1"/>
      <c r="F235" s="5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6"/>
      <c r="C236" s="6"/>
      <c r="D236" s="1"/>
      <c r="E236" s="1"/>
      <c r="F236" s="5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6"/>
      <c r="C237" s="6"/>
      <c r="D237" s="1"/>
      <c r="E237" s="1"/>
      <c r="F237" s="5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6"/>
      <c r="C238" s="6"/>
      <c r="D238" s="1"/>
      <c r="E238" s="1"/>
      <c r="F238" s="5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6"/>
      <c r="C239" s="6"/>
      <c r="D239" s="1"/>
      <c r="E239" s="1"/>
      <c r="F239" s="5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6"/>
      <c r="C240" s="6"/>
      <c r="D240" s="1"/>
      <c r="E240" s="1"/>
      <c r="F240" s="5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6"/>
      <c r="C241" s="6"/>
      <c r="D241" s="1"/>
      <c r="E241" s="1"/>
      <c r="F241" s="5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6"/>
      <c r="C242" s="6"/>
      <c r="D242" s="1"/>
      <c r="E242" s="1"/>
      <c r="F242" s="5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6"/>
      <c r="C243" s="6"/>
      <c r="D243" s="1"/>
      <c r="E243" s="1"/>
      <c r="F243" s="5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6"/>
      <c r="C244" s="6"/>
      <c r="D244" s="1"/>
      <c r="E244" s="1"/>
      <c r="F244" s="5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6"/>
      <c r="C245" s="6"/>
      <c r="D245" s="1"/>
      <c r="E245" s="1"/>
      <c r="F245" s="5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6"/>
      <c r="C246" s="6"/>
      <c r="D246" s="1"/>
      <c r="E246" s="1"/>
      <c r="F246" s="5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6"/>
      <c r="C247" s="6"/>
      <c r="D247" s="1"/>
      <c r="E247" s="1"/>
      <c r="F247" s="5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6"/>
      <c r="C248" s="6"/>
      <c r="D248" s="1"/>
      <c r="E248" s="1"/>
      <c r="F248" s="5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6"/>
      <c r="C249" s="6"/>
      <c r="D249" s="1"/>
      <c r="E249" s="1"/>
      <c r="F249" s="5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6"/>
      <c r="C250" s="6"/>
      <c r="D250" s="1"/>
      <c r="E250" s="1"/>
      <c r="F250" s="5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6"/>
      <c r="C251" s="6"/>
      <c r="D251" s="1"/>
      <c r="E251" s="1"/>
      <c r="F251" s="5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6"/>
      <c r="C252" s="6"/>
      <c r="D252" s="1"/>
      <c r="E252" s="1"/>
      <c r="F252" s="5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6"/>
      <c r="C253" s="6"/>
      <c r="D253" s="1"/>
      <c r="E253" s="1"/>
      <c r="F253" s="5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6"/>
      <c r="C254" s="6"/>
      <c r="D254" s="1"/>
      <c r="E254" s="1"/>
      <c r="F254" s="5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6"/>
      <c r="C255" s="6"/>
      <c r="D255" s="1"/>
      <c r="E255" s="1"/>
      <c r="F255" s="5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6"/>
      <c r="C256" s="6"/>
      <c r="D256" s="1"/>
      <c r="E256" s="1"/>
      <c r="F256" s="5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6"/>
      <c r="C257" s="6"/>
      <c r="D257" s="1"/>
      <c r="E257" s="1"/>
      <c r="F257" s="5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6"/>
      <c r="C258" s="6"/>
      <c r="D258" s="1"/>
      <c r="E258" s="1"/>
      <c r="F258" s="5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6"/>
      <c r="C259" s="6"/>
      <c r="D259" s="1"/>
      <c r="E259" s="1"/>
      <c r="F259" s="5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6"/>
      <c r="C260" s="6"/>
      <c r="D260" s="1"/>
      <c r="E260" s="1"/>
      <c r="F260" s="5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6"/>
      <c r="C261" s="6"/>
      <c r="D261" s="1"/>
      <c r="E261" s="1"/>
      <c r="F261" s="5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6"/>
      <c r="C262" s="6"/>
      <c r="D262" s="1"/>
      <c r="E262" s="1"/>
      <c r="F262" s="5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6"/>
      <c r="C263" s="6"/>
      <c r="D263" s="1"/>
      <c r="E263" s="1"/>
      <c r="F263" s="5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6"/>
      <c r="C264" s="6"/>
      <c r="D264" s="1"/>
      <c r="E264" s="1"/>
      <c r="F264" s="5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6"/>
      <c r="C265" s="6"/>
      <c r="D265" s="1"/>
      <c r="E265" s="1"/>
      <c r="F265" s="5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6"/>
      <c r="C266" s="6"/>
      <c r="D266" s="1"/>
      <c r="E266" s="1"/>
      <c r="F266" s="5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6"/>
      <c r="C267" s="6"/>
      <c r="D267" s="1"/>
      <c r="E267" s="1"/>
      <c r="F267" s="5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6"/>
      <c r="C268" s="6"/>
      <c r="D268" s="1"/>
      <c r="E268" s="1"/>
      <c r="F268" s="5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6"/>
      <c r="C269" s="6"/>
      <c r="D269" s="1"/>
      <c r="E269" s="1"/>
      <c r="F269" s="5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6"/>
      <c r="C270" s="6"/>
      <c r="D270" s="1"/>
      <c r="E270" s="1"/>
      <c r="F270" s="5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6"/>
      <c r="C271" s="6"/>
      <c r="D271" s="1"/>
      <c r="E271" s="1"/>
      <c r="F271" s="5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6"/>
      <c r="C272" s="6"/>
      <c r="D272" s="1"/>
      <c r="E272" s="1"/>
      <c r="F272" s="5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6"/>
      <c r="C273" s="6"/>
      <c r="D273" s="1"/>
      <c r="E273" s="1"/>
      <c r="F273" s="5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6"/>
      <c r="C274" s="6"/>
      <c r="D274" s="1"/>
      <c r="E274" s="1"/>
      <c r="F274" s="5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6"/>
      <c r="C275" s="6"/>
      <c r="D275" s="1"/>
      <c r="E275" s="1"/>
      <c r="F275" s="5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6"/>
      <c r="C276" s="6"/>
      <c r="D276" s="1"/>
      <c r="E276" s="1"/>
      <c r="F276" s="5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6"/>
      <c r="C277" s="6"/>
      <c r="D277" s="1"/>
      <c r="E277" s="1"/>
      <c r="F277" s="5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6"/>
      <c r="C278" s="6"/>
      <c r="D278" s="1"/>
      <c r="E278" s="1"/>
      <c r="F278" s="5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6"/>
      <c r="C279" s="6"/>
      <c r="D279" s="1"/>
      <c r="E279" s="1"/>
      <c r="F279" s="5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6"/>
      <c r="C280" s="6"/>
      <c r="D280" s="1"/>
      <c r="E280" s="1"/>
      <c r="F280" s="5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6"/>
      <c r="C281" s="6"/>
      <c r="D281" s="1"/>
      <c r="E281" s="1"/>
      <c r="F281" s="5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6"/>
      <c r="C282" s="6"/>
      <c r="D282" s="1"/>
      <c r="E282" s="1"/>
      <c r="F282" s="5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6"/>
      <c r="C283" s="6"/>
      <c r="D283" s="1"/>
      <c r="E283" s="1"/>
      <c r="F283" s="5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6"/>
      <c r="C284" s="6"/>
      <c r="D284" s="1"/>
      <c r="E284" s="1"/>
      <c r="F284" s="5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6"/>
      <c r="C285" s="6"/>
      <c r="D285" s="1"/>
      <c r="E285" s="1"/>
      <c r="F285" s="5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6"/>
      <c r="C286" s="6"/>
      <c r="D286" s="1"/>
      <c r="E286" s="1"/>
      <c r="F286" s="5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6"/>
      <c r="C287" s="6"/>
      <c r="D287" s="1"/>
      <c r="E287" s="1"/>
      <c r="F287" s="5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6"/>
      <c r="C288" s="6"/>
      <c r="D288" s="1"/>
      <c r="E288" s="1"/>
      <c r="F288" s="5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6"/>
      <c r="C289" s="6"/>
      <c r="D289" s="1"/>
      <c r="E289" s="1"/>
      <c r="F289" s="5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6"/>
      <c r="C290" s="6"/>
      <c r="D290" s="1"/>
      <c r="E290" s="1"/>
      <c r="F290" s="5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6"/>
      <c r="C291" s="6"/>
      <c r="D291" s="1"/>
      <c r="E291" s="1"/>
      <c r="F291" s="5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6"/>
      <c r="C292" s="6"/>
      <c r="D292" s="1"/>
      <c r="E292" s="1"/>
      <c r="F292" s="5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6"/>
      <c r="C293" s="6"/>
      <c r="D293" s="1"/>
      <c r="E293" s="1"/>
      <c r="F293" s="5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6"/>
      <c r="C294" s="6"/>
      <c r="D294" s="1"/>
      <c r="E294" s="1"/>
      <c r="F294" s="5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6"/>
      <c r="C295" s="6"/>
      <c r="D295" s="1"/>
      <c r="E295" s="1"/>
      <c r="F295" s="5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6"/>
      <c r="C296" s="6"/>
      <c r="D296" s="1"/>
      <c r="E296" s="1"/>
      <c r="F296" s="5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6"/>
      <c r="C297" s="6"/>
      <c r="D297" s="1"/>
      <c r="E297" s="1"/>
      <c r="F297" s="5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6"/>
      <c r="C298" s="6"/>
      <c r="D298" s="1"/>
      <c r="E298" s="1"/>
      <c r="F298" s="5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6"/>
      <c r="C299" s="6"/>
      <c r="D299" s="1"/>
      <c r="E299" s="1"/>
      <c r="F299" s="5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6"/>
      <c r="C300" s="6"/>
      <c r="D300" s="1"/>
      <c r="E300" s="1"/>
      <c r="F300" s="5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6"/>
      <c r="C301" s="6"/>
      <c r="D301" s="1"/>
      <c r="E301" s="1"/>
      <c r="F301" s="5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6"/>
      <c r="C302" s="6"/>
      <c r="D302" s="1"/>
      <c r="E302" s="1"/>
      <c r="F302" s="5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6"/>
      <c r="C303" s="6"/>
      <c r="D303" s="1"/>
      <c r="E303" s="1"/>
      <c r="F303" s="5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6"/>
      <c r="C304" s="6"/>
      <c r="D304" s="1"/>
      <c r="E304" s="1"/>
      <c r="F304" s="5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6"/>
      <c r="C305" s="6"/>
      <c r="D305" s="1"/>
      <c r="E305" s="1"/>
      <c r="F305" s="5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6"/>
      <c r="C306" s="6"/>
      <c r="D306" s="1"/>
      <c r="E306" s="1"/>
      <c r="F306" s="5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6"/>
      <c r="C307" s="6"/>
      <c r="D307" s="1"/>
      <c r="E307" s="1"/>
      <c r="F307" s="5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6"/>
      <c r="C308" s="6"/>
      <c r="D308" s="1"/>
      <c r="E308" s="1"/>
      <c r="F308" s="5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6"/>
      <c r="C309" s="6"/>
      <c r="D309" s="1"/>
      <c r="E309" s="1"/>
      <c r="F309" s="5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6"/>
      <c r="C310" s="6"/>
      <c r="D310" s="1"/>
      <c r="E310" s="1"/>
      <c r="F310" s="5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6"/>
      <c r="C311" s="6"/>
      <c r="D311" s="1"/>
      <c r="E311" s="1"/>
      <c r="F311" s="5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6"/>
      <c r="C312" s="6"/>
      <c r="D312" s="1"/>
      <c r="E312" s="1"/>
      <c r="F312" s="5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6"/>
      <c r="C313" s="6"/>
      <c r="D313" s="1"/>
      <c r="E313" s="1"/>
      <c r="F313" s="5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6"/>
      <c r="C314" s="6"/>
      <c r="D314" s="1"/>
      <c r="E314" s="1"/>
      <c r="F314" s="5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6"/>
      <c r="C315" s="6"/>
      <c r="D315" s="1"/>
      <c r="E315" s="1"/>
      <c r="F315" s="5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6"/>
      <c r="C316" s="6"/>
      <c r="D316" s="1"/>
      <c r="E316" s="1"/>
      <c r="F316" s="5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6"/>
      <c r="C317" s="6"/>
      <c r="D317" s="1"/>
      <c r="E317" s="1"/>
      <c r="F317" s="5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6"/>
      <c r="C318" s="6"/>
      <c r="D318" s="1"/>
      <c r="E318" s="1"/>
      <c r="F318" s="5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6"/>
      <c r="C319" s="6"/>
      <c r="D319" s="1"/>
      <c r="E319" s="1"/>
      <c r="F319" s="5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6"/>
      <c r="C320" s="6"/>
      <c r="D320" s="1"/>
      <c r="E320" s="1"/>
      <c r="F320" s="5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6"/>
      <c r="C321" s="6"/>
      <c r="D321" s="1"/>
      <c r="E321" s="1"/>
      <c r="F321" s="5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6"/>
      <c r="C322" s="6"/>
      <c r="D322" s="1"/>
      <c r="E322" s="1"/>
      <c r="F322" s="5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6"/>
      <c r="C323" s="6"/>
      <c r="D323" s="1"/>
      <c r="E323" s="1"/>
      <c r="F323" s="5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6"/>
      <c r="C324" s="6"/>
      <c r="D324" s="1"/>
      <c r="E324" s="1"/>
      <c r="F324" s="5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6"/>
      <c r="C325" s="6"/>
      <c r="D325" s="1"/>
      <c r="E325" s="1"/>
      <c r="F325" s="5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6"/>
      <c r="C326" s="6"/>
      <c r="D326" s="1"/>
      <c r="E326" s="1"/>
      <c r="F326" s="5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6"/>
      <c r="C327" s="6"/>
      <c r="D327" s="1"/>
      <c r="E327" s="1"/>
      <c r="F327" s="5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6"/>
      <c r="C328" s="6"/>
      <c r="D328" s="1"/>
      <c r="E328" s="1"/>
      <c r="F328" s="5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6"/>
      <c r="C329" s="6"/>
      <c r="D329" s="1"/>
      <c r="E329" s="1"/>
      <c r="F329" s="5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6"/>
      <c r="C330" s="6"/>
      <c r="D330" s="1"/>
      <c r="E330" s="1"/>
      <c r="F330" s="5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6"/>
      <c r="C331" s="6"/>
      <c r="D331" s="1"/>
      <c r="E331" s="1"/>
      <c r="F331" s="5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6"/>
      <c r="C332" s="6"/>
      <c r="D332" s="1"/>
      <c r="E332" s="1"/>
      <c r="F332" s="5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6"/>
      <c r="C333" s="6"/>
      <c r="D333" s="1"/>
      <c r="E333" s="1"/>
      <c r="F333" s="5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6"/>
      <c r="C334" s="6"/>
      <c r="D334" s="1"/>
      <c r="E334" s="1"/>
      <c r="F334" s="5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6"/>
      <c r="C335" s="6"/>
      <c r="D335" s="1"/>
      <c r="E335" s="1"/>
      <c r="F335" s="5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6"/>
      <c r="C336" s="6"/>
      <c r="D336" s="1"/>
      <c r="E336" s="1"/>
      <c r="F336" s="5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6"/>
      <c r="C337" s="6"/>
      <c r="D337" s="1"/>
      <c r="E337" s="1"/>
      <c r="F337" s="5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6"/>
      <c r="C338" s="6"/>
      <c r="D338" s="1"/>
      <c r="E338" s="1"/>
      <c r="F338" s="5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6"/>
      <c r="C339" s="6"/>
      <c r="D339" s="1"/>
      <c r="E339" s="1"/>
      <c r="F339" s="5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6"/>
      <c r="C340" s="6"/>
      <c r="D340" s="1"/>
      <c r="E340" s="1"/>
      <c r="F340" s="5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6"/>
      <c r="C341" s="6"/>
      <c r="D341" s="1"/>
      <c r="E341" s="1"/>
      <c r="F341" s="5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6"/>
      <c r="C342" s="6"/>
      <c r="D342" s="1"/>
      <c r="E342" s="1"/>
      <c r="F342" s="5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6"/>
      <c r="C343" s="6"/>
      <c r="D343" s="1"/>
      <c r="E343" s="1"/>
      <c r="F343" s="5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6"/>
      <c r="C344" s="6"/>
      <c r="D344" s="1"/>
      <c r="E344" s="1"/>
      <c r="F344" s="5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6"/>
      <c r="C345" s="6"/>
      <c r="D345" s="1"/>
      <c r="E345" s="1"/>
      <c r="F345" s="5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6"/>
      <c r="C346" s="6"/>
      <c r="D346" s="1"/>
      <c r="E346" s="1"/>
      <c r="F346" s="5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6"/>
      <c r="C347" s="6"/>
      <c r="D347" s="1"/>
      <c r="E347" s="1"/>
      <c r="F347" s="5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6"/>
      <c r="C348" s="6"/>
      <c r="D348" s="1"/>
      <c r="E348" s="1"/>
      <c r="F348" s="5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6"/>
      <c r="C349" s="6"/>
      <c r="D349" s="1"/>
      <c r="E349" s="1"/>
      <c r="F349" s="5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6"/>
      <c r="C350" s="6"/>
      <c r="D350" s="1"/>
      <c r="E350" s="1"/>
      <c r="F350" s="5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6"/>
      <c r="C351" s="6"/>
      <c r="D351" s="1"/>
      <c r="E351" s="1"/>
      <c r="F351" s="5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6"/>
      <c r="C352" s="6"/>
      <c r="D352" s="1"/>
      <c r="E352" s="1"/>
      <c r="F352" s="5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6"/>
      <c r="C353" s="6"/>
      <c r="D353" s="1"/>
      <c r="E353" s="1"/>
      <c r="F353" s="5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6"/>
      <c r="C354" s="6"/>
      <c r="D354" s="1"/>
      <c r="E354" s="1"/>
      <c r="F354" s="5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6"/>
      <c r="C355" s="6"/>
      <c r="D355" s="1"/>
      <c r="E355" s="1"/>
      <c r="F355" s="5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6"/>
      <c r="C356" s="6"/>
      <c r="D356" s="1"/>
      <c r="E356" s="1"/>
      <c r="F356" s="5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6"/>
      <c r="C357" s="6"/>
      <c r="D357" s="1"/>
      <c r="E357" s="1"/>
      <c r="F357" s="5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6"/>
      <c r="C358" s="6"/>
      <c r="D358" s="1"/>
      <c r="E358" s="1"/>
      <c r="F358" s="5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6"/>
      <c r="C359" s="6"/>
      <c r="D359" s="1"/>
      <c r="E359" s="1"/>
      <c r="F359" s="5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6"/>
      <c r="C360" s="6"/>
      <c r="D360" s="1"/>
      <c r="E360" s="1"/>
      <c r="F360" s="5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6"/>
      <c r="C361" s="6"/>
      <c r="D361" s="1"/>
      <c r="E361" s="1"/>
      <c r="F361" s="5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6"/>
      <c r="C362" s="6"/>
      <c r="D362" s="1"/>
      <c r="E362" s="1"/>
      <c r="F362" s="5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6"/>
      <c r="C363" s="6"/>
      <c r="D363" s="1"/>
      <c r="E363" s="1"/>
      <c r="F363" s="5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6"/>
      <c r="C364" s="6"/>
      <c r="D364" s="1"/>
      <c r="E364" s="1"/>
      <c r="F364" s="5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6"/>
      <c r="C365" s="6"/>
      <c r="D365" s="1"/>
      <c r="E365" s="1"/>
      <c r="F365" s="5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6"/>
      <c r="C366" s="6"/>
      <c r="D366" s="1"/>
      <c r="E366" s="1"/>
      <c r="F366" s="5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6"/>
      <c r="C367" s="6"/>
      <c r="D367" s="1"/>
      <c r="E367" s="1"/>
      <c r="F367" s="5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6"/>
      <c r="C368" s="6"/>
      <c r="D368" s="1"/>
      <c r="E368" s="1"/>
      <c r="F368" s="5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6"/>
      <c r="C369" s="6"/>
      <c r="D369" s="1"/>
      <c r="E369" s="1"/>
      <c r="F369" s="5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6"/>
      <c r="C370" s="6"/>
      <c r="D370" s="1"/>
      <c r="E370" s="1"/>
      <c r="F370" s="5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6"/>
      <c r="C371" s="6"/>
      <c r="D371" s="1"/>
      <c r="E371" s="1"/>
      <c r="F371" s="5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6"/>
      <c r="C372" s="6"/>
      <c r="D372" s="1"/>
      <c r="E372" s="1"/>
      <c r="F372" s="5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6"/>
      <c r="C373" s="6"/>
      <c r="D373" s="1"/>
      <c r="E373" s="1"/>
      <c r="F373" s="5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6"/>
      <c r="C374" s="6"/>
      <c r="D374" s="1"/>
      <c r="E374" s="1"/>
      <c r="F374" s="5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6"/>
      <c r="C375" s="6"/>
      <c r="D375" s="1"/>
      <c r="E375" s="1"/>
      <c r="F375" s="5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6"/>
      <c r="C376" s="6"/>
      <c r="D376" s="1"/>
      <c r="E376" s="1"/>
      <c r="F376" s="5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6"/>
      <c r="C377" s="6"/>
      <c r="D377" s="1"/>
      <c r="E377" s="1"/>
      <c r="F377" s="5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6"/>
      <c r="C378" s="6"/>
      <c r="D378" s="1"/>
      <c r="E378" s="1"/>
      <c r="F378" s="5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6"/>
      <c r="C379" s="6"/>
      <c r="D379" s="1"/>
      <c r="E379" s="1"/>
      <c r="F379" s="5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6"/>
      <c r="C380" s="6"/>
      <c r="D380" s="1"/>
      <c r="E380" s="1"/>
      <c r="F380" s="5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6"/>
      <c r="C381" s="6"/>
      <c r="D381" s="1"/>
      <c r="E381" s="1"/>
      <c r="F381" s="5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6"/>
      <c r="C382" s="6"/>
      <c r="D382" s="1"/>
      <c r="E382" s="1"/>
      <c r="F382" s="5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6"/>
      <c r="C383" s="6"/>
      <c r="D383" s="1"/>
      <c r="E383" s="1"/>
      <c r="F383" s="5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6"/>
      <c r="C384" s="6"/>
      <c r="D384" s="1"/>
      <c r="E384" s="1"/>
      <c r="F384" s="5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6"/>
      <c r="C385" s="6"/>
      <c r="D385" s="1"/>
      <c r="E385" s="1"/>
      <c r="F385" s="5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6"/>
      <c r="C386" s="6"/>
      <c r="D386" s="1"/>
      <c r="E386" s="1"/>
      <c r="F386" s="5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6"/>
      <c r="C387" s="6"/>
      <c r="D387" s="1"/>
      <c r="E387" s="1"/>
      <c r="F387" s="5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6"/>
      <c r="C388" s="6"/>
      <c r="D388" s="1"/>
      <c r="E388" s="1"/>
      <c r="F388" s="5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6"/>
      <c r="C389" s="6"/>
      <c r="D389" s="1"/>
      <c r="E389" s="1"/>
      <c r="F389" s="5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6"/>
      <c r="C390" s="6"/>
      <c r="D390" s="1"/>
      <c r="E390" s="1"/>
      <c r="F390" s="5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6"/>
      <c r="C391" s="6"/>
      <c r="D391" s="1"/>
      <c r="E391" s="1"/>
      <c r="F391" s="5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6"/>
      <c r="C392" s="6"/>
      <c r="D392" s="1"/>
      <c r="E392" s="1"/>
      <c r="F392" s="5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6"/>
      <c r="C393" s="6"/>
      <c r="D393" s="1"/>
      <c r="E393" s="1"/>
      <c r="F393" s="5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6"/>
      <c r="C394" s="6"/>
      <c r="D394" s="1"/>
      <c r="E394" s="1"/>
      <c r="F394" s="5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6"/>
      <c r="C395" s="6"/>
      <c r="D395" s="1"/>
      <c r="E395" s="1"/>
      <c r="F395" s="5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6"/>
      <c r="C396" s="6"/>
      <c r="D396" s="1"/>
      <c r="E396" s="1"/>
      <c r="F396" s="5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6"/>
      <c r="C397" s="6"/>
      <c r="D397" s="1"/>
      <c r="E397" s="1"/>
      <c r="F397" s="5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6"/>
      <c r="C398" s="6"/>
      <c r="D398" s="1"/>
      <c r="E398" s="1"/>
      <c r="F398" s="5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6"/>
      <c r="C399" s="6"/>
      <c r="D399" s="1"/>
      <c r="E399" s="1"/>
      <c r="F399" s="5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6"/>
      <c r="C400" s="6"/>
      <c r="D400" s="1"/>
      <c r="E400" s="1"/>
      <c r="F400" s="5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6"/>
      <c r="C401" s="6"/>
      <c r="D401" s="1"/>
      <c r="E401" s="1"/>
      <c r="F401" s="5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6"/>
      <c r="C402" s="6"/>
      <c r="D402" s="1"/>
      <c r="E402" s="1"/>
      <c r="F402" s="5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6"/>
      <c r="C403" s="6"/>
      <c r="D403" s="1"/>
      <c r="E403" s="1"/>
      <c r="F403" s="5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6"/>
      <c r="C404" s="6"/>
      <c r="D404" s="1"/>
      <c r="E404" s="1"/>
      <c r="F404" s="5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6"/>
      <c r="C405" s="6"/>
      <c r="D405" s="1"/>
      <c r="E405" s="1"/>
      <c r="F405" s="5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6"/>
      <c r="C406" s="6"/>
      <c r="D406" s="1"/>
      <c r="E406" s="1"/>
      <c r="F406" s="5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6"/>
      <c r="C407" s="6"/>
      <c r="D407" s="1"/>
      <c r="E407" s="1"/>
      <c r="F407" s="5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6"/>
      <c r="C408" s="6"/>
      <c r="D408" s="1"/>
      <c r="E408" s="1"/>
      <c r="F408" s="5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6"/>
      <c r="C409" s="6"/>
      <c r="D409" s="1"/>
      <c r="E409" s="1"/>
      <c r="F409" s="5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6"/>
      <c r="C410" s="6"/>
      <c r="D410" s="1"/>
      <c r="E410" s="1"/>
      <c r="F410" s="5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6"/>
      <c r="C411" s="6"/>
      <c r="D411" s="1"/>
      <c r="E411" s="1"/>
      <c r="F411" s="5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6"/>
      <c r="C412" s="6"/>
      <c r="D412" s="1"/>
      <c r="E412" s="1"/>
      <c r="F412" s="5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6"/>
      <c r="C413" s="6"/>
      <c r="D413" s="1"/>
      <c r="E413" s="1"/>
      <c r="F413" s="5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6"/>
      <c r="C414" s="6"/>
      <c r="D414" s="1"/>
      <c r="E414" s="1"/>
      <c r="F414" s="5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6"/>
      <c r="C415" s="6"/>
      <c r="D415" s="1"/>
      <c r="E415" s="1"/>
      <c r="F415" s="5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6"/>
      <c r="C416" s="6"/>
      <c r="D416" s="1"/>
      <c r="E416" s="1"/>
      <c r="F416" s="5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6"/>
      <c r="C417" s="6"/>
      <c r="D417" s="1"/>
      <c r="E417" s="1"/>
      <c r="F417" s="5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6"/>
      <c r="C418" s="6"/>
      <c r="D418" s="1"/>
      <c r="E418" s="1"/>
      <c r="F418" s="5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6"/>
      <c r="C419" s="6"/>
      <c r="D419" s="1"/>
      <c r="E419" s="1"/>
      <c r="F419" s="5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6"/>
      <c r="C420" s="6"/>
      <c r="D420" s="1"/>
      <c r="E420" s="1"/>
      <c r="F420" s="5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6"/>
      <c r="C421" s="6"/>
      <c r="D421" s="1"/>
      <c r="E421" s="1"/>
      <c r="F421" s="5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6"/>
      <c r="C422" s="6"/>
      <c r="D422" s="1"/>
      <c r="E422" s="1"/>
      <c r="F422" s="5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6"/>
      <c r="C423" s="6"/>
      <c r="D423" s="1"/>
      <c r="E423" s="1"/>
      <c r="F423" s="5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6"/>
      <c r="C424" s="6"/>
      <c r="D424" s="1"/>
      <c r="E424" s="1"/>
      <c r="F424" s="5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6"/>
      <c r="C425" s="6"/>
      <c r="D425" s="1"/>
      <c r="E425" s="1"/>
      <c r="F425" s="5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6"/>
      <c r="C426" s="6"/>
      <c r="D426" s="1"/>
      <c r="E426" s="1"/>
      <c r="F426" s="5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6"/>
      <c r="C427" s="6"/>
      <c r="D427" s="1"/>
      <c r="E427" s="1"/>
      <c r="F427" s="5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6"/>
      <c r="C428" s="6"/>
      <c r="D428" s="1"/>
      <c r="E428" s="1"/>
      <c r="F428" s="5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6"/>
      <c r="C429" s="6"/>
      <c r="D429" s="1"/>
      <c r="E429" s="1"/>
      <c r="F429" s="5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6"/>
      <c r="C430" s="6"/>
      <c r="D430" s="1"/>
      <c r="E430" s="1"/>
      <c r="F430" s="5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6"/>
      <c r="C431" s="6"/>
      <c r="D431" s="1"/>
      <c r="E431" s="1"/>
      <c r="F431" s="5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6"/>
      <c r="C432" s="6"/>
      <c r="D432" s="1"/>
      <c r="E432" s="1"/>
      <c r="F432" s="5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6"/>
      <c r="C433" s="6"/>
      <c r="D433" s="1"/>
      <c r="E433" s="1"/>
      <c r="F433" s="5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6"/>
      <c r="C434" s="6"/>
      <c r="D434" s="1"/>
      <c r="E434" s="1"/>
      <c r="F434" s="5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6"/>
      <c r="C435" s="6"/>
      <c r="D435" s="1"/>
      <c r="E435" s="1"/>
      <c r="F435" s="5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6"/>
      <c r="C436" s="6"/>
      <c r="D436" s="1"/>
      <c r="E436" s="1"/>
      <c r="F436" s="5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6"/>
      <c r="C437" s="6"/>
      <c r="D437" s="1"/>
      <c r="E437" s="1"/>
      <c r="F437" s="5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6"/>
      <c r="C438" s="6"/>
      <c r="D438" s="1"/>
      <c r="E438" s="1"/>
      <c r="F438" s="5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6"/>
      <c r="C439" s="6"/>
      <c r="D439" s="1"/>
      <c r="E439" s="1"/>
      <c r="F439" s="5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6"/>
      <c r="C440" s="6"/>
      <c r="D440" s="1"/>
      <c r="E440" s="1"/>
      <c r="F440" s="5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6"/>
      <c r="C441" s="6"/>
      <c r="D441" s="1"/>
      <c r="E441" s="1"/>
      <c r="F441" s="5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6"/>
      <c r="C442" s="6"/>
      <c r="D442" s="1"/>
      <c r="E442" s="1"/>
      <c r="F442" s="5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6"/>
      <c r="C443" s="6"/>
      <c r="D443" s="1"/>
      <c r="E443" s="1"/>
      <c r="F443" s="5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6"/>
      <c r="C444" s="6"/>
      <c r="D444" s="1"/>
      <c r="E444" s="1"/>
      <c r="F444" s="5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6"/>
      <c r="C445" s="6"/>
      <c r="D445" s="1"/>
      <c r="E445" s="1"/>
      <c r="F445" s="5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6"/>
      <c r="C446" s="6"/>
      <c r="D446" s="1"/>
      <c r="E446" s="1"/>
      <c r="F446" s="5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6"/>
      <c r="C447" s="6"/>
      <c r="D447" s="1"/>
      <c r="E447" s="1"/>
      <c r="F447" s="5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6"/>
      <c r="C448" s="6"/>
      <c r="D448" s="1"/>
      <c r="E448" s="1"/>
      <c r="F448" s="5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6"/>
      <c r="C449" s="6"/>
      <c r="D449" s="1"/>
      <c r="E449" s="1"/>
      <c r="F449" s="5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6"/>
      <c r="C450" s="6"/>
      <c r="D450" s="1"/>
      <c r="E450" s="1"/>
      <c r="F450" s="5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6"/>
      <c r="C451" s="6"/>
      <c r="D451" s="1"/>
      <c r="E451" s="1"/>
      <c r="F451" s="5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6"/>
      <c r="C452" s="6"/>
      <c r="D452" s="1"/>
      <c r="E452" s="1"/>
      <c r="F452" s="5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6"/>
      <c r="C453" s="6"/>
      <c r="D453" s="1"/>
      <c r="E453" s="1"/>
      <c r="F453" s="5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6"/>
      <c r="C454" s="6"/>
      <c r="D454" s="1"/>
      <c r="E454" s="1"/>
      <c r="F454" s="5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6"/>
      <c r="C455" s="6"/>
      <c r="D455" s="1"/>
      <c r="E455" s="1"/>
      <c r="F455" s="5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6"/>
      <c r="C456" s="6"/>
      <c r="D456" s="1"/>
      <c r="E456" s="1"/>
      <c r="F456" s="5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6"/>
      <c r="C457" s="6"/>
      <c r="D457" s="1"/>
      <c r="E457" s="1"/>
      <c r="F457" s="5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6"/>
      <c r="C458" s="6"/>
      <c r="D458" s="1"/>
      <c r="E458" s="1"/>
      <c r="F458" s="5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6"/>
      <c r="C459" s="6"/>
      <c r="D459" s="1"/>
      <c r="E459" s="1"/>
      <c r="F459" s="5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6"/>
      <c r="C460" s="6"/>
      <c r="D460" s="1"/>
      <c r="E460" s="1"/>
      <c r="F460" s="5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6"/>
      <c r="C461" s="6"/>
      <c r="D461" s="1"/>
      <c r="E461" s="1"/>
      <c r="F461" s="5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6"/>
      <c r="C462" s="6"/>
      <c r="D462" s="1"/>
      <c r="E462" s="1"/>
      <c r="F462" s="5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6"/>
      <c r="C463" s="6"/>
      <c r="D463" s="1"/>
      <c r="E463" s="1"/>
      <c r="F463" s="5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6"/>
      <c r="C464" s="6"/>
      <c r="D464" s="1"/>
      <c r="E464" s="1"/>
      <c r="F464" s="5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6"/>
      <c r="C465" s="6"/>
      <c r="D465" s="1"/>
      <c r="E465" s="1"/>
      <c r="F465" s="5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6"/>
      <c r="C466" s="6"/>
      <c r="D466" s="1"/>
      <c r="E466" s="1"/>
      <c r="F466" s="5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6"/>
      <c r="C467" s="6"/>
      <c r="D467" s="1"/>
      <c r="E467" s="1"/>
      <c r="F467" s="5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6"/>
      <c r="C468" s="6"/>
      <c r="D468" s="1"/>
      <c r="E468" s="1"/>
      <c r="F468" s="5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6"/>
      <c r="C469" s="6"/>
      <c r="D469" s="1"/>
      <c r="E469" s="1"/>
      <c r="F469" s="5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6"/>
      <c r="C470" s="6"/>
      <c r="D470" s="1"/>
      <c r="E470" s="1"/>
      <c r="F470" s="5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6"/>
      <c r="C471" s="6"/>
      <c r="D471" s="1"/>
      <c r="E471" s="1"/>
      <c r="F471" s="5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6"/>
      <c r="C472" s="6"/>
      <c r="D472" s="1"/>
      <c r="E472" s="1"/>
      <c r="F472" s="5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6"/>
      <c r="C473" s="6"/>
      <c r="D473" s="1"/>
      <c r="E473" s="1"/>
      <c r="F473" s="5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6"/>
      <c r="C474" s="6"/>
      <c r="D474" s="1"/>
      <c r="E474" s="1"/>
      <c r="F474" s="5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6"/>
      <c r="C475" s="6"/>
      <c r="D475" s="1"/>
      <c r="E475" s="1"/>
      <c r="F475" s="5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6"/>
      <c r="C476" s="6"/>
      <c r="D476" s="1"/>
      <c r="E476" s="1"/>
      <c r="F476" s="5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6"/>
      <c r="C477" s="6"/>
      <c r="D477" s="1"/>
      <c r="E477" s="1"/>
      <c r="F477" s="5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6"/>
      <c r="C478" s="6"/>
      <c r="D478" s="1"/>
      <c r="E478" s="1"/>
      <c r="F478" s="5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6"/>
      <c r="C479" s="6"/>
      <c r="D479" s="1"/>
      <c r="E479" s="1"/>
      <c r="F479" s="5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6"/>
      <c r="C480" s="6"/>
      <c r="D480" s="1"/>
      <c r="E480" s="1"/>
      <c r="F480" s="5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6"/>
      <c r="C481" s="6"/>
      <c r="D481" s="1"/>
      <c r="E481" s="1"/>
      <c r="F481" s="5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6"/>
      <c r="C482" s="6"/>
      <c r="D482" s="1"/>
      <c r="E482" s="1"/>
      <c r="F482" s="5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6"/>
      <c r="C483" s="6"/>
      <c r="D483" s="1"/>
      <c r="E483" s="1"/>
      <c r="F483" s="5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6"/>
      <c r="C484" s="6"/>
      <c r="D484" s="1"/>
      <c r="E484" s="1"/>
      <c r="F484" s="5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6"/>
      <c r="C485" s="6"/>
      <c r="D485" s="1"/>
      <c r="E485" s="1"/>
      <c r="F485" s="5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6"/>
      <c r="C486" s="6"/>
      <c r="D486" s="1"/>
      <c r="E486" s="1"/>
      <c r="F486" s="5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6"/>
      <c r="C487" s="6"/>
      <c r="D487" s="1"/>
      <c r="E487" s="1"/>
      <c r="F487" s="5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6"/>
      <c r="C488" s="6"/>
      <c r="D488" s="1"/>
      <c r="E488" s="1"/>
      <c r="F488" s="5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6"/>
      <c r="C489" s="6"/>
      <c r="D489" s="1"/>
      <c r="E489" s="1"/>
      <c r="F489" s="5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6"/>
      <c r="C490" s="6"/>
      <c r="D490" s="1"/>
      <c r="E490" s="1"/>
      <c r="F490" s="5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6"/>
      <c r="C491" s="6"/>
      <c r="D491" s="1"/>
      <c r="E491" s="1"/>
      <c r="F491" s="5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6"/>
      <c r="C492" s="6"/>
      <c r="D492" s="1"/>
      <c r="E492" s="1"/>
      <c r="F492" s="5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6"/>
      <c r="C493" s="6"/>
      <c r="D493" s="1"/>
      <c r="E493" s="1"/>
      <c r="F493" s="5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6"/>
      <c r="C494" s="6"/>
      <c r="D494" s="1"/>
      <c r="E494" s="1"/>
      <c r="F494" s="5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6"/>
      <c r="C495" s="6"/>
      <c r="D495" s="1"/>
      <c r="E495" s="1"/>
      <c r="F495" s="5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6"/>
      <c r="C496" s="6"/>
      <c r="D496" s="1"/>
      <c r="E496" s="1"/>
      <c r="F496" s="5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6"/>
      <c r="C497" s="6"/>
      <c r="D497" s="1"/>
      <c r="E497" s="1"/>
      <c r="F497" s="5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6"/>
      <c r="C498" s="6"/>
      <c r="D498" s="1"/>
      <c r="E498" s="1"/>
      <c r="F498" s="5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6"/>
      <c r="C499" s="6"/>
      <c r="D499" s="1"/>
      <c r="E499" s="1"/>
      <c r="F499" s="5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6"/>
      <c r="C500" s="6"/>
      <c r="D500" s="1"/>
      <c r="E500" s="1"/>
      <c r="F500" s="5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6"/>
      <c r="C501" s="6"/>
      <c r="D501" s="1"/>
      <c r="E501" s="1"/>
      <c r="F501" s="5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6"/>
      <c r="C502" s="6"/>
      <c r="D502" s="1"/>
      <c r="E502" s="1"/>
      <c r="F502" s="5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6"/>
      <c r="C503" s="6"/>
      <c r="D503" s="1"/>
      <c r="E503" s="1"/>
      <c r="F503" s="5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6"/>
      <c r="C504" s="6"/>
      <c r="D504" s="1"/>
      <c r="E504" s="1"/>
      <c r="F504" s="5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6"/>
      <c r="C505" s="6"/>
      <c r="D505" s="1"/>
      <c r="E505" s="1"/>
      <c r="F505" s="5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6"/>
      <c r="C506" s="6"/>
      <c r="D506" s="1"/>
      <c r="E506" s="1"/>
      <c r="F506" s="5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6"/>
      <c r="C507" s="6"/>
      <c r="D507" s="1"/>
      <c r="E507" s="1"/>
      <c r="F507" s="5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6"/>
      <c r="C508" s="6"/>
      <c r="D508" s="1"/>
      <c r="E508" s="1"/>
      <c r="F508" s="5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6"/>
      <c r="C509" s="6"/>
      <c r="D509" s="1"/>
      <c r="E509" s="1"/>
      <c r="F509" s="5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6"/>
      <c r="C510" s="6"/>
      <c r="D510" s="1"/>
      <c r="E510" s="1"/>
      <c r="F510" s="5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6"/>
      <c r="C511" s="6"/>
      <c r="D511" s="1"/>
      <c r="E511" s="1"/>
      <c r="F511" s="5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6"/>
      <c r="C512" s="6"/>
      <c r="D512" s="1"/>
      <c r="E512" s="1"/>
      <c r="F512" s="5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6"/>
      <c r="C513" s="6"/>
      <c r="D513" s="1"/>
      <c r="E513" s="1"/>
      <c r="F513" s="5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6"/>
      <c r="C514" s="6"/>
      <c r="D514" s="1"/>
      <c r="E514" s="1"/>
      <c r="F514" s="5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6"/>
      <c r="C515" s="6"/>
      <c r="D515" s="1"/>
      <c r="E515" s="1"/>
      <c r="F515" s="5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6"/>
      <c r="C516" s="6"/>
      <c r="D516" s="1"/>
      <c r="E516" s="1"/>
      <c r="F516" s="5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6"/>
      <c r="C517" s="6"/>
      <c r="D517" s="1"/>
      <c r="E517" s="1"/>
      <c r="F517" s="5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6"/>
      <c r="C518" s="6"/>
      <c r="D518" s="1"/>
      <c r="E518" s="1"/>
      <c r="F518" s="5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6"/>
      <c r="C519" s="6"/>
      <c r="D519" s="1"/>
      <c r="E519" s="1"/>
      <c r="F519" s="5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6"/>
      <c r="C520" s="6"/>
      <c r="D520" s="1"/>
      <c r="E520" s="1"/>
      <c r="F520" s="5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6"/>
      <c r="C521" s="6"/>
      <c r="D521" s="1"/>
      <c r="E521" s="1"/>
      <c r="F521" s="5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6"/>
      <c r="C522" s="6"/>
      <c r="D522" s="1"/>
      <c r="E522" s="1"/>
      <c r="F522" s="5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6"/>
      <c r="C523" s="6"/>
      <c r="D523" s="1"/>
      <c r="E523" s="1"/>
      <c r="F523" s="5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6"/>
      <c r="C524" s="6"/>
      <c r="D524" s="1"/>
      <c r="E524" s="1"/>
      <c r="F524" s="5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6"/>
      <c r="C525" s="6"/>
      <c r="D525" s="1"/>
      <c r="E525" s="1"/>
      <c r="F525" s="5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6"/>
      <c r="C526" s="6"/>
      <c r="D526" s="1"/>
      <c r="E526" s="1"/>
      <c r="F526" s="5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6"/>
      <c r="C527" s="6"/>
      <c r="D527" s="1"/>
      <c r="E527" s="1"/>
      <c r="F527" s="5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6"/>
      <c r="C528" s="6"/>
      <c r="D528" s="1"/>
      <c r="E528" s="1"/>
      <c r="F528" s="5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6"/>
      <c r="C529" s="6"/>
      <c r="D529" s="1"/>
      <c r="E529" s="1"/>
      <c r="F529" s="5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6"/>
      <c r="C530" s="6"/>
      <c r="D530" s="1"/>
      <c r="E530" s="1"/>
      <c r="F530" s="5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6"/>
      <c r="C531" s="6"/>
      <c r="D531" s="1"/>
      <c r="E531" s="1"/>
      <c r="F531" s="5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6"/>
      <c r="C532" s="6"/>
      <c r="D532" s="1"/>
      <c r="E532" s="1"/>
      <c r="F532" s="5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6"/>
      <c r="C533" s="6"/>
      <c r="D533" s="1"/>
      <c r="E533" s="1"/>
      <c r="F533" s="5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6"/>
      <c r="C534" s="6"/>
      <c r="D534" s="1"/>
      <c r="E534" s="1"/>
      <c r="F534" s="5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6"/>
      <c r="C535" s="6"/>
      <c r="D535" s="1"/>
      <c r="E535" s="1"/>
      <c r="F535" s="5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6"/>
      <c r="C536" s="6"/>
      <c r="D536" s="1"/>
      <c r="E536" s="1"/>
      <c r="F536" s="5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6"/>
      <c r="C537" s="6"/>
      <c r="D537" s="1"/>
      <c r="E537" s="1"/>
      <c r="F537" s="5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6"/>
      <c r="C538" s="6"/>
      <c r="D538" s="1"/>
      <c r="E538" s="1"/>
      <c r="F538" s="5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6"/>
      <c r="C539" s="6"/>
      <c r="D539" s="1"/>
      <c r="E539" s="1"/>
      <c r="F539" s="5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6"/>
      <c r="C540" s="6"/>
      <c r="D540" s="1"/>
      <c r="E540" s="1"/>
      <c r="F540" s="5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6"/>
      <c r="C541" s="6"/>
      <c r="D541" s="1"/>
      <c r="E541" s="1"/>
      <c r="F541" s="5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6"/>
      <c r="C542" s="6"/>
      <c r="D542" s="1"/>
      <c r="E542" s="1"/>
      <c r="F542" s="5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6"/>
      <c r="C543" s="6"/>
      <c r="D543" s="1"/>
      <c r="E543" s="1"/>
      <c r="F543" s="5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6"/>
      <c r="C544" s="6"/>
      <c r="D544" s="1"/>
      <c r="E544" s="1"/>
      <c r="F544" s="5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6"/>
      <c r="C545" s="6"/>
      <c r="D545" s="1"/>
      <c r="E545" s="1"/>
      <c r="F545" s="5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6"/>
      <c r="C546" s="6"/>
      <c r="D546" s="1"/>
      <c r="E546" s="1"/>
      <c r="F546" s="5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6"/>
      <c r="C547" s="6"/>
      <c r="D547" s="1"/>
      <c r="E547" s="1"/>
      <c r="F547" s="5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6"/>
      <c r="C548" s="6"/>
      <c r="D548" s="1"/>
      <c r="E548" s="1"/>
      <c r="F548" s="5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6"/>
      <c r="C549" s="6"/>
      <c r="D549" s="1"/>
      <c r="E549" s="1"/>
      <c r="F549" s="5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6"/>
      <c r="C550" s="6"/>
      <c r="D550" s="1"/>
      <c r="E550" s="1"/>
      <c r="F550" s="5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6"/>
      <c r="C551" s="6"/>
      <c r="D551" s="1"/>
      <c r="E551" s="1"/>
      <c r="F551" s="5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6"/>
      <c r="C552" s="6"/>
      <c r="D552" s="1"/>
      <c r="E552" s="1"/>
      <c r="F552" s="5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6"/>
      <c r="C553" s="6"/>
      <c r="D553" s="1"/>
      <c r="E553" s="1"/>
      <c r="F553" s="5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6"/>
      <c r="C554" s="6"/>
      <c r="D554" s="1"/>
      <c r="E554" s="1"/>
      <c r="F554" s="5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6"/>
      <c r="C555" s="6"/>
      <c r="D555" s="1"/>
      <c r="E555" s="1"/>
      <c r="F555" s="5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6"/>
      <c r="C556" s="6"/>
      <c r="D556" s="1"/>
      <c r="E556" s="1"/>
      <c r="F556" s="5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6"/>
      <c r="C557" s="6"/>
      <c r="D557" s="1"/>
      <c r="E557" s="1"/>
      <c r="F557" s="5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6"/>
      <c r="C558" s="6"/>
      <c r="D558" s="1"/>
      <c r="E558" s="1"/>
      <c r="F558" s="5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6"/>
      <c r="C559" s="6"/>
      <c r="D559" s="1"/>
      <c r="E559" s="1"/>
      <c r="F559" s="5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6"/>
      <c r="C560" s="6"/>
      <c r="D560" s="1"/>
      <c r="E560" s="1"/>
      <c r="F560" s="5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6"/>
      <c r="C561" s="6"/>
      <c r="D561" s="1"/>
      <c r="E561" s="1"/>
      <c r="F561" s="5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6"/>
      <c r="C562" s="6"/>
      <c r="D562" s="1"/>
      <c r="E562" s="1"/>
      <c r="F562" s="5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6"/>
      <c r="C563" s="6"/>
      <c r="D563" s="1"/>
      <c r="E563" s="1"/>
      <c r="F563" s="5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6"/>
      <c r="C564" s="6"/>
      <c r="D564" s="1"/>
      <c r="E564" s="1"/>
      <c r="F564" s="5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6"/>
      <c r="C565" s="6"/>
      <c r="D565" s="1"/>
      <c r="E565" s="1"/>
      <c r="F565" s="5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6"/>
      <c r="C566" s="6"/>
      <c r="D566" s="1"/>
      <c r="E566" s="1"/>
      <c r="F566" s="5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6"/>
      <c r="C567" s="6"/>
      <c r="D567" s="1"/>
      <c r="E567" s="1"/>
      <c r="F567" s="5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6"/>
      <c r="C568" s="6"/>
      <c r="D568" s="1"/>
      <c r="E568" s="1"/>
      <c r="F568" s="5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6"/>
      <c r="C569" s="6"/>
      <c r="D569" s="1"/>
      <c r="E569" s="1"/>
      <c r="F569" s="5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6"/>
      <c r="C570" s="6"/>
      <c r="D570" s="1"/>
      <c r="E570" s="1"/>
      <c r="F570" s="5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6"/>
      <c r="C571" s="6"/>
      <c r="D571" s="1"/>
      <c r="E571" s="1"/>
      <c r="F571" s="5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6"/>
      <c r="C572" s="6"/>
      <c r="D572" s="1"/>
      <c r="E572" s="1"/>
      <c r="F572" s="5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6"/>
      <c r="C573" s="6"/>
      <c r="D573" s="1"/>
      <c r="E573" s="1"/>
      <c r="F573" s="5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6"/>
      <c r="C574" s="6"/>
      <c r="D574" s="1"/>
      <c r="E574" s="1"/>
      <c r="F574" s="5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6"/>
      <c r="C575" s="6"/>
      <c r="D575" s="1"/>
      <c r="E575" s="1"/>
      <c r="F575" s="5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6"/>
      <c r="C576" s="6"/>
      <c r="D576" s="1"/>
      <c r="E576" s="1"/>
      <c r="F576" s="5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6"/>
      <c r="C577" s="6"/>
      <c r="D577" s="1"/>
      <c r="E577" s="1"/>
      <c r="F577" s="5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6"/>
      <c r="C578" s="6"/>
      <c r="D578" s="1"/>
      <c r="E578" s="1"/>
      <c r="F578" s="5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6"/>
      <c r="C579" s="6"/>
      <c r="D579" s="1"/>
      <c r="E579" s="1"/>
      <c r="F579" s="5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6"/>
      <c r="C580" s="6"/>
      <c r="D580" s="1"/>
      <c r="E580" s="1"/>
      <c r="F580" s="5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6"/>
      <c r="C581" s="6"/>
      <c r="D581" s="1"/>
      <c r="E581" s="1"/>
      <c r="F581" s="5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6"/>
      <c r="C582" s="6"/>
      <c r="D582" s="1"/>
      <c r="E582" s="1"/>
      <c r="F582" s="5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6"/>
      <c r="C583" s="6"/>
      <c r="D583" s="1"/>
      <c r="E583" s="1"/>
      <c r="F583" s="5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6"/>
      <c r="C584" s="6"/>
      <c r="D584" s="1"/>
      <c r="E584" s="1"/>
      <c r="F584" s="5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6"/>
      <c r="C585" s="6"/>
      <c r="D585" s="1"/>
      <c r="E585" s="1"/>
      <c r="F585" s="5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6"/>
      <c r="C586" s="6"/>
      <c r="D586" s="1"/>
      <c r="E586" s="1"/>
      <c r="F586" s="5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6"/>
      <c r="C587" s="6"/>
      <c r="D587" s="1"/>
      <c r="E587" s="1"/>
      <c r="F587" s="5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6"/>
      <c r="C588" s="6"/>
      <c r="D588" s="1"/>
      <c r="E588" s="1"/>
      <c r="F588" s="5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6"/>
      <c r="C589" s="6"/>
      <c r="D589" s="1"/>
      <c r="E589" s="1"/>
      <c r="F589" s="5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6"/>
      <c r="C590" s="6"/>
      <c r="D590" s="1"/>
      <c r="E590" s="1"/>
      <c r="F590" s="5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6"/>
      <c r="C591" s="6"/>
      <c r="D591" s="1"/>
      <c r="E591" s="1"/>
      <c r="F591" s="5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6"/>
      <c r="C592" s="6"/>
      <c r="D592" s="1"/>
      <c r="E592" s="1"/>
      <c r="F592" s="5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6"/>
      <c r="C593" s="6"/>
      <c r="D593" s="1"/>
      <c r="E593" s="1"/>
      <c r="F593" s="5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6"/>
      <c r="C594" s="6"/>
      <c r="D594" s="1"/>
      <c r="E594" s="1"/>
      <c r="F594" s="5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6"/>
      <c r="C595" s="6"/>
      <c r="D595" s="1"/>
      <c r="E595" s="1"/>
      <c r="F595" s="5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6"/>
      <c r="C596" s="6"/>
      <c r="D596" s="1"/>
      <c r="E596" s="1"/>
      <c r="F596" s="5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6"/>
      <c r="C597" s="6"/>
      <c r="D597" s="1"/>
      <c r="E597" s="1"/>
      <c r="F597" s="5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6"/>
      <c r="C598" s="6"/>
      <c r="D598" s="1"/>
      <c r="E598" s="1"/>
      <c r="F598" s="5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6"/>
      <c r="C599" s="6"/>
      <c r="D599" s="1"/>
      <c r="E599" s="1"/>
      <c r="F599" s="5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6"/>
      <c r="C600" s="6"/>
      <c r="D600" s="1"/>
      <c r="E600" s="1"/>
      <c r="F600" s="5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6"/>
      <c r="C601" s="6"/>
      <c r="D601" s="1"/>
      <c r="E601" s="1"/>
      <c r="F601" s="5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6"/>
      <c r="C602" s="6"/>
      <c r="D602" s="1"/>
      <c r="E602" s="1"/>
      <c r="F602" s="5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6"/>
      <c r="C603" s="6"/>
      <c r="D603" s="1"/>
      <c r="E603" s="1"/>
      <c r="F603" s="5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6"/>
      <c r="C604" s="6"/>
      <c r="D604" s="1"/>
      <c r="E604" s="1"/>
      <c r="F604" s="5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6"/>
      <c r="C605" s="6"/>
      <c r="D605" s="1"/>
      <c r="E605" s="1"/>
      <c r="F605" s="5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6"/>
      <c r="C606" s="6"/>
      <c r="D606" s="1"/>
      <c r="E606" s="1"/>
      <c r="F606" s="5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6"/>
      <c r="C607" s="6"/>
      <c r="D607" s="1"/>
      <c r="E607" s="1"/>
      <c r="F607" s="5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6"/>
      <c r="C608" s="6"/>
      <c r="D608" s="1"/>
      <c r="E608" s="1"/>
      <c r="F608" s="5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6"/>
      <c r="C609" s="6"/>
      <c r="D609" s="1"/>
      <c r="E609" s="1"/>
      <c r="F609" s="5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6"/>
      <c r="C610" s="6"/>
      <c r="D610" s="1"/>
      <c r="E610" s="1"/>
      <c r="F610" s="5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6"/>
      <c r="C611" s="6"/>
      <c r="D611" s="1"/>
      <c r="E611" s="1"/>
      <c r="F611" s="5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6"/>
      <c r="C612" s="6"/>
      <c r="D612" s="1"/>
      <c r="E612" s="1"/>
      <c r="F612" s="5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6"/>
      <c r="C613" s="6"/>
      <c r="D613" s="1"/>
      <c r="E613" s="1"/>
      <c r="F613" s="5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6"/>
      <c r="C614" s="6"/>
      <c r="D614" s="1"/>
      <c r="E614" s="1"/>
      <c r="F614" s="5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6"/>
      <c r="C615" s="6"/>
      <c r="D615" s="1"/>
      <c r="E615" s="1"/>
      <c r="F615" s="5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6"/>
      <c r="C616" s="6"/>
      <c r="D616" s="1"/>
      <c r="E616" s="1"/>
      <c r="F616" s="5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6"/>
      <c r="C617" s="6"/>
      <c r="D617" s="1"/>
      <c r="E617" s="1"/>
      <c r="F617" s="5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6"/>
      <c r="C618" s="6"/>
      <c r="D618" s="1"/>
      <c r="E618" s="1"/>
      <c r="F618" s="5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6"/>
      <c r="C619" s="6"/>
      <c r="D619" s="1"/>
      <c r="E619" s="1"/>
      <c r="F619" s="5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6"/>
      <c r="C620" s="6"/>
      <c r="D620" s="1"/>
      <c r="E620" s="1"/>
      <c r="F620" s="5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6"/>
      <c r="C621" s="6"/>
      <c r="D621" s="1"/>
      <c r="E621" s="1"/>
      <c r="F621" s="5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6"/>
      <c r="C622" s="6"/>
      <c r="D622" s="1"/>
      <c r="E622" s="1"/>
      <c r="F622" s="5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6"/>
      <c r="C623" s="6"/>
      <c r="D623" s="1"/>
      <c r="E623" s="1"/>
      <c r="F623" s="5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6"/>
      <c r="C624" s="6"/>
      <c r="D624" s="1"/>
      <c r="E624" s="1"/>
      <c r="F624" s="5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6"/>
      <c r="C625" s="6"/>
      <c r="D625" s="1"/>
      <c r="E625" s="1"/>
      <c r="F625" s="5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6"/>
      <c r="C626" s="6"/>
      <c r="D626" s="1"/>
      <c r="E626" s="1"/>
      <c r="F626" s="5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6"/>
      <c r="C627" s="6"/>
      <c r="D627" s="1"/>
      <c r="E627" s="1"/>
      <c r="F627" s="5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6"/>
      <c r="C628" s="6"/>
      <c r="D628" s="1"/>
      <c r="E628" s="1"/>
      <c r="F628" s="5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6"/>
      <c r="C629" s="6"/>
      <c r="D629" s="1"/>
      <c r="E629" s="1"/>
      <c r="F629" s="5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6"/>
      <c r="C630" s="6"/>
      <c r="D630" s="1"/>
      <c r="E630" s="1"/>
      <c r="F630" s="5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6"/>
      <c r="C631" s="6"/>
      <c r="D631" s="1"/>
      <c r="E631" s="1"/>
      <c r="F631" s="5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6"/>
      <c r="C632" s="6"/>
      <c r="D632" s="1"/>
      <c r="E632" s="1"/>
      <c r="F632" s="5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6"/>
      <c r="C633" s="6"/>
      <c r="D633" s="1"/>
      <c r="E633" s="1"/>
      <c r="F633" s="5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6"/>
      <c r="C634" s="6"/>
      <c r="D634" s="1"/>
      <c r="E634" s="1"/>
      <c r="F634" s="5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6"/>
      <c r="C635" s="6"/>
      <c r="D635" s="1"/>
      <c r="E635" s="1"/>
      <c r="F635" s="5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6"/>
      <c r="C636" s="6"/>
      <c r="D636" s="1"/>
      <c r="E636" s="1"/>
      <c r="F636" s="5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6"/>
      <c r="C637" s="6"/>
      <c r="D637" s="1"/>
      <c r="E637" s="1"/>
      <c r="F637" s="5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6"/>
      <c r="C638" s="6"/>
      <c r="D638" s="1"/>
      <c r="E638" s="1"/>
      <c r="F638" s="5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6"/>
      <c r="C639" s="6"/>
      <c r="D639" s="1"/>
      <c r="E639" s="1"/>
      <c r="F639" s="5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6"/>
      <c r="C640" s="6"/>
      <c r="D640" s="1"/>
      <c r="E640" s="1"/>
      <c r="F640" s="5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6"/>
      <c r="C641" s="6"/>
      <c r="D641" s="1"/>
      <c r="E641" s="1"/>
      <c r="F641" s="5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6"/>
      <c r="C642" s="6"/>
      <c r="D642" s="1"/>
      <c r="E642" s="1"/>
      <c r="F642" s="5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6"/>
      <c r="C643" s="6"/>
      <c r="D643" s="1"/>
      <c r="E643" s="1"/>
      <c r="F643" s="5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6"/>
      <c r="C644" s="6"/>
      <c r="D644" s="1"/>
      <c r="E644" s="1"/>
      <c r="F644" s="5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6"/>
      <c r="C645" s="6"/>
      <c r="D645" s="1"/>
      <c r="E645" s="1"/>
      <c r="F645" s="5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6"/>
      <c r="C646" s="6"/>
      <c r="D646" s="1"/>
      <c r="E646" s="1"/>
      <c r="F646" s="5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6"/>
      <c r="C647" s="6"/>
      <c r="D647" s="1"/>
      <c r="E647" s="1"/>
      <c r="F647" s="5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6"/>
      <c r="C648" s="6"/>
      <c r="D648" s="1"/>
      <c r="E648" s="1"/>
      <c r="F648" s="5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6"/>
      <c r="C649" s="6"/>
      <c r="D649" s="1"/>
      <c r="E649" s="1"/>
      <c r="F649" s="5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6"/>
      <c r="C650" s="6"/>
      <c r="D650" s="1"/>
      <c r="E650" s="1"/>
      <c r="F650" s="5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6"/>
      <c r="C651" s="6"/>
      <c r="D651" s="1"/>
      <c r="E651" s="1"/>
      <c r="F651" s="5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6"/>
      <c r="C652" s="6"/>
      <c r="D652" s="1"/>
      <c r="E652" s="1"/>
      <c r="F652" s="5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6"/>
      <c r="C653" s="6"/>
      <c r="D653" s="1"/>
      <c r="E653" s="1"/>
      <c r="F653" s="5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6"/>
      <c r="C654" s="6"/>
      <c r="D654" s="1"/>
      <c r="E654" s="1"/>
      <c r="F654" s="5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6"/>
      <c r="C655" s="6"/>
      <c r="D655" s="1"/>
      <c r="E655" s="1"/>
      <c r="F655" s="5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6"/>
      <c r="C656" s="6"/>
      <c r="D656" s="1"/>
      <c r="E656" s="1"/>
      <c r="F656" s="5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6"/>
      <c r="C657" s="6"/>
      <c r="D657" s="1"/>
      <c r="E657" s="1"/>
      <c r="F657" s="5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6"/>
      <c r="C658" s="6"/>
      <c r="D658" s="1"/>
      <c r="E658" s="1"/>
      <c r="F658" s="5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6"/>
      <c r="C659" s="6"/>
      <c r="D659" s="1"/>
      <c r="E659" s="1"/>
      <c r="F659" s="5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6"/>
      <c r="C660" s="6"/>
      <c r="D660" s="1"/>
      <c r="E660" s="1"/>
      <c r="F660" s="5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6"/>
      <c r="C661" s="6"/>
      <c r="D661" s="1"/>
      <c r="E661" s="1"/>
      <c r="F661" s="5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6"/>
      <c r="C662" s="6"/>
      <c r="D662" s="1"/>
      <c r="E662" s="1"/>
      <c r="F662" s="5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6"/>
      <c r="C663" s="6"/>
      <c r="D663" s="1"/>
      <c r="E663" s="1"/>
      <c r="F663" s="5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6"/>
      <c r="C664" s="6"/>
      <c r="D664" s="1"/>
      <c r="E664" s="1"/>
      <c r="F664" s="5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6"/>
      <c r="C665" s="6"/>
      <c r="D665" s="1"/>
      <c r="E665" s="1"/>
      <c r="F665" s="5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6"/>
      <c r="C666" s="6"/>
      <c r="D666" s="1"/>
      <c r="E666" s="1"/>
      <c r="F666" s="5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6"/>
      <c r="C667" s="6"/>
      <c r="D667" s="1"/>
      <c r="E667" s="1"/>
      <c r="F667" s="5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6"/>
      <c r="C668" s="6"/>
      <c r="D668" s="1"/>
      <c r="E668" s="1"/>
      <c r="F668" s="5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6"/>
      <c r="C669" s="6"/>
      <c r="D669" s="1"/>
      <c r="E669" s="1"/>
      <c r="F669" s="5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6"/>
      <c r="C670" s="6"/>
      <c r="D670" s="1"/>
      <c r="E670" s="1"/>
      <c r="F670" s="5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6"/>
      <c r="C671" s="6"/>
      <c r="D671" s="1"/>
      <c r="E671" s="1"/>
      <c r="F671" s="5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6"/>
      <c r="C672" s="6"/>
      <c r="D672" s="1"/>
      <c r="E672" s="1"/>
      <c r="F672" s="5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6"/>
      <c r="C673" s="6"/>
      <c r="D673" s="1"/>
      <c r="E673" s="1"/>
      <c r="F673" s="5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6"/>
      <c r="C674" s="6"/>
      <c r="D674" s="1"/>
      <c r="E674" s="1"/>
      <c r="F674" s="5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6"/>
      <c r="C675" s="6"/>
      <c r="D675" s="1"/>
      <c r="E675" s="1"/>
      <c r="F675" s="5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6"/>
      <c r="C676" s="6"/>
      <c r="D676" s="1"/>
      <c r="E676" s="1"/>
      <c r="F676" s="5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6"/>
      <c r="C677" s="6"/>
      <c r="D677" s="1"/>
      <c r="E677" s="1"/>
      <c r="F677" s="5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6"/>
      <c r="C678" s="6"/>
      <c r="D678" s="1"/>
      <c r="E678" s="1"/>
      <c r="F678" s="5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6"/>
      <c r="C679" s="6"/>
      <c r="D679" s="1"/>
      <c r="E679" s="1"/>
      <c r="F679" s="5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6"/>
      <c r="C680" s="6"/>
      <c r="D680" s="1"/>
      <c r="E680" s="1"/>
      <c r="F680" s="5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6"/>
      <c r="C681" s="6"/>
      <c r="D681" s="1"/>
      <c r="E681" s="1"/>
      <c r="F681" s="5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6"/>
      <c r="C682" s="6"/>
      <c r="D682" s="1"/>
      <c r="E682" s="1"/>
      <c r="F682" s="5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6"/>
      <c r="C683" s="6"/>
      <c r="D683" s="1"/>
      <c r="E683" s="1"/>
      <c r="F683" s="5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6"/>
      <c r="C684" s="6"/>
      <c r="D684" s="1"/>
      <c r="E684" s="1"/>
      <c r="F684" s="5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6"/>
      <c r="C685" s="6"/>
      <c r="D685" s="1"/>
      <c r="E685" s="1"/>
      <c r="F685" s="5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6"/>
      <c r="C686" s="6"/>
      <c r="D686" s="1"/>
      <c r="E686" s="1"/>
      <c r="F686" s="5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6"/>
      <c r="C687" s="6"/>
      <c r="D687" s="1"/>
      <c r="E687" s="1"/>
      <c r="F687" s="5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6"/>
      <c r="C688" s="6"/>
      <c r="D688" s="1"/>
      <c r="E688" s="1"/>
      <c r="F688" s="5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6"/>
      <c r="C689" s="6"/>
      <c r="D689" s="1"/>
      <c r="E689" s="1"/>
      <c r="F689" s="5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6"/>
      <c r="C690" s="6"/>
      <c r="D690" s="1"/>
      <c r="E690" s="1"/>
      <c r="F690" s="5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6"/>
      <c r="C691" s="6"/>
      <c r="D691" s="1"/>
      <c r="E691" s="1"/>
      <c r="F691" s="5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6"/>
      <c r="C692" s="6"/>
      <c r="D692" s="1"/>
      <c r="E692" s="1"/>
      <c r="F692" s="5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6"/>
      <c r="C693" s="6"/>
      <c r="D693" s="1"/>
      <c r="E693" s="1"/>
      <c r="F693" s="5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6"/>
      <c r="C694" s="6"/>
      <c r="D694" s="1"/>
      <c r="E694" s="1"/>
      <c r="F694" s="5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6"/>
      <c r="C695" s="6"/>
      <c r="D695" s="1"/>
      <c r="E695" s="1"/>
      <c r="F695" s="5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6"/>
      <c r="C696" s="6"/>
      <c r="D696" s="1"/>
      <c r="E696" s="1"/>
      <c r="F696" s="5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6"/>
      <c r="C697" s="6"/>
      <c r="D697" s="1"/>
      <c r="E697" s="1"/>
      <c r="F697" s="5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6"/>
      <c r="C698" s="6"/>
      <c r="D698" s="1"/>
      <c r="E698" s="1"/>
      <c r="F698" s="5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6"/>
      <c r="C699" s="6"/>
      <c r="D699" s="1"/>
      <c r="E699" s="1"/>
      <c r="F699" s="5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6"/>
      <c r="C700" s="6"/>
      <c r="D700" s="1"/>
      <c r="E700" s="1"/>
      <c r="F700" s="5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6"/>
      <c r="C701" s="6"/>
      <c r="D701" s="1"/>
      <c r="E701" s="1"/>
      <c r="F701" s="5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6"/>
      <c r="C702" s="6"/>
      <c r="D702" s="1"/>
      <c r="E702" s="1"/>
      <c r="F702" s="5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6"/>
      <c r="C703" s="6"/>
      <c r="D703" s="1"/>
      <c r="E703" s="1"/>
      <c r="F703" s="5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6"/>
      <c r="C704" s="6"/>
      <c r="D704" s="1"/>
      <c r="E704" s="1"/>
      <c r="F704" s="5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6"/>
      <c r="C705" s="6"/>
      <c r="D705" s="1"/>
      <c r="E705" s="1"/>
      <c r="F705" s="5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6"/>
      <c r="C706" s="6"/>
      <c r="D706" s="1"/>
      <c r="E706" s="1"/>
      <c r="F706" s="5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6"/>
      <c r="C707" s="6"/>
      <c r="D707" s="1"/>
      <c r="E707" s="1"/>
      <c r="F707" s="5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6"/>
      <c r="C708" s="6"/>
      <c r="D708" s="1"/>
      <c r="E708" s="1"/>
      <c r="F708" s="5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6"/>
      <c r="C709" s="6"/>
      <c r="D709" s="1"/>
      <c r="E709" s="1"/>
      <c r="F709" s="5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6"/>
      <c r="C710" s="6"/>
      <c r="D710" s="1"/>
      <c r="E710" s="1"/>
      <c r="F710" s="5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6"/>
      <c r="C711" s="6"/>
      <c r="D711" s="1"/>
      <c r="E711" s="1"/>
      <c r="F711" s="5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6"/>
      <c r="C712" s="6"/>
      <c r="D712" s="1"/>
      <c r="E712" s="1"/>
      <c r="F712" s="5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6"/>
      <c r="C713" s="6"/>
      <c r="D713" s="1"/>
      <c r="E713" s="1"/>
      <c r="F713" s="5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6"/>
      <c r="C714" s="6"/>
      <c r="D714" s="1"/>
      <c r="E714" s="1"/>
      <c r="F714" s="5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6"/>
      <c r="C715" s="6"/>
      <c r="D715" s="1"/>
      <c r="E715" s="1"/>
      <c r="F715" s="5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6"/>
      <c r="C716" s="6"/>
      <c r="D716" s="1"/>
      <c r="E716" s="1"/>
      <c r="F716" s="5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6"/>
      <c r="C717" s="6"/>
      <c r="D717" s="1"/>
      <c r="E717" s="1"/>
      <c r="F717" s="5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6"/>
      <c r="C718" s="6"/>
      <c r="D718" s="1"/>
      <c r="E718" s="1"/>
      <c r="F718" s="5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6"/>
      <c r="C719" s="6"/>
      <c r="D719" s="1"/>
      <c r="E719" s="1"/>
      <c r="F719" s="5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6"/>
      <c r="C720" s="6"/>
      <c r="D720" s="1"/>
      <c r="E720" s="1"/>
      <c r="F720" s="5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6"/>
      <c r="C721" s="6"/>
      <c r="D721" s="1"/>
      <c r="E721" s="1"/>
      <c r="F721" s="5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6"/>
      <c r="C722" s="6"/>
      <c r="D722" s="1"/>
      <c r="E722" s="1"/>
      <c r="F722" s="5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6"/>
      <c r="C723" s="6"/>
      <c r="D723" s="1"/>
      <c r="E723" s="1"/>
      <c r="F723" s="5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6"/>
      <c r="C724" s="6"/>
      <c r="D724" s="1"/>
      <c r="E724" s="1"/>
      <c r="F724" s="5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6"/>
      <c r="C725" s="6"/>
      <c r="D725" s="1"/>
      <c r="E725" s="1"/>
      <c r="F725" s="5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6"/>
      <c r="C726" s="6"/>
      <c r="D726" s="1"/>
      <c r="E726" s="1"/>
      <c r="F726" s="5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6"/>
      <c r="C727" s="6"/>
      <c r="D727" s="1"/>
      <c r="E727" s="1"/>
      <c r="F727" s="5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6"/>
      <c r="C728" s="6"/>
      <c r="D728" s="1"/>
      <c r="E728" s="1"/>
      <c r="F728" s="5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6"/>
      <c r="C729" s="6"/>
      <c r="D729" s="1"/>
      <c r="E729" s="1"/>
      <c r="F729" s="5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6"/>
      <c r="C730" s="6"/>
      <c r="D730" s="1"/>
      <c r="E730" s="1"/>
      <c r="F730" s="5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6"/>
      <c r="C731" s="6"/>
      <c r="D731" s="1"/>
      <c r="E731" s="1"/>
      <c r="F731" s="5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6"/>
      <c r="C732" s="6"/>
      <c r="D732" s="1"/>
      <c r="E732" s="1"/>
      <c r="F732" s="5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6"/>
      <c r="C733" s="6"/>
      <c r="D733" s="1"/>
      <c r="E733" s="1"/>
      <c r="F733" s="5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6"/>
      <c r="C734" s="6"/>
      <c r="D734" s="1"/>
      <c r="E734" s="1"/>
      <c r="F734" s="5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6"/>
      <c r="C735" s="6"/>
      <c r="D735" s="1"/>
      <c r="E735" s="1"/>
      <c r="F735" s="5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6"/>
      <c r="C736" s="6"/>
      <c r="D736" s="1"/>
      <c r="E736" s="1"/>
      <c r="F736" s="5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6"/>
      <c r="C737" s="6"/>
      <c r="D737" s="1"/>
      <c r="E737" s="1"/>
      <c r="F737" s="5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6"/>
      <c r="C738" s="6"/>
      <c r="D738" s="1"/>
      <c r="E738" s="1"/>
      <c r="F738" s="5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6"/>
      <c r="C739" s="6"/>
      <c r="D739" s="1"/>
      <c r="E739" s="1"/>
      <c r="F739" s="5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6"/>
      <c r="C740" s="6"/>
      <c r="D740" s="1"/>
      <c r="E740" s="1"/>
      <c r="F740" s="5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6"/>
      <c r="C741" s="6"/>
      <c r="D741" s="1"/>
      <c r="E741" s="1"/>
      <c r="F741" s="5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6"/>
      <c r="C742" s="6"/>
      <c r="D742" s="1"/>
      <c r="E742" s="1"/>
      <c r="F742" s="5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6"/>
      <c r="C743" s="6"/>
      <c r="D743" s="1"/>
      <c r="E743" s="1"/>
      <c r="F743" s="5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6"/>
      <c r="C744" s="6"/>
      <c r="D744" s="1"/>
      <c r="E744" s="1"/>
      <c r="F744" s="5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6"/>
      <c r="C745" s="6"/>
      <c r="D745" s="1"/>
      <c r="E745" s="1"/>
      <c r="F745" s="5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6"/>
      <c r="C746" s="6"/>
      <c r="D746" s="1"/>
      <c r="E746" s="1"/>
      <c r="F746" s="5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6"/>
      <c r="C747" s="6"/>
      <c r="D747" s="1"/>
      <c r="E747" s="1"/>
      <c r="F747" s="5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6"/>
      <c r="C748" s="6"/>
      <c r="D748" s="1"/>
      <c r="E748" s="1"/>
      <c r="F748" s="5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6"/>
      <c r="C749" s="6"/>
      <c r="D749" s="1"/>
      <c r="E749" s="1"/>
      <c r="F749" s="5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6"/>
      <c r="C750" s="6"/>
      <c r="D750" s="1"/>
      <c r="E750" s="1"/>
      <c r="F750" s="5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6"/>
      <c r="C751" s="6"/>
      <c r="D751" s="1"/>
      <c r="E751" s="1"/>
      <c r="F751" s="5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6"/>
      <c r="C752" s="6"/>
      <c r="D752" s="1"/>
      <c r="E752" s="1"/>
      <c r="F752" s="5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6"/>
      <c r="C753" s="6"/>
      <c r="D753" s="1"/>
      <c r="E753" s="1"/>
      <c r="F753" s="5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6"/>
      <c r="C754" s="6"/>
      <c r="D754" s="1"/>
      <c r="E754" s="1"/>
      <c r="F754" s="5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6"/>
      <c r="C755" s="6"/>
      <c r="D755" s="1"/>
      <c r="E755" s="1"/>
      <c r="F755" s="5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6"/>
      <c r="C756" s="6"/>
      <c r="D756" s="1"/>
      <c r="E756" s="1"/>
      <c r="F756" s="5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6"/>
      <c r="C757" s="6"/>
      <c r="D757" s="1"/>
      <c r="E757" s="1"/>
      <c r="F757" s="5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6"/>
      <c r="C758" s="6"/>
      <c r="D758" s="1"/>
      <c r="E758" s="1"/>
      <c r="F758" s="5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6"/>
      <c r="C759" s="6"/>
      <c r="D759" s="1"/>
      <c r="E759" s="1"/>
      <c r="F759" s="5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6"/>
      <c r="C760" s="6"/>
      <c r="D760" s="1"/>
      <c r="E760" s="1"/>
      <c r="F760" s="5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6"/>
      <c r="C761" s="6"/>
      <c r="D761" s="1"/>
      <c r="E761" s="1"/>
      <c r="F761" s="5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6"/>
      <c r="C762" s="6"/>
      <c r="D762" s="1"/>
      <c r="E762" s="1"/>
      <c r="F762" s="5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6"/>
      <c r="C763" s="6"/>
      <c r="D763" s="1"/>
      <c r="E763" s="1"/>
      <c r="F763" s="5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6"/>
      <c r="C764" s="6"/>
      <c r="D764" s="1"/>
      <c r="E764" s="1"/>
      <c r="F764" s="5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6"/>
      <c r="C765" s="6"/>
      <c r="D765" s="1"/>
      <c r="E765" s="1"/>
      <c r="F765" s="5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6"/>
      <c r="C766" s="6"/>
      <c r="D766" s="1"/>
      <c r="E766" s="1"/>
      <c r="F766" s="5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6"/>
      <c r="C767" s="6"/>
      <c r="D767" s="1"/>
      <c r="E767" s="1"/>
      <c r="F767" s="5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6"/>
      <c r="C768" s="6"/>
      <c r="D768" s="1"/>
      <c r="E768" s="1"/>
      <c r="F768" s="5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6"/>
      <c r="C769" s="6"/>
      <c r="D769" s="1"/>
      <c r="E769" s="1"/>
      <c r="F769" s="5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6"/>
      <c r="C770" s="6"/>
      <c r="D770" s="1"/>
      <c r="E770" s="1"/>
      <c r="F770" s="5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6"/>
      <c r="C771" s="6"/>
      <c r="D771" s="1"/>
      <c r="E771" s="1"/>
      <c r="F771" s="5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6"/>
      <c r="C772" s="6"/>
      <c r="D772" s="1"/>
      <c r="E772" s="1"/>
      <c r="F772" s="5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6"/>
      <c r="C773" s="6"/>
      <c r="D773" s="1"/>
      <c r="E773" s="1"/>
      <c r="F773" s="5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6"/>
      <c r="C774" s="6"/>
      <c r="D774" s="1"/>
      <c r="E774" s="1"/>
      <c r="F774" s="5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6"/>
      <c r="C775" s="6"/>
      <c r="D775" s="1"/>
      <c r="E775" s="1"/>
      <c r="F775" s="5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6"/>
      <c r="C776" s="6"/>
      <c r="D776" s="1"/>
      <c r="E776" s="1"/>
      <c r="F776" s="5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6"/>
      <c r="C777" s="6"/>
      <c r="D777" s="1"/>
      <c r="E777" s="1"/>
      <c r="F777" s="5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6"/>
      <c r="C778" s="6"/>
      <c r="D778" s="1"/>
      <c r="E778" s="1"/>
      <c r="F778" s="5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6"/>
      <c r="C779" s="6"/>
      <c r="D779" s="1"/>
      <c r="E779" s="1"/>
      <c r="F779" s="5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6"/>
      <c r="C780" s="6"/>
      <c r="D780" s="1"/>
      <c r="E780" s="1"/>
      <c r="F780" s="5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6"/>
      <c r="C781" s="6"/>
      <c r="D781" s="1"/>
      <c r="E781" s="1"/>
      <c r="F781" s="5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6"/>
      <c r="C782" s="6"/>
      <c r="D782" s="1"/>
      <c r="E782" s="1"/>
      <c r="F782" s="5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6"/>
      <c r="C783" s="6"/>
      <c r="D783" s="1"/>
      <c r="E783" s="1"/>
      <c r="F783" s="5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6"/>
      <c r="C784" s="6"/>
      <c r="D784" s="1"/>
      <c r="E784" s="1"/>
      <c r="F784" s="5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6"/>
      <c r="C785" s="6"/>
      <c r="D785" s="1"/>
      <c r="E785" s="1"/>
      <c r="F785" s="5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6"/>
      <c r="C786" s="6"/>
      <c r="D786" s="1"/>
      <c r="E786" s="1"/>
      <c r="F786" s="5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6"/>
      <c r="C787" s="6"/>
      <c r="D787" s="1"/>
      <c r="E787" s="1"/>
      <c r="F787" s="5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6"/>
      <c r="C788" s="6"/>
      <c r="D788" s="1"/>
      <c r="E788" s="1"/>
      <c r="F788" s="5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6"/>
      <c r="C789" s="6"/>
      <c r="D789" s="1"/>
      <c r="E789" s="1"/>
      <c r="F789" s="5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6"/>
      <c r="C790" s="6"/>
      <c r="D790" s="1"/>
      <c r="E790" s="1"/>
      <c r="F790" s="5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6"/>
      <c r="C791" s="6"/>
      <c r="D791" s="1"/>
      <c r="E791" s="1"/>
      <c r="F791" s="5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6"/>
      <c r="C792" s="6"/>
      <c r="D792" s="1"/>
      <c r="E792" s="1"/>
      <c r="F792" s="5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6"/>
      <c r="C793" s="6"/>
      <c r="D793" s="1"/>
      <c r="E793" s="1"/>
      <c r="F793" s="5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6"/>
      <c r="C794" s="6"/>
      <c r="D794" s="1"/>
      <c r="E794" s="1"/>
      <c r="F794" s="5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6"/>
      <c r="C795" s="6"/>
      <c r="D795" s="1"/>
      <c r="E795" s="1"/>
      <c r="F795" s="5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6"/>
      <c r="C796" s="6"/>
      <c r="D796" s="1"/>
      <c r="E796" s="1"/>
      <c r="F796" s="5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6"/>
      <c r="C797" s="6"/>
      <c r="D797" s="1"/>
      <c r="E797" s="1"/>
      <c r="F797" s="5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6"/>
      <c r="C798" s="6"/>
      <c r="D798" s="1"/>
      <c r="E798" s="1"/>
      <c r="F798" s="5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6"/>
      <c r="C799" s="6"/>
      <c r="D799" s="1"/>
      <c r="E799" s="1"/>
      <c r="F799" s="5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6"/>
      <c r="C800" s="6"/>
      <c r="D800" s="1"/>
      <c r="E800" s="1"/>
      <c r="F800" s="5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6"/>
      <c r="C801" s="6"/>
      <c r="D801" s="1"/>
      <c r="E801" s="1"/>
      <c r="F801" s="5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6"/>
      <c r="C802" s="6"/>
      <c r="D802" s="1"/>
      <c r="E802" s="1"/>
      <c r="F802" s="5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6"/>
      <c r="C803" s="6"/>
      <c r="D803" s="1"/>
      <c r="E803" s="1"/>
      <c r="F803" s="5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6"/>
      <c r="C804" s="6"/>
      <c r="D804" s="1"/>
      <c r="E804" s="1"/>
      <c r="F804" s="5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6"/>
      <c r="C805" s="6"/>
      <c r="D805" s="1"/>
      <c r="E805" s="1"/>
      <c r="F805" s="5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6"/>
      <c r="C806" s="6"/>
      <c r="D806" s="1"/>
      <c r="E806" s="1"/>
      <c r="F806" s="5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6"/>
      <c r="C807" s="6"/>
      <c r="D807" s="1"/>
      <c r="E807" s="1"/>
      <c r="F807" s="5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6"/>
      <c r="C808" s="6"/>
      <c r="D808" s="1"/>
      <c r="E808" s="1"/>
      <c r="F808" s="5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6"/>
      <c r="C809" s="6"/>
      <c r="D809" s="1"/>
      <c r="E809" s="1"/>
      <c r="F809" s="5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6"/>
      <c r="C810" s="6"/>
      <c r="D810" s="1"/>
      <c r="E810" s="1"/>
      <c r="F810" s="5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6"/>
      <c r="C811" s="6"/>
      <c r="D811" s="1"/>
      <c r="E811" s="1"/>
      <c r="F811" s="5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6"/>
      <c r="C812" s="6"/>
      <c r="D812" s="1"/>
      <c r="E812" s="1"/>
      <c r="F812" s="5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6"/>
      <c r="C813" s="6"/>
      <c r="D813" s="1"/>
      <c r="E813" s="1"/>
      <c r="F813" s="5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6"/>
      <c r="C814" s="6"/>
      <c r="D814" s="1"/>
      <c r="E814" s="1"/>
      <c r="F814" s="5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6"/>
      <c r="C815" s="6"/>
      <c r="D815" s="1"/>
      <c r="E815" s="1"/>
      <c r="F815" s="5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6"/>
      <c r="C816" s="6"/>
      <c r="D816" s="1"/>
      <c r="E816" s="1"/>
      <c r="F816" s="5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6"/>
      <c r="C817" s="6"/>
      <c r="D817" s="1"/>
      <c r="E817" s="1"/>
      <c r="F817" s="5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6"/>
      <c r="C818" s="6"/>
      <c r="D818" s="1"/>
      <c r="E818" s="1"/>
      <c r="F818" s="5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6"/>
      <c r="C819" s="6"/>
      <c r="D819" s="1"/>
      <c r="E819" s="1"/>
      <c r="F819" s="5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6"/>
      <c r="C820" s="6"/>
      <c r="D820" s="1"/>
      <c r="E820" s="1"/>
      <c r="F820" s="5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6"/>
      <c r="C821" s="6"/>
      <c r="D821" s="1"/>
      <c r="E821" s="1"/>
      <c r="F821" s="5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6"/>
      <c r="C822" s="6"/>
      <c r="D822" s="1"/>
      <c r="E822" s="1"/>
      <c r="F822" s="5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6"/>
      <c r="C823" s="6"/>
      <c r="D823" s="1"/>
      <c r="E823" s="1"/>
      <c r="F823" s="5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6"/>
      <c r="C824" s="6"/>
      <c r="D824" s="1"/>
      <c r="E824" s="1"/>
      <c r="F824" s="5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6"/>
      <c r="C825" s="6"/>
      <c r="D825" s="1"/>
      <c r="E825" s="1"/>
      <c r="F825" s="5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6"/>
      <c r="C826" s="6"/>
      <c r="D826" s="1"/>
      <c r="E826" s="1"/>
      <c r="F826" s="5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6"/>
      <c r="C827" s="6"/>
      <c r="D827" s="1"/>
      <c r="E827" s="1"/>
      <c r="F827" s="5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6"/>
      <c r="C828" s="6"/>
      <c r="D828" s="1"/>
      <c r="E828" s="1"/>
      <c r="F828" s="5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6"/>
      <c r="C829" s="6"/>
      <c r="D829" s="1"/>
      <c r="E829" s="1"/>
      <c r="F829" s="5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6"/>
      <c r="C830" s="6"/>
      <c r="D830" s="1"/>
      <c r="E830" s="1"/>
      <c r="F830" s="5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6"/>
      <c r="C831" s="6"/>
      <c r="D831" s="1"/>
      <c r="E831" s="1"/>
      <c r="F831" s="5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6"/>
      <c r="C832" s="6"/>
      <c r="D832" s="1"/>
      <c r="E832" s="1"/>
      <c r="F832" s="5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6"/>
      <c r="C833" s="6"/>
      <c r="D833" s="1"/>
      <c r="E833" s="1"/>
      <c r="F833" s="5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6"/>
      <c r="C834" s="6"/>
      <c r="D834" s="1"/>
      <c r="E834" s="1"/>
      <c r="F834" s="5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6"/>
      <c r="C835" s="6"/>
      <c r="D835" s="1"/>
      <c r="E835" s="1"/>
      <c r="F835" s="5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6"/>
      <c r="C836" s="6"/>
      <c r="D836" s="1"/>
      <c r="E836" s="1"/>
      <c r="F836" s="5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6"/>
      <c r="C837" s="6"/>
      <c r="D837" s="1"/>
      <c r="E837" s="1"/>
      <c r="F837" s="5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6"/>
      <c r="C838" s="6"/>
      <c r="D838" s="1"/>
      <c r="E838" s="1"/>
      <c r="F838" s="5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6"/>
      <c r="C839" s="6"/>
      <c r="D839" s="1"/>
      <c r="E839" s="1"/>
      <c r="F839" s="5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6"/>
      <c r="C840" s="6"/>
      <c r="D840" s="1"/>
      <c r="E840" s="1"/>
      <c r="F840" s="5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6"/>
      <c r="C841" s="6"/>
      <c r="D841" s="1"/>
      <c r="E841" s="1"/>
      <c r="F841" s="5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6"/>
      <c r="C842" s="6"/>
      <c r="D842" s="1"/>
      <c r="E842" s="1"/>
      <c r="F842" s="5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6"/>
      <c r="C843" s="6"/>
      <c r="D843" s="1"/>
      <c r="E843" s="1"/>
      <c r="F843" s="5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6"/>
      <c r="C844" s="6"/>
      <c r="D844" s="1"/>
      <c r="E844" s="1"/>
      <c r="F844" s="5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6"/>
      <c r="C845" s="6"/>
      <c r="D845" s="1"/>
      <c r="E845" s="1"/>
      <c r="F845" s="5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6"/>
      <c r="C846" s="6"/>
      <c r="D846" s="1"/>
      <c r="E846" s="1"/>
      <c r="F846" s="5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6"/>
      <c r="C847" s="6"/>
      <c r="D847" s="1"/>
      <c r="E847" s="1"/>
      <c r="F847" s="5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6"/>
      <c r="C848" s="6"/>
      <c r="D848" s="1"/>
      <c r="E848" s="1"/>
      <c r="F848" s="5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6"/>
      <c r="C849" s="6"/>
      <c r="D849" s="1"/>
      <c r="E849" s="1"/>
      <c r="F849" s="5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6"/>
      <c r="C850" s="6"/>
      <c r="D850" s="1"/>
      <c r="E850" s="1"/>
      <c r="F850" s="5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6"/>
      <c r="C851" s="6"/>
      <c r="D851" s="1"/>
      <c r="E851" s="1"/>
      <c r="F851" s="5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6"/>
      <c r="C852" s="6"/>
      <c r="D852" s="1"/>
      <c r="E852" s="1"/>
      <c r="F852" s="5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6"/>
      <c r="C853" s="6"/>
      <c r="D853" s="1"/>
      <c r="E853" s="1"/>
      <c r="F853" s="5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6"/>
      <c r="C854" s="6"/>
      <c r="D854" s="1"/>
      <c r="E854" s="1"/>
      <c r="F854" s="5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6"/>
      <c r="C855" s="6"/>
      <c r="D855" s="1"/>
      <c r="E855" s="1"/>
      <c r="F855" s="5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6"/>
      <c r="C856" s="6"/>
      <c r="D856" s="1"/>
      <c r="E856" s="1"/>
      <c r="F856" s="5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6"/>
      <c r="C857" s="6"/>
      <c r="D857" s="1"/>
      <c r="E857" s="1"/>
      <c r="F857" s="5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6"/>
      <c r="C858" s="6"/>
      <c r="D858" s="1"/>
      <c r="E858" s="1"/>
      <c r="F858" s="5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6"/>
      <c r="C859" s="6"/>
      <c r="D859" s="1"/>
      <c r="E859" s="1"/>
      <c r="F859" s="5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6"/>
      <c r="C860" s="6"/>
      <c r="D860" s="1"/>
      <c r="E860" s="1"/>
      <c r="F860" s="5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6"/>
      <c r="C861" s="6"/>
      <c r="D861" s="1"/>
      <c r="E861" s="1"/>
      <c r="F861" s="5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6"/>
      <c r="C862" s="6"/>
      <c r="D862" s="1"/>
      <c r="E862" s="1"/>
      <c r="F862" s="5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6"/>
      <c r="C863" s="6"/>
      <c r="D863" s="1"/>
      <c r="E863" s="1"/>
      <c r="F863" s="5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6"/>
      <c r="C864" s="6"/>
      <c r="D864" s="1"/>
      <c r="E864" s="1"/>
      <c r="F864" s="5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6"/>
      <c r="C865" s="6"/>
      <c r="D865" s="1"/>
      <c r="E865" s="1"/>
      <c r="F865" s="5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6"/>
      <c r="C866" s="6"/>
      <c r="D866" s="1"/>
      <c r="E866" s="1"/>
      <c r="F866" s="5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6"/>
      <c r="C867" s="6"/>
      <c r="D867" s="1"/>
      <c r="E867" s="1"/>
      <c r="F867" s="5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6"/>
      <c r="C868" s="6"/>
      <c r="D868" s="1"/>
      <c r="E868" s="1"/>
      <c r="F868" s="5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6"/>
      <c r="C869" s="6"/>
      <c r="D869" s="1"/>
      <c r="E869" s="1"/>
      <c r="F869" s="5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6"/>
      <c r="C870" s="6"/>
      <c r="D870" s="1"/>
      <c r="E870" s="1"/>
      <c r="F870" s="5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6"/>
      <c r="C871" s="6"/>
      <c r="D871" s="1"/>
      <c r="E871" s="1"/>
      <c r="F871" s="5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6"/>
      <c r="C872" s="6"/>
      <c r="D872" s="1"/>
      <c r="E872" s="1"/>
      <c r="F872" s="5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6"/>
      <c r="C873" s="6"/>
      <c r="D873" s="1"/>
      <c r="E873" s="1"/>
      <c r="F873" s="5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6"/>
      <c r="C874" s="6"/>
      <c r="D874" s="1"/>
      <c r="E874" s="1"/>
      <c r="F874" s="5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6"/>
      <c r="C875" s="6"/>
      <c r="D875" s="1"/>
      <c r="E875" s="1"/>
      <c r="F875" s="5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6"/>
      <c r="C876" s="6"/>
      <c r="D876" s="1"/>
      <c r="E876" s="1"/>
      <c r="F876" s="5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6"/>
      <c r="C877" s="6"/>
      <c r="D877" s="1"/>
      <c r="E877" s="1"/>
      <c r="F877" s="5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6"/>
      <c r="C878" s="6"/>
      <c r="D878" s="1"/>
      <c r="E878" s="1"/>
      <c r="F878" s="5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6"/>
      <c r="C879" s="6"/>
      <c r="D879" s="1"/>
      <c r="E879" s="1"/>
      <c r="F879" s="5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6"/>
      <c r="C880" s="6"/>
      <c r="D880" s="1"/>
      <c r="E880" s="1"/>
      <c r="F880" s="5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6"/>
      <c r="C881" s="6"/>
      <c r="D881" s="1"/>
      <c r="E881" s="1"/>
      <c r="F881" s="5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6"/>
      <c r="C882" s="6"/>
      <c r="D882" s="1"/>
      <c r="E882" s="1"/>
      <c r="F882" s="5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6"/>
      <c r="C883" s="6"/>
      <c r="D883" s="1"/>
      <c r="E883" s="1"/>
      <c r="F883" s="5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6"/>
      <c r="C884" s="6"/>
      <c r="D884" s="1"/>
      <c r="E884" s="1"/>
      <c r="F884" s="5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6"/>
      <c r="C885" s="6"/>
      <c r="D885" s="1"/>
      <c r="E885" s="1"/>
      <c r="F885" s="5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6"/>
      <c r="C886" s="6"/>
      <c r="D886" s="1"/>
      <c r="E886" s="1"/>
      <c r="F886" s="5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6"/>
      <c r="C887" s="6"/>
      <c r="D887" s="1"/>
      <c r="E887" s="1"/>
      <c r="F887" s="5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6"/>
      <c r="C888" s="6"/>
      <c r="D888" s="1"/>
      <c r="E888" s="1"/>
      <c r="F888" s="5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6"/>
      <c r="C889" s="6"/>
      <c r="D889" s="1"/>
      <c r="E889" s="1"/>
      <c r="F889" s="5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6"/>
      <c r="C890" s="6"/>
      <c r="D890" s="1"/>
      <c r="E890" s="1"/>
      <c r="F890" s="5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6"/>
      <c r="C891" s="6"/>
      <c r="D891" s="1"/>
      <c r="E891" s="1"/>
      <c r="F891" s="5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6"/>
      <c r="C892" s="6"/>
      <c r="D892" s="1"/>
      <c r="E892" s="1"/>
      <c r="F892" s="5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6"/>
      <c r="C893" s="6"/>
      <c r="D893" s="1"/>
      <c r="E893" s="1"/>
      <c r="F893" s="5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6"/>
      <c r="C894" s="6"/>
      <c r="D894" s="1"/>
      <c r="E894" s="1"/>
      <c r="F894" s="5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6"/>
      <c r="C895" s="6"/>
      <c r="D895" s="1"/>
      <c r="E895" s="1"/>
      <c r="F895" s="5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6"/>
      <c r="C896" s="6"/>
      <c r="D896" s="1"/>
      <c r="E896" s="1"/>
      <c r="F896" s="5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6"/>
      <c r="C897" s="6"/>
      <c r="D897" s="1"/>
      <c r="E897" s="1"/>
      <c r="F897" s="5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6"/>
      <c r="C898" s="6"/>
      <c r="D898" s="1"/>
      <c r="E898" s="1"/>
      <c r="F898" s="5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6"/>
      <c r="C899" s="6"/>
      <c r="D899" s="1"/>
      <c r="E899" s="1"/>
      <c r="F899" s="5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6"/>
      <c r="C900" s="6"/>
      <c r="D900" s="1"/>
      <c r="E900" s="1"/>
      <c r="F900" s="5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6"/>
      <c r="C901" s="6"/>
      <c r="D901" s="1"/>
      <c r="E901" s="1"/>
      <c r="F901" s="5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6"/>
      <c r="C902" s="6"/>
      <c r="D902" s="1"/>
      <c r="E902" s="1"/>
      <c r="F902" s="5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6"/>
      <c r="C903" s="6"/>
      <c r="D903" s="1"/>
      <c r="E903" s="1"/>
      <c r="F903" s="5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6"/>
      <c r="C904" s="6"/>
      <c r="D904" s="1"/>
      <c r="E904" s="1"/>
      <c r="F904" s="5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6"/>
      <c r="C905" s="6"/>
      <c r="D905" s="1"/>
      <c r="E905" s="1"/>
      <c r="F905" s="5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6"/>
      <c r="C906" s="6"/>
      <c r="D906" s="1"/>
      <c r="E906" s="1"/>
      <c r="F906" s="5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6"/>
      <c r="C907" s="6"/>
      <c r="D907" s="1"/>
      <c r="E907" s="1"/>
      <c r="F907" s="5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6"/>
      <c r="C908" s="6"/>
      <c r="D908" s="1"/>
      <c r="E908" s="1"/>
      <c r="F908" s="5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6"/>
      <c r="C909" s="6"/>
      <c r="D909" s="1"/>
      <c r="E909" s="1"/>
      <c r="F909" s="5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6"/>
      <c r="C910" s="6"/>
      <c r="D910" s="1"/>
      <c r="E910" s="1"/>
      <c r="F910" s="5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6"/>
      <c r="C911" s="6"/>
      <c r="D911" s="1"/>
      <c r="E911" s="1"/>
      <c r="F911" s="5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6"/>
      <c r="C912" s="6"/>
      <c r="D912" s="1"/>
      <c r="E912" s="1"/>
      <c r="F912" s="5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6"/>
      <c r="C913" s="6"/>
      <c r="D913" s="1"/>
      <c r="E913" s="1"/>
      <c r="F913" s="5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6"/>
      <c r="C914" s="6"/>
      <c r="D914" s="1"/>
      <c r="E914" s="1"/>
      <c r="F914" s="5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6"/>
      <c r="C915" s="6"/>
      <c r="D915" s="1"/>
      <c r="E915" s="1"/>
      <c r="F915" s="5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6"/>
      <c r="C916" s="6"/>
      <c r="D916" s="1"/>
      <c r="E916" s="1"/>
      <c r="F916" s="5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6"/>
      <c r="C917" s="6"/>
      <c r="D917" s="1"/>
      <c r="E917" s="1"/>
      <c r="F917" s="5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6"/>
      <c r="C918" s="6"/>
      <c r="D918" s="1"/>
      <c r="E918" s="1"/>
      <c r="F918" s="5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6"/>
      <c r="C919" s="6"/>
      <c r="D919" s="1"/>
      <c r="E919" s="1"/>
      <c r="F919" s="5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6"/>
      <c r="C920" s="6"/>
      <c r="D920" s="1"/>
      <c r="E920" s="1"/>
      <c r="F920" s="5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6"/>
      <c r="C921" s="6"/>
      <c r="D921" s="1"/>
      <c r="E921" s="1"/>
      <c r="F921" s="5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6"/>
      <c r="C922" s="6"/>
      <c r="D922" s="1"/>
      <c r="E922" s="1"/>
      <c r="F922" s="5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6"/>
      <c r="C923" s="6"/>
      <c r="D923" s="1"/>
      <c r="E923" s="1"/>
      <c r="F923" s="5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6"/>
      <c r="C924" s="6"/>
      <c r="D924" s="1"/>
      <c r="E924" s="1"/>
      <c r="F924" s="5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6"/>
      <c r="C925" s="6"/>
      <c r="D925" s="1"/>
      <c r="E925" s="1"/>
      <c r="F925" s="5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6"/>
      <c r="C926" s="6"/>
      <c r="D926" s="1"/>
      <c r="E926" s="1"/>
      <c r="F926" s="5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6"/>
      <c r="C927" s="6"/>
      <c r="D927" s="1"/>
      <c r="E927" s="1"/>
      <c r="F927" s="5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6"/>
      <c r="C928" s="6"/>
      <c r="D928" s="1"/>
      <c r="E928" s="1"/>
      <c r="F928" s="5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6"/>
      <c r="C929" s="6"/>
      <c r="D929" s="1"/>
      <c r="E929" s="1"/>
      <c r="F929" s="5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6"/>
      <c r="C930" s="6"/>
      <c r="D930" s="1"/>
      <c r="E930" s="1"/>
      <c r="F930" s="5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6"/>
      <c r="C931" s="6"/>
      <c r="D931" s="1"/>
      <c r="E931" s="1"/>
      <c r="F931" s="5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6"/>
      <c r="C932" s="6"/>
      <c r="D932" s="1"/>
      <c r="E932" s="1"/>
      <c r="F932" s="5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6"/>
      <c r="C933" s="6"/>
      <c r="D933" s="1"/>
      <c r="E933" s="1"/>
      <c r="F933" s="5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6"/>
      <c r="C934" s="6"/>
      <c r="D934" s="1"/>
      <c r="E934" s="1"/>
      <c r="F934" s="5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6"/>
      <c r="C935" s="6"/>
      <c r="D935" s="1"/>
      <c r="E935" s="1"/>
      <c r="F935" s="5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6"/>
      <c r="C936" s="6"/>
      <c r="D936" s="1"/>
      <c r="E936" s="1"/>
      <c r="F936" s="5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6"/>
      <c r="C937" s="6"/>
      <c r="D937" s="1"/>
      <c r="E937" s="1"/>
      <c r="F937" s="5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6"/>
      <c r="C938" s="6"/>
      <c r="D938" s="1"/>
      <c r="E938" s="1"/>
      <c r="F938" s="5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6"/>
      <c r="C939" s="6"/>
      <c r="D939" s="1"/>
      <c r="E939" s="1"/>
      <c r="F939" s="5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6"/>
      <c r="C940" s="6"/>
      <c r="D940" s="1"/>
      <c r="E940" s="1"/>
      <c r="F940" s="5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6"/>
      <c r="C941" s="6"/>
      <c r="D941" s="1"/>
      <c r="E941" s="1"/>
      <c r="F941" s="5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6"/>
      <c r="C942" s="6"/>
      <c r="D942" s="1"/>
      <c r="E942" s="1"/>
      <c r="F942" s="5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6"/>
      <c r="C943" s="6"/>
      <c r="D943" s="1"/>
      <c r="E943" s="1"/>
      <c r="F943" s="5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6"/>
      <c r="C944" s="6"/>
      <c r="D944" s="1"/>
      <c r="E944" s="1"/>
      <c r="F944" s="5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6"/>
      <c r="C945" s="6"/>
      <c r="D945" s="1"/>
      <c r="E945" s="1"/>
      <c r="F945" s="5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6"/>
      <c r="C946" s="6"/>
      <c r="D946" s="1"/>
      <c r="E946" s="1"/>
      <c r="F946" s="5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6"/>
      <c r="C947" s="6"/>
      <c r="D947" s="1"/>
      <c r="E947" s="1"/>
      <c r="F947" s="5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6"/>
      <c r="C948" s="6"/>
      <c r="D948" s="1"/>
      <c r="E948" s="1"/>
      <c r="F948" s="5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6"/>
      <c r="C949" s="6"/>
      <c r="D949" s="1"/>
      <c r="E949" s="1"/>
      <c r="F949" s="5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6"/>
      <c r="C950" s="6"/>
      <c r="D950" s="1"/>
      <c r="E950" s="1"/>
      <c r="F950" s="5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6"/>
      <c r="C951" s="6"/>
      <c r="D951" s="1"/>
      <c r="E951" s="1"/>
      <c r="F951" s="5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6"/>
      <c r="C952" s="6"/>
      <c r="D952" s="1"/>
      <c r="E952" s="1"/>
      <c r="F952" s="5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6"/>
      <c r="C953" s="6"/>
      <c r="D953" s="1"/>
      <c r="E953" s="1"/>
      <c r="F953" s="5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6"/>
      <c r="C954" s="6"/>
      <c r="D954" s="1"/>
      <c r="E954" s="1"/>
      <c r="F954" s="5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6"/>
      <c r="C955" s="6"/>
      <c r="D955" s="1"/>
      <c r="E955" s="1"/>
      <c r="F955" s="5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6"/>
      <c r="C956" s="6"/>
      <c r="D956" s="1"/>
      <c r="E956" s="1"/>
      <c r="F956" s="5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6"/>
      <c r="C957" s="6"/>
      <c r="D957" s="1"/>
      <c r="E957" s="1"/>
      <c r="F957" s="5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6"/>
      <c r="C958" s="6"/>
      <c r="D958" s="1"/>
      <c r="E958" s="1"/>
      <c r="F958" s="5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6"/>
      <c r="C959" s="6"/>
      <c r="D959" s="1"/>
      <c r="E959" s="1"/>
      <c r="F959" s="5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6"/>
      <c r="C960" s="6"/>
      <c r="D960" s="1"/>
      <c r="E960" s="1"/>
      <c r="F960" s="5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6"/>
      <c r="C961" s="6"/>
      <c r="D961" s="1"/>
      <c r="E961" s="1"/>
      <c r="F961" s="5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6"/>
      <c r="C962" s="6"/>
      <c r="D962" s="1"/>
      <c r="E962" s="1"/>
      <c r="F962" s="5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6"/>
      <c r="C963" s="6"/>
      <c r="D963" s="1"/>
      <c r="E963" s="1"/>
      <c r="F963" s="5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6"/>
      <c r="C964" s="6"/>
      <c r="D964" s="1"/>
      <c r="E964" s="1"/>
      <c r="F964" s="5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6"/>
      <c r="C965" s="6"/>
      <c r="D965" s="1"/>
      <c r="E965" s="1"/>
      <c r="F965" s="5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6"/>
      <c r="C966" s="6"/>
      <c r="D966" s="1"/>
      <c r="E966" s="1"/>
      <c r="F966" s="5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6"/>
      <c r="C967" s="6"/>
      <c r="D967" s="1"/>
      <c r="E967" s="1"/>
      <c r="F967" s="5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6"/>
      <c r="C968" s="6"/>
      <c r="D968" s="1"/>
      <c r="E968" s="1"/>
      <c r="F968" s="5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6"/>
      <c r="C969" s="6"/>
      <c r="D969" s="1"/>
      <c r="E969" s="1"/>
      <c r="F969" s="5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6"/>
      <c r="C970" s="6"/>
      <c r="D970" s="1"/>
      <c r="E970" s="1"/>
      <c r="F970" s="5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6"/>
      <c r="C971" s="6"/>
      <c r="D971" s="1"/>
      <c r="E971" s="1"/>
      <c r="F971" s="5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6"/>
      <c r="C972" s="6"/>
      <c r="D972" s="1"/>
      <c r="E972" s="1"/>
      <c r="F972" s="5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6"/>
      <c r="C973" s="6"/>
      <c r="D973" s="1"/>
      <c r="E973" s="1"/>
      <c r="F973" s="5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6"/>
      <c r="C974" s="6"/>
      <c r="D974" s="1"/>
      <c r="E974" s="1"/>
      <c r="F974" s="5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6"/>
      <c r="C975" s="6"/>
      <c r="D975" s="1"/>
      <c r="E975" s="1"/>
      <c r="F975" s="5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6"/>
      <c r="C976" s="6"/>
      <c r="D976" s="1"/>
      <c r="E976" s="1"/>
      <c r="F976" s="5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6"/>
      <c r="C977" s="6"/>
      <c r="D977" s="1"/>
      <c r="E977" s="1"/>
      <c r="F977" s="5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6"/>
      <c r="C978" s="6"/>
      <c r="D978" s="1"/>
      <c r="E978" s="1"/>
      <c r="F978" s="5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6"/>
      <c r="C979" s="6"/>
      <c r="D979" s="1"/>
      <c r="E979" s="1"/>
      <c r="F979" s="5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6"/>
      <c r="C980" s="6"/>
      <c r="D980" s="1"/>
      <c r="E980" s="1"/>
      <c r="F980" s="5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6"/>
      <c r="C981" s="6"/>
      <c r="D981" s="1"/>
      <c r="E981" s="1"/>
      <c r="F981" s="5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6"/>
      <c r="C982" s="6"/>
      <c r="D982" s="1"/>
      <c r="E982" s="1"/>
      <c r="F982" s="5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6"/>
      <c r="C983" s="6"/>
      <c r="D983" s="1"/>
      <c r="E983" s="1"/>
      <c r="F983" s="5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6"/>
      <c r="C984" s="6"/>
      <c r="D984" s="1"/>
      <c r="E984" s="1"/>
      <c r="F984" s="5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6"/>
      <c r="C985" s="6"/>
      <c r="D985" s="1"/>
      <c r="E985" s="1"/>
      <c r="F985" s="5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6"/>
      <c r="C986" s="6"/>
      <c r="D986" s="1"/>
      <c r="E986" s="1"/>
      <c r="F986" s="5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6"/>
      <c r="C987" s="6"/>
      <c r="D987" s="1"/>
      <c r="E987" s="1"/>
      <c r="F987" s="5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6"/>
      <c r="C988" s="6"/>
      <c r="D988" s="1"/>
      <c r="E988" s="1"/>
      <c r="F988" s="5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6"/>
      <c r="C989" s="6"/>
      <c r="D989" s="1"/>
      <c r="E989" s="1"/>
      <c r="F989" s="5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6"/>
      <c r="C990" s="6"/>
      <c r="D990" s="1"/>
      <c r="E990" s="1"/>
      <c r="F990" s="5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6"/>
      <c r="C991" s="6"/>
      <c r="D991" s="1"/>
      <c r="E991" s="1"/>
      <c r="F991" s="5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6"/>
      <c r="C992" s="6"/>
      <c r="D992" s="1"/>
      <c r="E992" s="1"/>
      <c r="F992" s="5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6"/>
      <c r="C993" s="6"/>
      <c r="D993" s="1"/>
      <c r="E993" s="1"/>
      <c r="F993" s="5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6"/>
      <c r="C994" s="6"/>
      <c r="D994" s="1"/>
      <c r="E994" s="1"/>
      <c r="F994" s="5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mergeCells count="3">
    <mergeCell ref="B11:B13"/>
    <mergeCell ref="B14:B15"/>
    <mergeCell ref="B16:B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75" outlineLevelCol="1"/>
  <cols>
    <col customWidth="1" min="1" max="1" width="22.71"/>
    <col customWidth="1" min="2" max="2" width="34.71"/>
    <col customWidth="1" min="3" max="3" width="16.29"/>
    <col customWidth="1" min="4" max="4" width="85.57"/>
    <col customWidth="1" min="5" max="6" width="13.71"/>
    <col customWidth="1" min="7" max="24" width="13.86"/>
    <col customWidth="1" min="25" max="25" width="15.14"/>
    <col customWidth="1" hidden="1" min="26" max="26" width="28.43"/>
    <col customWidth="1" hidden="1" min="27" max="27" width="72.71"/>
    <col customWidth="1" hidden="1" min="28" max="28" width="9.29"/>
    <col customWidth="1" hidden="1" min="29" max="29" width="15.0"/>
    <col customWidth="1" hidden="1" min="30" max="31" width="51.43"/>
  </cols>
  <sheetData>
    <row r="1">
      <c r="A1" s="5" t="s">
        <v>0</v>
      </c>
      <c r="B1" s="8" t="s">
        <v>3</v>
      </c>
      <c r="C1" s="8" t="s">
        <v>4</v>
      </c>
      <c r="D1" s="8" t="s">
        <v>5</v>
      </c>
      <c r="E1" s="12" t="s">
        <v>6</v>
      </c>
      <c r="F1" s="12" t="s">
        <v>9</v>
      </c>
      <c r="G1" s="12" t="s">
        <v>10</v>
      </c>
      <c r="H1" s="1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17"/>
      <c r="Z1" s="6"/>
      <c r="AA1" s="18"/>
      <c r="AB1" s="15" t="s">
        <v>16</v>
      </c>
      <c r="AC1" s="15" t="s">
        <v>17</v>
      </c>
      <c r="AD1" s="15" t="s">
        <v>18</v>
      </c>
      <c r="AE1" s="15" t="s">
        <v>19</v>
      </c>
    </row>
    <row r="2">
      <c r="A2" s="5" t="s">
        <v>20</v>
      </c>
      <c r="B2" s="8" t="s">
        <v>21</v>
      </c>
      <c r="C2" s="21" t="s">
        <v>23</v>
      </c>
      <c r="D2" s="21" t="s">
        <v>25</v>
      </c>
      <c r="E2" s="30">
        <f t="array" ref="E2:F3">Allied!E3:F4</f>
        <v>860</v>
      </c>
      <c r="F2" s="30">
        <v>1020.0</v>
      </c>
      <c r="G2" s="12"/>
      <c r="H2" s="18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17"/>
      <c r="Z2" s="6"/>
      <c r="AA2" s="18"/>
      <c r="AB2" s="33"/>
      <c r="AC2" s="34"/>
      <c r="AD2" s="18"/>
      <c r="AE2" s="18"/>
    </row>
    <row r="3">
      <c r="A3" s="5" t="s">
        <v>20</v>
      </c>
      <c r="B3" s="8" t="s">
        <v>21</v>
      </c>
      <c r="C3" s="21" t="s">
        <v>72</v>
      </c>
      <c r="D3" s="21" t="s">
        <v>73</v>
      </c>
      <c r="E3" s="30">
        <v>900.0</v>
      </c>
      <c r="F3" s="30">
        <v>1060.0</v>
      </c>
      <c r="G3" s="12"/>
      <c r="H3" s="1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17"/>
      <c r="Z3" s="6"/>
      <c r="AA3" s="18"/>
      <c r="AB3" s="33"/>
      <c r="AC3" s="34"/>
      <c r="AD3" s="18"/>
      <c r="AE3" s="18"/>
    </row>
    <row r="4">
      <c r="A4" s="5" t="s">
        <v>20</v>
      </c>
      <c r="B4" s="8" t="s">
        <v>80</v>
      </c>
      <c r="C4" s="21" t="s">
        <v>82</v>
      </c>
      <c r="D4" s="21" t="s">
        <v>84</v>
      </c>
      <c r="E4" s="53">
        <f t="array" ref="E4:F4">VLOOKUP(C4,Allied!$C$6:$F1832,{3,4},0)</f>
        <v>330</v>
      </c>
      <c r="F4" s="30">
        <v>360.0</v>
      </c>
      <c r="G4" s="12"/>
      <c r="H4" s="18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17"/>
      <c r="Z4" s="6"/>
      <c r="AA4" s="18"/>
      <c r="AB4" s="33"/>
      <c r="AC4" s="34"/>
      <c r="AD4" s="18"/>
      <c r="AE4" s="18"/>
    </row>
    <row r="5">
      <c r="A5" s="5" t="s">
        <v>20</v>
      </c>
      <c r="B5" s="8" t="s">
        <v>80</v>
      </c>
      <c r="C5" s="21" t="s">
        <v>151</v>
      </c>
      <c r="D5" s="21" t="s">
        <v>152</v>
      </c>
      <c r="E5" s="53">
        <f t="array" ref="E5:F5">VLOOKUP(C5,Allied!$C$6:$F1832,{3,4},0)</f>
        <v>1190</v>
      </c>
      <c r="F5" s="30">
        <v>1290.0</v>
      </c>
      <c r="G5" s="30"/>
      <c r="H5" s="18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17"/>
      <c r="Z5" s="6"/>
      <c r="AA5" s="18"/>
      <c r="AB5" s="33"/>
      <c r="AC5" s="34"/>
      <c r="AD5" s="18"/>
      <c r="AE5" s="18"/>
    </row>
    <row r="6">
      <c r="A6" s="5" t="s">
        <v>20</v>
      </c>
      <c r="B6" s="8" t="s">
        <v>80</v>
      </c>
      <c r="C6" s="21" t="s">
        <v>163</v>
      </c>
      <c r="D6" s="21" t="s">
        <v>165</v>
      </c>
      <c r="E6" s="53">
        <f t="array" ref="E6:F6">VLOOKUP(C6,Allied!$C$6:$F1832,{3,4},0)</f>
        <v>1230</v>
      </c>
      <c r="F6" s="30">
        <v>1330.0</v>
      </c>
      <c r="G6" s="30"/>
      <c r="H6" s="18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17"/>
      <c r="Z6" s="6"/>
      <c r="AA6" s="18"/>
      <c r="AB6" s="33"/>
      <c r="AC6" s="34"/>
      <c r="AD6" s="18"/>
      <c r="AE6" s="18"/>
    </row>
    <row r="7">
      <c r="A7" s="5" t="s">
        <v>20</v>
      </c>
      <c r="B7" s="8" t="s">
        <v>98</v>
      </c>
      <c r="C7" s="21" t="s">
        <v>178</v>
      </c>
      <c r="D7" s="21" t="s">
        <v>84</v>
      </c>
      <c r="E7" s="53">
        <f t="array" ref="E7:F7">VLOOKUP(C7,Allied!$C$6:$F1832,{3,4},0)</f>
        <v>330</v>
      </c>
      <c r="F7" s="30">
        <v>360.0</v>
      </c>
      <c r="G7" s="12"/>
      <c r="H7" s="18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17"/>
      <c r="Z7" s="6"/>
      <c r="AA7" s="18"/>
      <c r="AB7" s="33"/>
      <c r="AC7" s="34"/>
      <c r="AD7" s="18"/>
      <c r="AE7" s="18"/>
    </row>
    <row r="8">
      <c r="A8" s="5" t="s">
        <v>20</v>
      </c>
      <c r="B8" s="8" t="s">
        <v>98</v>
      </c>
      <c r="C8" s="21" t="s">
        <v>188</v>
      </c>
      <c r="D8" s="21" t="s">
        <v>152</v>
      </c>
      <c r="E8" s="53">
        <f t="array" ref="E8:F8">VLOOKUP(C8,Allied!$C$6:$F1832,{3,4},0)</f>
        <v>1190</v>
      </c>
      <c r="F8" s="30">
        <v>1290.0</v>
      </c>
      <c r="G8" s="30"/>
      <c r="H8" s="18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17"/>
      <c r="Z8" s="6"/>
      <c r="AA8" s="18"/>
      <c r="AB8" s="33"/>
      <c r="AC8" s="34"/>
      <c r="AD8" s="18"/>
      <c r="AE8" s="18"/>
    </row>
    <row r="9">
      <c r="A9" s="5" t="s">
        <v>20</v>
      </c>
      <c r="B9" s="8" t="s">
        <v>98</v>
      </c>
      <c r="C9" s="21" t="s">
        <v>199</v>
      </c>
      <c r="D9" s="21" t="s">
        <v>165</v>
      </c>
      <c r="E9" s="53">
        <f t="array" ref="E9:F9">VLOOKUP(C9,Allied!$C$6:$F1832,{3,4},0)</f>
        <v>1230</v>
      </c>
      <c r="F9" s="30">
        <v>1330.0</v>
      </c>
      <c r="G9" s="30"/>
      <c r="H9" s="18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17"/>
      <c r="Z9" s="6"/>
      <c r="AA9" s="18"/>
      <c r="AB9" s="33"/>
      <c r="AC9" s="34"/>
      <c r="AD9" s="18"/>
      <c r="AE9" s="18"/>
    </row>
    <row r="10">
      <c r="A10" s="5" t="s">
        <v>20</v>
      </c>
      <c r="B10" s="8" t="s">
        <v>104</v>
      </c>
      <c r="C10" s="21" t="s">
        <v>211</v>
      </c>
      <c r="D10" s="21" t="s">
        <v>84</v>
      </c>
      <c r="E10" s="53">
        <f t="array" ref="E10:F10">VLOOKUP(C10,Allied!$C$6:$F1832,{3,4},0)</f>
        <v>330</v>
      </c>
      <c r="F10" s="30">
        <v>360.0</v>
      </c>
      <c r="G10" s="12"/>
      <c r="H10" s="18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17"/>
      <c r="Z10" s="6"/>
      <c r="AA10" s="18"/>
      <c r="AB10" s="33"/>
      <c r="AC10" s="34"/>
      <c r="AD10" s="57"/>
      <c r="AE10" s="18"/>
    </row>
    <row r="11">
      <c r="A11" s="5" t="s">
        <v>20</v>
      </c>
      <c r="B11" s="8" t="s">
        <v>104</v>
      </c>
      <c r="C11" s="21" t="s">
        <v>226</v>
      </c>
      <c r="D11" s="21" t="s">
        <v>152</v>
      </c>
      <c r="E11" s="53">
        <f t="array" ref="E11:F11">VLOOKUP(C11,Allied!$C$6:$F1832,{3,4},0)</f>
        <v>1190</v>
      </c>
      <c r="F11" s="30">
        <v>1290.0</v>
      </c>
      <c r="G11" s="30"/>
      <c r="H11" s="18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17"/>
      <c r="Z11" s="6"/>
      <c r="AA11" s="18"/>
      <c r="AB11" s="33"/>
      <c r="AC11" s="34"/>
      <c r="AD11" s="57"/>
      <c r="AE11" s="18"/>
    </row>
    <row r="12">
      <c r="A12" s="5" t="s">
        <v>20</v>
      </c>
      <c r="B12" s="8" t="s">
        <v>104</v>
      </c>
      <c r="C12" s="21" t="s">
        <v>249</v>
      </c>
      <c r="D12" s="21" t="s">
        <v>165</v>
      </c>
      <c r="E12" s="53">
        <f t="array" ref="E12:F12">VLOOKUP(C12,Allied!$C$6:$F1832,{3,4},0)</f>
        <v>1230</v>
      </c>
      <c r="F12" s="30">
        <v>1330.0</v>
      </c>
      <c r="G12" s="30"/>
      <c r="H12" s="18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17"/>
      <c r="Z12" s="6"/>
      <c r="AA12" s="18"/>
      <c r="AB12" s="33"/>
      <c r="AC12" s="34"/>
      <c r="AD12" s="18"/>
      <c r="AE12" s="18"/>
    </row>
    <row r="13">
      <c r="A13" s="5" t="s">
        <v>20</v>
      </c>
      <c r="B13" s="8" t="s">
        <v>120</v>
      </c>
      <c r="C13" s="21" t="s">
        <v>264</v>
      </c>
      <c r="D13" s="21" t="s">
        <v>84</v>
      </c>
      <c r="E13" s="53">
        <f t="array" ref="E13:F13">VLOOKUP(C13,Allied!$C$6:$F1832,{3,4},0)</f>
        <v>330</v>
      </c>
      <c r="F13" s="30">
        <v>360.0</v>
      </c>
      <c r="G13" s="12"/>
      <c r="H13" s="18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17"/>
      <c r="Z13" s="6"/>
      <c r="AA13" s="18"/>
      <c r="AB13" s="33"/>
      <c r="AC13" s="34"/>
      <c r="AD13" s="18"/>
      <c r="AE13" s="18"/>
    </row>
    <row r="14">
      <c r="A14" s="5" t="s">
        <v>20</v>
      </c>
      <c r="B14" s="8" t="s">
        <v>120</v>
      </c>
      <c r="C14" s="21" t="s">
        <v>279</v>
      </c>
      <c r="D14" s="21" t="s">
        <v>152</v>
      </c>
      <c r="E14" s="53">
        <f t="array" ref="E14:F14">VLOOKUP(C14,Allied!$C$6:$F1832,{3,4},0)</f>
        <v>1190</v>
      </c>
      <c r="F14" s="30">
        <v>1290.0</v>
      </c>
      <c r="G14" s="30"/>
      <c r="H14" s="18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17"/>
      <c r="Z14" s="6"/>
      <c r="AA14" s="18"/>
      <c r="AB14" s="33"/>
      <c r="AC14" s="34"/>
      <c r="AD14" s="18"/>
      <c r="AE14" s="18"/>
    </row>
    <row r="15">
      <c r="A15" s="5" t="s">
        <v>20</v>
      </c>
      <c r="B15" s="8" t="s">
        <v>120</v>
      </c>
      <c r="C15" s="21" t="s">
        <v>292</v>
      </c>
      <c r="D15" s="21" t="s">
        <v>165</v>
      </c>
      <c r="E15" s="53">
        <f t="array" ref="E15:F15">VLOOKUP(C15,Allied!$C$6:$F1832,{3,4},0)</f>
        <v>1230</v>
      </c>
      <c r="F15" s="30">
        <v>1330.0</v>
      </c>
      <c r="G15" s="30"/>
      <c r="H15" s="18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17"/>
      <c r="Z15" s="6"/>
      <c r="AA15" s="18"/>
      <c r="AB15" s="33"/>
      <c r="AC15" s="34"/>
      <c r="AD15" s="18"/>
      <c r="AE15" s="18"/>
    </row>
    <row r="16">
      <c r="A16" s="5" t="s">
        <v>20</v>
      </c>
      <c r="B16" s="8" t="s">
        <v>117</v>
      </c>
      <c r="C16" s="21" t="s">
        <v>305</v>
      </c>
      <c r="D16" s="8" t="s">
        <v>306</v>
      </c>
      <c r="E16" s="53">
        <f t="array" ref="E16:F16">VLOOKUP(C16,'NEW PTMT'!$B$4:$E1832,{3,4},0)</f>
        <v>298</v>
      </c>
      <c r="F16" s="30">
        <v>322.0</v>
      </c>
      <c r="G16" s="59">
        <v>54.0</v>
      </c>
      <c r="H16" s="15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17"/>
      <c r="Z16" s="6" t="str">
        <f t="shared" ref="Z16:Z381" si="1">B16&amp;AC16</f>
        <v>Novo123</v>
      </c>
      <c r="AA16" s="18" t="str">
        <f t="shared" ref="AA16:AA381" si="2">B16&amp;AD16</f>
        <v>NovoBib Cock Fancy with Flange</v>
      </c>
      <c r="AB16" s="60">
        <f t="shared" ref="AB16:AB381" si="3">F16</f>
        <v>322</v>
      </c>
      <c r="AC16" s="61">
        <v>123.0</v>
      </c>
      <c r="AD16" s="57" t="s">
        <v>333</v>
      </c>
      <c r="AE16" s="18" t="str">
        <f t="array" ref="AE16:AE58">SORT(UNIQUE(AD16:AD1832),1,1)</f>
        <v>2 in 1 Telephonic Wall Mixer</v>
      </c>
    </row>
    <row r="17">
      <c r="A17" s="5" t="s">
        <v>20</v>
      </c>
      <c r="B17" s="8" t="s">
        <v>117</v>
      </c>
      <c r="C17" s="21" t="s">
        <v>338</v>
      </c>
      <c r="D17" s="8" t="s">
        <v>339</v>
      </c>
      <c r="E17" s="53">
        <f t="array" ref="E17:F17">VLOOKUP(C17,'NEW PTMT'!$B$4:$E1832,{3,4},0)</f>
        <v>362</v>
      </c>
      <c r="F17" s="30">
        <v>392.0</v>
      </c>
      <c r="G17" s="59">
        <v>33.0</v>
      </c>
      <c r="H17" s="15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17"/>
      <c r="Z17" s="6" t="str">
        <f t="shared" si="1"/>
        <v>Novo124</v>
      </c>
      <c r="AA17" s="18" t="str">
        <f t="shared" si="2"/>
        <v>NovoBib Cock Long Body with Flange</v>
      </c>
      <c r="AB17" s="60">
        <f t="shared" si="3"/>
        <v>392</v>
      </c>
      <c r="AC17" s="61">
        <v>124.0</v>
      </c>
      <c r="AD17" s="57" t="s">
        <v>358</v>
      </c>
      <c r="AE17" s="18" t="s">
        <v>359</v>
      </c>
    </row>
    <row r="18">
      <c r="A18" s="5" t="s">
        <v>20</v>
      </c>
      <c r="B18" s="8" t="s">
        <v>117</v>
      </c>
      <c r="C18" s="21" t="s">
        <v>362</v>
      </c>
      <c r="D18" s="21" t="s">
        <v>363</v>
      </c>
      <c r="E18" s="53">
        <f t="array" ref="E18:F18">VLOOKUP(C18,'NEW PTMT'!$B$4:$E1832,{3,4},0)</f>
        <v>332</v>
      </c>
      <c r="F18" s="30">
        <v>358.0</v>
      </c>
      <c r="G18" s="59">
        <v>33.0</v>
      </c>
      <c r="H18" s="18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17"/>
      <c r="Z18" s="6" t="str">
        <f t="shared" si="1"/>
        <v>Novo127</v>
      </c>
      <c r="AA18" s="18" t="str">
        <f t="shared" si="2"/>
        <v>NovoBib Cock Nozzle with Flange</v>
      </c>
      <c r="AB18" s="60">
        <f t="shared" si="3"/>
        <v>358</v>
      </c>
      <c r="AC18" s="61">
        <v>127.0</v>
      </c>
      <c r="AD18" s="62" t="s">
        <v>363</v>
      </c>
      <c r="AE18" s="18" t="s">
        <v>378</v>
      </c>
    </row>
    <row r="19">
      <c r="A19" s="5" t="s">
        <v>20</v>
      </c>
      <c r="B19" s="8" t="s">
        <v>117</v>
      </c>
      <c r="C19" s="21" t="s">
        <v>380</v>
      </c>
      <c r="D19" s="21" t="s">
        <v>382</v>
      </c>
      <c r="E19" s="53">
        <f t="array" ref="E19:F19">VLOOKUP(C19,'NEW PTMT'!$B$4:$E1832,{3,4},0)</f>
        <v>572</v>
      </c>
      <c r="F19" s="30">
        <v>618.0</v>
      </c>
      <c r="G19" s="59">
        <v>28.0</v>
      </c>
      <c r="H19" s="1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17"/>
      <c r="Z19" s="6" t="str">
        <f t="shared" si="1"/>
        <v>Novo129</v>
      </c>
      <c r="AA19" s="18" t="str">
        <f t="shared" si="2"/>
        <v>Novo2 Way Bib Cock with Flange</v>
      </c>
      <c r="AB19" s="60">
        <f t="shared" si="3"/>
        <v>618</v>
      </c>
      <c r="AC19" s="61">
        <v>129.0</v>
      </c>
      <c r="AD19" s="57" t="s">
        <v>378</v>
      </c>
      <c r="AE19" s="18" t="s">
        <v>395</v>
      </c>
    </row>
    <row r="20">
      <c r="A20" s="5" t="s">
        <v>20</v>
      </c>
      <c r="B20" s="8" t="s">
        <v>117</v>
      </c>
      <c r="C20" s="21" t="s">
        <v>398</v>
      </c>
      <c r="D20" s="21" t="s">
        <v>399</v>
      </c>
      <c r="E20" s="53">
        <f t="array" ref="E20:F20">VLOOKUP(C20,'NEW PTMT'!$B$4:$E1832,{3,4},0)</f>
        <v>432</v>
      </c>
      <c r="F20" s="30">
        <v>468.0</v>
      </c>
      <c r="G20" s="59">
        <v>30.0</v>
      </c>
      <c r="H20" s="18"/>
      <c r="I20" s="63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17"/>
      <c r="Z20" s="6" t="str">
        <f t="shared" si="1"/>
        <v>Novo130</v>
      </c>
      <c r="AA20" s="18" t="str">
        <f t="shared" si="2"/>
        <v>NovoPillar Cock with Flange</v>
      </c>
      <c r="AB20" s="60">
        <f t="shared" si="3"/>
        <v>468</v>
      </c>
      <c r="AC20" s="61">
        <v>130.0</v>
      </c>
      <c r="AD20" s="57" t="s">
        <v>416</v>
      </c>
      <c r="AE20" s="18" t="s">
        <v>417</v>
      </c>
    </row>
    <row r="21">
      <c r="A21" s="5" t="s">
        <v>20</v>
      </c>
      <c r="B21" s="8" t="s">
        <v>117</v>
      </c>
      <c r="C21" s="21" t="s">
        <v>418</v>
      </c>
      <c r="D21" s="21" t="s">
        <v>419</v>
      </c>
      <c r="E21" s="53">
        <f t="array" ref="E21:F21">VLOOKUP(C21,'NEW PTMT'!$B$4:$E1832,{3,4},0)</f>
        <v>658</v>
      </c>
      <c r="F21" s="30">
        <v>712.0</v>
      </c>
      <c r="G21" s="59">
        <v>13.0</v>
      </c>
      <c r="H21" s="18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17"/>
      <c r="Z21" s="6" t="str">
        <f t="shared" si="1"/>
        <v>Novo132</v>
      </c>
      <c r="AA21" s="18" t="str">
        <f t="shared" si="2"/>
        <v>NovoSink Cock (W/M) with Flange</v>
      </c>
      <c r="AB21" s="60">
        <f t="shared" si="3"/>
        <v>712</v>
      </c>
      <c r="AC21" s="61">
        <v>132.0</v>
      </c>
      <c r="AD21" s="57" t="s">
        <v>436</v>
      </c>
      <c r="AE21" s="18" t="s">
        <v>437</v>
      </c>
    </row>
    <row r="22">
      <c r="A22" s="5" t="s">
        <v>20</v>
      </c>
      <c r="B22" s="8" t="s">
        <v>117</v>
      </c>
      <c r="C22" s="21" t="s">
        <v>438</v>
      </c>
      <c r="D22" s="21" t="s">
        <v>439</v>
      </c>
      <c r="E22" s="53">
        <f t="array" ref="E22:F22">VLOOKUP(C22,'NEW PTMT'!$B$4:$E1832,{3,4},0)</f>
        <v>632</v>
      </c>
      <c r="F22" s="30">
        <v>684.0</v>
      </c>
      <c r="G22" s="59">
        <v>30.0</v>
      </c>
      <c r="H22" s="1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17"/>
      <c r="Z22" s="6" t="str">
        <f t="shared" si="1"/>
        <v>Novo1322</v>
      </c>
      <c r="AA22" s="18" t="str">
        <f t="shared" si="2"/>
        <v>NovoSink Cock Small Spout (W/M) with Flange</v>
      </c>
      <c r="AB22" s="60">
        <f t="shared" si="3"/>
        <v>684</v>
      </c>
      <c r="AC22" s="64" t="s">
        <v>456</v>
      </c>
      <c r="AD22" s="57" t="s">
        <v>457</v>
      </c>
      <c r="AE22" s="18" t="s">
        <v>460</v>
      </c>
    </row>
    <row r="23">
      <c r="A23" s="5" t="s">
        <v>20</v>
      </c>
      <c r="B23" s="8" t="s">
        <v>117</v>
      </c>
      <c r="C23" s="21" t="s">
        <v>461</v>
      </c>
      <c r="D23" s="21" t="s">
        <v>462</v>
      </c>
      <c r="E23" s="53">
        <f t="array" ref="E23:F23">VLOOKUP(C23,'NEW PTMT'!$B$4:$E1832,{3,4},0)</f>
        <v>698.0064</v>
      </c>
      <c r="F23" s="30">
        <v>754.0</v>
      </c>
      <c r="G23" s="59">
        <v>13.0</v>
      </c>
      <c r="H23" s="18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17"/>
      <c r="Z23" s="6" t="str">
        <f t="shared" si="1"/>
        <v>Novo133</v>
      </c>
      <c r="AA23" s="18" t="str">
        <f t="shared" si="2"/>
        <v>NovoSink Cock Long Spout (T/M) with Flange</v>
      </c>
      <c r="AB23" s="60">
        <f t="shared" si="3"/>
        <v>754</v>
      </c>
      <c r="AC23" s="61">
        <v>133.0</v>
      </c>
      <c r="AD23" s="57" t="s">
        <v>480</v>
      </c>
      <c r="AE23" s="18" t="s">
        <v>333</v>
      </c>
    </row>
    <row r="24">
      <c r="A24" s="5" t="s">
        <v>20</v>
      </c>
      <c r="B24" s="8" t="s">
        <v>117</v>
      </c>
      <c r="C24" s="21" t="s">
        <v>481</v>
      </c>
      <c r="D24" s="21" t="s">
        <v>482</v>
      </c>
      <c r="E24" s="53">
        <f t="array" ref="E24:F24">VLOOKUP(C24,'NEW PTMT'!$B$4:$E1832,{3,4},0)</f>
        <v>1572</v>
      </c>
      <c r="F24" s="30">
        <v>1698.0</v>
      </c>
      <c r="G24" s="59">
        <v>13.0</v>
      </c>
      <c r="H24" s="15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17"/>
      <c r="Z24" s="6" t="str">
        <f t="shared" si="1"/>
        <v>Novo134</v>
      </c>
      <c r="AA24" s="18" t="str">
        <f t="shared" si="2"/>
        <v>NovoSink Mixer with Flange</v>
      </c>
      <c r="AB24" s="60">
        <f t="shared" si="3"/>
        <v>1698</v>
      </c>
      <c r="AC24" s="61">
        <v>134.0</v>
      </c>
      <c r="AD24" s="57" t="s">
        <v>499</v>
      </c>
      <c r="AE24" s="18" t="s">
        <v>500</v>
      </c>
    </row>
    <row r="25">
      <c r="A25" s="5" t="s">
        <v>20</v>
      </c>
      <c r="B25" s="8" t="s">
        <v>117</v>
      </c>
      <c r="C25" s="21" t="s">
        <v>501</v>
      </c>
      <c r="D25" s="21" t="s">
        <v>502</v>
      </c>
      <c r="E25" s="53">
        <f t="array" ref="E25:F25">VLOOKUP(C25,'NEW PTMT'!$B$4:$E1832,{3,4},0)</f>
        <v>1527.552</v>
      </c>
      <c r="F25" s="30">
        <v>1648.0</v>
      </c>
      <c r="G25" s="59">
        <v>13.0</v>
      </c>
      <c r="H25" s="18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17"/>
      <c r="Z25" s="6" t="str">
        <f t="shared" si="1"/>
        <v>Novo135</v>
      </c>
      <c r="AA25" s="18" t="str">
        <f t="shared" si="2"/>
        <v>NovoWall Mixer with Flange</v>
      </c>
      <c r="AB25" s="60">
        <f t="shared" si="3"/>
        <v>1648</v>
      </c>
      <c r="AC25" s="61">
        <v>135.0</v>
      </c>
      <c r="AD25" s="57" t="s">
        <v>519</v>
      </c>
      <c r="AE25" s="18" t="s">
        <v>520</v>
      </c>
    </row>
    <row r="26">
      <c r="A26" s="5" t="s">
        <v>20</v>
      </c>
      <c r="B26" s="8" t="s">
        <v>117</v>
      </c>
      <c r="C26" s="8" t="s">
        <v>521</v>
      </c>
      <c r="D26" s="8" t="s">
        <v>523</v>
      </c>
      <c r="E26" s="53">
        <f t="array" ref="E26:F26">VLOOKUP(C26,'NEW PTMT'!$B$4:$E1832,{3,4},0)</f>
        <v>2092</v>
      </c>
      <c r="F26" s="30">
        <v>2258.0</v>
      </c>
      <c r="G26" s="30"/>
      <c r="H26" s="1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17"/>
      <c r="Z26" s="6" t="str">
        <f t="shared" si="1"/>
        <v>Novo1374</v>
      </c>
      <c r="AA26" s="18" t="str">
        <f t="shared" si="2"/>
        <v>Novo2 in 1 Telephonic Wall Mixer</v>
      </c>
      <c r="AB26" s="60">
        <f t="shared" si="3"/>
        <v>2258</v>
      </c>
      <c r="AC26" s="64" t="s">
        <v>539</v>
      </c>
      <c r="AD26" s="57" t="s">
        <v>540</v>
      </c>
      <c r="AE26" s="18" t="s">
        <v>541</v>
      </c>
    </row>
    <row r="27">
      <c r="A27" s="5" t="s">
        <v>20</v>
      </c>
      <c r="B27" s="8" t="s">
        <v>117</v>
      </c>
      <c r="C27" s="21" t="s">
        <v>543</v>
      </c>
      <c r="D27" s="21" t="s">
        <v>545</v>
      </c>
      <c r="E27" s="53">
        <f t="array" ref="E27:F27">VLOOKUP(C27,'NEW PTMT'!$B$4:$E1832,{3,4},0)</f>
        <v>1784</v>
      </c>
      <c r="F27" s="30">
        <v>1928.0</v>
      </c>
      <c r="G27" s="30">
        <v>6.0</v>
      </c>
      <c r="H27" s="15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17"/>
      <c r="Z27" s="6" t="str">
        <f t="shared" si="1"/>
        <v>Novo1375</v>
      </c>
      <c r="AA27" s="18" t="str">
        <f t="shared" si="2"/>
        <v>NovoWall Mixer L Bend with Flange</v>
      </c>
      <c r="AB27" s="60">
        <f t="shared" si="3"/>
        <v>1928</v>
      </c>
      <c r="AC27" s="64" t="s">
        <v>560</v>
      </c>
      <c r="AD27" s="57" t="s">
        <v>561</v>
      </c>
      <c r="AE27" s="18" t="s">
        <v>358</v>
      </c>
    </row>
    <row r="28">
      <c r="A28" s="5" t="s">
        <v>20</v>
      </c>
      <c r="B28" s="8" t="s">
        <v>117</v>
      </c>
      <c r="C28" s="21" t="s">
        <v>562</v>
      </c>
      <c r="D28" s="21" t="s">
        <v>395</v>
      </c>
      <c r="E28" s="53">
        <f t="array" ref="E28:F28">VLOOKUP(C28,'NEW PTMT'!$B$4:$E1832,{3,4},0)</f>
        <v>272</v>
      </c>
      <c r="F28" s="30">
        <v>294.0</v>
      </c>
      <c r="G28" s="59">
        <v>66.0</v>
      </c>
      <c r="H28" s="15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17"/>
      <c r="Z28" s="6" t="str">
        <f t="shared" si="1"/>
        <v>Novo144</v>
      </c>
      <c r="AA28" s="18" t="str">
        <f t="shared" si="2"/>
        <v>NovoAngle Cock with Flange</v>
      </c>
      <c r="AB28" s="60">
        <f t="shared" si="3"/>
        <v>294</v>
      </c>
      <c r="AC28" s="61">
        <v>144.0</v>
      </c>
      <c r="AD28" s="57" t="s">
        <v>395</v>
      </c>
      <c r="AE28" s="18" t="s">
        <v>363</v>
      </c>
    </row>
    <row r="29">
      <c r="A29" s="5" t="s">
        <v>20</v>
      </c>
      <c r="B29" s="8" t="s">
        <v>117</v>
      </c>
      <c r="C29" s="21" t="s">
        <v>582</v>
      </c>
      <c r="D29" s="21" t="s">
        <v>583</v>
      </c>
      <c r="E29" s="53">
        <f t="array" ref="E29:F29">VLOOKUP(C29,'NEW PTMT'!$B$4:$E1832,{3,4},0)</f>
        <v>507.96</v>
      </c>
      <c r="F29" s="30">
        <v>548.0</v>
      </c>
      <c r="G29" s="59">
        <v>35.0</v>
      </c>
      <c r="H29" s="15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17"/>
      <c r="Z29" s="6" t="str">
        <f t="shared" si="1"/>
        <v>Novo145</v>
      </c>
      <c r="AA29" s="18" t="str">
        <f t="shared" si="2"/>
        <v>Novo2 Way Angle Cock with Flange</v>
      </c>
      <c r="AB29" s="60">
        <f t="shared" si="3"/>
        <v>548</v>
      </c>
      <c r="AC29" s="61">
        <v>145.0</v>
      </c>
      <c r="AD29" s="57" t="s">
        <v>359</v>
      </c>
      <c r="AE29" s="18" t="s">
        <v>597</v>
      </c>
    </row>
    <row r="30">
      <c r="A30" s="5" t="s">
        <v>20</v>
      </c>
      <c r="B30" s="8" t="s">
        <v>117</v>
      </c>
      <c r="C30" s="21" t="s">
        <v>600</v>
      </c>
      <c r="D30" s="21" t="s">
        <v>601</v>
      </c>
      <c r="E30" s="53">
        <f t="array" ref="E30:F30">VLOOKUP(C30,'NEW PTMT'!$B$4:$E1832,{3,4},0)</f>
        <v>711.96</v>
      </c>
      <c r="F30" s="30">
        <v>768.0</v>
      </c>
      <c r="G30" s="59">
        <v>30.0</v>
      </c>
      <c r="H30" s="15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17"/>
      <c r="Z30" s="6" t="str">
        <f t="shared" si="1"/>
        <v>Novo147</v>
      </c>
      <c r="AA30" s="18" t="str">
        <f t="shared" si="2"/>
        <v>NovoPillar Cock Swan Neck (T/M) with Flange</v>
      </c>
      <c r="AB30" s="60">
        <f t="shared" si="3"/>
        <v>768</v>
      </c>
      <c r="AC30" s="61">
        <v>147.0</v>
      </c>
      <c r="AD30" s="57" t="s">
        <v>616</v>
      </c>
      <c r="AE30" s="18" t="s">
        <v>617</v>
      </c>
    </row>
    <row r="31">
      <c r="A31" s="5" t="s">
        <v>20</v>
      </c>
      <c r="B31" s="8" t="s">
        <v>118</v>
      </c>
      <c r="C31" s="21" t="s">
        <v>620</v>
      </c>
      <c r="D31" s="21" t="s">
        <v>306</v>
      </c>
      <c r="E31" s="53">
        <f t="array" ref="E31:F31">VLOOKUP(C31,'NEW PTMT'!$B$4:$E1832,{3,4},0)</f>
        <v>395.76</v>
      </c>
      <c r="F31" s="30">
        <v>426.0</v>
      </c>
      <c r="G31" s="30">
        <v>33.0</v>
      </c>
      <c r="H31" s="6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17"/>
      <c r="Z31" s="6" t="str">
        <f t="shared" si="1"/>
        <v>Ultra123</v>
      </c>
      <c r="AA31" s="18" t="str">
        <f t="shared" si="2"/>
        <v>UltraBib Cock Fancy with Flange</v>
      </c>
      <c r="AB31" s="60">
        <f t="shared" si="3"/>
        <v>426</v>
      </c>
      <c r="AC31" s="61">
        <v>123.0</v>
      </c>
      <c r="AD31" s="57" t="s">
        <v>333</v>
      </c>
      <c r="AE31" s="18" t="s">
        <v>636</v>
      </c>
    </row>
    <row r="32">
      <c r="A32" s="5" t="s">
        <v>20</v>
      </c>
      <c r="B32" s="8" t="s">
        <v>118</v>
      </c>
      <c r="C32" s="21" t="s">
        <v>637</v>
      </c>
      <c r="D32" s="21" t="s">
        <v>339</v>
      </c>
      <c r="E32" s="53">
        <f t="array" ref="E32:F32">VLOOKUP(C32,'NEW PTMT'!$B$4:$E1832,{3,4},0)</f>
        <v>485.8464</v>
      </c>
      <c r="F32" s="30">
        <v>526.0</v>
      </c>
      <c r="G32" s="30">
        <v>33.0</v>
      </c>
      <c r="H32" s="18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17"/>
      <c r="Z32" s="6" t="str">
        <f t="shared" si="1"/>
        <v>Ultra124</v>
      </c>
      <c r="AA32" s="18" t="str">
        <f t="shared" si="2"/>
        <v>UltraBib Cock Long Body with Flange</v>
      </c>
      <c r="AB32" s="60">
        <f t="shared" si="3"/>
        <v>526</v>
      </c>
      <c r="AC32" s="61">
        <v>124.0</v>
      </c>
      <c r="AD32" s="57" t="s">
        <v>358</v>
      </c>
      <c r="AE32" s="18" t="s">
        <v>650</v>
      </c>
    </row>
    <row r="33">
      <c r="A33" s="5" t="s">
        <v>20</v>
      </c>
      <c r="B33" s="8" t="s">
        <v>118</v>
      </c>
      <c r="C33" s="21" t="s">
        <v>651</v>
      </c>
      <c r="D33" s="21" t="s">
        <v>363</v>
      </c>
      <c r="E33" s="53">
        <f t="array" ref="E33:F33">VLOOKUP(C33,'NEW PTMT'!$B$4:$E1832,{3,4},0)</f>
        <v>422.1984</v>
      </c>
      <c r="F33" s="30">
        <v>456.0</v>
      </c>
      <c r="G33" s="30">
        <v>33.0</v>
      </c>
      <c r="H33" s="18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17"/>
      <c r="Z33" s="6" t="str">
        <f t="shared" si="1"/>
        <v>Ultra127</v>
      </c>
      <c r="AA33" s="18" t="str">
        <f t="shared" si="2"/>
        <v>UltraBib Cock Nozzle with Flange</v>
      </c>
      <c r="AB33" s="60">
        <f t="shared" si="3"/>
        <v>456</v>
      </c>
      <c r="AC33" s="61">
        <v>127.0</v>
      </c>
      <c r="AD33" s="62" t="s">
        <v>363</v>
      </c>
      <c r="AE33" s="18" t="s">
        <v>663</v>
      </c>
    </row>
    <row r="34">
      <c r="A34" s="5" t="s">
        <v>20</v>
      </c>
      <c r="B34" s="8" t="s">
        <v>118</v>
      </c>
      <c r="C34" s="21" t="s">
        <v>665</v>
      </c>
      <c r="D34" s="21" t="s">
        <v>666</v>
      </c>
      <c r="E34" s="53">
        <f t="array" ref="E34:F34">VLOOKUP(C34,'NEW PTMT'!$B$4:$E1832,{3,4},0)</f>
        <v>732</v>
      </c>
      <c r="F34" s="30">
        <v>792.0</v>
      </c>
      <c r="G34" s="30">
        <v>24.0</v>
      </c>
      <c r="H34" s="15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17"/>
      <c r="Z34" s="6" t="str">
        <f t="shared" si="1"/>
        <v>Ultra129</v>
      </c>
      <c r="AA34" s="18" t="str">
        <f t="shared" si="2"/>
        <v>Ultra2 Way Bib Cock with Flange</v>
      </c>
      <c r="AB34" s="60">
        <f t="shared" si="3"/>
        <v>792</v>
      </c>
      <c r="AC34" s="61">
        <v>129.0</v>
      </c>
      <c r="AD34" s="57" t="s">
        <v>378</v>
      </c>
      <c r="AE34" s="18" t="s">
        <v>678</v>
      </c>
    </row>
    <row r="35">
      <c r="A35" s="5" t="s">
        <v>20</v>
      </c>
      <c r="B35" s="8" t="s">
        <v>118</v>
      </c>
      <c r="C35" s="21" t="s">
        <v>681</v>
      </c>
      <c r="D35" s="21" t="s">
        <v>682</v>
      </c>
      <c r="E35" s="53">
        <f t="array" ref="E35:F35">VLOOKUP(C35,'NEW PTMT'!$B$4:$E1832,{3,4},0)</f>
        <v>497.76</v>
      </c>
      <c r="F35" s="30">
        <v>538.0</v>
      </c>
      <c r="G35" s="30">
        <v>30.0</v>
      </c>
      <c r="H35" s="6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17"/>
      <c r="Z35" s="6" t="str">
        <f t="shared" si="1"/>
        <v>Ultra130</v>
      </c>
      <c r="AA35" s="18" t="str">
        <f t="shared" si="2"/>
        <v>UltraPillar Cock with Flange</v>
      </c>
      <c r="AB35" s="60">
        <f t="shared" si="3"/>
        <v>538</v>
      </c>
      <c r="AC35" s="61">
        <v>130.0</v>
      </c>
      <c r="AD35" s="57" t="s">
        <v>416</v>
      </c>
      <c r="AE35" s="18" t="s">
        <v>690</v>
      </c>
    </row>
    <row r="36">
      <c r="A36" s="5" t="s">
        <v>20</v>
      </c>
      <c r="B36" s="8" t="s">
        <v>118</v>
      </c>
      <c r="C36" s="21" t="s">
        <v>691</v>
      </c>
      <c r="D36" s="21" t="s">
        <v>692</v>
      </c>
      <c r="E36" s="53">
        <f t="array" ref="E36:F36">VLOOKUP(C36,'NEW PTMT'!$B$4:$E1832,{3,4},0)</f>
        <v>784</v>
      </c>
      <c r="F36" s="30">
        <v>848.0</v>
      </c>
      <c r="G36" s="30">
        <v>13.0</v>
      </c>
      <c r="H36" s="18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17"/>
      <c r="Z36" s="6" t="str">
        <f t="shared" si="1"/>
        <v>Ultra132</v>
      </c>
      <c r="AA36" s="18" t="str">
        <f t="shared" si="2"/>
        <v>UltraSink Cock (W/M) with Flange</v>
      </c>
      <c r="AB36" s="60">
        <f t="shared" si="3"/>
        <v>848</v>
      </c>
      <c r="AC36" s="61">
        <v>132.0</v>
      </c>
      <c r="AD36" s="57" t="s">
        <v>436</v>
      </c>
      <c r="AE36" s="18" t="s">
        <v>693</v>
      </c>
    </row>
    <row r="37">
      <c r="A37" s="5" t="s">
        <v>20</v>
      </c>
      <c r="B37" s="8" t="s">
        <v>118</v>
      </c>
      <c r="C37" s="21" t="s">
        <v>694</v>
      </c>
      <c r="D37" s="21" t="s">
        <v>439</v>
      </c>
      <c r="E37" s="53">
        <f t="array" ref="E37:F37">VLOOKUP(C37,'NEW PTMT'!$B$4:$E1832,{3,4},0)</f>
        <v>738.3168</v>
      </c>
      <c r="F37" s="30">
        <v>798.0</v>
      </c>
      <c r="G37" s="30">
        <v>30.0</v>
      </c>
      <c r="H37" s="18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17"/>
      <c r="Z37" s="6" t="str">
        <f t="shared" si="1"/>
        <v>Ultra1322</v>
      </c>
      <c r="AA37" s="18" t="str">
        <f t="shared" si="2"/>
        <v>UltraSink Cock Small Spout (W/M) with Flange</v>
      </c>
      <c r="AB37" s="60">
        <f t="shared" si="3"/>
        <v>798</v>
      </c>
      <c r="AC37" s="61">
        <v>1322.0</v>
      </c>
      <c r="AD37" s="57" t="s">
        <v>457</v>
      </c>
      <c r="AE37" s="18" t="s">
        <v>682</v>
      </c>
    </row>
    <row r="38">
      <c r="A38" s="5" t="s">
        <v>20</v>
      </c>
      <c r="B38" s="8" t="s">
        <v>118</v>
      </c>
      <c r="C38" s="21" t="s">
        <v>695</v>
      </c>
      <c r="D38" s="21" t="s">
        <v>462</v>
      </c>
      <c r="E38" s="53">
        <f t="array" ref="E38:F38">VLOOKUP(C38,'NEW PTMT'!$B$4:$E1832,{3,4},0)</f>
        <v>784</v>
      </c>
      <c r="F38" s="30">
        <v>848.0</v>
      </c>
      <c r="G38" s="30">
        <v>13.0</v>
      </c>
      <c r="H38" s="6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17"/>
      <c r="Z38" s="6" t="str">
        <f t="shared" si="1"/>
        <v>Ultra133</v>
      </c>
      <c r="AA38" s="18" t="str">
        <f t="shared" si="2"/>
        <v>UltraSink Cock Long Spout (T/M) with Flange</v>
      </c>
      <c r="AB38" s="60">
        <f t="shared" si="3"/>
        <v>848</v>
      </c>
      <c r="AC38" s="61">
        <v>133.0</v>
      </c>
      <c r="AD38" s="57" t="s">
        <v>480</v>
      </c>
      <c r="AE38" s="18" t="s">
        <v>696</v>
      </c>
    </row>
    <row r="39">
      <c r="A39" s="5" t="s">
        <v>20</v>
      </c>
      <c r="B39" s="8" t="s">
        <v>118</v>
      </c>
      <c r="C39" s="21" t="s">
        <v>697</v>
      </c>
      <c r="D39" s="21" t="s">
        <v>482</v>
      </c>
      <c r="E39" s="53">
        <f t="array" ref="E39:F39">VLOOKUP(C39,'NEW PTMT'!$B$4:$E1832,{3,4},0)</f>
        <v>1632</v>
      </c>
      <c r="F39" s="30">
        <v>1764.0</v>
      </c>
      <c r="G39" s="30">
        <v>13.0</v>
      </c>
      <c r="H39" s="15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17"/>
      <c r="Z39" s="6" t="str">
        <f t="shared" si="1"/>
        <v>Ultra134</v>
      </c>
      <c r="AA39" s="18" t="str">
        <f t="shared" si="2"/>
        <v>UltraSink Mixer with Flange</v>
      </c>
      <c r="AB39" s="60">
        <f t="shared" si="3"/>
        <v>1764</v>
      </c>
      <c r="AC39" s="61">
        <v>134.0</v>
      </c>
      <c r="AD39" s="57" t="s">
        <v>499</v>
      </c>
      <c r="AE39" s="18" t="s">
        <v>699</v>
      </c>
    </row>
    <row r="40">
      <c r="A40" s="5" t="s">
        <v>20</v>
      </c>
      <c r="B40" s="8" t="s">
        <v>118</v>
      </c>
      <c r="C40" s="21" t="s">
        <v>700</v>
      </c>
      <c r="D40" s="21" t="s">
        <v>502</v>
      </c>
      <c r="E40" s="53">
        <f t="array" ref="E40:F40">VLOOKUP(C40,'NEW PTMT'!$B$4:$E1832,{3,4},0)</f>
        <v>1572</v>
      </c>
      <c r="F40" s="30">
        <v>1698.0</v>
      </c>
      <c r="G40" s="30">
        <v>13.0</v>
      </c>
      <c r="H40" s="15"/>
      <c r="I40" s="18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17"/>
      <c r="Z40" s="6" t="str">
        <f t="shared" si="1"/>
        <v>Ultra135</v>
      </c>
      <c r="AA40" s="18" t="str">
        <f t="shared" si="2"/>
        <v>UltraWall Mixer with Flange</v>
      </c>
      <c r="AB40" s="60">
        <f t="shared" si="3"/>
        <v>1698</v>
      </c>
      <c r="AC40" s="61">
        <v>135.0</v>
      </c>
      <c r="AD40" s="57" t="s">
        <v>519</v>
      </c>
      <c r="AE40" s="18" t="s">
        <v>701</v>
      </c>
    </row>
    <row r="41">
      <c r="A41" s="5" t="s">
        <v>20</v>
      </c>
      <c r="B41" s="8" t="s">
        <v>118</v>
      </c>
      <c r="C41" s="8" t="s">
        <v>702</v>
      </c>
      <c r="D41" s="8" t="s">
        <v>523</v>
      </c>
      <c r="E41" s="53">
        <f t="array" ref="E41:F41">VLOOKUP(C41,'NEW PTMT'!$B$4:$E1832,{3,4},0)</f>
        <v>2286</v>
      </c>
      <c r="F41" s="30">
        <v>2468.0</v>
      </c>
      <c r="G41" s="30"/>
      <c r="H41" s="15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17"/>
      <c r="Z41" s="6" t="str">
        <f t="shared" si="1"/>
        <v>Ultra1374</v>
      </c>
      <c r="AA41" s="18" t="str">
        <f t="shared" si="2"/>
        <v>Ultra2 in 1 Telephonic Wall Mixer</v>
      </c>
      <c r="AB41" s="60">
        <f t="shared" si="3"/>
        <v>2468</v>
      </c>
      <c r="AC41" s="64" t="s">
        <v>539</v>
      </c>
      <c r="AD41" s="57" t="s">
        <v>540</v>
      </c>
      <c r="AE41" s="18" t="s">
        <v>703</v>
      </c>
    </row>
    <row r="42">
      <c r="A42" s="5" t="s">
        <v>20</v>
      </c>
      <c r="B42" s="8" t="s">
        <v>118</v>
      </c>
      <c r="C42" s="21" t="s">
        <v>704</v>
      </c>
      <c r="D42" s="21" t="s">
        <v>705</v>
      </c>
      <c r="E42" s="53">
        <f t="array" ref="E42:F42">VLOOKUP(C42,'NEW PTMT'!$B$4:$E1832,{3,4},0)</f>
        <v>1982</v>
      </c>
      <c r="F42" s="30">
        <v>2138.0</v>
      </c>
      <c r="G42" s="30">
        <v>6.0</v>
      </c>
      <c r="H42" s="15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17"/>
      <c r="Z42" s="6" t="str">
        <f t="shared" si="1"/>
        <v>Ultra1375</v>
      </c>
      <c r="AA42" s="18" t="str">
        <f t="shared" si="2"/>
        <v>UltraWall Mixer L Bend with Flange</v>
      </c>
      <c r="AB42" s="60">
        <f t="shared" si="3"/>
        <v>2138</v>
      </c>
      <c r="AC42" s="64" t="s">
        <v>560</v>
      </c>
      <c r="AD42" s="57" t="s">
        <v>561</v>
      </c>
      <c r="AE42" s="18" t="s">
        <v>616</v>
      </c>
    </row>
    <row r="43">
      <c r="A43" s="5" t="s">
        <v>20</v>
      </c>
      <c r="B43" s="8" t="s">
        <v>118</v>
      </c>
      <c r="C43" s="21" t="s">
        <v>706</v>
      </c>
      <c r="D43" s="21" t="s">
        <v>395</v>
      </c>
      <c r="E43" s="53">
        <f t="array" ref="E43:F43">VLOOKUP(C43,'NEW PTMT'!$B$4:$E1832,{3,4},0)</f>
        <v>352</v>
      </c>
      <c r="F43" s="30">
        <v>378.0</v>
      </c>
      <c r="G43" s="30">
        <v>66.0</v>
      </c>
      <c r="H43" s="18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17"/>
      <c r="Z43" s="6" t="str">
        <f t="shared" si="1"/>
        <v>Ultra144</v>
      </c>
      <c r="AA43" s="18" t="str">
        <f t="shared" si="2"/>
        <v>UltraAngle Cock with Flange</v>
      </c>
      <c r="AB43" s="60">
        <f t="shared" si="3"/>
        <v>378</v>
      </c>
      <c r="AC43" s="61">
        <v>144.0</v>
      </c>
      <c r="AD43" s="57" t="s">
        <v>395</v>
      </c>
      <c r="AE43" s="18" t="s">
        <v>416</v>
      </c>
    </row>
    <row r="44">
      <c r="A44" s="5" t="s">
        <v>20</v>
      </c>
      <c r="B44" s="8" t="s">
        <v>118</v>
      </c>
      <c r="C44" s="21" t="s">
        <v>707</v>
      </c>
      <c r="D44" s="21" t="s">
        <v>359</v>
      </c>
      <c r="E44" s="53">
        <f t="array" ref="E44:F44">VLOOKUP(C44,'NEW PTMT'!$B$4:$E1832,{3,4},0)</f>
        <v>682</v>
      </c>
      <c r="F44" s="30">
        <v>738.0</v>
      </c>
      <c r="G44" s="30">
        <v>23.0</v>
      </c>
      <c r="H44" s="15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17"/>
      <c r="Z44" s="6" t="str">
        <f t="shared" si="1"/>
        <v>Ultra145</v>
      </c>
      <c r="AA44" s="18" t="str">
        <f t="shared" si="2"/>
        <v>Ultra2 Way Angle Cock with Flange</v>
      </c>
      <c r="AB44" s="60">
        <f t="shared" si="3"/>
        <v>738</v>
      </c>
      <c r="AC44" s="61">
        <v>145.0</v>
      </c>
      <c r="AD44" s="57" t="s">
        <v>359</v>
      </c>
      <c r="AE44" s="18" t="s">
        <v>708</v>
      </c>
    </row>
    <row r="45">
      <c r="A45" s="5" t="s">
        <v>20</v>
      </c>
      <c r="B45" s="8" t="s">
        <v>118</v>
      </c>
      <c r="C45" s="21" t="s">
        <v>709</v>
      </c>
      <c r="D45" s="21" t="s">
        <v>710</v>
      </c>
      <c r="E45" s="53">
        <f t="array" ref="E45:F45">VLOOKUP(C45,'NEW PTMT'!$B$4:$E1832,{3,4},0)</f>
        <v>682</v>
      </c>
      <c r="F45" s="30">
        <v>738.0</v>
      </c>
      <c r="G45" s="30">
        <v>30.0</v>
      </c>
      <c r="H45" s="15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17"/>
      <c r="Z45" s="6" t="str">
        <f t="shared" si="1"/>
        <v>Ultra147</v>
      </c>
      <c r="AA45" s="18" t="str">
        <f t="shared" si="2"/>
        <v>UltraPillar Cock Swan Neck (T/M) with Flange</v>
      </c>
      <c r="AB45" s="60">
        <f t="shared" si="3"/>
        <v>738</v>
      </c>
      <c r="AC45" s="61">
        <v>147.0</v>
      </c>
      <c r="AD45" s="57" t="s">
        <v>616</v>
      </c>
      <c r="AE45" s="18" t="s">
        <v>436</v>
      </c>
    </row>
    <row r="46">
      <c r="A46" s="5" t="s">
        <v>20</v>
      </c>
      <c r="B46" s="8" t="s">
        <v>118</v>
      </c>
      <c r="C46" s="21" t="s">
        <v>711</v>
      </c>
      <c r="D46" s="21" t="s">
        <v>712</v>
      </c>
      <c r="E46" s="53">
        <f t="array" ref="E46:F46">VLOOKUP(C46,'NEW PTMT'!$B$4:$E1832,{3,4},0)</f>
        <v>1776</v>
      </c>
      <c r="F46" s="30">
        <v>1918.0</v>
      </c>
      <c r="G46" s="30">
        <v>14.0</v>
      </c>
      <c r="H46" s="15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17"/>
      <c r="Z46" s="6" t="str">
        <f t="shared" si="1"/>
        <v>Ultra150</v>
      </c>
      <c r="AA46" s="18" t="str">
        <f t="shared" si="2"/>
        <v>UltraCenter Hole Basin Mixer</v>
      </c>
      <c r="AB46" s="60">
        <f t="shared" si="3"/>
        <v>1918</v>
      </c>
      <c r="AC46" s="61">
        <v>150.0</v>
      </c>
      <c r="AD46" s="57" t="s">
        <v>650</v>
      </c>
      <c r="AE46" s="18" t="s">
        <v>480</v>
      </c>
    </row>
    <row r="47">
      <c r="A47" s="5" t="s">
        <v>20</v>
      </c>
      <c r="B47" s="8" t="s">
        <v>80</v>
      </c>
      <c r="C47" s="21" t="s">
        <v>713</v>
      </c>
      <c r="D47" s="21" t="s">
        <v>714</v>
      </c>
      <c r="E47" s="53">
        <f t="array" ref="E47:F47">VLOOKUP(C47,'NEW PTMT'!$B$4:$E1832,{3,4},0)</f>
        <v>375.5232</v>
      </c>
      <c r="F47" s="30">
        <v>406.0</v>
      </c>
      <c r="G47" s="30">
        <v>33.0</v>
      </c>
      <c r="H47" s="18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17"/>
      <c r="Z47" s="6" t="str">
        <f t="shared" si="1"/>
        <v>Quadra123</v>
      </c>
      <c r="AA47" s="18" t="str">
        <f t="shared" si="2"/>
        <v>QuadraBib Cock Fancy with Flange</v>
      </c>
      <c r="AB47" s="60">
        <f t="shared" si="3"/>
        <v>406</v>
      </c>
      <c r="AC47" s="61">
        <v>123.0</v>
      </c>
      <c r="AD47" s="57" t="s">
        <v>333</v>
      </c>
      <c r="AE47" s="18" t="s">
        <v>457</v>
      </c>
    </row>
    <row r="48">
      <c r="A48" s="5" t="s">
        <v>20</v>
      </c>
      <c r="B48" s="8" t="s">
        <v>80</v>
      </c>
      <c r="C48" s="21" t="s">
        <v>715</v>
      </c>
      <c r="D48" s="21" t="s">
        <v>339</v>
      </c>
      <c r="E48" s="53">
        <f t="array" ref="E48:F48">VLOOKUP(C48,'NEW PTMT'!$B$4:$E1832,{3,4},0)</f>
        <v>472</v>
      </c>
      <c r="F48" s="30">
        <v>508.0</v>
      </c>
      <c r="G48" s="30">
        <v>33.0</v>
      </c>
      <c r="H48" s="15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17"/>
      <c r="Z48" s="6" t="str">
        <f t="shared" si="1"/>
        <v>Quadra124</v>
      </c>
      <c r="AA48" s="18" t="str">
        <f t="shared" si="2"/>
        <v>QuadraBib Cock Long Body with Flange</v>
      </c>
      <c r="AB48" s="60">
        <f t="shared" si="3"/>
        <v>508</v>
      </c>
      <c r="AC48" s="61">
        <v>124.0</v>
      </c>
      <c r="AD48" s="57" t="s">
        <v>358</v>
      </c>
      <c r="AE48" s="18" t="s">
        <v>499</v>
      </c>
    </row>
    <row r="49">
      <c r="A49" s="5" t="s">
        <v>20</v>
      </c>
      <c r="B49" s="8" t="s">
        <v>80</v>
      </c>
      <c r="C49" s="21" t="s">
        <v>716</v>
      </c>
      <c r="D49" s="21" t="s">
        <v>363</v>
      </c>
      <c r="E49" s="53">
        <f t="array" ref="E49:F49">VLOOKUP(C49,'NEW PTMT'!$B$4:$E1832,{3,4},0)</f>
        <v>402</v>
      </c>
      <c r="F49" s="30">
        <v>434.0</v>
      </c>
      <c r="G49" s="30">
        <v>33.0</v>
      </c>
      <c r="H49" s="15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17"/>
      <c r="Z49" s="6" t="str">
        <f t="shared" si="1"/>
        <v>Quadra127</v>
      </c>
      <c r="AA49" s="18" t="str">
        <f t="shared" si="2"/>
        <v>QuadraBib Cock Nozzle with Flange</v>
      </c>
      <c r="AB49" s="60">
        <f t="shared" si="3"/>
        <v>434</v>
      </c>
      <c r="AC49" s="61">
        <v>127.0</v>
      </c>
      <c r="AD49" s="62" t="s">
        <v>363</v>
      </c>
      <c r="AE49" s="18" t="s">
        <v>717</v>
      </c>
    </row>
    <row r="50">
      <c r="A50" s="5" t="s">
        <v>20</v>
      </c>
      <c r="B50" s="8" t="s">
        <v>80</v>
      </c>
      <c r="C50" s="21" t="s">
        <v>718</v>
      </c>
      <c r="D50" s="21" t="s">
        <v>382</v>
      </c>
      <c r="E50" s="53">
        <f t="array" ref="E50:F50">VLOOKUP(C50,'NEW PTMT'!$B$4:$E1832,{3,4},0)</f>
        <v>707.88</v>
      </c>
      <c r="F50" s="30">
        <v>766.0</v>
      </c>
      <c r="G50" s="30">
        <v>24.0</v>
      </c>
      <c r="H50" s="15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17"/>
      <c r="Z50" s="6" t="str">
        <f t="shared" si="1"/>
        <v>Quadra129</v>
      </c>
      <c r="AA50" s="18" t="str">
        <f t="shared" si="2"/>
        <v>Quadra2 Way Bib Cock with Flange</v>
      </c>
      <c r="AB50" s="60">
        <f t="shared" si="3"/>
        <v>766</v>
      </c>
      <c r="AC50" s="61">
        <v>129.0</v>
      </c>
      <c r="AD50" s="57" t="s">
        <v>378</v>
      </c>
      <c r="AE50" s="18" t="s">
        <v>719</v>
      </c>
    </row>
    <row r="51">
      <c r="A51" s="5" t="s">
        <v>20</v>
      </c>
      <c r="B51" s="8" t="s">
        <v>80</v>
      </c>
      <c r="C51" s="21" t="s">
        <v>720</v>
      </c>
      <c r="D51" s="21" t="s">
        <v>399</v>
      </c>
      <c r="E51" s="53">
        <f t="array" ref="E51:F51">VLOOKUP(C51,'NEW PTMT'!$B$4:$E1832,{3,4},0)</f>
        <v>483.7248</v>
      </c>
      <c r="F51" s="30">
        <v>522.0</v>
      </c>
      <c r="G51" s="30">
        <v>30.0</v>
      </c>
      <c r="H51" s="15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17"/>
      <c r="Z51" s="6" t="str">
        <f t="shared" si="1"/>
        <v>Quadra130</v>
      </c>
      <c r="AA51" s="18" t="str">
        <f t="shared" si="2"/>
        <v>QuadraPillar Cock with Flange</v>
      </c>
      <c r="AB51" s="60">
        <f t="shared" si="3"/>
        <v>522</v>
      </c>
      <c r="AC51" s="61">
        <v>130.0</v>
      </c>
      <c r="AD51" s="57" t="s">
        <v>416</v>
      </c>
      <c r="AE51" s="18" t="s">
        <v>721</v>
      </c>
    </row>
    <row r="52">
      <c r="A52" s="5" t="s">
        <v>20</v>
      </c>
      <c r="B52" s="8" t="s">
        <v>80</v>
      </c>
      <c r="C52" s="8" t="s">
        <v>722</v>
      </c>
      <c r="D52" s="8" t="s">
        <v>696</v>
      </c>
      <c r="E52" s="53">
        <f t="array" ref="E52:F52">VLOOKUP(C52,'NEW PTMT'!$B$4:$E1832,{3,4},0)</f>
        <v>756</v>
      </c>
      <c r="F52" s="30">
        <v>816.0</v>
      </c>
      <c r="G52" s="30"/>
      <c r="H52" s="15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17"/>
      <c r="Z52" s="6" t="str">
        <f t="shared" si="1"/>
        <v>Quadra131</v>
      </c>
      <c r="AA52" s="18" t="str">
        <f t="shared" si="2"/>
        <v>QuadraPillar Cock 12" Tall Height with Flange</v>
      </c>
      <c r="AB52" s="60">
        <f t="shared" si="3"/>
        <v>816</v>
      </c>
      <c r="AC52" s="61">
        <v>131.0</v>
      </c>
      <c r="AD52" s="57" t="s">
        <v>696</v>
      </c>
      <c r="AE52" s="18" t="s">
        <v>723</v>
      </c>
    </row>
    <row r="53">
      <c r="A53" s="5" t="s">
        <v>20</v>
      </c>
      <c r="B53" s="8" t="s">
        <v>80</v>
      </c>
      <c r="C53" s="21" t="s">
        <v>724</v>
      </c>
      <c r="D53" s="21" t="s">
        <v>419</v>
      </c>
      <c r="E53" s="53">
        <f t="array" ref="E53:F53">VLOOKUP(C53,'NEW PTMT'!$B$4:$E1832,{3,4},0)</f>
        <v>764</v>
      </c>
      <c r="F53" s="30">
        <v>826.0</v>
      </c>
      <c r="G53" s="30">
        <v>30.0</v>
      </c>
      <c r="H53" s="15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17"/>
      <c r="Z53" s="6" t="str">
        <f t="shared" si="1"/>
        <v>Quadra132</v>
      </c>
      <c r="AA53" s="18" t="str">
        <f t="shared" si="2"/>
        <v>QuadraSink Cock (W/M) with Flange</v>
      </c>
      <c r="AB53" s="60">
        <f t="shared" si="3"/>
        <v>826</v>
      </c>
      <c r="AC53" s="61">
        <v>132.0</v>
      </c>
      <c r="AD53" s="57" t="s">
        <v>436</v>
      </c>
      <c r="AE53" s="18" t="s">
        <v>725</v>
      </c>
    </row>
    <row r="54">
      <c r="A54" s="5" t="s">
        <v>20</v>
      </c>
      <c r="B54" s="8" t="s">
        <v>80</v>
      </c>
      <c r="C54" s="21" t="s">
        <v>726</v>
      </c>
      <c r="D54" s="21" t="s">
        <v>439</v>
      </c>
      <c r="E54" s="53">
        <f t="array" ref="E54:F54">VLOOKUP(C54,'NEW PTMT'!$B$4:$E1832,{3,4},0)</f>
        <v>731.952</v>
      </c>
      <c r="F54" s="30">
        <v>792.0</v>
      </c>
      <c r="G54" s="30">
        <v>30.0</v>
      </c>
      <c r="H54" s="15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17"/>
      <c r="Z54" s="6" t="str">
        <f t="shared" si="1"/>
        <v>Quadra1322</v>
      </c>
      <c r="AA54" s="18" t="str">
        <f t="shared" si="2"/>
        <v>QuadraSink Cock Small Spout (W/M) with Flange</v>
      </c>
      <c r="AB54" s="60">
        <f t="shared" si="3"/>
        <v>792</v>
      </c>
      <c r="AC54" s="61">
        <v>1322.0</v>
      </c>
      <c r="AD54" s="57" t="s">
        <v>457</v>
      </c>
      <c r="AE54" s="18" t="s">
        <v>727</v>
      </c>
    </row>
    <row r="55">
      <c r="A55" s="5" t="s">
        <v>20</v>
      </c>
      <c r="B55" s="8" t="s">
        <v>80</v>
      </c>
      <c r="C55" s="21" t="s">
        <v>728</v>
      </c>
      <c r="D55" s="21" t="s">
        <v>462</v>
      </c>
      <c r="E55" s="53">
        <f t="array" ref="E55:F55">VLOOKUP(C55,'NEW PTMT'!$B$4:$E1832,{3,4},0)</f>
        <v>764</v>
      </c>
      <c r="F55" s="30">
        <v>826.0</v>
      </c>
      <c r="G55" s="30">
        <v>13.0</v>
      </c>
      <c r="H55" s="15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17"/>
      <c r="Z55" s="6" t="str">
        <f t="shared" si="1"/>
        <v>Quadra133</v>
      </c>
      <c r="AA55" s="18" t="str">
        <f t="shared" si="2"/>
        <v>QuadraSink Cock Long Spout (T/M) with Flange</v>
      </c>
      <c r="AB55" s="60">
        <f t="shared" si="3"/>
        <v>826</v>
      </c>
      <c r="AC55" s="61">
        <v>133.0</v>
      </c>
      <c r="AD55" s="57" t="s">
        <v>480</v>
      </c>
      <c r="AE55" s="18" t="s">
        <v>561</v>
      </c>
    </row>
    <row r="56">
      <c r="A56" s="5" t="s">
        <v>20</v>
      </c>
      <c r="B56" s="8" t="s">
        <v>80</v>
      </c>
      <c r="C56" s="21" t="s">
        <v>729</v>
      </c>
      <c r="D56" s="21" t="s">
        <v>482</v>
      </c>
      <c r="E56" s="53">
        <f t="array" ref="E56:F56">VLOOKUP(C56,'NEW PTMT'!$B$4:$E1832,{3,4},0)</f>
        <v>1632</v>
      </c>
      <c r="F56" s="30">
        <v>1764.0</v>
      </c>
      <c r="G56" s="30">
        <v>13.0</v>
      </c>
      <c r="H56" s="15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17"/>
      <c r="Z56" s="6" t="str">
        <f t="shared" si="1"/>
        <v>Quadra134</v>
      </c>
      <c r="AA56" s="18" t="str">
        <f t="shared" si="2"/>
        <v>QuadraSink Mixer with Flange</v>
      </c>
      <c r="AB56" s="60">
        <f t="shared" si="3"/>
        <v>1764</v>
      </c>
      <c r="AC56" s="61">
        <v>134.0</v>
      </c>
      <c r="AD56" s="57" t="s">
        <v>499</v>
      </c>
      <c r="AE56" s="18" t="s">
        <v>519</v>
      </c>
    </row>
    <row r="57">
      <c r="A57" s="5" t="s">
        <v>20</v>
      </c>
      <c r="B57" s="8" t="s">
        <v>80</v>
      </c>
      <c r="C57" s="21" t="s">
        <v>730</v>
      </c>
      <c r="D57" s="21" t="s">
        <v>502</v>
      </c>
      <c r="E57" s="53">
        <f t="array" ref="E57:F57">VLOOKUP(C57,'NEW PTMT'!$B$4:$E1832,{3,4},0)</f>
        <v>1674</v>
      </c>
      <c r="F57" s="30">
        <v>1808.0</v>
      </c>
      <c r="G57" s="30">
        <v>13.0</v>
      </c>
      <c r="H57" s="15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17"/>
      <c r="Z57" s="6" t="str">
        <f t="shared" si="1"/>
        <v>Quadra135</v>
      </c>
      <c r="AA57" s="18" t="str">
        <f t="shared" si="2"/>
        <v>QuadraWall Mixer with Flange</v>
      </c>
      <c r="AB57" s="60">
        <f t="shared" si="3"/>
        <v>1808</v>
      </c>
      <c r="AC57" s="61">
        <v>135.0</v>
      </c>
      <c r="AD57" s="57" t="s">
        <v>519</v>
      </c>
      <c r="AE57" s="18" t="s">
        <v>731</v>
      </c>
    </row>
    <row r="58">
      <c r="A58" s="5" t="s">
        <v>20</v>
      </c>
      <c r="B58" s="8" t="s">
        <v>80</v>
      </c>
      <c r="C58" s="8" t="s">
        <v>732</v>
      </c>
      <c r="D58" s="8" t="s">
        <v>523</v>
      </c>
      <c r="E58" s="53">
        <f t="array" ref="E58:F58">VLOOKUP(C58,'NEW PTMT'!$B$4:$E1832,{3,4},0)</f>
        <v>2233.8</v>
      </c>
      <c r="F58" s="30">
        <v>2414.0</v>
      </c>
      <c r="G58" s="30"/>
      <c r="H58" s="1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17"/>
      <c r="Z58" s="6" t="str">
        <f t="shared" si="1"/>
        <v>Quadra1374</v>
      </c>
      <c r="AA58" s="18" t="str">
        <f t="shared" si="2"/>
        <v>Quadra2 in 1 Telephonic Wall Mixer</v>
      </c>
      <c r="AB58" s="60">
        <f t="shared" si="3"/>
        <v>2414</v>
      </c>
      <c r="AC58" s="64" t="s">
        <v>539</v>
      </c>
      <c r="AD58" s="57" t="s">
        <v>540</v>
      </c>
      <c r="AE58" s="18"/>
    </row>
    <row r="59">
      <c r="A59" s="5" t="s">
        <v>20</v>
      </c>
      <c r="B59" s="8" t="s">
        <v>80</v>
      </c>
      <c r="C59" s="21" t="s">
        <v>733</v>
      </c>
      <c r="D59" s="21" t="s">
        <v>734</v>
      </c>
      <c r="E59" s="53">
        <f t="array" ref="E59:F59">VLOOKUP(C59,'NEW PTMT'!$B$4:$E1832,{3,4},0)</f>
        <v>1927.8</v>
      </c>
      <c r="F59" s="30">
        <v>2082.0</v>
      </c>
      <c r="G59" s="30">
        <v>6.0</v>
      </c>
      <c r="H59" s="18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17"/>
      <c r="Z59" s="6" t="str">
        <f t="shared" si="1"/>
        <v>Quadra1375</v>
      </c>
      <c r="AA59" s="18" t="str">
        <f t="shared" si="2"/>
        <v>QuadraWall Mixer L Bend with Flange</v>
      </c>
      <c r="AB59" s="60">
        <f t="shared" si="3"/>
        <v>2082</v>
      </c>
      <c r="AC59" s="64" t="s">
        <v>560</v>
      </c>
      <c r="AD59" s="57" t="s">
        <v>561</v>
      </c>
      <c r="AE59" s="18"/>
    </row>
    <row r="60">
      <c r="A60" s="5" t="s">
        <v>20</v>
      </c>
      <c r="B60" s="8" t="s">
        <v>80</v>
      </c>
      <c r="C60" s="21" t="s">
        <v>735</v>
      </c>
      <c r="D60" s="21" t="s">
        <v>395</v>
      </c>
      <c r="E60" s="53">
        <f t="array" ref="E60:F60">VLOOKUP(C60,'NEW PTMT'!$B$4:$E1832,{3,4},0)</f>
        <v>346</v>
      </c>
      <c r="F60" s="30">
        <v>374.0</v>
      </c>
      <c r="G60" s="30">
        <v>66.0</v>
      </c>
      <c r="H60" s="15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17"/>
      <c r="Z60" s="6" t="str">
        <f t="shared" si="1"/>
        <v>Quadra144</v>
      </c>
      <c r="AA60" s="18" t="str">
        <f t="shared" si="2"/>
        <v>QuadraAngle Cock with Flange</v>
      </c>
      <c r="AB60" s="60">
        <f t="shared" si="3"/>
        <v>374</v>
      </c>
      <c r="AC60" s="61">
        <v>144.0</v>
      </c>
      <c r="AD60" s="57" t="s">
        <v>395</v>
      </c>
      <c r="AE60" s="18"/>
    </row>
    <row r="61">
      <c r="A61" s="5" t="s">
        <v>20</v>
      </c>
      <c r="B61" s="8" t="s">
        <v>80</v>
      </c>
      <c r="C61" s="21" t="s">
        <v>736</v>
      </c>
      <c r="D61" s="21" t="s">
        <v>359</v>
      </c>
      <c r="E61" s="53">
        <f t="array" ref="E61:F61">VLOOKUP(C61,'NEW PTMT'!$B$4:$E1832,{3,4},0)</f>
        <v>672</v>
      </c>
      <c r="F61" s="30">
        <v>726.0</v>
      </c>
      <c r="G61" s="30">
        <v>23.0</v>
      </c>
      <c r="H61" s="18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17"/>
      <c r="Z61" s="6" t="str">
        <f t="shared" si="1"/>
        <v>Quadra145</v>
      </c>
      <c r="AA61" s="18" t="str">
        <f t="shared" si="2"/>
        <v>Quadra2 Way Angle Cock with Flange</v>
      </c>
      <c r="AB61" s="60">
        <f t="shared" si="3"/>
        <v>726</v>
      </c>
      <c r="AC61" s="61">
        <v>145.0</v>
      </c>
      <c r="AD61" s="57" t="s">
        <v>359</v>
      </c>
      <c r="AE61" s="18"/>
    </row>
    <row r="62">
      <c r="A62" s="5" t="s">
        <v>20</v>
      </c>
      <c r="B62" s="8" t="s">
        <v>80</v>
      </c>
      <c r="C62" s="21" t="s">
        <v>737</v>
      </c>
      <c r="D62" s="21" t="s">
        <v>601</v>
      </c>
      <c r="E62" s="53">
        <f t="array" ref="E62:F62">VLOOKUP(C62,'NEW PTMT'!$B$4:$E1832,{3,4},0)</f>
        <v>806.208</v>
      </c>
      <c r="F62" s="30">
        <v>872.0</v>
      </c>
      <c r="G62" s="30">
        <v>30.0</v>
      </c>
      <c r="H62" s="15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17"/>
      <c r="Z62" s="6" t="str">
        <f t="shared" si="1"/>
        <v>Quadra147</v>
      </c>
      <c r="AA62" s="18" t="str">
        <f t="shared" si="2"/>
        <v>QuadraPillar Cock Swan Neck (T/M) with Flange</v>
      </c>
      <c r="AB62" s="60">
        <f t="shared" si="3"/>
        <v>872</v>
      </c>
      <c r="AC62" s="61">
        <v>147.0</v>
      </c>
      <c r="AD62" s="57" t="s">
        <v>616</v>
      </c>
      <c r="AE62" s="18"/>
    </row>
    <row r="63">
      <c r="A63" s="5" t="s">
        <v>20</v>
      </c>
      <c r="B63" s="8" t="s">
        <v>80</v>
      </c>
      <c r="C63" s="21" t="s">
        <v>738</v>
      </c>
      <c r="D63" s="21" t="s">
        <v>678</v>
      </c>
      <c r="E63" s="53">
        <f t="array" ref="E63:F63">VLOOKUP(C63,'NEW PTMT'!$B$4:$E1832,{3,4},0)</f>
        <v>1318</v>
      </c>
      <c r="F63" s="30">
        <v>1424.0</v>
      </c>
      <c r="G63" s="30">
        <v>64.0</v>
      </c>
      <c r="H63" s="15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17"/>
      <c r="Z63" s="6" t="str">
        <f t="shared" si="1"/>
        <v>Quadra146-B</v>
      </c>
      <c r="AA63" s="18" t="str">
        <f t="shared" si="2"/>
        <v>QuadraConcealed Stop Cock 15mm with Brass Body</v>
      </c>
      <c r="AB63" s="60">
        <f t="shared" si="3"/>
        <v>1424</v>
      </c>
      <c r="AC63" s="61" t="s">
        <v>739</v>
      </c>
      <c r="AD63" s="62" t="s">
        <v>678</v>
      </c>
      <c r="AE63" s="18"/>
    </row>
    <row r="64">
      <c r="A64" s="5" t="s">
        <v>20</v>
      </c>
      <c r="B64" s="8" t="s">
        <v>80</v>
      </c>
      <c r="C64" s="21" t="s">
        <v>740</v>
      </c>
      <c r="D64" s="21" t="s">
        <v>693</v>
      </c>
      <c r="E64" s="53">
        <f t="array" ref="E64:F64">VLOOKUP(C64,'NEW PTMT'!$B$4:$E1832,{3,4},0)</f>
        <v>1346</v>
      </c>
      <c r="F64" s="30">
        <v>1454.0</v>
      </c>
      <c r="G64" s="30">
        <v>64.0</v>
      </c>
      <c r="H64" s="15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17"/>
      <c r="Z64" s="6" t="str">
        <f t="shared" si="1"/>
        <v>Quadra148-B</v>
      </c>
      <c r="AA64" s="18" t="str">
        <f t="shared" si="2"/>
        <v>QuadraConcealed Stop Cock 20mm with Brass Body</v>
      </c>
      <c r="AB64" s="60">
        <f t="shared" si="3"/>
        <v>1454</v>
      </c>
      <c r="AC64" s="61" t="s">
        <v>741</v>
      </c>
      <c r="AD64" s="57" t="s">
        <v>693</v>
      </c>
      <c r="AE64" s="18"/>
    </row>
    <row r="65">
      <c r="A65" s="5" t="s">
        <v>20</v>
      </c>
      <c r="B65" s="8" t="s">
        <v>80</v>
      </c>
      <c r="C65" s="21" t="s">
        <v>742</v>
      </c>
      <c r="D65" s="21" t="s">
        <v>712</v>
      </c>
      <c r="E65" s="53">
        <f t="array" ref="E65:F65">VLOOKUP(C65,'NEW PTMT'!$B$4:$E1832,{3,4},0)</f>
        <v>1742</v>
      </c>
      <c r="F65" s="30">
        <v>1882.0</v>
      </c>
      <c r="G65" s="30">
        <v>14.0</v>
      </c>
      <c r="H65" s="15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17"/>
      <c r="Z65" s="6" t="str">
        <f t="shared" si="1"/>
        <v>Quadra150</v>
      </c>
      <c r="AA65" s="18" t="str">
        <f t="shared" si="2"/>
        <v>QuadraCenter Hole Basin Mixer</v>
      </c>
      <c r="AB65" s="60">
        <f t="shared" si="3"/>
        <v>1882</v>
      </c>
      <c r="AC65" s="61">
        <v>150.0</v>
      </c>
      <c r="AD65" s="57" t="s">
        <v>650</v>
      </c>
      <c r="AE65" s="18"/>
    </row>
    <row r="66">
      <c r="A66" s="5" t="s">
        <v>20</v>
      </c>
      <c r="B66" s="8" t="s">
        <v>80</v>
      </c>
      <c r="C66" s="21" t="s">
        <v>743</v>
      </c>
      <c r="D66" s="21" t="s">
        <v>744</v>
      </c>
      <c r="E66" s="53">
        <f t="array" ref="E66:F66">VLOOKUP(C66,'NEW PTMT'!$B$4:$E1832,{3,4},0)</f>
        <v>1776</v>
      </c>
      <c r="F66" s="30">
        <v>1918.0</v>
      </c>
      <c r="G66" s="30">
        <v>14.0</v>
      </c>
      <c r="H66" s="18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17"/>
      <c r="Z66" s="6" t="str">
        <f t="shared" si="1"/>
        <v>Quadra400</v>
      </c>
      <c r="AA66" s="18" t="str">
        <f t="shared" si="2"/>
        <v>QuadraSingle Lever Basin Mixer</v>
      </c>
      <c r="AB66" s="60">
        <f t="shared" si="3"/>
        <v>1918</v>
      </c>
      <c r="AC66" s="61">
        <v>400.0</v>
      </c>
      <c r="AD66" s="57" t="s">
        <v>708</v>
      </c>
      <c r="AE66" s="18"/>
    </row>
    <row r="67">
      <c r="A67" s="5" t="s">
        <v>20</v>
      </c>
      <c r="B67" s="8" t="s">
        <v>120</v>
      </c>
      <c r="C67" s="21" t="s">
        <v>745</v>
      </c>
      <c r="D67" s="21" t="s">
        <v>746</v>
      </c>
      <c r="E67" s="53">
        <f t="array" ref="E67:F67">VLOOKUP(C67,'NEW PTMT'!$B$4:$E1832,{3,4},0)</f>
        <v>362</v>
      </c>
      <c r="F67" s="30">
        <v>392.0</v>
      </c>
      <c r="G67" s="30">
        <v>48.0</v>
      </c>
      <c r="H67" s="18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17"/>
      <c r="Z67" s="6" t="str">
        <f t="shared" si="1"/>
        <v>Ovian121</v>
      </c>
      <c r="AA67" s="18" t="str">
        <f t="shared" si="2"/>
        <v>OvianBib Cock with Flange</v>
      </c>
      <c r="AB67" s="60">
        <f t="shared" si="3"/>
        <v>392</v>
      </c>
      <c r="AC67" s="61">
        <v>121.0</v>
      </c>
      <c r="AD67" s="57" t="s">
        <v>636</v>
      </c>
      <c r="AE67" s="18"/>
    </row>
    <row r="68">
      <c r="A68" s="5" t="s">
        <v>20</v>
      </c>
      <c r="B68" s="8" t="s">
        <v>120</v>
      </c>
      <c r="C68" s="21" t="s">
        <v>747</v>
      </c>
      <c r="D68" s="21" t="s">
        <v>748</v>
      </c>
      <c r="E68" s="53">
        <f t="array" ref="E68:F68">VLOOKUP(C68,'NEW PTMT'!$B$4:$E1832,{3,4},0)</f>
        <v>362</v>
      </c>
      <c r="F68" s="30">
        <v>392.0</v>
      </c>
      <c r="G68" s="30">
        <v>33.0</v>
      </c>
      <c r="H68" s="15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17"/>
      <c r="Z68" s="6" t="str">
        <f t="shared" si="1"/>
        <v>Ovian122</v>
      </c>
      <c r="AA68" s="18" t="str">
        <f t="shared" si="2"/>
        <v>OvianBib Cock (Foam Flow) with Flange</v>
      </c>
      <c r="AB68" s="60">
        <f t="shared" si="3"/>
        <v>392</v>
      </c>
      <c r="AC68" s="61">
        <v>122.0</v>
      </c>
      <c r="AD68" s="57" t="s">
        <v>417</v>
      </c>
      <c r="AE68" s="18"/>
    </row>
    <row r="69">
      <c r="A69" s="5" t="s">
        <v>20</v>
      </c>
      <c r="B69" s="8" t="s">
        <v>120</v>
      </c>
      <c r="C69" s="21" t="s">
        <v>749</v>
      </c>
      <c r="D69" s="21" t="s">
        <v>714</v>
      </c>
      <c r="E69" s="53">
        <f t="array" ref="E69:F69">VLOOKUP(C69,'NEW PTMT'!$B$4:$E1832,{3,4},0)</f>
        <v>391.68</v>
      </c>
      <c r="F69" s="30">
        <v>424.0</v>
      </c>
      <c r="G69" s="30">
        <v>33.0</v>
      </c>
      <c r="H69" s="15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17"/>
      <c r="Z69" s="6" t="str">
        <f t="shared" si="1"/>
        <v>Ovian123</v>
      </c>
      <c r="AA69" s="18" t="str">
        <f t="shared" si="2"/>
        <v>OvianBib Cock Fancy with Flange</v>
      </c>
      <c r="AB69" s="60">
        <f t="shared" si="3"/>
        <v>424</v>
      </c>
      <c r="AC69" s="61">
        <v>123.0</v>
      </c>
      <c r="AD69" s="57" t="s">
        <v>333</v>
      </c>
      <c r="AE69" s="18"/>
    </row>
    <row r="70">
      <c r="A70" s="5" t="s">
        <v>20</v>
      </c>
      <c r="B70" s="8" t="s">
        <v>120</v>
      </c>
      <c r="C70" s="21" t="s">
        <v>750</v>
      </c>
      <c r="D70" s="21" t="s">
        <v>751</v>
      </c>
      <c r="E70" s="53">
        <f t="array" ref="E70:F70">VLOOKUP(C70,'NEW PTMT'!$B$4:$E1832,{3,4},0)</f>
        <v>382</v>
      </c>
      <c r="F70" s="30">
        <v>414.0</v>
      </c>
      <c r="G70" s="30">
        <v>60.0</v>
      </c>
      <c r="H70" s="15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17"/>
      <c r="Z70" s="6" t="str">
        <f t="shared" si="1"/>
        <v>Ovian124</v>
      </c>
      <c r="AA70" s="18" t="str">
        <f t="shared" si="2"/>
        <v>OvianBib Cock Long Body with Flange</v>
      </c>
      <c r="AB70" s="60">
        <f t="shared" si="3"/>
        <v>414</v>
      </c>
      <c r="AC70" s="61">
        <v>124.0</v>
      </c>
      <c r="AD70" s="57" t="s">
        <v>358</v>
      </c>
      <c r="AE70" s="18"/>
    </row>
    <row r="71">
      <c r="A71" s="5" t="s">
        <v>20</v>
      </c>
      <c r="B71" s="8" t="s">
        <v>120</v>
      </c>
      <c r="C71" s="21" t="s">
        <v>753</v>
      </c>
      <c r="D71" s="21" t="s">
        <v>382</v>
      </c>
      <c r="E71" s="53">
        <f t="array" ref="E71:F71">VLOOKUP(C71,'NEW PTMT'!$B$4:$E1832,{3,4},0)</f>
        <v>682</v>
      </c>
      <c r="F71" s="30">
        <v>738.0</v>
      </c>
      <c r="G71" s="30">
        <v>30.0</v>
      </c>
      <c r="H71" s="15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17"/>
      <c r="Z71" s="6" t="str">
        <f t="shared" si="1"/>
        <v>Ovian129</v>
      </c>
      <c r="AA71" s="18" t="str">
        <f t="shared" si="2"/>
        <v>Ovian2 Way Bib Cock with Flange</v>
      </c>
      <c r="AB71" s="60">
        <f t="shared" si="3"/>
        <v>738</v>
      </c>
      <c r="AC71" s="61">
        <v>129.0</v>
      </c>
      <c r="AD71" s="57" t="s">
        <v>378</v>
      </c>
      <c r="AE71" s="18"/>
    </row>
    <row r="72">
      <c r="A72" s="5" t="s">
        <v>20</v>
      </c>
      <c r="B72" s="8" t="s">
        <v>120</v>
      </c>
      <c r="C72" s="21" t="s">
        <v>754</v>
      </c>
      <c r="D72" s="21" t="s">
        <v>399</v>
      </c>
      <c r="E72" s="53">
        <f t="array" ref="E72:F72">VLOOKUP(C72,'NEW PTMT'!$B$4:$E1832,{3,4},0)</f>
        <v>466</v>
      </c>
      <c r="F72" s="30">
        <v>504.0</v>
      </c>
      <c r="G72" s="30">
        <v>33.0</v>
      </c>
      <c r="H72" s="18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17"/>
      <c r="Z72" s="6" t="str">
        <f t="shared" si="1"/>
        <v>Ovian130</v>
      </c>
      <c r="AA72" s="18" t="str">
        <f t="shared" si="2"/>
        <v>OvianPillar Cock with Flange</v>
      </c>
      <c r="AB72" s="60">
        <f t="shared" si="3"/>
        <v>504</v>
      </c>
      <c r="AC72" s="61">
        <v>130.0</v>
      </c>
      <c r="AD72" s="57" t="s">
        <v>416</v>
      </c>
      <c r="AE72" s="18"/>
    </row>
    <row r="73">
      <c r="A73" s="5" t="s">
        <v>20</v>
      </c>
      <c r="B73" s="8" t="s">
        <v>120</v>
      </c>
      <c r="C73" s="21" t="s">
        <v>755</v>
      </c>
      <c r="D73" s="21" t="s">
        <v>756</v>
      </c>
      <c r="E73" s="53">
        <f t="array" ref="E73:F73">VLOOKUP(C73,'NEW PTMT'!$B$4:$E1832,{3,4},0)</f>
        <v>466</v>
      </c>
      <c r="F73" s="30">
        <v>504.0</v>
      </c>
      <c r="G73" s="30">
        <v>34.0</v>
      </c>
      <c r="H73" s="15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17"/>
      <c r="Z73" s="6" t="str">
        <f t="shared" si="1"/>
        <v>Ovian131</v>
      </c>
      <c r="AA73" s="18" t="str">
        <f t="shared" si="2"/>
        <v>OvianPillar Cock Fancy with Flange</v>
      </c>
      <c r="AB73" s="60">
        <f t="shared" si="3"/>
        <v>504</v>
      </c>
      <c r="AC73" s="61">
        <v>131.0</v>
      </c>
      <c r="AD73" s="57" t="s">
        <v>701</v>
      </c>
      <c r="AE73" s="18"/>
    </row>
    <row r="74">
      <c r="A74" s="5" t="s">
        <v>20</v>
      </c>
      <c r="B74" s="8" t="s">
        <v>120</v>
      </c>
      <c r="C74" s="21" t="s">
        <v>757</v>
      </c>
      <c r="D74" s="21" t="s">
        <v>419</v>
      </c>
      <c r="E74" s="53">
        <f t="array" ref="E74:F74">VLOOKUP(C74,'NEW PTMT'!$B$4:$E1832,{3,4},0)</f>
        <v>762</v>
      </c>
      <c r="F74" s="30">
        <v>824.0</v>
      </c>
      <c r="G74" s="30">
        <v>13.0</v>
      </c>
      <c r="H74" s="15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17"/>
      <c r="Z74" s="6" t="str">
        <f t="shared" si="1"/>
        <v>Ovian132</v>
      </c>
      <c r="AA74" s="18" t="str">
        <f t="shared" si="2"/>
        <v>OvianSink Cock (W/M) with Flange</v>
      </c>
      <c r="AB74" s="60">
        <f t="shared" si="3"/>
        <v>824</v>
      </c>
      <c r="AC74" s="61">
        <v>132.0</v>
      </c>
      <c r="AD74" s="57" t="s">
        <v>436</v>
      </c>
      <c r="AE74" s="18"/>
    </row>
    <row r="75">
      <c r="A75" s="5" t="s">
        <v>20</v>
      </c>
      <c r="B75" s="8" t="s">
        <v>120</v>
      </c>
      <c r="C75" s="21" t="s">
        <v>758</v>
      </c>
      <c r="D75" s="21" t="s">
        <v>439</v>
      </c>
      <c r="E75" s="53">
        <f t="array" ref="E75:F75">VLOOKUP(C75,'NEW PTMT'!$B$4:$E1832,{3,4},0)</f>
        <v>712</v>
      </c>
      <c r="F75" s="30">
        <v>768.0</v>
      </c>
      <c r="G75" s="30">
        <v>30.0</v>
      </c>
      <c r="H75" s="15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17"/>
      <c r="Z75" s="6" t="str">
        <f t="shared" si="1"/>
        <v>Ovian1322</v>
      </c>
      <c r="AA75" s="18" t="str">
        <f t="shared" si="2"/>
        <v>OvianSink Cock Small Spout (W/M) with Flange</v>
      </c>
      <c r="AB75" s="60">
        <f t="shared" si="3"/>
        <v>768</v>
      </c>
      <c r="AC75" s="61">
        <v>1322.0</v>
      </c>
      <c r="AD75" s="57" t="s">
        <v>457</v>
      </c>
      <c r="AE75" s="18"/>
    </row>
    <row r="76">
      <c r="A76" s="5" t="s">
        <v>20</v>
      </c>
      <c r="B76" s="8" t="s">
        <v>120</v>
      </c>
      <c r="C76" s="21" t="s">
        <v>759</v>
      </c>
      <c r="D76" s="21" t="s">
        <v>462</v>
      </c>
      <c r="E76" s="53">
        <f t="array" ref="E76:F76">VLOOKUP(C76,'NEW PTMT'!$B$4:$E1832,{3,4},0)</f>
        <v>762</v>
      </c>
      <c r="F76" s="30">
        <v>822.0</v>
      </c>
      <c r="G76" s="30">
        <v>13.0</v>
      </c>
      <c r="H76" s="18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17"/>
      <c r="Z76" s="6" t="str">
        <f t="shared" si="1"/>
        <v>Ovian133</v>
      </c>
      <c r="AA76" s="18" t="str">
        <f t="shared" si="2"/>
        <v>OvianSink Cock Long Spout (T/M) with Flange</v>
      </c>
      <c r="AB76" s="60">
        <f t="shared" si="3"/>
        <v>822</v>
      </c>
      <c r="AC76" s="61">
        <v>133.0</v>
      </c>
      <c r="AD76" s="57" t="s">
        <v>480</v>
      </c>
      <c r="AE76" s="18"/>
    </row>
    <row r="77">
      <c r="A77" s="5" t="s">
        <v>20</v>
      </c>
      <c r="B77" s="8" t="s">
        <v>120</v>
      </c>
      <c r="C77" s="21" t="s">
        <v>760</v>
      </c>
      <c r="D77" s="21" t="s">
        <v>482</v>
      </c>
      <c r="E77" s="53">
        <f t="array" ref="E77:F77">VLOOKUP(C77,'NEW PTMT'!$B$4:$E1832,{3,4},0)</f>
        <v>1611.6</v>
      </c>
      <c r="F77" s="30">
        <v>1742.0</v>
      </c>
      <c r="G77" s="30">
        <v>13.0</v>
      </c>
      <c r="H77" s="15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17"/>
      <c r="Z77" s="6" t="str">
        <f t="shared" si="1"/>
        <v>Ovian134</v>
      </c>
      <c r="AA77" s="18" t="str">
        <f t="shared" si="2"/>
        <v>OvianSink Mixer with Flange</v>
      </c>
      <c r="AB77" s="60">
        <f t="shared" si="3"/>
        <v>1742</v>
      </c>
      <c r="AC77" s="61">
        <v>134.0</v>
      </c>
      <c r="AD77" s="57" t="s">
        <v>499</v>
      </c>
      <c r="AE77" s="18"/>
    </row>
    <row r="78">
      <c r="A78" s="5" t="s">
        <v>20</v>
      </c>
      <c r="B78" s="8" t="s">
        <v>120</v>
      </c>
      <c r="C78" s="21" t="s">
        <v>761</v>
      </c>
      <c r="D78" s="21" t="s">
        <v>502</v>
      </c>
      <c r="E78" s="53">
        <f t="array" ref="E78:F78">VLOOKUP(C78,'NEW PTMT'!$B$4:$E1832,{3,4},0)</f>
        <v>1527.552</v>
      </c>
      <c r="F78" s="30">
        <v>1648.0</v>
      </c>
      <c r="G78" s="30">
        <v>13.0</v>
      </c>
      <c r="H78" s="15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17"/>
      <c r="Z78" s="6" t="str">
        <f t="shared" si="1"/>
        <v>Ovian135</v>
      </c>
      <c r="AA78" s="18" t="str">
        <f t="shared" si="2"/>
        <v>OvianWall Mixer with Flange</v>
      </c>
      <c r="AB78" s="60">
        <f t="shared" si="3"/>
        <v>1648</v>
      </c>
      <c r="AC78" s="61">
        <v>135.0</v>
      </c>
      <c r="AD78" s="57" t="s">
        <v>519</v>
      </c>
      <c r="AE78" s="18"/>
    </row>
    <row r="79">
      <c r="A79" s="5" t="s">
        <v>20</v>
      </c>
      <c r="B79" s="8" t="s">
        <v>120</v>
      </c>
      <c r="C79" s="8" t="s">
        <v>762</v>
      </c>
      <c r="D79" s="8" t="s">
        <v>523</v>
      </c>
      <c r="E79" s="53">
        <f t="array" ref="E79:F79">VLOOKUP(C79,'NEW PTMT'!$B$4:$E1832,{3,4},0)</f>
        <v>2184</v>
      </c>
      <c r="F79" s="30">
        <v>2358.0</v>
      </c>
      <c r="G79" s="30"/>
      <c r="H79" s="15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17"/>
      <c r="Z79" s="6" t="str">
        <f t="shared" si="1"/>
        <v>Ovian1374</v>
      </c>
      <c r="AA79" s="18" t="str">
        <f t="shared" si="2"/>
        <v>Ovian2 in 1 Telephonic Wall Mixer</v>
      </c>
      <c r="AB79" s="60">
        <f t="shared" si="3"/>
        <v>2358</v>
      </c>
      <c r="AC79" s="64" t="s">
        <v>539</v>
      </c>
      <c r="AD79" s="57" t="s">
        <v>540</v>
      </c>
      <c r="AE79" s="18"/>
    </row>
    <row r="80">
      <c r="A80" s="5" t="s">
        <v>20</v>
      </c>
      <c r="B80" s="8" t="s">
        <v>120</v>
      </c>
      <c r="C80" s="21" t="s">
        <v>763</v>
      </c>
      <c r="D80" s="21" t="s">
        <v>734</v>
      </c>
      <c r="E80" s="53">
        <f t="array" ref="E80:F80">VLOOKUP(C80,'NEW PTMT'!$B$4:$E1832,{3,4},0)</f>
        <v>1878</v>
      </c>
      <c r="F80" s="30">
        <v>2028.0</v>
      </c>
      <c r="G80" s="30">
        <v>6.0</v>
      </c>
      <c r="H80" s="15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17"/>
      <c r="Z80" s="6" t="str">
        <f t="shared" si="1"/>
        <v>Ovian1375</v>
      </c>
      <c r="AA80" s="18" t="str">
        <f t="shared" si="2"/>
        <v>OvianWall Mixer L Bend with Flange</v>
      </c>
      <c r="AB80" s="60">
        <f t="shared" si="3"/>
        <v>2028</v>
      </c>
      <c r="AC80" s="64" t="s">
        <v>560</v>
      </c>
      <c r="AD80" s="57" t="s">
        <v>561</v>
      </c>
      <c r="AE80" s="18"/>
    </row>
    <row r="81">
      <c r="A81" s="5" t="s">
        <v>20</v>
      </c>
      <c r="B81" s="8" t="s">
        <v>120</v>
      </c>
      <c r="C81" s="21" t="s">
        <v>764</v>
      </c>
      <c r="D81" s="21" t="s">
        <v>395</v>
      </c>
      <c r="E81" s="53">
        <f t="array" ref="E81:F81">VLOOKUP(C81,'NEW PTMT'!$B$4:$E1832,{3,4},0)</f>
        <v>344</v>
      </c>
      <c r="F81" s="30">
        <v>372.0</v>
      </c>
      <c r="G81" s="30">
        <v>66.0</v>
      </c>
      <c r="H81" s="15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17"/>
      <c r="Z81" s="6" t="str">
        <f t="shared" si="1"/>
        <v>Ovian144</v>
      </c>
      <c r="AA81" s="18" t="str">
        <f t="shared" si="2"/>
        <v>OvianAngle Cock with Flange</v>
      </c>
      <c r="AB81" s="60">
        <f t="shared" si="3"/>
        <v>372</v>
      </c>
      <c r="AC81" s="61">
        <v>144.0</v>
      </c>
      <c r="AD81" s="57" t="s">
        <v>395</v>
      </c>
      <c r="AE81" s="18"/>
    </row>
    <row r="82">
      <c r="A82" s="5" t="s">
        <v>20</v>
      </c>
      <c r="B82" s="8" t="s">
        <v>120</v>
      </c>
      <c r="C82" s="21" t="s">
        <v>765</v>
      </c>
      <c r="D82" s="21" t="s">
        <v>359</v>
      </c>
      <c r="E82" s="53">
        <f t="array" ref="E82:F82">VLOOKUP(C82,'NEW PTMT'!$B$4:$E1832,{3,4},0)</f>
        <v>625.872</v>
      </c>
      <c r="F82" s="30">
        <v>676.0</v>
      </c>
      <c r="G82" s="30">
        <v>23.0</v>
      </c>
      <c r="H82" s="18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17"/>
      <c r="Z82" s="6" t="str">
        <f t="shared" si="1"/>
        <v>Ovian145</v>
      </c>
      <c r="AA82" s="18" t="str">
        <f t="shared" si="2"/>
        <v>Ovian2 Way Angle Cock with Flange</v>
      </c>
      <c r="AB82" s="60">
        <f t="shared" si="3"/>
        <v>676</v>
      </c>
      <c r="AC82" s="61">
        <v>145.0</v>
      </c>
      <c r="AD82" s="57" t="s">
        <v>359</v>
      </c>
      <c r="AE82" s="18"/>
    </row>
    <row r="83">
      <c r="A83" s="5" t="s">
        <v>20</v>
      </c>
      <c r="B83" s="8" t="s">
        <v>120</v>
      </c>
      <c r="C83" s="21" t="s">
        <v>766</v>
      </c>
      <c r="D83" s="21" t="s">
        <v>710</v>
      </c>
      <c r="E83" s="53">
        <f t="array" ref="E83:F83">VLOOKUP(C83,'NEW PTMT'!$B$4:$E1832,{3,4},0)</f>
        <v>688</v>
      </c>
      <c r="F83" s="30">
        <v>744.0</v>
      </c>
      <c r="G83" s="30">
        <v>30.0</v>
      </c>
      <c r="H83" s="18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17"/>
      <c r="Z83" s="6" t="str">
        <f t="shared" si="1"/>
        <v>Ovian147</v>
      </c>
      <c r="AA83" s="18" t="str">
        <f t="shared" si="2"/>
        <v>OvianPillar Cock Swan Neck (T/M) with Flange</v>
      </c>
      <c r="AB83" s="60">
        <f t="shared" si="3"/>
        <v>744</v>
      </c>
      <c r="AC83" s="61">
        <v>147.0</v>
      </c>
      <c r="AD83" s="57" t="s">
        <v>616</v>
      </c>
      <c r="AE83" s="18"/>
    </row>
    <row r="84">
      <c r="A84" s="5" t="s">
        <v>20</v>
      </c>
      <c r="B84" s="8" t="s">
        <v>120</v>
      </c>
      <c r="C84" s="21" t="s">
        <v>767</v>
      </c>
      <c r="D84" s="21" t="s">
        <v>601</v>
      </c>
      <c r="E84" s="53">
        <f t="array" ref="E84:F84">VLOOKUP(C84,'NEW PTMT'!$B$4:$E1832,{3,4},0)</f>
        <v>732</v>
      </c>
      <c r="F84" s="30">
        <v>792.0</v>
      </c>
      <c r="G84" s="30">
        <v>30.0</v>
      </c>
      <c r="H84" s="1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17"/>
      <c r="Z84" s="6" t="str">
        <f t="shared" si="1"/>
        <v>Ovian147-Q</v>
      </c>
      <c r="AA84" s="18" t="str">
        <f t="shared" si="2"/>
        <v>OvianPillar Cock Swan Neck (T/M) Square Spout with Flange</v>
      </c>
      <c r="AB84" s="60">
        <f t="shared" si="3"/>
        <v>792</v>
      </c>
      <c r="AC84" s="61" t="s">
        <v>737</v>
      </c>
      <c r="AD84" s="57" t="s">
        <v>703</v>
      </c>
      <c r="AE84" s="18"/>
    </row>
    <row r="85">
      <c r="A85" s="5" t="s">
        <v>20</v>
      </c>
      <c r="B85" s="8" t="s">
        <v>120</v>
      </c>
      <c r="C85" s="21" t="s">
        <v>768</v>
      </c>
      <c r="D85" s="21" t="s">
        <v>712</v>
      </c>
      <c r="E85" s="53">
        <f t="array" ref="E85:F85">VLOOKUP(C85,'NEW PTMT'!$B$4:$E1832,{3,4},0)</f>
        <v>1572</v>
      </c>
      <c r="F85" s="30">
        <v>1698.0</v>
      </c>
      <c r="G85" s="30">
        <v>14.0</v>
      </c>
      <c r="H85" s="15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17"/>
      <c r="Z85" s="6" t="str">
        <f t="shared" si="1"/>
        <v>Ovian150</v>
      </c>
      <c r="AA85" s="18" t="str">
        <f t="shared" si="2"/>
        <v>OvianCenter Hole Basin Mixer</v>
      </c>
      <c r="AB85" s="60">
        <f t="shared" si="3"/>
        <v>1698</v>
      </c>
      <c r="AC85" s="61">
        <v>150.0</v>
      </c>
      <c r="AD85" s="57" t="s">
        <v>650</v>
      </c>
      <c r="AE85" s="18"/>
    </row>
    <row r="86">
      <c r="A86" s="5" t="s">
        <v>20</v>
      </c>
      <c r="B86" s="8" t="s">
        <v>120</v>
      </c>
      <c r="C86" s="21" t="s">
        <v>769</v>
      </c>
      <c r="D86" s="21" t="s">
        <v>744</v>
      </c>
      <c r="E86" s="53">
        <f t="array" ref="E86:F86">VLOOKUP(C86,'NEW PTMT'!$B$4:$E1832,{3,4},0)</f>
        <v>1696</v>
      </c>
      <c r="F86" s="30">
        <v>1832.0</v>
      </c>
      <c r="G86" s="30">
        <v>14.0</v>
      </c>
      <c r="H86" s="15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17"/>
      <c r="Z86" s="6" t="str">
        <f t="shared" si="1"/>
        <v>Ovian400</v>
      </c>
      <c r="AA86" s="18" t="str">
        <f t="shared" si="2"/>
        <v>OvianSingle Lever Basin Mixer</v>
      </c>
      <c r="AB86" s="60">
        <f t="shared" si="3"/>
        <v>1832</v>
      </c>
      <c r="AC86" s="61">
        <v>400.0</v>
      </c>
      <c r="AD86" s="57" t="s">
        <v>708</v>
      </c>
      <c r="AE86" s="18"/>
    </row>
    <row r="87">
      <c r="A87" s="5" t="s">
        <v>20</v>
      </c>
      <c r="B87" s="8" t="s">
        <v>120</v>
      </c>
      <c r="C87" s="21" t="s">
        <v>770</v>
      </c>
      <c r="D87" s="21" t="s">
        <v>678</v>
      </c>
      <c r="E87" s="53">
        <f t="array" ref="E87:F87">VLOOKUP(C87,'NEW PTMT'!$B$4:$E1832,{3,4},0)</f>
        <v>1328</v>
      </c>
      <c r="F87" s="30">
        <v>1434.0</v>
      </c>
      <c r="G87" s="30">
        <v>64.0</v>
      </c>
      <c r="H87" s="15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17"/>
      <c r="Z87" s="6" t="str">
        <f t="shared" si="1"/>
        <v>Ovian146-B</v>
      </c>
      <c r="AA87" s="18" t="str">
        <f t="shared" si="2"/>
        <v>OvianConcealed Stop Cock 15mm with Brass Body</v>
      </c>
      <c r="AB87" s="60">
        <f t="shared" si="3"/>
        <v>1434</v>
      </c>
      <c r="AC87" s="61" t="s">
        <v>739</v>
      </c>
      <c r="AD87" s="62" t="s">
        <v>678</v>
      </c>
      <c r="AE87" s="18"/>
    </row>
    <row r="88">
      <c r="A88" s="5" t="s">
        <v>20</v>
      </c>
      <c r="B88" s="8" t="s">
        <v>120</v>
      </c>
      <c r="C88" s="21" t="s">
        <v>771</v>
      </c>
      <c r="D88" s="21" t="s">
        <v>693</v>
      </c>
      <c r="E88" s="53">
        <f t="array" ref="E88:F88">VLOOKUP(C88,'NEW PTMT'!$B$4:$E1832,{3,4},0)</f>
        <v>1346</v>
      </c>
      <c r="F88" s="30">
        <v>1454.0</v>
      </c>
      <c r="G88" s="30">
        <v>64.0</v>
      </c>
      <c r="H88" s="15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17"/>
      <c r="Z88" s="6" t="str">
        <f t="shared" si="1"/>
        <v>Ovian148-B</v>
      </c>
      <c r="AA88" s="18" t="str">
        <f t="shared" si="2"/>
        <v>OvianConcealed Stop Cock 20mm with Brass Body</v>
      </c>
      <c r="AB88" s="60">
        <f t="shared" si="3"/>
        <v>1454</v>
      </c>
      <c r="AC88" s="61" t="s">
        <v>741</v>
      </c>
      <c r="AD88" s="57" t="s">
        <v>693</v>
      </c>
      <c r="AE88" s="18"/>
    </row>
    <row r="89">
      <c r="A89" s="5" t="s">
        <v>20</v>
      </c>
      <c r="B89" s="8" t="s">
        <v>121</v>
      </c>
      <c r="C89" s="21" t="s">
        <v>772</v>
      </c>
      <c r="D89" s="21" t="s">
        <v>773</v>
      </c>
      <c r="E89" s="53">
        <f t="array" ref="E89:F89">VLOOKUP(C89,'NEW PTMT'!$B$4:$E1832,{3,4},0)</f>
        <v>362</v>
      </c>
      <c r="F89" s="30">
        <v>392.0</v>
      </c>
      <c r="G89" s="30">
        <v>48.0</v>
      </c>
      <c r="H89" s="18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17"/>
      <c r="Z89" s="6" t="str">
        <f t="shared" si="1"/>
        <v>Lagoona121</v>
      </c>
      <c r="AA89" s="18" t="str">
        <f t="shared" si="2"/>
        <v>LagoonaBib Cock with Flange</v>
      </c>
      <c r="AB89" s="60">
        <f t="shared" si="3"/>
        <v>392</v>
      </c>
      <c r="AC89" s="61">
        <v>121.0</v>
      </c>
      <c r="AD89" s="57" t="s">
        <v>636</v>
      </c>
      <c r="AE89" s="18"/>
    </row>
    <row r="90">
      <c r="A90" s="5" t="s">
        <v>20</v>
      </c>
      <c r="B90" s="8" t="s">
        <v>121</v>
      </c>
      <c r="C90" s="21" t="s">
        <v>774</v>
      </c>
      <c r="D90" s="21" t="s">
        <v>748</v>
      </c>
      <c r="E90" s="53">
        <f t="array" ref="E90:F90">VLOOKUP(C90,'NEW PTMT'!$B$4:$E1832,{3,4},0)</f>
        <v>362</v>
      </c>
      <c r="F90" s="30">
        <v>392.0</v>
      </c>
      <c r="G90" s="30">
        <v>33.0</v>
      </c>
      <c r="H90" s="15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17"/>
      <c r="Z90" s="6" t="str">
        <f t="shared" si="1"/>
        <v>Lagoona122</v>
      </c>
      <c r="AA90" s="18" t="str">
        <f t="shared" si="2"/>
        <v>LagoonaBib Cock (Foam Flow) with Flange</v>
      </c>
      <c r="AB90" s="60">
        <f t="shared" si="3"/>
        <v>392</v>
      </c>
      <c r="AC90" s="61">
        <v>122.0</v>
      </c>
      <c r="AD90" s="57" t="s">
        <v>417</v>
      </c>
      <c r="AE90" s="18"/>
    </row>
    <row r="91">
      <c r="A91" s="5" t="s">
        <v>20</v>
      </c>
      <c r="B91" s="8" t="s">
        <v>121</v>
      </c>
      <c r="C91" s="21" t="s">
        <v>775</v>
      </c>
      <c r="D91" s="21" t="s">
        <v>714</v>
      </c>
      <c r="E91" s="53">
        <f t="array" ref="E91:F91">VLOOKUP(C91,'NEW PTMT'!$B$4:$E1832,{3,4},0)</f>
        <v>391.68</v>
      </c>
      <c r="F91" s="30">
        <v>424.0</v>
      </c>
      <c r="G91" s="30">
        <v>33.0</v>
      </c>
      <c r="H91" s="1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17"/>
      <c r="Z91" s="6" t="str">
        <f t="shared" si="1"/>
        <v>Lagoona123</v>
      </c>
      <c r="AA91" s="18" t="str">
        <f t="shared" si="2"/>
        <v>LagoonaBib Cock Fancy with Flange</v>
      </c>
      <c r="AB91" s="60">
        <f t="shared" si="3"/>
        <v>424</v>
      </c>
      <c r="AC91" s="61">
        <v>123.0</v>
      </c>
      <c r="AD91" s="57" t="s">
        <v>333</v>
      </c>
      <c r="AE91" s="18"/>
    </row>
    <row r="92">
      <c r="A92" s="5" t="s">
        <v>20</v>
      </c>
      <c r="B92" s="8" t="s">
        <v>121</v>
      </c>
      <c r="C92" s="21" t="s">
        <v>776</v>
      </c>
      <c r="D92" s="21" t="s">
        <v>777</v>
      </c>
      <c r="E92" s="53">
        <f t="array" ref="E92:F92">VLOOKUP(C92,'NEW PTMT'!$B$4:$E1832,{3,4},0)</f>
        <v>382</v>
      </c>
      <c r="F92" s="30">
        <v>414.0</v>
      </c>
      <c r="G92" s="30">
        <v>60.0</v>
      </c>
      <c r="H92" s="1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17"/>
      <c r="Z92" s="6" t="str">
        <f t="shared" si="1"/>
        <v>Lagoona124</v>
      </c>
      <c r="AA92" s="18" t="str">
        <f t="shared" si="2"/>
        <v>LagoonaBib Cock Long Body with Flange</v>
      </c>
      <c r="AB92" s="60">
        <f t="shared" si="3"/>
        <v>414</v>
      </c>
      <c r="AC92" s="61">
        <v>124.0</v>
      </c>
      <c r="AD92" s="57" t="s">
        <v>358</v>
      </c>
      <c r="AE92" s="18"/>
    </row>
    <row r="93">
      <c r="A93" s="5" t="s">
        <v>20</v>
      </c>
      <c r="B93" s="8" t="s">
        <v>121</v>
      </c>
      <c r="C93" s="21" t="s">
        <v>778</v>
      </c>
      <c r="D93" s="21" t="s">
        <v>382</v>
      </c>
      <c r="E93" s="53">
        <f t="array" ref="E93:F93">VLOOKUP(C93,'NEW PTMT'!$B$4:$E1832,{3,4},0)</f>
        <v>682</v>
      </c>
      <c r="F93" s="30">
        <v>738.0</v>
      </c>
      <c r="G93" s="30">
        <v>30.0</v>
      </c>
      <c r="H93" s="15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17"/>
      <c r="Z93" s="6" t="str">
        <f t="shared" si="1"/>
        <v>Lagoona129</v>
      </c>
      <c r="AA93" s="18" t="str">
        <f t="shared" si="2"/>
        <v>Lagoona2 Way Bib Cock with Flange</v>
      </c>
      <c r="AB93" s="60">
        <f t="shared" si="3"/>
        <v>738</v>
      </c>
      <c r="AC93" s="61">
        <v>129.0</v>
      </c>
      <c r="AD93" s="57" t="s">
        <v>378</v>
      </c>
      <c r="AE93" s="18"/>
    </row>
    <row r="94">
      <c r="A94" s="5" t="s">
        <v>20</v>
      </c>
      <c r="B94" s="8" t="s">
        <v>121</v>
      </c>
      <c r="C94" s="21" t="s">
        <v>779</v>
      </c>
      <c r="D94" s="21" t="s">
        <v>399</v>
      </c>
      <c r="E94" s="53">
        <f t="array" ref="E94:F94">VLOOKUP(C94,'NEW PTMT'!$B$4:$E1832,{3,4},0)</f>
        <v>466</v>
      </c>
      <c r="F94" s="30">
        <v>504.0</v>
      </c>
      <c r="G94" s="30">
        <v>33.0</v>
      </c>
      <c r="H94" s="15"/>
      <c r="I94" s="18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17"/>
      <c r="Z94" s="6" t="str">
        <f t="shared" si="1"/>
        <v>Lagoona130</v>
      </c>
      <c r="AA94" s="18" t="str">
        <f t="shared" si="2"/>
        <v>LagoonaPillar Cock with Flange</v>
      </c>
      <c r="AB94" s="60">
        <f t="shared" si="3"/>
        <v>504</v>
      </c>
      <c r="AC94" s="61">
        <v>130.0</v>
      </c>
      <c r="AD94" s="57" t="s">
        <v>416</v>
      </c>
      <c r="AE94" s="18"/>
    </row>
    <row r="95">
      <c r="A95" s="5" t="s">
        <v>20</v>
      </c>
      <c r="B95" s="8" t="s">
        <v>121</v>
      </c>
      <c r="C95" s="21" t="s">
        <v>780</v>
      </c>
      <c r="D95" s="21" t="s">
        <v>781</v>
      </c>
      <c r="E95" s="53">
        <f t="array" ref="E95:F95">VLOOKUP(C95,'NEW PTMT'!$B$4:$E1832,{3,4},0)</f>
        <v>466</v>
      </c>
      <c r="F95" s="30">
        <v>504.0</v>
      </c>
      <c r="G95" s="30">
        <v>33.0</v>
      </c>
      <c r="H95" s="18"/>
      <c r="I95" s="18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17"/>
      <c r="Z95" s="6" t="str">
        <f t="shared" si="1"/>
        <v>Lagoona131</v>
      </c>
      <c r="AA95" s="18" t="str">
        <f t="shared" si="2"/>
        <v>LagoonaPillar Cock Fancy with Flange</v>
      </c>
      <c r="AB95" s="60">
        <f t="shared" si="3"/>
        <v>504</v>
      </c>
      <c r="AC95" s="61">
        <v>131.0</v>
      </c>
      <c r="AD95" s="57" t="s">
        <v>701</v>
      </c>
      <c r="AE95" s="18"/>
    </row>
    <row r="96">
      <c r="A96" s="5" t="s">
        <v>20</v>
      </c>
      <c r="B96" s="8" t="s">
        <v>121</v>
      </c>
      <c r="C96" s="21" t="s">
        <v>782</v>
      </c>
      <c r="D96" s="21" t="s">
        <v>419</v>
      </c>
      <c r="E96" s="53">
        <f t="array" ref="E96:F96">VLOOKUP(C96,'NEW PTMT'!$B$4:$E1832,{3,4},0)</f>
        <v>764</v>
      </c>
      <c r="F96" s="30">
        <v>826.0</v>
      </c>
      <c r="G96" s="30">
        <v>13.0</v>
      </c>
      <c r="H96" s="18"/>
      <c r="I96" s="18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17"/>
      <c r="Z96" s="6" t="str">
        <f t="shared" si="1"/>
        <v>Lagoona132</v>
      </c>
      <c r="AA96" s="18" t="str">
        <f t="shared" si="2"/>
        <v>LagoonaSink Cock (W/M) with Flange</v>
      </c>
      <c r="AB96" s="60">
        <f t="shared" si="3"/>
        <v>826</v>
      </c>
      <c r="AC96" s="61">
        <v>132.0</v>
      </c>
      <c r="AD96" s="57" t="s">
        <v>436</v>
      </c>
      <c r="AE96" s="18"/>
    </row>
    <row r="97">
      <c r="A97" s="5" t="s">
        <v>20</v>
      </c>
      <c r="B97" s="8" t="s">
        <v>121</v>
      </c>
      <c r="C97" s="21" t="s">
        <v>783</v>
      </c>
      <c r="D97" s="21" t="s">
        <v>439</v>
      </c>
      <c r="E97" s="53">
        <f t="array" ref="E97:F97">VLOOKUP(C97,'NEW PTMT'!$B$4:$E1832,{3,4},0)</f>
        <v>712</v>
      </c>
      <c r="F97" s="30">
        <v>768.0</v>
      </c>
      <c r="G97" s="30">
        <v>30.0</v>
      </c>
      <c r="H97" s="15"/>
      <c r="I97" s="18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17"/>
      <c r="Z97" s="6" t="str">
        <f t="shared" si="1"/>
        <v>Lagoona1322</v>
      </c>
      <c r="AA97" s="18" t="str">
        <f t="shared" si="2"/>
        <v>LagoonaSink Cock Small Spout (W/M) with Flange</v>
      </c>
      <c r="AB97" s="60">
        <f t="shared" si="3"/>
        <v>768</v>
      </c>
      <c r="AC97" s="61">
        <v>1322.0</v>
      </c>
      <c r="AD97" s="57" t="s">
        <v>457</v>
      </c>
      <c r="AE97" s="18"/>
    </row>
    <row r="98">
      <c r="A98" s="5" t="s">
        <v>20</v>
      </c>
      <c r="B98" s="8" t="s">
        <v>121</v>
      </c>
      <c r="C98" s="21" t="s">
        <v>784</v>
      </c>
      <c r="D98" s="21" t="s">
        <v>462</v>
      </c>
      <c r="E98" s="53">
        <f t="array" ref="E98:F98">VLOOKUP(C98,'NEW PTMT'!$B$4:$E1832,{3,4},0)</f>
        <v>764</v>
      </c>
      <c r="F98" s="30">
        <v>826.0</v>
      </c>
      <c r="G98" s="30">
        <v>13.0</v>
      </c>
      <c r="H98" s="15"/>
      <c r="I98" s="18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17"/>
      <c r="Z98" s="6" t="str">
        <f t="shared" si="1"/>
        <v>Lagoona133</v>
      </c>
      <c r="AA98" s="18" t="str">
        <f t="shared" si="2"/>
        <v>LagoonaSink Cock Long Spout (T/M) with Flange</v>
      </c>
      <c r="AB98" s="60">
        <f t="shared" si="3"/>
        <v>826</v>
      </c>
      <c r="AC98" s="61">
        <v>133.0</v>
      </c>
      <c r="AD98" s="57" t="s">
        <v>480</v>
      </c>
      <c r="AE98" s="18"/>
    </row>
    <row r="99">
      <c r="A99" s="5" t="s">
        <v>20</v>
      </c>
      <c r="B99" s="8" t="s">
        <v>121</v>
      </c>
      <c r="C99" s="21" t="s">
        <v>785</v>
      </c>
      <c r="D99" s="21" t="s">
        <v>482</v>
      </c>
      <c r="E99" s="53">
        <f t="array" ref="E99:F99">VLOOKUP(C99,'NEW PTMT'!$B$4:$E1832,{3,4},0)</f>
        <v>1627.92</v>
      </c>
      <c r="F99" s="30">
        <v>1758.0</v>
      </c>
      <c r="G99" s="30">
        <v>13.0</v>
      </c>
      <c r="H99" s="15"/>
      <c r="I99" s="18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17"/>
      <c r="Z99" s="6" t="str">
        <f t="shared" si="1"/>
        <v>Lagoona134</v>
      </c>
      <c r="AA99" s="18" t="str">
        <f t="shared" si="2"/>
        <v>LagoonaSink Mixer with Flange</v>
      </c>
      <c r="AB99" s="60">
        <f t="shared" si="3"/>
        <v>1758</v>
      </c>
      <c r="AC99" s="61">
        <v>134.0</v>
      </c>
      <c r="AD99" s="62" t="s">
        <v>499</v>
      </c>
      <c r="AE99" s="18"/>
    </row>
    <row r="100">
      <c r="A100" s="5" t="s">
        <v>20</v>
      </c>
      <c r="B100" s="8" t="s">
        <v>121</v>
      </c>
      <c r="C100" s="21" t="s">
        <v>786</v>
      </c>
      <c r="D100" s="21" t="s">
        <v>502</v>
      </c>
      <c r="E100" s="53">
        <f t="array" ref="E100:F100">VLOOKUP(C100,'NEW PTMT'!$B$4:$E1832,{3,4},0)</f>
        <v>1572</v>
      </c>
      <c r="F100" s="30">
        <v>1698.0</v>
      </c>
      <c r="G100" s="30">
        <v>13.0</v>
      </c>
      <c r="H100" s="15"/>
      <c r="I100" s="18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17"/>
      <c r="Z100" s="6" t="str">
        <f t="shared" si="1"/>
        <v>Lagoona135</v>
      </c>
      <c r="AA100" s="18" t="str">
        <f t="shared" si="2"/>
        <v>LagoonaWall Mixer with Flange</v>
      </c>
      <c r="AB100" s="60">
        <f t="shared" si="3"/>
        <v>1698</v>
      </c>
      <c r="AC100" s="61">
        <v>135.0</v>
      </c>
      <c r="AD100" s="57" t="s">
        <v>519</v>
      </c>
      <c r="AE100" s="18"/>
    </row>
    <row r="101">
      <c r="A101" s="5" t="s">
        <v>20</v>
      </c>
      <c r="B101" s="8" t="s">
        <v>121</v>
      </c>
      <c r="C101" s="8" t="s">
        <v>787</v>
      </c>
      <c r="D101" s="8" t="s">
        <v>523</v>
      </c>
      <c r="E101" s="53">
        <f t="array" ref="E101:F101">VLOOKUP(C101,'NEW PTMT'!$B$4:$E1832,{3,4},0)</f>
        <v>2223.6</v>
      </c>
      <c r="F101" s="30">
        <v>2402.0</v>
      </c>
      <c r="G101" s="30"/>
      <c r="H101" s="15"/>
      <c r="I101" s="18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17"/>
      <c r="Z101" s="6" t="str">
        <f t="shared" si="1"/>
        <v>Lagoona1374</v>
      </c>
      <c r="AA101" s="18" t="str">
        <f t="shared" si="2"/>
        <v>Lagoona2 in 1 Telephonic Wall Mixer</v>
      </c>
      <c r="AB101" s="60">
        <f t="shared" si="3"/>
        <v>2402</v>
      </c>
      <c r="AC101" s="61">
        <v>1374.0</v>
      </c>
      <c r="AD101" s="57" t="s">
        <v>540</v>
      </c>
      <c r="AE101" s="18"/>
    </row>
    <row r="102">
      <c r="A102" s="5" t="s">
        <v>20</v>
      </c>
      <c r="B102" s="8" t="s">
        <v>121</v>
      </c>
      <c r="C102" s="21" t="s">
        <v>788</v>
      </c>
      <c r="D102" s="21" t="s">
        <v>734</v>
      </c>
      <c r="E102" s="53">
        <f t="array" ref="E102:F102">VLOOKUP(C102,'NEW PTMT'!$B$4:$E1832,{3,4},0)</f>
        <v>1917.6</v>
      </c>
      <c r="F102" s="30">
        <v>2072.0</v>
      </c>
      <c r="G102" s="30">
        <v>6.0</v>
      </c>
      <c r="H102" s="15"/>
      <c r="I102" s="18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17"/>
      <c r="Z102" s="6" t="str">
        <f t="shared" si="1"/>
        <v>Lagoona1375</v>
      </c>
      <c r="AA102" s="18" t="str">
        <f t="shared" si="2"/>
        <v>LagoonaWall Mixer L Bend with Flange</v>
      </c>
      <c r="AB102" s="60">
        <f t="shared" si="3"/>
        <v>2072</v>
      </c>
      <c r="AC102" s="64" t="s">
        <v>560</v>
      </c>
      <c r="AD102" s="57" t="s">
        <v>561</v>
      </c>
      <c r="AE102" s="18"/>
    </row>
    <row r="103">
      <c r="A103" s="5" t="s">
        <v>20</v>
      </c>
      <c r="B103" s="8" t="s">
        <v>121</v>
      </c>
      <c r="C103" s="21" t="s">
        <v>789</v>
      </c>
      <c r="D103" s="21" t="s">
        <v>395</v>
      </c>
      <c r="E103" s="53">
        <f t="array" ref="E103:F103">VLOOKUP(C103,'NEW PTMT'!$B$4:$E1832,{3,4},0)</f>
        <v>344</v>
      </c>
      <c r="F103" s="30">
        <v>372.0</v>
      </c>
      <c r="G103" s="30">
        <v>66.0</v>
      </c>
      <c r="H103" s="15"/>
      <c r="I103" s="18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17"/>
      <c r="Z103" s="6" t="str">
        <f t="shared" si="1"/>
        <v>Lagoona144</v>
      </c>
      <c r="AA103" s="18" t="str">
        <f t="shared" si="2"/>
        <v>LagoonaAngle Cock with Flange</v>
      </c>
      <c r="AB103" s="60">
        <f t="shared" si="3"/>
        <v>372</v>
      </c>
      <c r="AC103" s="61">
        <v>144.0</v>
      </c>
      <c r="AD103" s="57" t="s">
        <v>395</v>
      </c>
      <c r="AE103" s="18"/>
    </row>
    <row r="104">
      <c r="A104" s="5" t="s">
        <v>20</v>
      </c>
      <c r="B104" s="8" t="s">
        <v>121</v>
      </c>
      <c r="C104" s="21" t="s">
        <v>790</v>
      </c>
      <c r="D104" s="21" t="s">
        <v>359</v>
      </c>
      <c r="E104" s="53">
        <f t="array" ref="E104:F104">VLOOKUP(C104,'NEW PTMT'!$B$4:$E1832,{3,4},0)</f>
        <v>632</v>
      </c>
      <c r="F104" s="30">
        <v>684.0</v>
      </c>
      <c r="G104" s="30">
        <v>35.0</v>
      </c>
      <c r="H104" s="15"/>
      <c r="I104" s="18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17"/>
      <c r="Z104" s="6" t="str">
        <f t="shared" si="1"/>
        <v>Lagoona145</v>
      </c>
      <c r="AA104" s="18" t="str">
        <f t="shared" si="2"/>
        <v>Lagoona2 Way Angle Cock with Flange</v>
      </c>
      <c r="AB104" s="60">
        <f t="shared" si="3"/>
        <v>684</v>
      </c>
      <c r="AC104" s="61">
        <v>145.0</v>
      </c>
      <c r="AD104" s="62" t="s">
        <v>359</v>
      </c>
      <c r="AE104" s="18"/>
    </row>
    <row r="105">
      <c r="A105" s="5" t="s">
        <v>20</v>
      </c>
      <c r="B105" s="8" t="s">
        <v>121</v>
      </c>
      <c r="C105" s="21" t="s">
        <v>791</v>
      </c>
      <c r="D105" s="21" t="s">
        <v>710</v>
      </c>
      <c r="E105" s="53">
        <f t="array" ref="E105:F105">VLOOKUP(C105,'NEW PTMT'!$B$4:$E1832,{3,4},0)</f>
        <v>688</v>
      </c>
      <c r="F105" s="30">
        <v>744.0</v>
      </c>
      <c r="G105" s="30">
        <v>30.0</v>
      </c>
      <c r="H105" s="15"/>
      <c r="I105" s="18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17"/>
      <c r="Z105" s="6" t="str">
        <f t="shared" si="1"/>
        <v>Lagoona147</v>
      </c>
      <c r="AA105" s="18" t="str">
        <f t="shared" si="2"/>
        <v>LagoonaPillar Cock Swan Neck (T/M) with Flange</v>
      </c>
      <c r="AB105" s="60">
        <f t="shared" si="3"/>
        <v>744</v>
      </c>
      <c r="AC105" s="61">
        <v>147.0</v>
      </c>
      <c r="AD105" s="57" t="s">
        <v>616</v>
      </c>
      <c r="AE105" s="18"/>
    </row>
    <row r="106">
      <c r="A106" s="5" t="s">
        <v>20</v>
      </c>
      <c r="B106" s="8" t="s">
        <v>121</v>
      </c>
      <c r="C106" s="21" t="s">
        <v>792</v>
      </c>
      <c r="D106" s="21" t="s">
        <v>601</v>
      </c>
      <c r="E106" s="53">
        <f t="array" ref="E106:F106">VLOOKUP(C106,'NEW PTMT'!$B$4:$E1832,{3,4},0)</f>
        <v>732</v>
      </c>
      <c r="F106" s="30">
        <v>792.0</v>
      </c>
      <c r="G106" s="30">
        <v>30.0</v>
      </c>
      <c r="H106" s="15"/>
      <c r="I106" s="18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17"/>
      <c r="Z106" s="6" t="str">
        <f t="shared" si="1"/>
        <v>Lagoona147-Q</v>
      </c>
      <c r="AA106" s="18" t="str">
        <f t="shared" si="2"/>
        <v>LagoonaPillar Cock Swan Neck (T/M) Square Spout with Flange</v>
      </c>
      <c r="AB106" s="60">
        <f t="shared" si="3"/>
        <v>792</v>
      </c>
      <c r="AC106" s="61" t="s">
        <v>737</v>
      </c>
      <c r="AD106" s="57" t="s">
        <v>703</v>
      </c>
      <c r="AE106" s="18"/>
    </row>
    <row r="107">
      <c r="A107" s="5" t="s">
        <v>20</v>
      </c>
      <c r="B107" s="8" t="s">
        <v>121</v>
      </c>
      <c r="C107" s="21" t="s">
        <v>793</v>
      </c>
      <c r="D107" s="21" t="s">
        <v>712</v>
      </c>
      <c r="E107" s="53">
        <f t="array" ref="E107:F107">VLOOKUP(C107,'NEW PTMT'!$B$4:$E1832,{3,4},0)</f>
        <v>1552</v>
      </c>
      <c r="F107" s="30">
        <v>1676.0</v>
      </c>
      <c r="G107" s="30">
        <v>14.0</v>
      </c>
      <c r="H107" s="15"/>
      <c r="I107" s="18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17"/>
      <c r="Z107" s="6" t="str">
        <f t="shared" si="1"/>
        <v>Lagoona150</v>
      </c>
      <c r="AA107" s="18" t="str">
        <f t="shared" si="2"/>
        <v>LagoonaCenter Hole Basin Mixer</v>
      </c>
      <c r="AB107" s="60">
        <f t="shared" si="3"/>
        <v>1676</v>
      </c>
      <c r="AC107" s="61">
        <v>150.0</v>
      </c>
      <c r="AD107" s="57" t="s">
        <v>650</v>
      </c>
      <c r="AE107" s="18"/>
    </row>
    <row r="108">
      <c r="A108" s="5" t="s">
        <v>20</v>
      </c>
      <c r="B108" s="8" t="s">
        <v>126</v>
      </c>
      <c r="C108" s="21" t="s">
        <v>794</v>
      </c>
      <c r="D108" s="21" t="s">
        <v>795</v>
      </c>
      <c r="E108" s="53">
        <f t="array" ref="E108:F108">VLOOKUP(C108,'NEW PTMT'!$B$4:$E1832,{3,4},0)</f>
        <v>234</v>
      </c>
      <c r="F108" s="30">
        <v>254.0</v>
      </c>
      <c r="G108" s="30">
        <v>66.0</v>
      </c>
      <c r="H108" s="15"/>
      <c r="I108" s="18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17"/>
      <c r="Z108" s="6" t="str">
        <f t="shared" si="1"/>
        <v>Sapphire121</v>
      </c>
      <c r="AA108" s="18" t="str">
        <f t="shared" si="2"/>
        <v>SapphireBib Cock with Flange</v>
      </c>
      <c r="AB108" s="60">
        <f t="shared" si="3"/>
        <v>254</v>
      </c>
      <c r="AC108" s="61">
        <v>121.0</v>
      </c>
      <c r="AD108" s="57" t="s">
        <v>636</v>
      </c>
      <c r="AE108" s="18"/>
    </row>
    <row r="109">
      <c r="A109" s="5" t="s">
        <v>20</v>
      </c>
      <c r="B109" s="8" t="s">
        <v>126</v>
      </c>
      <c r="C109" s="8" t="s">
        <v>796</v>
      </c>
      <c r="D109" s="8" t="s">
        <v>748</v>
      </c>
      <c r="E109" s="53">
        <f t="array" ref="E109:F109">VLOOKUP(C109,'NEW PTMT'!$B$4:$E1832,{3,4},0)</f>
        <v>246</v>
      </c>
      <c r="F109" s="30">
        <v>266.0</v>
      </c>
      <c r="G109" s="30"/>
      <c r="H109" s="15"/>
      <c r="I109" s="18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17"/>
      <c r="Z109" s="6" t="str">
        <f t="shared" si="1"/>
        <v>Sapphire121-F</v>
      </c>
      <c r="AA109" s="18" t="str">
        <f t="shared" si="2"/>
        <v>SapphireBib Cock (Foam Flow) with Flange</v>
      </c>
      <c r="AB109" s="60">
        <f t="shared" si="3"/>
        <v>266</v>
      </c>
      <c r="AC109" s="61" t="s">
        <v>208</v>
      </c>
      <c r="AD109" s="57" t="s">
        <v>417</v>
      </c>
      <c r="AE109" s="18"/>
    </row>
    <row r="110">
      <c r="A110" s="5" t="s">
        <v>20</v>
      </c>
      <c r="B110" s="8" t="s">
        <v>126</v>
      </c>
      <c r="C110" s="21" t="s">
        <v>797</v>
      </c>
      <c r="D110" s="21" t="s">
        <v>798</v>
      </c>
      <c r="E110" s="53">
        <f t="array" ref="E110:F110">VLOOKUP(C110,'NEW PTMT'!$B$4:$E1832,{3,4},0)</f>
        <v>264</v>
      </c>
      <c r="F110" s="30">
        <v>286.0</v>
      </c>
      <c r="G110" s="30">
        <v>46.0</v>
      </c>
      <c r="H110" s="18"/>
      <c r="I110" s="18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17"/>
      <c r="Z110" s="6" t="str">
        <f t="shared" si="1"/>
        <v>Sapphire123</v>
      </c>
      <c r="AA110" s="18" t="str">
        <f t="shared" si="2"/>
        <v>SapphireBib Cock Fancy with Flange</v>
      </c>
      <c r="AB110" s="60">
        <f t="shared" si="3"/>
        <v>286</v>
      </c>
      <c r="AC110" s="61">
        <v>123.0</v>
      </c>
      <c r="AD110" s="57" t="s">
        <v>333</v>
      </c>
      <c r="AE110" s="18"/>
    </row>
    <row r="111">
      <c r="A111" s="5" t="s">
        <v>20</v>
      </c>
      <c r="B111" s="8" t="s">
        <v>126</v>
      </c>
      <c r="C111" s="21" t="s">
        <v>799</v>
      </c>
      <c r="D111" s="21" t="s">
        <v>306</v>
      </c>
      <c r="E111" s="53">
        <f t="array" ref="E111:F111">VLOOKUP(C111,'NEW PTMT'!$B$4:$E1832,{3,4},0)</f>
        <v>273.6864</v>
      </c>
      <c r="F111" s="30">
        <v>296.0</v>
      </c>
      <c r="G111" s="30">
        <v>46.0</v>
      </c>
      <c r="H111" s="15"/>
      <c r="I111" s="18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17"/>
      <c r="Z111" s="6" t="str">
        <f t="shared" si="1"/>
        <v>Sapphire123-F</v>
      </c>
      <c r="AA111" s="18" t="str">
        <f t="shared" si="2"/>
        <v>SapphireBib Cock Fancy (Foam Flow) with Flange</v>
      </c>
      <c r="AB111" s="60">
        <f t="shared" si="3"/>
        <v>296</v>
      </c>
      <c r="AC111" s="61" t="s">
        <v>471</v>
      </c>
      <c r="AD111" s="57" t="s">
        <v>437</v>
      </c>
      <c r="AE111" s="18"/>
    </row>
    <row r="112">
      <c r="A112" s="5" t="s">
        <v>20</v>
      </c>
      <c r="B112" s="8" t="s">
        <v>126</v>
      </c>
      <c r="C112" s="21" t="s">
        <v>800</v>
      </c>
      <c r="D112" s="21" t="s">
        <v>801</v>
      </c>
      <c r="E112" s="53">
        <f t="array" ref="E112:F112">VLOOKUP(C112,'NEW PTMT'!$B$4:$E1832,{3,4},0)</f>
        <v>316.1184</v>
      </c>
      <c r="F112" s="30">
        <v>342.0</v>
      </c>
      <c r="G112" s="30">
        <v>60.0</v>
      </c>
      <c r="H112" s="18"/>
      <c r="I112" s="18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17"/>
      <c r="Z112" s="6" t="str">
        <f t="shared" si="1"/>
        <v>Sapphire123-N</v>
      </c>
      <c r="AA112" s="18" t="str">
        <f t="shared" si="2"/>
        <v>SapphireBib Cock Fancy with New Flange &amp; Nipple</v>
      </c>
      <c r="AB112" s="60">
        <f t="shared" si="3"/>
        <v>342</v>
      </c>
      <c r="AC112" s="61" t="s">
        <v>573</v>
      </c>
      <c r="AD112" s="57" t="s">
        <v>500</v>
      </c>
      <c r="AE112" s="18"/>
    </row>
    <row r="113">
      <c r="A113" s="5" t="s">
        <v>20</v>
      </c>
      <c r="B113" s="8" t="s">
        <v>126</v>
      </c>
      <c r="C113" s="21" t="s">
        <v>802</v>
      </c>
      <c r="D113" s="21" t="s">
        <v>803</v>
      </c>
      <c r="E113" s="53">
        <f t="array" ref="E113:F113">VLOOKUP(C113,'NEW PTMT'!$B$4:$E1832,{3,4},0)</f>
        <v>301.92</v>
      </c>
      <c r="F113" s="30">
        <v>326.0</v>
      </c>
      <c r="G113" s="59">
        <v>46.0</v>
      </c>
      <c r="H113" s="18"/>
      <c r="I113" s="18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17"/>
      <c r="Z113" s="6" t="str">
        <f t="shared" si="1"/>
        <v>Sapphire124</v>
      </c>
      <c r="AA113" s="18" t="str">
        <f t="shared" si="2"/>
        <v>SapphireBib Cock Long Body with Flange</v>
      </c>
      <c r="AB113" s="60">
        <f t="shared" si="3"/>
        <v>326</v>
      </c>
      <c r="AC113" s="61">
        <v>124.0</v>
      </c>
      <c r="AD113" s="57" t="s">
        <v>358</v>
      </c>
      <c r="AE113" s="18"/>
    </row>
    <row r="114">
      <c r="A114" s="5" t="s">
        <v>20</v>
      </c>
      <c r="B114" s="8" t="s">
        <v>126</v>
      </c>
      <c r="C114" s="21" t="s">
        <v>804</v>
      </c>
      <c r="D114" s="21" t="s">
        <v>339</v>
      </c>
      <c r="E114" s="53">
        <f t="array" ref="E114:F114">VLOOKUP(C114,'NEW PTMT'!$B$4:$E1832,{3,4},0)</f>
        <v>316.1184</v>
      </c>
      <c r="F114" s="30">
        <v>342.0</v>
      </c>
      <c r="G114" s="59">
        <v>46.0</v>
      </c>
      <c r="H114" s="15"/>
      <c r="I114" s="18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17"/>
      <c r="Z114" s="6" t="str">
        <f t="shared" si="1"/>
        <v>Sapphire124-F</v>
      </c>
      <c r="AA114" s="18" t="str">
        <f t="shared" si="2"/>
        <v>SapphireBib Cock Long Body (Foam Flow) with Flange</v>
      </c>
      <c r="AB114" s="60">
        <f t="shared" si="3"/>
        <v>342</v>
      </c>
      <c r="AC114" s="61" t="s">
        <v>698</v>
      </c>
      <c r="AD114" s="57" t="s">
        <v>520</v>
      </c>
      <c r="AE114" s="18"/>
    </row>
    <row r="115">
      <c r="A115" s="5" t="s">
        <v>20</v>
      </c>
      <c r="B115" s="8" t="s">
        <v>126</v>
      </c>
      <c r="C115" s="21" t="s">
        <v>805</v>
      </c>
      <c r="D115" s="21" t="s">
        <v>806</v>
      </c>
      <c r="E115" s="53">
        <f t="array" ref="E115:F115">VLOOKUP(C115,'NEW PTMT'!$B$4:$E1832,{3,4},0)</f>
        <v>264</v>
      </c>
      <c r="F115" s="30">
        <v>286.0</v>
      </c>
      <c r="G115" s="30">
        <v>66.0</v>
      </c>
      <c r="H115" s="15"/>
      <c r="I115" s="18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17"/>
      <c r="Z115" s="6" t="str">
        <f t="shared" si="1"/>
        <v>Sapphire127</v>
      </c>
      <c r="AA115" s="18" t="str">
        <f t="shared" si="2"/>
        <v>SapphireBib Cock Nozzle with Flange</v>
      </c>
      <c r="AB115" s="60">
        <f t="shared" si="3"/>
        <v>286</v>
      </c>
      <c r="AC115" s="61">
        <v>127.0</v>
      </c>
      <c r="AD115" s="57" t="s">
        <v>363</v>
      </c>
      <c r="AE115" s="18"/>
    </row>
    <row r="116">
      <c r="A116" s="5" t="s">
        <v>20</v>
      </c>
      <c r="B116" s="8" t="s">
        <v>126</v>
      </c>
      <c r="C116" s="21" t="s">
        <v>807</v>
      </c>
      <c r="D116" s="21" t="s">
        <v>808</v>
      </c>
      <c r="E116" s="53">
        <f t="array" ref="E116:F116">VLOOKUP(C116,'NEW PTMT'!$B$4:$E1832,{3,4},0)</f>
        <v>526.1568</v>
      </c>
      <c r="F116" s="30">
        <v>568.0</v>
      </c>
      <c r="G116" s="30">
        <v>24.0</v>
      </c>
      <c r="H116" s="15"/>
      <c r="I116" s="18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17"/>
      <c r="Z116" s="6" t="str">
        <f t="shared" si="1"/>
        <v>Sapphire129</v>
      </c>
      <c r="AA116" s="18" t="str">
        <f t="shared" si="2"/>
        <v>Sapphire2 Way Bib Cock with Flange</v>
      </c>
      <c r="AB116" s="60">
        <f t="shared" si="3"/>
        <v>568</v>
      </c>
      <c r="AC116" s="61">
        <v>129.0</v>
      </c>
      <c r="AD116" s="57" t="s">
        <v>378</v>
      </c>
      <c r="AE116" s="18"/>
    </row>
    <row r="117">
      <c r="A117" s="5" t="s">
        <v>20</v>
      </c>
      <c r="B117" s="8" t="s">
        <v>126</v>
      </c>
      <c r="C117" s="21" t="s">
        <v>809</v>
      </c>
      <c r="D117" s="21" t="s">
        <v>810</v>
      </c>
      <c r="E117" s="53">
        <f t="array" ref="E117:F117">VLOOKUP(C117,'NEW PTMT'!$B$4:$E1832,{3,4},0)</f>
        <v>332</v>
      </c>
      <c r="F117" s="30">
        <v>358.0</v>
      </c>
      <c r="G117" s="30">
        <v>66.0</v>
      </c>
      <c r="H117" s="18"/>
      <c r="I117" s="68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17"/>
      <c r="Z117" s="6" t="str">
        <f t="shared" si="1"/>
        <v>Sapphire130</v>
      </c>
      <c r="AA117" s="18" t="str">
        <f t="shared" si="2"/>
        <v>SapphirePillar Cock with Flange</v>
      </c>
      <c r="AB117" s="60">
        <f t="shared" si="3"/>
        <v>358</v>
      </c>
      <c r="AC117" s="61">
        <v>130.0</v>
      </c>
      <c r="AD117" s="57" t="s">
        <v>416</v>
      </c>
      <c r="AE117" s="18"/>
    </row>
    <row r="118">
      <c r="A118" s="5" t="s">
        <v>20</v>
      </c>
      <c r="B118" s="8" t="s">
        <v>126</v>
      </c>
      <c r="C118" s="21" t="s">
        <v>811</v>
      </c>
      <c r="D118" s="21" t="s">
        <v>781</v>
      </c>
      <c r="E118" s="53">
        <f t="array" ref="E118:F118">VLOOKUP(C118,'NEW PTMT'!$B$4:$E1832,{3,4},0)</f>
        <v>375.5232</v>
      </c>
      <c r="F118" s="30">
        <v>406.0</v>
      </c>
      <c r="G118" s="30">
        <v>30.0</v>
      </c>
      <c r="H118" s="15"/>
      <c r="I118" s="68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17"/>
      <c r="Z118" s="6" t="str">
        <f t="shared" si="1"/>
        <v>Sapphire131</v>
      </c>
      <c r="AA118" s="18" t="str">
        <f t="shared" si="2"/>
        <v>SapphirePillar Cock Fancy with Flange</v>
      </c>
      <c r="AB118" s="60">
        <f t="shared" si="3"/>
        <v>406</v>
      </c>
      <c r="AC118" s="61">
        <v>131.0</v>
      </c>
      <c r="AD118" s="57" t="s">
        <v>701</v>
      </c>
      <c r="AE118" s="18"/>
    </row>
    <row r="119">
      <c r="A119" s="5" t="s">
        <v>20</v>
      </c>
      <c r="B119" s="8" t="s">
        <v>126</v>
      </c>
      <c r="C119" s="21" t="s">
        <v>812</v>
      </c>
      <c r="D119" s="21" t="s">
        <v>813</v>
      </c>
      <c r="E119" s="53">
        <f t="array" ref="E119:F119">VLOOKUP(C119,'NEW PTMT'!$B$4:$E1832,{3,4},0)</f>
        <v>688</v>
      </c>
      <c r="F119" s="30">
        <v>744.0</v>
      </c>
      <c r="G119" s="30">
        <v>13.0</v>
      </c>
      <c r="H119" s="15"/>
      <c r="I119" s="68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17"/>
      <c r="Z119" s="6" t="str">
        <f t="shared" si="1"/>
        <v>Sapphire132</v>
      </c>
      <c r="AA119" s="18" t="str">
        <f t="shared" si="2"/>
        <v>SapphireSink Cock (W/M) with Flange</v>
      </c>
      <c r="AB119" s="60">
        <f t="shared" si="3"/>
        <v>744</v>
      </c>
      <c r="AC119" s="61">
        <v>132.0</v>
      </c>
      <c r="AD119" s="57" t="s">
        <v>436</v>
      </c>
      <c r="AE119" s="18"/>
    </row>
    <row r="120">
      <c r="A120" s="5" t="s">
        <v>20</v>
      </c>
      <c r="B120" s="8" t="s">
        <v>126</v>
      </c>
      <c r="C120" s="21" t="s">
        <v>814</v>
      </c>
      <c r="D120" s="21" t="s">
        <v>815</v>
      </c>
      <c r="E120" s="53">
        <f t="array" ref="E120:F120">VLOOKUP(C120,'NEW PTMT'!$B$4:$E1832,{3,4},0)</f>
        <v>698.0064</v>
      </c>
      <c r="F120" s="30">
        <v>754.0</v>
      </c>
      <c r="G120" s="30">
        <v>13.0</v>
      </c>
      <c r="H120" s="15"/>
      <c r="I120" s="68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17"/>
      <c r="Z120" s="6" t="str">
        <f t="shared" si="1"/>
        <v>Sapphire133</v>
      </c>
      <c r="AA120" s="18" t="str">
        <f t="shared" si="2"/>
        <v>SapphireSink Cock Long Spout (T/M) with Flange</v>
      </c>
      <c r="AB120" s="60">
        <f t="shared" si="3"/>
        <v>754</v>
      </c>
      <c r="AC120" s="61">
        <v>133.0</v>
      </c>
      <c r="AD120" s="57" t="s">
        <v>480</v>
      </c>
      <c r="AE120" s="18"/>
    </row>
    <row r="121">
      <c r="A121" s="5" t="s">
        <v>20</v>
      </c>
      <c r="B121" s="8" t="s">
        <v>126</v>
      </c>
      <c r="C121" s="21" t="s">
        <v>816</v>
      </c>
      <c r="D121" s="21" t="s">
        <v>482</v>
      </c>
      <c r="E121" s="53">
        <f t="array" ref="E121:F121">VLOOKUP(C121,'NEW PTMT'!$B$4:$E1832,{3,4},0)</f>
        <v>1266</v>
      </c>
      <c r="F121" s="30">
        <v>1368.0</v>
      </c>
      <c r="G121" s="30">
        <v>13.0</v>
      </c>
      <c r="H121" s="1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17"/>
      <c r="Z121" s="6" t="str">
        <f t="shared" si="1"/>
        <v>Sapphire134</v>
      </c>
      <c r="AA121" s="18" t="str">
        <f t="shared" si="2"/>
        <v>SapphireSink Mixer with Flange</v>
      </c>
      <c r="AB121" s="60">
        <f t="shared" si="3"/>
        <v>1368</v>
      </c>
      <c r="AC121" s="61">
        <v>134.0</v>
      </c>
      <c r="AD121" s="62" t="s">
        <v>499</v>
      </c>
      <c r="AE121" s="18"/>
    </row>
    <row r="122">
      <c r="A122" s="5" t="s">
        <v>20</v>
      </c>
      <c r="B122" s="8" t="s">
        <v>126</v>
      </c>
      <c r="C122" s="21" t="s">
        <v>817</v>
      </c>
      <c r="D122" s="21" t="s">
        <v>502</v>
      </c>
      <c r="E122" s="53">
        <f t="array" ref="E122:F122">VLOOKUP(C122,'NEW PTMT'!$B$4:$E1832,{3,4},0)</f>
        <v>1266</v>
      </c>
      <c r="F122" s="30">
        <v>1368.0</v>
      </c>
      <c r="G122" s="30">
        <v>13.0</v>
      </c>
      <c r="H122" s="1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17"/>
      <c r="Z122" s="6" t="str">
        <f t="shared" si="1"/>
        <v>Sapphire135</v>
      </c>
      <c r="AA122" s="18" t="str">
        <f t="shared" si="2"/>
        <v>SapphireWall Mixer with Flange</v>
      </c>
      <c r="AB122" s="60">
        <f t="shared" si="3"/>
        <v>1368</v>
      </c>
      <c r="AC122" s="61">
        <v>135.0</v>
      </c>
      <c r="AD122" s="57" t="s">
        <v>519</v>
      </c>
      <c r="AE122" s="18"/>
    </row>
    <row r="123">
      <c r="A123" s="5" t="s">
        <v>20</v>
      </c>
      <c r="B123" s="8" t="s">
        <v>126</v>
      </c>
      <c r="C123" s="8" t="s">
        <v>818</v>
      </c>
      <c r="D123" s="8" t="s">
        <v>523</v>
      </c>
      <c r="E123" s="53">
        <f t="array" ref="E123:F123">VLOOKUP(C123,'NEW PTMT'!$B$4:$E1832,{3,4},0)</f>
        <v>1933.92</v>
      </c>
      <c r="F123" s="30">
        <v>2088.0</v>
      </c>
      <c r="G123" s="30"/>
      <c r="H123" s="1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17"/>
      <c r="Z123" s="6" t="str">
        <f t="shared" si="1"/>
        <v>Sapphire1374</v>
      </c>
      <c r="AA123" s="18" t="str">
        <f t="shared" si="2"/>
        <v>Sapphire2 in 1 Telephonic Wall Mixer</v>
      </c>
      <c r="AB123" s="60">
        <f t="shared" si="3"/>
        <v>2088</v>
      </c>
      <c r="AC123" s="61">
        <v>1374.0</v>
      </c>
      <c r="AD123" s="57" t="s">
        <v>540</v>
      </c>
      <c r="AE123" s="18"/>
    </row>
    <row r="124">
      <c r="A124" s="5" t="s">
        <v>20</v>
      </c>
      <c r="B124" s="8" t="s">
        <v>126</v>
      </c>
      <c r="C124" s="21" t="s">
        <v>819</v>
      </c>
      <c r="D124" s="21" t="s">
        <v>820</v>
      </c>
      <c r="E124" s="53">
        <f t="array" ref="E124:F124">VLOOKUP(C124,'NEW PTMT'!$B$4:$E1832,{3,4},0)</f>
        <v>1627.92</v>
      </c>
      <c r="F124" s="30">
        <v>1758.0</v>
      </c>
      <c r="G124" s="30">
        <v>6.0</v>
      </c>
      <c r="H124" s="1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17"/>
      <c r="Z124" s="6" t="str">
        <f t="shared" si="1"/>
        <v>Sapphire1375</v>
      </c>
      <c r="AA124" s="18" t="str">
        <f t="shared" si="2"/>
        <v>SapphireWall Mixer L Bend with Flange</v>
      </c>
      <c r="AB124" s="60">
        <f t="shared" si="3"/>
        <v>1758</v>
      </c>
      <c r="AC124" s="64" t="s">
        <v>560</v>
      </c>
      <c r="AD124" s="57" t="s">
        <v>561</v>
      </c>
      <c r="AE124" s="18"/>
    </row>
    <row r="125">
      <c r="A125" s="5" t="s">
        <v>20</v>
      </c>
      <c r="B125" s="8" t="s">
        <v>126</v>
      </c>
      <c r="C125" s="21" t="s">
        <v>821</v>
      </c>
      <c r="D125" s="21" t="s">
        <v>719</v>
      </c>
      <c r="E125" s="53">
        <f t="array" ref="E125:F125">VLOOKUP(C125,'NEW PTMT'!$B$4:$E1832,{3,4},0)</f>
        <v>232</v>
      </c>
      <c r="F125" s="30">
        <v>252.0</v>
      </c>
      <c r="G125" s="30">
        <v>66.0</v>
      </c>
      <c r="H125" s="1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17"/>
      <c r="Z125" s="6" t="str">
        <f t="shared" si="1"/>
        <v>Sapphire141</v>
      </c>
      <c r="AA125" s="18" t="str">
        <f t="shared" si="2"/>
        <v>SapphireStop Cock 15mm (M/T)</v>
      </c>
      <c r="AB125" s="60">
        <f t="shared" si="3"/>
        <v>252</v>
      </c>
      <c r="AC125" s="61">
        <v>141.0</v>
      </c>
      <c r="AD125" s="57" t="s">
        <v>719</v>
      </c>
      <c r="AE125" s="18"/>
    </row>
    <row r="126">
      <c r="A126" s="5" t="s">
        <v>20</v>
      </c>
      <c r="B126" s="8" t="s">
        <v>126</v>
      </c>
      <c r="C126" s="21" t="s">
        <v>822</v>
      </c>
      <c r="D126" s="21" t="s">
        <v>823</v>
      </c>
      <c r="E126" s="53">
        <f t="array" ref="E126:F126">VLOOKUP(C126,'NEW PTMT'!$B$4:$E1832,{3,4},0)</f>
        <v>264</v>
      </c>
      <c r="F126" s="30">
        <v>286.0</v>
      </c>
      <c r="G126" s="30">
        <v>66.0</v>
      </c>
      <c r="H126" s="1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17"/>
      <c r="Z126" s="6" t="str">
        <f t="shared" si="1"/>
        <v>Sapphire141-N</v>
      </c>
      <c r="AA126" s="18" t="str">
        <f t="shared" si="2"/>
        <v>SapphireStop Cock 15mm with Nozzle</v>
      </c>
      <c r="AB126" s="60">
        <f t="shared" si="3"/>
        <v>286</v>
      </c>
      <c r="AC126" s="61" t="s">
        <v>824</v>
      </c>
      <c r="AD126" s="57" t="s">
        <v>721</v>
      </c>
      <c r="AE126" s="18"/>
    </row>
    <row r="127">
      <c r="A127" s="5" t="s">
        <v>20</v>
      </c>
      <c r="B127" s="8" t="s">
        <v>126</v>
      </c>
      <c r="C127" s="21" t="s">
        <v>825</v>
      </c>
      <c r="D127" s="21" t="s">
        <v>717</v>
      </c>
      <c r="E127" s="53">
        <f t="array" ref="E127:F127">VLOOKUP(C127,'NEW PTMT'!$B$4:$E1832,{3,4},0)</f>
        <v>242</v>
      </c>
      <c r="F127" s="30">
        <v>262.0</v>
      </c>
      <c r="G127" s="30">
        <v>66.0</v>
      </c>
      <c r="H127" s="18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17"/>
      <c r="Z127" s="6" t="str">
        <f t="shared" si="1"/>
        <v>Sapphire142</v>
      </c>
      <c r="AA127" s="18" t="str">
        <f t="shared" si="2"/>
        <v>SapphireStop Cock 15mm (F/T)</v>
      </c>
      <c r="AB127" s="60">
        <f t="shared" si="3"/>
        <v>262</v>
      </c>
      <c r="AC127" s="61">
        <v>142.0</v>
      </c>
      <c r="AD127" s="57" t="s">
        <v>717</v>
      </c>
      <c r="AE127" s="18"/>
    </row>
    <row r="128">
      <c r="A128" s="5" t="s">
        <v>20</v>
      </c>
      <c r="B128" s="8" t="s">
        <v>126</v>
      </c>
      <c r="C128" s="21" t="s">
        <v>826</v>
      </c>
      <c r="D128" s="21" t="s">
        <v>723</v>
      </c>
      <c r="E128" s="53">
        <f t="array" ref="E128:F128">VLOOKUP(C128,'NEW PTMT'!$B$4:$E1832,{3,4},0)</f>
        <v>252.4704</v>
      </c>
      <c r="F128" s="30">
        <v>274.0</v>
      </c>
      <c r="G128" s="30">
        <v>66.0</v>
      </c>
      <c r="H128" s="15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17"/>
      <c r="Z128" s="6" t="str">
        <f t="shared" si="1"/>
        <v>Sapphire143</v>
      </c>
      <c r="AA128" s="18" t="str">
        <f t="shared" si="2"/>
        <v>SapphireStop Cock 20mm (F/T)</v>
      </c>
      <c r="AB128" s="60">
        <f t="shared" si="3"/>
        <v>274</v>
      </c>
      <c r="AC128" s="61">
        <v>143.0</v>
      </c>
      <c r="AD128" s="57" t="s">
        <v>723</v>
      </c>
      <c r="AE128" s="18"/>
    </row>
    <row r="129">
      <c r="A129" s="5" t="s">
        <v>20</v>
      </c>
      <c r="B129" s="8" t="s">
        <v>126</v>
      </c>
      <c r="C129" s="21" t="s">
        <v>827</v>
      </c>
      <c r="D129" s="21" t="s">
        <v>395</v>
      </c>
      <c r="E129" s="53">
        <f t="array" ref="E129:F129">VLOOKUP(C129,'NEW PTMT'!$B$4:$E1832,{3,4},0)</f>
        <v>226</v>
      </c>
      <c r="F129" s="30">
        <v>244.0</v>
      </c>
      <c r="G129" s="30">
        <v>90.0</v>
      </c>
      <c r="H129" s="18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17"/>
      <c r="Z129" s="6" t="str">
        <f t="shared" si="1"/>
        <v>Sapphire144</v>
      </c>
      <c r="AA129" s="18" t="str">
        <f t="shared" si="2"/>
        <v>SapphireAngle Cock with Flange</v>
      </c>
      <c r="AB129" s="60">
        <f t="shared" si="3"/>
        <v>244</v>
      </c>
      <c r="AC129" s="61">
        <v>144.0</v>
      </c>
      <c r="AD129" s="57" t="s">
        <v>395</v>
      </c>
      <c r="AE129" s="18"/>
    </row>
    <row r="130">
      <c r="A130" s="5" t="s">
        <v>20</v>
      </c>
      <c r="B130" s="8" t="s">
        <v>126</v>
      </c>
      <c r="C130" s="21" t="s">
        <v>828</v>
      </c>
      <c r="D130" s="21" t="s">
        <v>829</v>
      </c>
      <c r="E130" s="53">
        <f t="array" ref="E130:F130">VLOOKUP(C130,'NEW PTMT'!$B$4:$E1832,{3,4},0)</f>
        <v>497.76</v>
      </c>
      <c r="F130" s="30">
        <v>538.0</v>
      </c>
      <c r="G130" s="30">
        <v>35.0</v>
      </c>
      <c r="H130" s="18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17"/>
      <c r="Z130" s="6" t="str">
        <f t="shared" si="1"/>
        <v>Sapphire145</v>
      </c>
      <c r="AA130" s="18" t="str">
        <f t="shared" si="2"/>
        <v>Sapphire2 Way Angle Cock with Flange</v>
      </c>
      <c r="AB130" s="60">
        <f t="shared" si="3"/>
        <v>538</v>
      </c>
      <c r="AC130" s="61">
        <v>145.0</v>
      </c>
      <c r="AD130" s="57" t="s">
        <v>359</v>
      </c>
      <c r="AE130" s="18"/>
    </row>
    <row r="131">
      <c r="A131" s="5" t="s">
        <v>20</v>
      </c>
      <c r="B131" s="8" t="s">
        <v>126</v>
      </c>
      <c r="C131" s="21" t="s">
        <v>830</v>
      </c>
      <c r="D131" s="21" t="s">
        <v>663</v>
      </c>
      <c r="E131" s="53">
        <f t="array" ref="E131:F131">VLOOKUP(C131,'NEW PTMT'!$B$4:$E1832,{3,4},0)</f>
        <v>382</v>
      </c>
      <c r="F131" s="30">
        <v>414.0</v>
      </c>
      <c r="G131" s="30">
        <v>64.0</v>
      </c>
      <c r="H131" s="1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17"/>
      <c r="Z131" s="6" t="str">
        <f t="shared" si="1"/>
        <v>Sapphire146</v>
      </c>
      <c r="AA131" s="18" t="str">
        <f t="shared" si="2"/>
        <v>SapphireConcealed Stop Cock 15mm</v>
      </c>
      <c r="AB131" s="60">
        <f t="shared" si="3"/>
        <v>414</v>
      </c>
      <c r="AC131" s="61">
        <v>146.0</v>
      </c>
      <c r="AD131" s="57" t="s">
        <v>663</v>
      </c>
      <c r="AE131" s="18"/>
    </row>
    <row r="132">
      <c r="A132" s="5" t="s">
        <v>20</v>
      </c>
      <c r="B132" s="8" t="s">
        <v>126</v>
      </c>
      <c r="C132" s="21" t="s">
        <v>831</v>
      </c>
      <c r="D132" s="21" t="s">
        <v>690</v>
      </c>
      <c r="E132" s="53">
        <f t="array" ref="E132:F132">VLOOKUP(C132,'NEW PTMT'!$B$4:$E1832,{3,4},0)</f>
        <v>392</v>
      </c>
      <c r="F132" s="30">
        <v>424.0</v>
      </c>
      <c r="G132" s="30">
        <v>64.0</v>
      </c>
      <c r="H132" s="15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17"/>
      <c r="Z132" s="6" t="str">
        <f t="shared" si="1"/>
        <v>Sapphire148</v>
      </c>
      <c r="AA132" s="18" t="str">
        <f t="shared" si="2"/>
        <v>SapphireConcealed Stop Cock 20mm</v>
      </c>
      <c r="AB132" s="60">
        <f t="shared" si="3"/>
        <v>424</v>
      </c>
      <c r="AC132" s="61">
        <v>148.0</v>
      </c>
      <c r="AD132" s="57" t="s">
        <v>690</v>
      </c>
      <c r="AE132" s="18"/>
    </row>
    <row r="133">
      <c r="A133" s="5" t="s">
        <v>20</v>
      </c>
      <c r="B133" s="8" t="s">
        <v>126</v>
      </c>
      <c r="C133" s="21" t="s">
        <v>839</v>
      </c>
      <c r="D133" s="21" t="s">
        <v>710</v>
      </c>
      <c r="E133" s="53">
        <f t="array" ref="E133:F133">VLOOKUP(C133,'NEW PTMT'!$B$4:$E1832,{3,4},0)</f>
        <v>648</v>
      </c>
      <c r="F133" s="30">
        <v>698.0</v>
      </c>
      <c r="G133" s="30">
        <v>30.0</v>
      </c>
      <c r="H133" s="18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17"/>
      <c r="Z133" s="6" t="str">
        <f t="shared" si="1"/>
        <v>Sapphire147</v>
      </c>
      <c r="AA133" s="18" t="str">
        <f t="shared" si="2"/>
        <v>SapphirePillar Cock Swan Neck (T/M) with Flange</v>
      </c>
      <c r="AB133" s="60">
        <f t="shared" si="3"/>
        <v>698</v>
      </c>
      <c r="AC133" s="61">
        <v>147.0</v>
      </c>
      <c r="AD133" s="57" t="s">
        <v>616</v>
      </c>
      <c r="AE133" s="18"/>
    </row>
    <row r="134">
      <c r="A134" s="5" t="s">
        <v>20</v>
      </c>
      <c r="B134" s="8" t="s">
        <v>126</v>
      </c>
      <c r="C134" s="21" t="s">
        <v>841</v>
      </c>
      <c r="D134" s="21" t="s">
        <v>601</v>
      </c>
      <c r="E134" s="53">
        <f t="array" ref="E134:F134">VLOOKUP(C134,'NEW PTMT'!$B$4:$E1832,{3,4},0)</f>
        <v>658</v>
      </c>
      <c r="F134" s="30">
        <v>712.0</v>
      </c>
      <c r="G134" s="30">
        <v>30.0</v>
      </c>
      <c r="H134" s="18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17"/>
      <c r="Z134" s="6" t="str">
        <f t="shared" si="1"/>
        <v>Sapphire147-Q</v>
      </c>
      <c r="AA134" s="18" t="str">
        <f t="shared" si="2"/>
        <v>SapphirePillar Cock Swan Neck (T/M) Square Spout with Flange</v>
      </c>
      <c r="AB134" s="60">
        <f t="shared" si="3"/>
        <v>712</v>
      </c>
      <c r="AC134" s="61" t="s">
        <v>737</v>
      </c>
      <c r="AD134" s="57" t="s">
        <v>703</v>
      </c>
      <c r="AE134" s="18"/>
    </row>
    <row r="135">
      <c r="A135" s="5" t="s">
        <v>20</v>
      </c>
      <c r="B135" s="8" t="s">
        <v>126</v>
      </c>
      <c r="C135" s="21" t="s">
        <v>842</v>
      </c>
      <c r="D135" s="21" t="s">
        <v>731</v>
      </c>
      <c r="E135" s="53">
        <f t="array" ref="E135:F135">VLOOKUP(C135,'NEW PTMT'!$B$4:$E1832,{3,4},0)</f>
        <v>375.5232</v>
      </c>
      <c r="F135" s="30">
        <v>406.0</v>
      </c>
      <c r="G135" s="30">
        <v>66.0</v>
      </c>
      <c r="H135" s="1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17"/>
      <c r="Z135" s="6" t="str">
        <f t="shared" si="1"/>
        <v>Sapphire149</v>
      </c>
      <c r="AA135" s="18" t="str">
        <f t="shared" si="2"/>
        <v>SapphireWashing Machine Tap with Flange</v>
      </c>
      <c r="AB135" s="60">
        <f t="shared" si="3"/>
        <v>406</v>
      </c>
      <c r="AC135" s="61">
        <v>149.0</v>
      </c>
      <c r="AD135" s="62" t="s">
        <v>731</v>
      </c>
      <c r="AE135" s="18"/>
    </row>
    <row r="136">
      <c r="A136" s="5" t="s">
        <v>20</v>
      </c>
      <c r="B136" s="8" t="s">
        <v>126</v>
      </c>
      <c r="C136" s="21" t="s">
        <v>843</v>
      </c>
      <c r="D136" s="21" t="s">
        <v>712</v>
      </c>
      <c r="E136" s="53">
        <f t="array" ref="E136:F136">VLOOKUP(C136,'NEW PTMT'!$B$4:$E1832,{3,4},0)</f>
        <v>1498</v>
      </c>
      <c r="F136" s="30">
        <v>1618.0</v>
      </c>
      <c r="G136" s="30">
        <v>14.0</v>
      </c>
      <c r="H136" s="18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17"/>
      <c r="Z136" s="6" t="str">
        <f t="shared" si="1"/>
        <v>Sapphire150</v>
      </c>
      <c r="AA136" s="18" t="str">
        <f t="shared" si="2"/>
        <v>SapphireCenter Hole Basin Mixer</v>
      </c>
      <c r="AB136" s="60">
        <f t="shared" si="3"/>
        <v>1618</v>
      </c>
      <c r="AC136" s="61">
        <v>150.0</v>
      </c>
      <c r="AD136" s="57" t="s">
        <v>650</v>
      </c>
      <c r="AE136" s="18"/>
    </row>
    <row r="137">
      <c r="A137" s="5" t="s">
        <v>20</v>
      </c>
      <c r="B137" s="8" t="s">
        <v>50</v>
      </c>
      <c r="C137" s="21" t="s">
        <v>844</v>
      </c>
      <c r="D137" s="21" t="s">
        <v>795</v>
      </c>
      <c r="E137" s="53">
        <f t="array" ref="E137:F137">VLOOKUP(C137,'NEW PTMT'!$B$4:$E1832,{3,4},0)</f>
        <v>242</v>
      </c>
      <c r="F137" s="30">
        <v>262.0</v>
      </c>
      <c r="G137" s="30">
        <v>66.0</v>
      </c>
      <c r="H137" s="18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17"/>
      <c r="Z137" s="6" t="str">
        <f t="shared" si="1"/>
        <v>Black Sapphire121</v>
      </c>
      <c r="AA137" s="18" t="str">
        <f t="shared" si="2"/>
        <v>Black SapphireBib Cock with Flange</v>
      </c>
      <c r="AB137" s="60">
        <f t="shared" si="3"/>
        <v>262</v>
      </c>
      <c r="AC137" s="61">
        <v>121.0</v>
      </c>
      <c r="AD137" s="57" t="s">
        <v>636</v>
      </c>
      <c r="AE137" s="18"/>
    </row>
    <row r="138">
      <c r="A138" s="5" t="s">
        <v>20</v>
      </c>
      <c r="B138" s="8" t="s">
        <v>50</v>
      </c>
      <c r="C138" s="8" t="s">
        <v>845</v>
      </c>
      <c r="D138" s="8" t="s">
        <v>748</v>
      </c>
      <c r="E138" s="53">
        <f t="array" ref="E138:F138">VLOOKUP(C138,'NEW PTMT'!$B$4:$E1832,{3,4},0)</f>
        <v>254</v>
      </c>
      <c r="F138" s="30">
        <v>274.0</v>
      </c>
      <c r="G138" s="30"/>
      <c r="H138" s="18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17"/>
      <c r="Z138" s="6" t="str">
        <f t="shared" si="1"/>
        <v>Black Sapphire121-F</v>
      </c>
      <c r="AA138" s="18" t="str">
        <f t="shared" si="2"/>
        <v>Black SapphireBib Cock (Foam Flow) with Flange</v>
      </c>
      <c r="AB138" s="60">
        <f t="shared" si="3"/>
        <v>274</v>
      </c>
      <c r="AC138" s="61" t="s">
        <v>208</v>
      </c>
      <c r="AD138" s="57" t="s">
        <v>417</v>
      </c>
      <c r="AE138" s="18"/>
    </row>
    <row r="139">
      <c r="A139" s="5" t="s">
        <v>20</v>
      </c>
      <c r="B139" s="8" t="s">
        <v>50</v>
      </c>
      <c r="C139" s="21" t="s">
        <v>848</v>
      </c>
      <c r="D139" s="21" t="s">
        <v>798</v>
      </c>
      <c r="E139" s="53">
        <f t="array" ref="E139:F139">VLOOKUP(C139,'NEW PTMT'!$B$4:$E1832,{3,4},0)</f>
        <v>273.6864</v>
      </c>
      <c r="F139" s="30">
        <v>296.0</v>
      </c>
      <c r="G139" s="30">
        <v>46.0</v>
      </c>
      <c r="H139" s="1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17"/>
      <c r="Z139" s="6" t="str">
        <f t="shared" si="1"/>
        <v>Black Sapphire123</v>
      </c>
      <c r="AA139" s="18" t="str">
        <f t="shared" si="2"/>
        <v>Black SapphireBib Cock Fancy with Flange</v>
      </c>
      <c r="AB139" s="60">
        <f t="shared" si="3"/>
        <v>296</v>
      </c>
      <c r="AC139" s="61">
        <v>123.0</v>
      </c>
      <c r="AD139" s="57" t="s">
        <v>333</v>
      </c>
      <c r="AE139" s="18"/>
    </row>
    <row r="140">
      <c r="A140" s="5" t="s">
        <v>20</v>
      </c>
      <c r="B140" s="8" t="s">
        <v>50</v>
      </c>
      <c r="C140" s="21" t="s">
        <v>851</v>
      </c>
      <c r="D140" s="21" t="s">
        <v>306</v>
      </c>
      <c r="E140" s="53">
        <f t="array" ref="E140:F140">VLOOKUP(C140,'NEW PTMT'!$B$4:$E1832,{3,4},0)</f>
        <v>281.52</v>
      </c>
      <c r="F140" s="30">
        <v>304.0</v>
      </c>
      <c r="G140" s="30">
        <v>46.0</v>
      </c>
      <c r="H140" s="15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17"/>
      <c r="Z140" s="6" t="str">
        <f t="shared" si="1"/>
        <v>Black Sapphire123-F</v>
      </c>
      <c r="AA140" s="18" t="str">
        <f t="shared" si="2"/>
        <v>Black SapphireBib Cock Fancy (Foam Flow) with Flange</v>
      </c>
      <c r="AB140" s="60">
        <f t="shared" si="3"/>
        <v>304</v>
      </c>
      <c r="AC140" s="61" t="s">
        <v>471</v>
      </c>
      <c r="AD140" s="57" t="s">
        <v>437</v>
      </c>
      <c r="AE140" s="18"/>
    </row>
    <row r="141">
      <c r="A141" s="5" t="s">
        <v>20</v>
      </c>
      <c r="B141" s="8" t="s">
        <v>50</v>
      </c>
      <c r="C141" s="21" t="s">
        <v>855</v>
      </c>
      <c r="D141" s="21" t="s">
        <v>801</v>
      </c>
      <c r="E141" s="53">
        <f t="array" ref="E141:F141">VLOOKUP(C141,'NEW PTMT'!$B$4:$E1832,{3,4},0)</f>
        <v>332</v>
      </c>
      <c r="F141" s="30">
        <v>358.0</v>
      </c>
      <c r="G141" s="30">
        <v>46.0</v>
      </c>
      <c r="H141" s="18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17"/>
      <c r="Z141" s="6" t="str">
        <f t="shared" si="1"/>
        <v>Black Sapphire123-N</v>
      </c>
      <c r="AA141" s="18" t="str">
        <f t="shared" si="2"/>
        <v>Black SapphireBib Cock Fancy with New Flange &amp; Nipple</v>
      </c>
      <c r="AB141" s="60">
        <f t="shared" si="3"/>
        <v>358</v>
      </c>
      <c r="AC141" s="61" t="s">
        <v>573</v>
      </c>
      <c r="AD141" s="57" t="s">
        <v>500</v>
      </c>
      <c r="AE141" s="18"/>
    </row>
    <row r="142">
      <c r="A142" s="5" t="s">
        <v>20</v>
      </c>
      <c r="B142" s="8" t="s">
        <v>50</v>
      </c>
      <c r="C142" s="21" t="s">
        <v>856</v>
      </c>
      <c r="D142" s="21" t="s">
        <v>803</v>
      </c>
      <c r="E142" s="53">
        <f t="array" ref="E142:F142">VLOOKUP(C142,'NEW PTMT'!$B$4:$E1832,{3,4},0)</f>
        <v>313.9968</v>
      </c>
      <c r="F142" s="30">
        <v>338.0</v>
      </c>
      <c r="G142" s="30">
        <v>46.0</v>
      </c>
      <c r="H142" s="15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17"/>
      <c r="Z142" s="6" t="str">
        <f t="shared" si="1"/>
        <v>Black Sapphire124</v>
      </c>
      <c r="AA142" s="18" t="str">
        <f t="shared" si="2"/>
        <v>Black SapphireBib Cock Long Body with Flange</v>
      </c>
      <c r="AB142" s="60">
        <f t="shared" si="3"/>
        <v>338</v>
      </c>
      <c r="AC142" s="61">
        <v>124.0</v>
      </c>
      <c r="AD142" s="57" t="s">
        <v>358</v>
      </c>
      <c r="AE142" s="18"/>
    </row>
    <row r="143">
      <c r="A143" s="5" t="s">
        <v>20</v>
      </c>
      <c r="B143" s="8" t="s">
        <v>50</v>
      </c>
      <c r="C143" s="21" t="s">
        <v>857</v>
      </c>
      <c r="D143" s="21" t="s">
        <v>339</v>
      </c>
      <c r="E143" s="53">
        <f t="array" ref="E143:F143">VLOOKUP(C143,'NEW PTMT'!$B$4:$E1832,{3,4},0)</f>
        <v>328</v>
      </c>
      <c r="F143" s="30">
        <v>354.0</v>
      </c>
      <c r="G143" s="30">
        <v>46.0</v>
      </c>
      <c r="H143" s="1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17"/>
      <c r="Z143" s="6" t="str">
        <f t="shared" si="1"/>
        <v>Black Sapphire124-F</v>
      </c>
      <c r="AA143" s="18" t="str">
        <f t="shared" si="2"/>
        <v>Black SapphireBib Cock Long Body (Foam Flow) with Flange</v>
      </c>
      <c r="AB143" s="60">
        <f t="shared" si="3"/>
        <v>354</v>
      </c>
      <c r="AC143" s="61" t="s">
        <v>698</v>
      </c>
      <c r="AD143" s="57" t="s">
        <v>520</v>
      </c>
      <c r="AE143" s="18"/>
    </row>
    <row r="144">
      <c r="A144" s="5" t="s">
        <v>20</v>
      </c>
      <c r="B144" s="8" t="s">
        <v>50</v>
      </c>
      <c r="C144" s="21" t="s">
        <v>858</v>
      </c>
      <c r="D144" s="21" t="s">
        <v>806</v>
      </c>
      <c r="E144" s="53">
        <f t="array" ref="E144:F144">VLOOKUP(C144,'NEW PTMT'!$B$4:$E1832,{3,4},0)</f>
        <v>277.9296</v>
      </c>
      <c r="F144" s="30">
        <v>298.0</v>
      </c>
      <c r="G144" s="30">
        <v>66.0</v>
      </c>
      <c r="H144" s="15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17"/>
      <c r="Z144" s="6" t="str">
        <f t="shared" si="1"/>
        <v>Black Sapphire127</v>
      </c>
      <c r="AA144" s="18" t="str">
        <f t="shared" si="2"/>
        <v>Black SapphireBib Cock Nozzle with Flange</v>
      </c>
      <c r="AB144" s="60">
        <f t="shared" si="3"/>
        <v>298</v>
      </c>
      <c r="AC144" s="61">
        <v>127.0</v>
      </c>
      <c r="AD144" s="57" t="s">
        <v>363</v>
      </c>
      <c r="AE144" s="18"/>
    </row>
    <row r="145">
      <c r="A145" s="5" t="s">
        <v>20</v>
      </c>
      <c r="B145" s="8" t="s">
        <v>50</v>
      </c>
      <c r="C145" s="21" t="s">
        <v>859</v>
      </c>
      <c r="D145" s="21" t="s">
        <v>808</v>
      </c>
      <c r="E145" s="53">
        <f t="array" ref="E145:F145">VLOOKUP(C145,'NEW PTMT'!$B$4:$E1832,{3,4},0)</f>
        <v>552</v>
      </c>
      <c r="F145" s="30">
        <v>596.0</v>
      </c>
      <c r="G145" s="30">
        <v>24.0</v>
      </c>
      <c r="H145" s="1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17"/>
      <c r="Z145" s="6" t="str">
        <f t="shared" si="1"/>
        <v>Black Sapphire129</v>
      </c>
      <c r="AA145" s="18" t="str">
        <f t="shared" si="2"/>
        <v>Black Sapphire2 Way Bib Cock with Flange</v>
      </c>
      <c r="AB145" s="60">
        <f t="shared" si="3"/>
        <v>596</v>
      </c>
      <c r="AC145" s="61">
        <v>129.0</v>
      </c>
      <c r="AD145" s="57" t="s">
        <v>378</v>
      </c>
      <c r="AE145" s="18"/>
    </row>
    <row r="146">
      <c r="A146" s="5" t="s">
        <v>20</v>
      </c>
      <c r="B146" s="8" t="s">
        <v>50</v>
      </c>
      <c r="C146" s="21" t="s">
        <v>860</v>
      </c>
      <c r="D146" s="21" t="s">
        <v>810</v>
      </c>
      <c r="E146" s="53">
        <f t="array" ref="E146:F146">VLOOKUP(C146,'NEW PTMT'!$B$4:$E1832,{3,4},0)</f>
        <v>352</v>
      </c>
      <c r="F146" s="30">
        <v>378.0</v>
      </c>
      <c r="G146" s="30">
        <v>66.0</v>
      </c>
      <c r="H146" s="15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17"/>
      <c r="Z146" s="6" t="str">
        <f t="shared" si="1"/>
        <v>Black Sapphire130</v>
      </c>
      <c r="AA146" s="18" t="str">
        <f t="shared" si="2"/>
        <v>Black SapphirePillar Cock with Flange</v>
      </c>
      <c r="AB146" s="60">
        <f t="shared" si="3"/>
        <v>378</v>
      </c>
      <c r="AC146" s="61">
        <v>130.0</v>
      </c>
      <c r="AD146" s="57" t="s">
        <v>416</v>
      </c>
      <c r="AE146" s="18"/>
    </row>
    <row r="147">
      <c r="A147" s="5" t="s">
        <v>20</v>
      </c>
      <c r="B147" s="8" t="s">
        <v>50</v>
      </c>
      <c r="C147" s="21" t="s">
        <v>861</v>
      </c>
      <c r="D147" s="21" t="s">
        <v>781</v>
      </c>
      <c r="E147" s="53">
        <f t="array" ref="E147:F147">VLOOKUP(C147,'NEW PTMT'!$B$4:$E1832,{3,4},0)</f>
        <v>385.56</v>
      </c>
      <c r="F147" s="30">
        <v>416.0</v>
      </c>
      <c r="G147" s="30">
        <v>30.0</v>
      </c>
      <c r="H147" s="15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17"/>
      <c r="Z147" s="6" t="str">
        <f t="shared" si="1"/>
        <v>Black Sapphire131</v>
      </c>
      <c r="AA147" s="18" t="str">
        <f t="shared" si="2"/>
        <v>Black SapphirePillar Cock Fancy with Flange</v>
      </c>
      <c r="AB147" s="60">
        <f t="shared" si="3"/>
        <v>416</v>
      </c>
      <c r="AC147" s="61">
        <v>131.0</v>
      </c>
      <c r="AD147" s="57" t="s">
        <v>701</v>
      </c>
      <c r="AE147" s="18"/>
    </row>
    <row r="148">
      <c r="A148" s="5" t="s">
        <v>20</v>
      </c>
      <c r="B148" s="8" t="s">
        <v>50</v>
      </c>
      <c r="C148" s="21" t="s">
        <v>862</v>
      </c>
      <c r="D148" s="21" t="s">
        <v>813</v>
      </c>
      <c r="E148" s="53">
        <f t="array" ref="E148:F148">VLOOKUP(C148,'NEW PTMT'!$B$4:$E1832,{3,4},0)</f>
        <v>712</v>
      </c>
      <c r="F148" s="30">
        <v>768.0</v>
      </c>
      <c r="G148" s="30">
        <v>13.0</v>
      </c>
      <c r="H148" s="1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17"/>
      <c r="Z148" s="6" t="str">
        <f t="shared" si="1"/>
        <v>Black Sapphire132</v>
      </c>
      <c r="AA148" s="18" t="str">
        <f t="shared" si="2"/>
        <v>Black SapphireSink Cock (W/M) with Flange</v>
      </c>
      <c r="AB148" s="60">
        <f t="shared" si="3"/>
        <v>768</v>
      </c>
      <c r="AC148" s="61">
        <v>132.0</v>
      </c>
      <c r="AD148" s="57" t="s">
        <v>436</v>
      </c>
      <c r="AE148" s="18"/>
    </row>
    <row r="149">
      <c r="A149" s="5" t="s">
        <v>20</v>
      </c>
      <c r="B149" s="8" t="s">
        <v>50</v>
      </c>
      <c r="C149" s="21" t="s">
        <v>863</v>
      </c>
      <c r="D149" s="21" t="s">
        <v>815</v>
      </c>
      <c r="E149" s="53">
        <f t="array" ref="E149:F149">VLOOKUP(C149,'NEW PTMT'!$B$4:$E1832,{3,4},0)</f>
        <v>722</v>
      </c>
      <c r="F149" s="30">
        <v>778.0</v>
      </c>
      <c r="G149" s="30">
        <v>13.0</v>
      </c>
      <c r="H149" s="15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17"/>
      <c r="Z149" s="6" t="str">
        <f t="shared" si="1"/>
        <v>Black Sapphire133</v>
      </c>
      <c r="AA149" s="18" t="str">
        <f t="shared" si="2"/>
        <v>Black SapphireSink Cock Long Spout (T/M) with Flange</v>
      </c>
      <c r="AB149" s="60">
        <f t="shared" si="3"/>
        <v>778</v>
      </c>
      <c r="AC149" s="61">
        <v>133.0</v>
      </c>
      <c r="AD149" s="57" t="s">
        <v>480</v>
      </c>
      <c r="AE149" s="18"/>
    </row>
    <row r="150">
      <c r="A150" s="5" t="s">
        <v>20</v>
      </c>
      <c r="B150" s="8" t="s">
        <v>50</v>
      </c>
      <c r="C150" s="21" t="s">
        <v>864</v>
      </c>
      <c r="D150" s="21" t="s">
        <v>482</v>
      </c>
      <c r="E150" s="53">
        <f t="array" ref="E150:F150">VLOOKUP(C150,'NEW PTMT'!$B$4:$E1832,{3,4},0)</f>
        <v>1296</v>
      </c>
      <c r="F150" s="30">
        <v>1398.0</v>
      </c>
      <c r="G150" s="30">
        <v>13.0</v>
      </c>
      <c r="H150" s="15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17"/>
      <c r="Z150" s="6" t="str">
        <f t="shared" si="1"/>
        <v>Black Sapphire134</v>
      </c>
      <c r="AA150" s="18" t="str">
        <f t="shared" si="2"/>
        <v>Black SapphireSink Mixer with Flange</v>
      </c>
      <c r="AB150" s="60">
        <f t="shared" si="3"/>
        <v>1398</v>
      </c>
      <c r="AC150" s="61">
        <v>134.0</v>
      </c>
      <c r="AD150" s="57" t="s">
        <v>499</v>
      </c>
      <c r="AE150" s="18"/>
    </row>
    <row r="151">
      <c r="A151" s="5" t="s">
        <v>20</v>
      </c>
      <c r="B151" s="8" t="s">
        <v>50</v>
      </c>
      <c r="C151" s="21" t="s">
        <v>865</v>
      </c>
      <c r="D151" s="21" t="s">
        <v>502</v>
      </c>
      <c r="E151" s="53">
        <f t="array" ref="E151:F151">VLOOKUP(C151,'NEW PTMT'!$B$4:$E1832,{3,4},0)</f>
        <v>1296</v>
      </c>
      <c r="F151" s="30">
        <v>1398.0</v>
      </c>
      <c r="G151" s="30">
        <v>13.0</v>
      </c>
      <c r="H151" s="18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17"/>
      <c r="Z151" s="6" t="str">
        <f t="shared" si="1"/>
        <v>Black Sapphire135</v>
      </c>
      <c r="AA151" s="18" t="str">
        <f t="shared" si="2"/>
        <v>Black SapphireWall Mixer with Flange</v>
      </c>
      <c r="AB151" s="60">
        <f t="shared" si="3"/>
        <v>1398</v>
      </c>
      <c r="AC151" s="61">
        <v>135.0</v>
      </c>
      <c r="AD151" s="57" t="s">
        <v>519</v>
      </c>
      <c r="AE151" s="18"/>
    </row>
    <row r="152">
      <c r="A152" s="5" t="s">
        <v>20</v>
      </c>
      <c r="B152" s="8" t="s">
        <v>50</v>
      </c>
      <c r="C152" s="8" t="s">
        <v>866</v>
      </c>
      <c r="D152" s="8" t="s">
        <v>523</v>
      </c>
      <c r="E152" s="53">
        <f t="array" ref="E152:F152">VLOOKUP(C152,'NEW PTMT'!$B$4:$E1832,{3,4},0)</f>
        <v>1982</v>
      </c>
      <c r="F152" s="30">
        <v>2142.0</v>
      </c>
      <c r="G152" s="30"/>
      <c r="H152" s="18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17"/>
      <c r="Z152" s="6" t="str">
        <f t="shared" si="1"/>
        <v>Black Sapphire1374</v>
      </c>
      <c r="AA152" s="18" t="str">
        <f t="shared" si="2"/>
        <v>Black Sapphire2 in 1 Telephonic Wall Mixer</v>
      </c>
      <c r="AB152" s="60">
        <f t="shared" si="3"/>
        <v>2142</v>
      </c>
      <c r="AC152" s="64" t="s">
        <v>539</v>
      </c>
      <c r="AD152" s="57" t="s">
        <v>540</v>
      </c>
      <c r="AE152" s="18"/>
    </row>
    <row r="153">
      <c r="A153" s="5" t="s">
        <v>20</v>
      </c>
      <c r="B153" s="8" t="s">
        <v>50</v>
      </c>
      <c r="C153" s="21" t="s">
        <v>867</v>
      </c>
      <c r="D153" s="21" t="s">
        <v>820</v>
      </c>
      <c r="E153" s="53">
        <f t="array" ref="E153:F153">VLOOKUP(C153,'NEW PTMT'!$B$4:$E1832,{3,4},0)</f>
        <v>1674</v>
      </c>
      <c r="F153" s="30">
        <v>1808.0</v>
      </c>
      <c r="G153" s="30">
        <v>6.0</v>
      </c>
      <c r="H153" s="18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17"/>
      <c r="Z153" s="6" t="str">
        <f t="shared" si="1"/>
        <v>Black Sapphire1375</v>
      </c>
      <c r="AA153" s="18" t="str">
        <f t="shared" si="2"/>
        <v>Black SapphireWall Mixer L Bend with Flange</v>
      </c>
      <c r="AB153" s="60">
        <f t="shared" si="3"/>
        <v>1808</v>
      </c>
      <c r="AC153" s="64" t="s">
        <v>560</v>
      </c>
      <c r="AD153" s="57" t="s">
        <v>561</v>
      </c>
      <c r="AE153" s="18"/>
    </row>
    <row r="154">
      <c r="A154" s="5" t="s">
        <v>20</v>
      </c>
      <c r="B154" s="8" t="s">
        <v>50</v>
      </c>
      <c r="C154" s="21" t="s">
        <v>868</v>
      </c>
      <c r="D154" s="21" t="s">
        <v>719</v>
      </c>
      <c r="E154" s="53">
        <f t="array" ref="E154:F154">VLOOKUP(C154,'NEW PTMT'!$B$4:$E1832,{3,4},0)</f>
        <v>242</v>
      </c>
      <c r="F154" s="30">
        <v>262.0</v>
      </c>
      <c r="G154" s="30">
        <v>66.0</v>
      </c>
      <c r="H154" s="18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17"/>
      <c r="Z154" s="6" t="str">
        <f t="shared" si="1"/>
        <v>Black Sapphire141</v>
      </c>
      <c r="AA154" s="18" t="str">
        <f t="shared" si="2"/>
        <v>Black SapphireStop Cock 15mm (M/T)</v>
      </c>
      <c r="AB154" s="60">
        <f t="shared" si="3"/>
        <v>262</v>
      </c>
      <c r="AC154" s="61">
        <v>141.0</v>
      </c>
      <c r="AD154" s="57" t="s">
        <v>719</v>
      </c>
      <c r="AE154" s="18"/>
    </row>
    <row r="155">
      <c r="A155" s="5" t="s">
        <v>20</v>
      </c>
      <c r="B155" s="8" t="s">
        <v>50</v>
      </c>
      <c r="C155" s="21" t="s">
        <v>869</v>
      </c>
      <c r="D155" s="21" t="s">
        <v>823</v>
      </c>
      <c r="E155" s="53">
        <f t="array" ref="E155:F155">VLOOKUP(C155,'NEW PTMT'!$B$4:$E1832,{3,4},0)</f>
        <v>277.9296</v>
      </c>
      <c r="F155" s="30">
        <v>298.0</v>
      </c>
      <c r="G155" s="30">
        <v>66.0</v>
      </c>
      <c r="H155" s="18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17"/>
      <c r="Z155" s="6" t="str">
        <f t="shared" si="1"/>
        <v>Black Sapphire141-N</v>
      </c>
      <c r="AA155" s="18" t="str">
        <f t="shared" si="2"/>
        <v>Black SapphireStop Cock 15mm with Nozzle</v>
      </c>
      <c r="AB155" s="60">
        <f t="shared" si="3"/>
        <v>298</v>
      </c>
      <c r="AC155" s="61" t="s">
        <v>824</v>
      </c>
      <c r="AD155" s="57" t="s">
        <v>721</v>
      </c>
      <c r="AE155" s="18"/>
    </row>
    <row r="156">
      <c r="A156" s="5" t="s">
        <v>20</v>
      </c>
      <c r="B156" s="8" t="s">
        <v>50</v>
      </c>
      <c r="C156" s="21" t="s">
        <v>870</v>
      </c>
      <c r="D156" s="21" t="s">
        <v>717</v>
      </c>
      <c r="E156" s="53">
        <f t="array" ref="E156:F156">VLOOKUP(C156,'NEW PTMT'!$B$4:$E1832,{3,4},0)</f>
        <v>252.4704</v>
      </c>
      <c r="F156" s="30">
        <v>274.0</v>
      </c>
      <c r="G156" s="30">
        <v>66.0</v>
      </c>
      <c r="H156" s="18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17"/>
      <c r="Z156" s="6" t="str">
        <f t="shared" si="1"/>
        <v>Black Sapphire142</v>
      </c>
      <c r="AA156" s="18" t="str">
        <f t="shared" si="2"/>
        <v>Black SapphireStop Cock 15mm (F/T)</v>
      </c>
      <c r="AB156" s="60">
        <f t="shared" si="3"/>
        <v>274</v>
      </c>
      <c r="AC156" s="61">
        <v>142.0</v>
      </c>
      <c r="AD156" s="57" t="s">
        <v>717</v>
      </c>
      <c r="AE156" s="18"/>
    </row>
    <row r="157">
      <c r="A157" s="5" t="s">
        <v>20</v>
      </c>
      <c r="B157" s="8" t="s">
        <v>50</v>
      </c>
      <c r="C157" s="21" t="s">
        <v>871</v>
      </c>
      <c r="D157" s="21" t="s">
        <v>723</v>
      </c>
      <c r="E157" s="53">
        <f t="array" ref="E157:F157">VLOOKUP(C157,'NEW PTMT'!$B$4:$E1832,{3,4},0)</f>
        <v>264</v>
      </c>
      <c r="F157" s="30">
        <v>286.0</v>
      </c>
      <c r="G157" s="30">
        <v>66.0</v>
      </c>
      <c r="H157" s="18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17"/>
      <c r="Z157" s="6" t="str">
        <f t="shared" si="1"/>
        <v>Black Sapphire143</v>
      </c>
      <c r="AA157" s="18" t="str">
        <f t="shared" si="2"/>
        <v>Black SapphireStop Cock 20mm (F/T)</v>
      </c>
      <c r="AB157" s="60">
        <f t="shared" si="3"/>
        <v>286</v>
      </c>
      <c r="AC157" s="61">
        <v>143.0</v>
      </c>
      <c r="AD157" s="57" t="s">
        <v>723</v>
      </c>
      <c r="AE157" s="18"/>
    </row>
    <row r="158">
      <c r="A158" s="5" t="s">
        <v>20</v>
      </c>
      <c r="B158" s="8" t="s">
        <v>50</v>
      </c>
      <c r="C158" s="21" t="s">
        <v>872</v>
      </c>
      <c r="D158" s="21" t="s">
        <v>395</v>
      </c>
      <c r="E158" s="53">
        <f t="array" ref="E158:F158">VLOOKUP(C158,'NEW PTMT'!$B$4:$E1832,{3,4},0)</f>
        <v>236</v>
      </c>
      <c r="F158" s="30">
        <v>256.0</v>
      </c>
      <c r="G158" s="30">
        <v>90.0</v>
      </c>
      <c r="H158" s="18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17"/>
      <c r="Z158" s="6" t="str">
        <f t="shared" si="1"/>
        <v>Black Sapphire144</v>
      </c>
      <c r="AA158" s="18" t="str">
        <f t="shared" si="2"/>
        <v>Black SapphireAngle Cock with Flange</v>
      </c>
      <c r="AB158" s="60">
        <f t="shared" si="3"/>
        <v>256</v>
      </c>
      <c r="AC158" s="61">
        <v>144.0</v>
      </c>
      <c r="AD158" s="57" t="s">
        <v>395</v>
      </c>
      <c r="AE158" s="18"/>
    </row>
    <row r="159">
      <c r="A159" s="5" t="s">
        <v>20</v>
      </c>
      <c r="B159" s="8" t="s">
        <v>50</v>
      </c>
      <c r="C159" s="21" t="s">
        <v>873</v>
      </c>
      <c r="D159" s="21" t="s">
        <v>829</v>
      </c>
      <c r="E159" s="53">
        <f t="array" ref="E159:F159">VLOOKUP(C159,'NEW PTMT'!$B$4:$E1832,{3,4},0)</f>
        <v>517.6704</v>
      </c>
      <c r="F159" s="30">
        <v>558.0</v>
      </c>
      <c r="G159" s="30">
        <v>35.0</v>
      </c>
      <c r="H159" s="18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17"/>
      <c r="Z159" s="6" t="str">
        <f t="shared" si="1"/>
        <v>Black Sapphire145</v>
      </c>
      <c r="AA159" s="18" t="str">
        <f t="shared" si="2"/>
        <v>Black Sapphire2 Way Angle Cock with Flange</v>
      </c>
      <c r="AB159" s="60">
        <f t="shared" si="3"/>
        <v>558</v>
      </c>
      <c r="AC159" s="61">
        <v>145.0</v>
      </c>
      <c r="AD159" s="89" t="s">
        <v>359</v>
      </c>
      <c r="AE159" s="18"/>
    </row>
    <row r="160">
      <c r="A160" s="5" t="s">
        <v>20</v>
      </c>
      <c r="B160" s="8" t="s">
        <v>50</v>
      </c>
      <c r="C160" s="21" t="s">
        <v>874</v>
      </c>
      <c r="D160" s="21" t="s">
        <v>663</v>
      </c>
      <c r="E160" s="53">
        <f t="array" ref="E160:F160">VLOOKUP(C160,'NEW PTMT'!$B$4:$E1832,{3,4},0)</f>
        <v>391.68</v>
      </c>
      <c r="F160" s="30">
        <v>424.0</v>
      </c>
      <c r="G160" s="30">
        <v>64.0</v>
      </c>
      <c r="H160" s="1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17"/>
      <c r="Z160" s="6" t="str">
        <f t="shared" si="1"/>
        <v>Black Sapphire146</v>
      </c>
      <c r="AA160" s="18" t="str">
        <f t="shared" si="2"/>
        <v>Black SapphireConcealed Stop Cock 15mm</v>
      </c>
      <c r="AB160" s="60">
        <f t="shared" si="3"/>
        <v>424</v>
      </c>
      <c r="AC160" s="61">
        <v>146.0</v>
      </c>
      <c r="AD160" s="89" t="s">
        <v>663</v>
      </c>
      <c r="AE160" s="18"/>
    </row>
    <row r="161">
      <c r="A161" s="5" t="s">
        <v>20</v>
      </c>
      <c r="B161" s="8" t="s">
        <v>50</v>
      </c>
      <c r="C161" s="21" t="s">
        <v>875</v>
      </c>
      <c r="D161" s="21" t="s">
        <v>690</v>
      </c>
      <c r="E161" s="53">
        <f t="array" ref="E161:F161">VLOOKUP(C161,'NEW PTMT'!$B$4:$E1832,{3,4},0)</f>
        <v>401.88</v>
      </c>
      <c r="F161" s="30">
        <v>434.0</v>
      </c>
      <c r="G161" s="30">
        <v>64.0</v>
      </c>
      <c r="H161" s="1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17"/>
      <c r="Z161" s="6" t="str">
        <f t="shared" si="1"/>
        <v>Black Sapphire148</v>
      </c>
      <c r="AA161" s="18" t="str">
        <f t="shared" si="2"/>
        <v>Black SapphireConcealed Stop Cock 20mm</v>
      </c>
      <c r="AB161" s="60">
        <f t="shared" si="3"/>
        <v>434</v>
      </c>
      <c r="AC161" s="61">
        <v>148.0</v>
      </c>
      <c r="AD161" s="89" t="s">
        <v>690</v>
      </c>
      <c r="AE161" s="18"/>
    </row>
    <row r="162">
      <c r="A162" s="5" t="s">
        <v>20</v>
      </c>
      <c r="B162" s="8" t="s">
        <v>50</v>
      </c>
      <c r="C162" s="21" t="s">
        <v>876</v>
      </c>
      <c r="D162" s="21" t="s">
        <v>710</v>
      </c>
      <c r="E162" s="53">
        <f t="array" ref="E162:F162">VLOOKUP(C162,'NEW PTMT'!$B$4:$E1832,{3,4},0)</f>
        <v>668.304</v>
      </c>
      <c r="F162" s="30">
        <v>722.0</v>
      </c>
      <c r="G162" s="30">
        <v>30.0</v>
      </c>
      <c r="H162" s="1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17"/>
      <c r="Z162" s="6" t="str">
        <f t="shared" si="1"/>
        <v>Black Sapphire147</v>
      </c>
      <c r="AA162" s="18" t="str">
        <f t="shared" si="2"/>
        <v>Black SapphirePillar Cock Swan Neck (T/M) with Flange</v>
      </c>
      <c r="AB162" s="60">
        <f t="shared" si="3"/>
        <v>722</v>
      </c>
      <c r="AC162" s="61">
        <v>147.0</v>
      </c>
      <c r="AD162" s="57" t="s">
        <v>616</v>
      </c>
      <c r="AE162" s="18"/>
    </row>
    <row r="163">
      <c r="A163" s="5" t="s">
        <v>20</v>
      </c>
      <c r="B163" s="8" t="s">
        <v>50</v>
      </c>
      <c r="C163" s="21" t="s">
        <v>877</v>
      </c>
      <c r="D163" s="21" t="s">
        <v>601</v>
      </c>
      <c r="E163" s="53">
        <f t="array" ref="E163:F163">VLOOKUP(C163,'NEW PTMT'!$B$4:$E1832,{3,4},0)</f>
        <v>684</v>
      </c>
      <c r="F163" s="30">
        <v>738.0</v>
      </c>
      <c r="G163" s="30">
        <v>30.0</v>
      </c>
      <c r="H163" s="1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17"/>
      <c r="Z163" s="6" t="str">
        <f t="shared" si="1"/>
        <v>Black Sapphire147-Q</v>
      </c>
      <c r="AA163" s="18" t="str">
        <f t="shared" si="2"/>
        <v>Black SapphirePillar Cock Swan Neck (T/M) Square Spout with Flange</v>
      </c>
      <c r="AB163" s="60">
        <f t="shared" si="3"/>
        <v>738</v>
      </c>
      <c r="AC163" s="61" t="s">
        <v>737</v>
      </c>
      <c r="AD163" s="57" t="s">
        <v>703</v>
      </c>
      <c r="AE163" s="18"/>
    </row>
    <row r="164">
      <c r="A164" s="5" t="s">
        <v>20</v>
      </c>
      <c r="B164" s="8" t="s">
        <v>50</v>
      </c>
      <c r="C164" s="21" t="s">
        <v>884</v>
      </c>
      <c r="D164" s="21" t="s">
        <v>731</v>
      </c>
      <c r="E164" s="53">
        <f t="array" ref="E164:F164">VLOOKUP(C164,'NEW PTMT'!$B$4:$E1832,{3,4},0)</f>
        <v>395.76</v>
      </c>
      <c r="F164" s="30">
        <v>428.0</v>
      </c>
      <c r="G164" s="30">
        <v>66.0</v>
      </c>
      <c r="H164" s="1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17"/>
      <c r="Z164" s="6" t="str">
        <f t="shared" si="1"/>
        <v>Black Sapphire149</v>
      </c>
      <c r="AA164" s="18" t="str">
        <f t="shared" si="2"/>
        <v>Black SapphireWashing Machine Tap with Flange</v>
      </c>
      <c r="AB164" s="60">
        <f t="shared" si="3"/>
        <v>428</v>
      </c>
      <c r="AC164" s="61">
        <v>149.0</v>
      </c>
      <c r="AD164" s="62" t="s">
        <v>731</v>
      </c>
      <c r="AE164" s="18"/>
    </row>
    <row r="165">
      <c r="A165" s="5" t="s">
        <v>20</v>
      </c>
      <c r="B165" s="8" t="s">
        <v>50</v>
      </c>
      <c r="C165" s="21" t="s">
        <v>885</v>
      </c>
      <c r="D165" s="21" t="s">
        <v>712</v>
      </c>
      <c r="E165" s="53">
        <f t="array" ref="E165:F165">VLOOKUP(C165,'NEW PTMT'!$B$4:$E1832,{3,4},0)</f>
        <v>1550.4</v>
      </c>
      <c r="F165" s="30">
        <v>1674.0</v>
      </c>
      <c r="G165" s="30">
        <v>14.0</v>
      </c>
      <c r="H165" s="1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17"/>
      <c r="Z165" s="6" t="str">
        <f t="shared" si="1"/>
        <v>Black Sapphire150</v>
      </c>
      <c r="AA165" s="18" t="str">
        <f t="shared" si="2"/>
        <v>Black SapphireCenter Hole Basin Mixer</v>
      </c>
      <c r="AB165" s="60">
        <f t="shared" si="3"/>
        <v>1674</v>
      </c>
      <c r="AC165" s="61">
        <v>150.0</v>
      </c>
      <c r="AD165" s="57" t="s">
        <v>650</v>
      </c>
      <c r="AE165" s="18"/>
    </row>
    <row r="166">
      <c r="A166" s="5" t="s">
        <v>20</v>
      </c>
      <c r="B166" s="8" t="s">
        <v>64</v>
      </c>
      <c r="C166" s="21" t="s">
        <v>886</v>
      </c>
      <c r="D166" s="21" t="s">
        <v>887</v>
      </c>
      <c r="E166" s="53">
        <f t="array" ref="E166:F166">VLOOKUP(C166,'NEW PTMT'!$B$4:$E1832,{3,4},0)</f>
        <v>218.28</v>
      </c>
      <c r="F166" s="30">
        <v>228.0</v>
      </c>
      <c r="G166" s="30">
        <v>108.0</v>
      </c>
      <c r="H166" s="1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17"/>
      <c r="Z166" s="6" t="str">
        <f t="shared" si="1"/>
        <v>Standard (Old Handle)121</v>
      </c>
      <c r="AA166" s="18" t="str">
        <f t="shared" si="2"/>
        <v>Standard (Old Handle)Bib Cock with Flange</v>
      </c>
      <c r="AB166" s="60">
        <f t="shared" si="3"/>
        <v>228</v>
      </c>
      <c r="AC166" s="61">
        <v>121.0</v>
      </c>
      <c r="AD166" s="57" t="s">
        <v>636</v>
      </c>
      <c r="AE166" s="18"/>
    </row>
    <row r="167">
      <c r="A167" s="5" t="s">
        <v>20</v>
      </c>
      <c r="B167" s="8" t="s">
        <v>64</v>
      </c>
      <c r="C167" s="8" t="s">
        <v>888</v>
      </c>
      <c r="D167" s="8" t="s">
        <v>748</v>
      </c>
      <c r="E167" s="53">
        <f t="array" ref="E167:F167">VLOOKUP(C167,'NEW PTMT'!$B$4:$E1832,{3,4},0)</f>
        <v>232</v>
      </c>
      <c r="F167" s="30">
        <v>242.0</v>
      </c>
      <c r="G167" s="30"/>
      <c r="H167" s="1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17"/>
      <c r="Z167" s="6" t="str">
        <f t="shared" si="1"/>
        <v>Standard (Old Handle)121-F</v>
      </c>
      <c r="AA167" s="18" t="str">
        <f t="shared" si="2"/>
        <v>Standard (Old Handle)Bib Cock (Foam Flow) with Flange</v>
      </c>
      <c r="AB167" s="60">
        <f t="shared" si="3"/>
        <v>242</v>
      </c>
      <c r="AC167" s="61" t="s">
        <v>208</v>
      </c>
      <c r="AD167" s="57" t="s">
        <v>417</v>
      </c>
      <c r="AE167" s="18"/>
    </row>
    <row r="168">
      <c r="A168" s="5" t="s">
        <v>20</v>
      </c>
      <c r="B168" s="8" t="s">
        <v>64</v>
      </c>
      <c r="C168" s="21" t="s">
        <v>889</v>
      </c>
      <c r="D168" s="21" t="s">
        <v>890</v>
      </c>
      <c r="E168" s="53">
        <f t="array" ref="E168:F168">VLOOKUP(C168,'NEW PTMT'!$B$4:$E1832,{3,4},0)</f>
        <v>228.48</v>
      </c>
      <c r="F168" s="30">
        <v>238.0</v>
      </c>
      <c r="G168" s="30">
        <v>132.0</v>
      </c>
      <c r="H168" s="1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17"/>
      <c r="Z168" s="6" t="str">
        <f t="shared" si="1"/>
        <v>Standard (Old Handle)122</v>
      </c>
      <c r="AA168" s="18" t="str">
        <f t="shared" si="2"/>
        <v>Standard (Old Handle)Bib Cock Standard (Female) with Flange</v>
      </c>
      <c r="AB168" s="60">
        <f t="shared" si="3"/>
        <v>238</v>
      </c>
      <c r="AC168" s="61">
        <v>122.0</v>
      </c>
      <c r="AD168" s="57" t="s">
        <v>597</v>
      </c>
      <c r="AE168" s="18"/>
    </row>
    <row r="169">
      <c r="A169" s="5" t="s">
        <v>20</v>
      </c>
      <c r="B169" s="8" t="s">
        <v>64</v>
      </c>
      <c r="C169" s="21" t="s">
        <v>891</v>
      </c>
      <c r="D169" s="21" t="s">
        <v>798</v>
      </c>
      <c r="E169" s="53">
        <f t="array" ref="E169:F169">VLOOKUP(C169,'NEW PTMT'!$B$4:$E1832,{3,4},0)</f>
        <v>252</v>
      </c>
      <c r="F169" s="30">
        <v>272.0</v>
      </c>
      <c r="G169" s="30">
        <v>60.0</v>
      </c>
      <c r="H169" s="1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17"/>
      <c r="Z169" s="6" t="str">
        <f t="shared" si="1"/>
        <v>Standard (Old Handle)123</v>
      </c>
      <c r="AA169" s="18" t="str">
        <f t="shared" si="2"/>
        <v>Standard (Old Handle)Bib Cock Fancy with Flange</v>
      </c>
      <c r="AB169" s="60">
        <f t="shared" si="3"/>
        <v>272</v>
      </c>
      <c r="AC169" s="61">
        <v>123.0</v>
      </c>
      <c r="AD169" s="57" t="s">
        <v>333</v>
      </c>
      <c r="AE169" s="18"/>
    </row>
    <row r="170">
      <c r="A170" s="5" t="s">
        <v>20</v>
      </c>
      <c r="B170" s="8" t="s">
        <v>64</v>
      </c>
      <c r="C170" s="21" t="s">
        <v>893</v>
      </c>
      <c r="D170" s="21" t="s">
        <v>306</v>
      </c>
      <c r="E170" s="53">
        <f t="array" ref="E170:F170">VLOOKUP(C170,'NEW PTMT'!$B$4:$E1832,{3,4},0)</f>
        <v>262</v>
      </c>
      <c r="F170" s="30">
        <v>284.0</v>
      </c>
      <c r="G170" s="30">
        <v>46.0</v>
      </c>
      <c r="H170" s="1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17"/>
      <c r="Z170" s="6" t="str">
        <f t="shared" si="1"/>
        <v>Standard (Old Handle)123-F</v>
      </c>
      <c r="AA170" s="18" t="str">
        <f t="shared" si="2"/>
        <v>Standard (Old Handle)Bib Cock Fancy (Foam Flow) with Flange</v>
      </c>
      <c r="AB170" s="60">
        <f t="shared" si="3"/>
        <v>284</v>
      </c>
      <c r="AC170" s="61" t="s">
        <v>471</v>
      </c>
      <c r="AD170" s="57" t="s">
        <v>437</v>
      </c>
      <c r="AE170" s="18"/>
    </row>
    <row r="171">
      <c r="A171" s="5" t="s">
        <v>20</v>
      </c>
      <c r="B171" s="8" t="s">
        <v>64</v>
      </c>
      <c r="C171" s="21" t="s">
        <v>894</v>
      </c>
      <c r="D171" s="21" t="s">
        <v>801</v>
      </c>
      <c r="E171" s="53">
        <f t="array" ref="E171:F171">VLOOKUP(C171,'NEW PTMT'!$B$4:$E1832,{3,4},0)</f>
        <v>303.96</v>
      </c>
      <c r="F171" s="30">
        <v>328.0</v>
      </c>
      <c r="G171" s="30">
        <v>60.0</v>
      </c>
      <c r="H171" s="18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17"/>
      <c r="Z171" s="6" t="str">
        <f t="shared" si="1"/>
        <v>Standard (Old Handle)123-N</v>
      </c>
      <c r="AA171" s="18" t="str">
        <f t="shared" si="2"/>
        <v>Standard (Old Handle)Bib Cock Fancy with New Flange &amp; Nipple</v>
      </c>
      <c r="AB171" s="60">
        <f t="shared" si="3"/>
        <v>328</v>
      </c>
      <c r="AC171" s="61" t="s">
        <v>573</v>
      </c>
      <c r="AD171" s="57" t="s">
        <v>500</v>
      </c>
      <c r="AE171" s="18"/>
    </row>
    <row r="172">
      <c r="A172" s="5" t="s">
        <v>20</v>
      </c>
      <c r="B172" s="8" t="s">
        <v>64</v>
      </c>
      <c r="C172" s="21" t="s">
        <v>895</v>
      </c>
      <c r="D172" s="21" t="s">
        <v>896</v>
      </c>
      <c r="E172" s="53">
        <f t="array" ref="E172:F172">VLOOKUP(C172,'NEW PTMT'!$B$4:$E1832,{3,4},0)</f>
        <v>291.72</v>
      </c>
      <c r="F172" s="30">
        <v>316.0</v>
      </c>
      <c r="G172" s="30">
        <v>60.0</v>
      </c>
      <c r="H172" s="1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17"/>
      <c r="Z172" s="6" t="str">
        <f t="shared" si="1"/>
        <v>Standard (Old Handle)124</v>
      </c>
      <c r="AA172" s="18" t="str">
        <f t="shared" si="2"/>
        <v>Standard (Old Handle)Bib Cock Long Body with Flange</v>
      </c>
      <c r="AB172" s="60">
        <f t="shared" si="3"/>
        <v>316</v>
      </c>
      <c r="AC172" s="61">
        <v>124.0</v>
      </c>
      <c r="AD172" s="57" t="s">
        <v>358</v>
      </c>
      <c r="AE172" s="18"/>
    </row>
    <row r="173">
      <c r="A173" s="5" t="s">
        <v>20</v>
      </c>
      <c r="B173" s="8" t="s">
        <v>64</v>
      </c>
      <c r="C173" s="21" t="s">
        <v>897</v>
      </c>
      <c r="D173" s="21" t="s">
        <v>339</v>
      </c>
      <c r="E173" s="53">
        <f t="array" ref="E173:F173">VLOOKUP(C173,'NEW PTMT'!$B$4:$E1832,{3,4},0)</f>
        <v>303.96</v>
      </c>
      <c r="F173" s="30">
        <v>328.0</v>
      </c>
      <c r="G173" s="30">
        <v>46.0</v>
      </c>
      <c r="H173" s="1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17"/>
      <c r="Z173" s="6" t="str">
        <f t="shared" si="1"/>
        <v>Standard (Old Handle)124-F</v>
      </c>
      <c r="AA173" s="18" t="str">
        <f t="shared" si="2"/>
        <v>Standard (Old Handle)Bib Cock Long Body (Foam Flow) with Flange</v>
      </c>
      <c r="AB173" s="60">
        <f t="shared" si="3"/>
        <v>328</v>
      </c>
      <c r="AC173" s="61" t="s">
        <v>698</v>
      </c>
      <c r="AD173" s="57" t="s">
        <v>520</v>
      </c>
      <c r="AE173" s="18"/>
    </row>
    <row r="174">
      <c r="A174" s="5" t="s">
        <v>20</v>
      </c>
      <c r="B174" s="8" t="s">
        <v>64</v>
      </c>
      <c r="C174" s="21" t="s">
        <v>899</v>
      </c>
      <c r="D174" s="21" t="s">
        <v>617</v>
      </c>
      <c r="E174" s="53">
        <f t="array" ref="E174:F174">VLOOKUP(C174,'NEW PTMT'!$B$4:$E1832,{3,4},0)</f>
        <v>293.76</v>
      </c>
      <c r="F174" s="30">
        <v>318.0</v>
      </c>
      <c r="G174" s="30">
        <v>66.0</v>
      </c>
      <c r="H174" s="1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17"/>
      <c r="Z174" s="6" t="str">
        <f t="shared" si="1"/>
        <v>Standard (Old Handle)125</v>
      </c>
      <c r="AA174" s="18" t="str">
        <f t="shared" si="2"/>
        <v>Standard (Old Handle)Bib Cock Standard 20mm with Flange</v>
      </c>
      <c r="AB174" s="60">
        <f t="shared" si="3"/>
        <v>318</v>
      </c>
      <c r="AC174" s="61">
        <v>125.0</v>
      </c>
      <c r="AD174" s="57" t="s">
        <v>617</v>
      </c>
      <c r="AE174" s="18"/>
    </row>
    <row r="175">
      <c r="A175" s="5" t="s">
        <v>20</v>
      </c>
      <c r="B175" s="8" t="s">
        <v>64</v>
      </c>
      <c r="C175" s="21" t="s">
        <v>900</v>
      </c>
      <c r="D175" s="21" t="s">
        <v>901</v>
      </c>
      <c r="E175" s="53">
        <f t="array" ref="E175:F175">VLOOKUP(C175,'NEW PTMT'!$B$4:$E1832,{3,4},0)</f>
        <v>252.4704</v>
      </c>
      <c r="F175" s="30">
        <v>274.0</v>
      </c>
      <c r="G175" s="30">
        <v>66.0</v>
      </c>
      <c r="H175" s="1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17"/>
      <c r="Z175" s="6" t="str">
        <f t="shared" si="1"/>
        <v>Standard (Old Handle)127</v>
      </c>
      <c r="AA175" s="18" t="str">
        <f t="shared" si="2"/>
        <v>Standard (Old Handle)Bib Cock Nozzle with Flange</v>
      </c>
      <c r="AB175" s="60">
        <f t="shared" si="3"/>
        <v>274</v>
      </c>
      <c r="AC175" s="61">
        <v>127.0</v>
      </c>
      <c r="AD175" s="57" t="s">
        <v>363</v>
      </c>
      <c r="AE175" s="18"/>
    </row>
    <row r="176">
      <c r="A176" s="5" t="s">
        <v>20</v>
      </c>
      <c r="B176" s="8" t="s">
        <v>64</v>
      </c>
      <c r="C176" s="21" t="s">
        <v>902</v>
      </c>
      <c r="D176" s="21" t="s">
        <v>808</v>
      </c>
      <c r="E176" s="53">
        <f t="array" ref="E176:F176">VLOOKUP(C176,'NEW PTMT'!$B$4:$E1832,{3,4},0)</f>
        <v>518.16</v>
      </c>
      <c r="F176" s="30">
        <v>558.0</v>
      </c>
      <c r="G176" s="30">
        <v>24.0</v>
      </c>
      <c r="H176" s="18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17"/>
      <c r="Z176" s="6" t="str">
        <f t="shared" si="1"/>
        <v>Standard (Old Handle)129</v>
      </c>
      <c r="AA176" s="18" t="str">
        <f t="shared" si="2"/>
        <v>Standard (Old Handle)2 Way Bib Cock with Flange</v>
      </c>
      <c r="AB176" s="60">
        <f t="shared" si="3"/>
        <v>558</v>
      </c>
      <c r="AC176" s="61">
        <v>129.0</v>
      </c>
      <c r="AD176" s="57" t="s">
        <v>378</v>
      </c>
      <c r="AE176" s="18"/>
    </row>
    <row r="177">
      <c r="A177" s="5" t="s">
        <v>20</v>
      </c>
      <c r="B177" s="8" t="s">
        <v>64</v>
      </c>
      <c r="C177" s="21" t="s">
        <v>903</v>
      </c>
      <c r="D177" s="21" t="s">
        <v>904</v>
      </c>
      <c r="E177" s="53">
        <f t="array" ref="E177:F177">VLOOKUP(C177,'NEW PTMT'!$B$4:$E1832,{3,4},0)</f>
        <v>316.1184</v>
      </c>
      <c r="F177" s="30">
        <v>342.0</v>
      </c>
      <c r="G177" s="30">
        <v>60.0</v>
      </c>
      <c r="H177" s="1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17"/>
      <c r="Z177" s="6" t="str">
        <f t="shared" si="1"/>
        <v>Standard (Old Handle)130</v>
      </c>
      <c r="AA177" s="18" t="str">
        <f t="shared" si="2"/>
        <v>Standard (Old Handle)Pillar Cock with Flange</v>
      </c>
      <c r="AB177" s="60">
        <f t="shared" si="3"/>
        <v>342</v>
      </c>
      <c r="AC177" s="61">
        <v>130.0</v>
      </c>
      <c r="AD177" s="57" t="s">
        <v>416</v>
      </c>
      <c r="AE177" s="18"/>
    </row>
    <row r="178">
      <c r="A178" s="5" t="s">
        <v>20</v>
      </c>
      <c r="B178" s="8" t="s">
        <v>64</v>
      </c>
      <c r="C178" s="21" t="s">
        <v>905</v>
      </c>
      <c r="D178" s="21" t="s">
        <v>906</v>
      </c>
      <c r="E178" s="53">
        <f t="array" ref="E178:F178">VLOOKUP(C178,'NEW PTMT'!$B$4:$E1832,{3,4},0)</f>
        <v>362</v>
      </c>
      <c r="F178" s="30">
        <v>392.0</v>
      </c>
      <c r="G178" s="30">
        <v>30.0</v>
      </c>
      <c r="H178" s="1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17"/>
      <c r="Z178" s="6" t="str">
        <f t="shared" si="1"/>
        <v>Standard (Old Handle)131</v>
      </c>
      <c r="AA178" s="18" t="str">
        <f t="shared" si="2"/>
        <v>Standard (Old Handle)Pillar Cock (Foam Flow) with Flange</v>
      </c>
      <c r="AB178" s="60">
        <f t="shared" si="3"/>
        <v>392</v>
      </c>
      <c r="AC178" s="61">
        <v>131.0</v>
      </c>
      <c r="AD178" s="57" t="s">
        <v>682</v>
      </c>
      <c r="AE178" s="18"/>
    </row>
    <row r="179">
      <c r="A179" s="5" t="s">
        <v>20</v>
      </c>
      <c r="B179" s="8" t="s">
        <v>64</v>
      </c>
      <c r="C179" s="21" t="s">
        <v>908</v>
      </c>
      <c r="D179" s="21" t="s">
        <v>813</v>
      </c>
      <c r="E179" s="53">
        <f t="array" ref="E179:F179">VLOOKUP(C179,'NEW PTMT'!$B$4:$E1832,{3,4},0)</f>
        <v>682</v>
      </c>
      <c r="F179" s="30">
        <v>738.0</v>
      </c>
      <c r="G179" s="30">
        <v>13.0</v>
      </c>
      <c r="H179" s="1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17"/>
      <c r="Z179" s="6" t="str">
        <f t="shared" si="1"/>
        <v>Standard (Old Handle)132</v>
      </c>
      <c r="AA179" s="18" t="str">
        <f t="shared" si="2"/>
        <v>Standard (Old Handle)Sink Cock (W/M) with Flange</v>
      </c>
      <c r="AB179" s="60">
        <f t="shared" si="3"/>
        <v>738</v>
      </c>
      <c r="AC179" s="61">
        <v>132.0</v>
      </c>
      <c r="AD179" s="57" t="s">
        <v>436</v>
      </c>
      <c r="AE179" s="18"/>
    </row>
    <row r="180">
      <c r="A180" s="5" t="s">
        <v>20</v>
      </c>
      <c r="B180" s="8" t="s">
        <v>64</v>
      </c>
      <c r="C180" s="21" t="s">
        <v>909</v>
      </c>
      <c r="D180" s="21" t="s">
        <v>910</v>
      </c>
      <c r="E180" s="53">
        <f t="array" ref="E180:F180">VLOOKUP(C180,'NEW PTMT'!$B$4:$E1832,{3,4},0)</f>
        <v>622</v>
      </c>
      <c r="F180" s="30">
        <v>672.0</v>
      </c>
      <c r="G180" s="30">
        <v>30.0</v>
      </c>
      <c r="H180" s="1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17"/>
      <c r="Z180" s="6" t="str">
        <f t="shared" si="1"/>
        <v>Standard (Old Handle)1322</v>
      </c>
      <c r="AA180" s="18" t="str">
        <f t="shared" si="2"/>
        <v>Standard (Old Handle)Sink Cock Small Spout (W/M) with Flange</v>
      </c>
      <c r="AB180" s="60">
        <f t="shared" si="3"/>
        <v>672</v>
      </c>
      <c r="AC180" s="61">
        <v>1322.0</v>
      </c>
      <c r="AD180" s="57" t="s">
        <v>457</v>
      </c>
      <c r="AE180" s="18"/>
    </row>
    <row r="181">
      <c r="A181" s="5" t="s">
        <v>20</v>
      </c>
      <c r="B181" s="8" t="s">
        <v>64</v>
      </c>
      <c r="C181" s="21" t="s">
        <v>911</v>
      </c>
      <c r="D181" s="21" t="s">
        <v>815</v>
      </c>
      <c r="E181" s="53">
        <f t="array" ref="E181:F181">VLOOKUP(C181,'NEW PTMT'!$B$4:$E1832,{3,4},0)</f>
        <v>691.6416</v>
      </c>
      <c r="F181" s="30">
        <v>748.0</v>
      </c>
      <c r="G181" s="30">
        <v>13.0</v>
      </c>
      <c r="H181" s="1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17"/>
      <c r="Z181" s="6" t="str">
        <f t="shared" si="1"/>
        <v>Standard (Old Handle)133</v>
      </c>
      <c r="AA181" s="18" t="str">
        <f t="shared" si="2"/>
        <v>Standard (Old Handle)Sink Cock Long Spout (T/M) with Flange</v>
      </c>
      <c r="AB181" s="60">
        <f t="shared" si="3"/>
        <v>748</v>
      </c>
      <c r="AC181" s="61">
        <v>133.0</v>
      </c>
      <c r="AD181" s="57" t="s">
        <v>480</v>
      </c>
      <c r="AE181" s="18"/>
    </row>
    <row r="182">
      <c r="A182" s="5" t="s">
        <v>20</v>
      </c>
      <c r="B182" s="8" t="s">
        <v>64</v>
      </c>
      <c r="C182" s="21" t="s">
        <v>912</v>
      </c>
      <c r="D182" s="21" t="s">
        <v>913</v>
      </c>
      <c r="E182" s="53">
        <f t="array" ref="E182:F182">VLOOKUP(C182,'NEW PTMT'!$B$4:$E1832,{3,4},0)</f>
        <v>1244.4</v>
      </c>
      <c r="F182" s="30">
        <v>1344.0</v>
      </c>
      <c r="G182" s="30">
        <v>13.0</v>
      </c>
      <c r="H182" s="15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17"/>
      <c r="Z182" s="6" t="str">
        <f t="shared" si="1"/>
        <v>Standard (Old Handle)134</v>
      </c>
      <c r="AA182" s="18" t="str">
        <f t="shared" si="2"/>
        <v>Standard (Old Handle)Sink Mixer with Flange</v>
      </c>
      <c r="AB182" s="60">
        <f t="shared" si="3"/>
        <v>1344</v>
      </c>
      <c r="AC182" s="61">
        <v>134.0</v>
      </c>
      <c r="AD182" s="57" t="s">
        <v>499</v>
      </c>
      <c r="AE182" s="18"/>
    </row>
    <row r="183">
      <c r="A183" s="5" t="s">
        <v>20</v>
      </c>
      <c r="B183" s="8" t="s">
        <v>64</v>
      </c>
      <c r="C183" s="8" t="s">
        <v>914</v>
      </c>
      <c r="D183" s="8" t="s">
        <v>523</v>
      </c>
      <c r="E183" s="53">
        <f t="array" ref="E183:F183">VLOOKUP(C183,'NEW PTMT'!$B$4:$E1832,{3,4},0)</f>
        <v>1927.8</v>
      </c>
      <c r="F183" s="30">
        <v>2082.0</v>
      </c>
      <c r="G183" s="30"/>
      <c r="H183" s="1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17"/>
      <c r="Z183" s="6" t="str">
        <f t="shared" si="1"/>
        <v>Standard (Old Handle)1374</v>
      </c>
      <c r="AA183" s="18" t="str">
        <f t="shared" si="2"/>
        <v>Standard (Old Handle)2 in 1 Telephonic Wall Mixer</v>
      </c>
      <c r="AB183" s="60">
        <f t="shared" si="3"/>
        <v>2082</v>
      </c>
      <c r="AC183" s="61">
        <v>1374.0</v>
      </c>
      <c r="AD183" s="57" t="s">
        <v>540</v>
      </c>
      <c r="AE183" s="18"/>
    </row>
    <row r="184">
      <c r="A184" s="5" t="s">
        <v>20</v>
      </c>
      <c r="B184" s="8" t="s">
        <v>64</v>
      </c>
      <c r="C184" s="21" t="s">
        <v>915</v>
      </c>
      <c r="D184" s="21" t="s">
        <v>734</v>
      </c>
      <c r="E184" s="53">
        <f t="array" ref="E184:F184">VLOOKUP(C184,'NEW PTMT'!$B$4:$E1832,{3,4},0)</f>
        <v>1621.8</v>
      </c>
      <c r="F184" s="30">
        <v>1752.0</v>
      </c>
      <c r="G184" s="30">
        <v>6.0</v>
      </c>
      <c r="H184" s="1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17"/>
      <c r="Z184" s="6" t="str">
        <f t="shared" si="1"/>
        <v>Standard (Old Handle)1375</v>
      </c>
      <c r="AA184" s="18" t="str">
        <f t="shared" si="2"/>
        <v>Standard (Old Handle)Wall Mixer L Bend with Flange</v>
      </c>
      <c r="AB184" s="60">
        <f t="shared" si="3"/>
        <v>1752</v>
      </c>
      <c r="AC184" s="64" t="s">
        <v>560</v>
      </c>
      <c r="AD184" s="57" t="s">
        <v>561</v>
      </c>
      <c r="AE184" s="18"/>
    </row>
    <row r="185">
      <c r="A185" s="5" t="s">
        <v>20</v>
      </c>
      <c r="B185" s="8" t="s">
        <v>64</v>
      </c>
      <c r="C185" s="21" t="s">
        <v>917</v>
      </c>
      <c r="D185" s="21" t="s">
        <v>918</v>
      </c>
      <c r="E185" s="53">
        <f t="array" ref="E185:F185">VLOOKUP(C185,'NEW PTMT'!$B$4:$E1832,{3,4},0)</f>
        <v>224</v>
      </c>
      <c r="F185" s="30">
        <v>242.0</v>
      </c>
      <c r="G185" s="30">
        <v>132.0</v>
      </c>
      <c r="H185" s="1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17"/>
      <c r="Z185" s="6" t="str">
        <f t="shared" si="1"/>
        <v>Standard (Old Handle)141</v>
      </c>
      <c r="AA185" s="18" t="str">
        <f t="shared" si="2"/>
        <v>Standard (Old Handle)Stop Cock 15mm (M/T)</v>
      </c>
      <c r="AB185" s="60">
        <f t="shared" si="3"/>
        <v>242</v>
      </c>
      <c r="AC185" s="61">
        <v>141.0</v>
      </c>
      <c r="AD185" s="57" t="s">
        <v>719</v>
      </c>
      <c r="AE185" s="18"/>
    </row>
    <row r="186">
      <c r="A186" s="5" t="s">
        <v>20</v>
      </c>
      <c r="B186" s="8" t="s">
        <v>64</v>
      </c>
      <c r="C186" s="21" t="s">
        <v>919</v>
      </c>
      <c r="D186" s="21" t="s">
        <v>920</v>
      </c>
      <c r="E186" s="53">
        <f t="array" ref="E186:F186">VLOOKUP(C186,'NEW PTMT'!$B$4:$E1832,{3,4},0)</f>
        <v>224</v>
      </c>
      <c r="F186" s="30">
        <v>242.0</v>
      </c>
      <c r="G186" s="30">
        <v>132.0</v>
      </c>
      <c r="H186" s="1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17"/>
      <c r="Z186" s="6" t="str">
        <f t="shared" si="1"/>
        <v>Standard (Old Handle)142</v>
      </c>
      <c r="AA186" s="18" t="str">
        <f t="shared" si="2"/>
        <v>Standard (Old Handle)Stop Cock 15mm (F/T)</v>
      </c>
      <c r="AB186" s="60">
        <f t="shared" si="3"/>
        <v>242</v>
      </c>
      <c r="AC186" s="61">
        <v>142.0</v>
      </c>
      <c r="AD186" s="57" t="s">
        <v>717</v>
      </c>
      <c r="AE186" s="18"/>
    </row>
    <row r="187">
      <c r="A187" s="5" t="s">
        <v>20</v>
      </c>
      <c r="B187" s="8" t="s">
        <v>64</v>
      </c>
      <c r="C187" s="21" t="s">
        <v>921</v>
      </c>
      <c r="D187" s="21" t="s">
        <v>922</v>
      </c>
      <c r="E187" s="53">
        <f t="array" ref="E187:F187">VLOOKUP(C187,'NEW PTMT'!$B$4:$E1832,{3,4},0)</f>
        <v>236</v>
      </c>
      <c r="F187" s="30">
        <v>256.0</v>
      </c>
      <c r="G187" s="30">
        <v>132.0</v>
      </c>
      <c r="H187" s="1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17"/>
      <c r="Z187" s="6" t="str">
        <f t="shared" si="1"/>
        <v>Standard (Old Handle)143</v>
      </c>
      <c r="AA187" s="18" t="str">
        <f t="shared" si="2"/>
        <v>Standard (Old Handle)Stop Cock 20mm (F/T)</v>
      </c>
      <c r="AB187" s="60">
        <f t="shared" si="3"/>
        <v>256</v>
      </c>
      <c r="AC187" s="61">
        <v>143.0</v>
      </c>
      <c r="AD187" s="57" t="s">
        <v>723</v>
      </c>
      <c r="AE187" s="18"/>
    </row>
    <row r="188">
      <c r="A188" s="5" t="s">
        <v>20</v>
      </c>
      <c r="B188" s="8" t="s">
        <v>64</v>
      </c>
      <c r="C188" s="21" t="s">
        <v>923</v>
      </c>
      <c r="D188" s="21" t="s">
        <v>924</v>
      </c>
      <c r="E188" s="53">
        <f t="array" ref="E188:F188">VLOOKUP(C188,'NEW PTMT'!$B$4:$E1832,{3,4},0)</f>
        <v>216.4032</v>
      </c>
      <c r="F188" s="30">
        <v>234.0</v>
      </c>
      <c r="G188" s="30">
        <v>132.0</v>
      </c>
      <c r="H188" s="15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17"/>
      <c r="Z188" s="6" t="str">
        <f t="shared" si="1"/>
        <v>Standard (Old Handle)144</v>
      </c>
      <c r="AA188" s="18" t="str">
        <f t="shared" si="2"/>
        <v>Standard (Old Handle)Angle Cock with Flange</v>
      </c>
      <c r="AB188" s="60">
        <f t="shared" si="3"/>
        <v>234</v>
      </c>
      <c r="AC188" s="61">
        <v>144.0</v>
      </c>
      <c r="AD188" s="57" t="s">
        <v>395</v>
      </c>
      <c r="AE188" s="18"/>
    </row>
    <row r="189">
      <c r="A189" s="5" t="s">
        <v>20</v>
      </c>
      <c r="B189" s="8" t="s">
        <v>64</v>
      </c>
      <c r="C189" s="21" t="s">
        <v>925</v>
      </c>
      <c r="D189" s="21" t="s">
        <v>359</v>
      </c>
      <c r="E189" s="53">
        <f t="array" ref="E189:F189">VLOOKUP(C189,'NEW PTMT'!$B$4:$E1832,{3,4},0)</f>
        <v>472</v>
      </c>
      <c r="F189" s="30">
        <v>508.0</v>
      </c>
      <c r="G189" s="30">
        <v>30.0</v>
      </c>
      <c r="H189" s="1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17"/>
      <c r="Z189" s="6" t="str">
        <f t="shared" si="1"/>
        <v>Standard (Old Handle)145</v>
      </c>
      <c r="AA189" s="18" t="str">
        <f t="shared" si="2"/>
        <v>Standard (Old Handle)2 Way Angle Cock with Flange</v>
      </c>
      <c r="AB189" s="60">
        <f t="shared" si="3"/>
        <v>508</v>
      </c>
      <c r="AC189" s="61">
        <v>145.0</v>
      </c>
      <c r="AD189" s="57" t="s">
        <v>359</v>
      </c>
      <c r="AE189" s="18"/>
    </row>
    <row r="190">
      <c r="A190" s="5" t="s">
        <v>20</v>
      </c>
      <c r="B190" s="8" t="s">
        <v>64</v>
      </c>
      <c r="C190" s="21" t="s">
        <v>927</v>
      </c>
      <c r="D190" s="21" t="s">
        <v>928</v>
      </c>
      <c r="E190" s="53">
        <f t="array" ref="E190:F190">VLOOKUP(C190,'NEW PTMT'!$B$4:$E1832,{3,4},0)</f>
        <v>362</v>
      </c>
      <c r="F190" s="30">
        <v>392.0</v>
      </c>
      <c r="G190" s="30">
        <v>64.0</v>
      </c>
      <c r="H190" s="1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17"/>
      <c r="Z190" s="6" t="str">
        <f t="shared" si="1"/>
        <v>Standard (Old Handle)146</v>
      </c>
      <c r="AA190" s="18" t="str">
        <f t="shared" si="2"/>
        <v>Standard (Old Handle)Concealed Stop Cock 15mm</v>
      </c>
      <c r="AB190" s="60">
        <f t="shared" si="3"/>
        <v>392</v>
      </c>
      <c r="AC190" s="61">
        <v>146.0</v>
      </c>
      <c r="AD190" s="57" t="s">
        <v>663</v>
      </c>
      <c r="AE190" s="18"/>
    </row>
    <row r="191">
      <c r="A191" s="5" t="s">
        <v>20</v>
      </c>
      <c r="B191" s="8" t="s">
        <v>64</v>
      </c>
      <c r="C191" s="21" t="s">
        <v>929</v>
      </c>
      <c r="D191" s="21" t="s">
        <v>930</v>
      </c>
      <c r="E191" s="53">
        <f t="array" ref="E191:F191">VLOOKUP(C191,'NEW PTMT'!$B$4:$E1832,{3,4},0)</f>
        <v>372</v>
      </c>
      <c r="F191" s="30">
        <v>402.0</v>
      </c>
      <c r="G191" s="30">
        <v>64.0</v>
      </c>
      <c r="H191" s="1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17"/>
      <c r="Z191" s="6" t="str">
        <f t="shared" si="1"/>
        <v>Standard (Old Handle)148</v>
      </c>
      <c r="AA191" s="18" t="str">
        <f t="shared" si="2"/>
        <v>Standard (Old Handle)Concealed Stop Cock 20mm</v>
      </c>
      <c r="AB191" s="60">
        <f t="shared" si="3"/>
        <v>402</v>
      </c>
      <c r="AC191" s="61">
        <v>148.0</v>
      </c>
      <c r="AD191" s="57" t="s">
        <v>690</v>
      </c>
      <c r="AE191" s="18"/>
    </row>
    <row r="192">
      <c r="A192" s="5" t="s">
        <v>20</v>
      </c>
      <c r="B192" s="8" t="s">
        <v>64</v>
      </c>
      <c r="C192" s="21" t="s">
        <v>847</v>
      </c>
      <c r="D192" s="21" t="s">
        <v>678</v>
      </c>
      <c r="E192" s="53">
        <f t="array" ref="E192:F192">VLOOKUP(C192,'NEW PTMT'!$B$4:$E1832,{3,4},0)</f>
        <v>1256</v>
      </c>
      <c r="F192" s="30">
        <v>1356.0</v>
      </c>
      <c r="G192" s="30">
        <v>64.0</v>
      </c>
      <c r="H192" s="1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17"/>
      <c r="Z192" s="6" t="str">
        <f t="shared" si="1"/>
        <v>Standard (Old Handle)146-B</v>
      </c>
      <c r="AA192" s="18" t="str">
        <f t="shared" si="2"/>
        <v>Standard (Old Handle)Concealed Stop Cock 15mm with Brass Body</v>
      </c>
      <c r="AB192" s="60">
        <f t="shared" si="3"/>
        <v>1356</v>
      </c>
      <c r="AC192" s="61" t="s">
        <v>739</v>
      </c>
      <c r="AD192" s="57" t="s">
        <v>678</v>
      </c>
      <c r="AE192" s="18"/>
    </row>
    <row r="193">
      <c r="A193" s="5" t="s">
        <v>20</v>
      </c>
      <c r="B193" s="8" t="s">
        <v>64</v>
      </c>
      <c r="C193" s="21" t="s">
        <v>849</v>
      </c>
      <c r="D193" s="21" t="s">
        <v>693</v>
      </c>
      <c r="E193" s="53">
        <f t="array" ref="E193:F193">VLOOKUP(C193,'NEW PTMT'!$B$4:$E1832,{3,4},0)</f>
        <v>1276</v>
      </c>
      <c r="F193" s="30">
        <v>1378.0</v>
      </c>
      <c r="G193" s="30">
        <v>64.0</v>
      </c>
      <c r="H193" s="1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17"/>
      <c r="Z193" s="6" t="str">
        <f t="shared" si="1"/>
        <v>Standard (Old Handle)148-B</v>
      </c>
      <c r="AA193" s="18" t="str">
        <f t="shared" si="2"/>
        <v>Standard (Old Handle)Concealed Stop Cock 20mm with Brass Body</v>
      </c>
      <c r="AB193" s="60">
        <f t="shared" si="3"/>
        <v>1378</v>
      </c>
      <c r="AC193" s="61" t="s">
        <v>741</v>
      </c>
      <c r="AD193" s="57" t="s">
        <v>693</v>
      </c>
      <c r="AE193" s="18"/>
    </row>
    <row r="194">
      <c r="A194" s="5" t="s">
        <v>20</v>
      </c>
      <c r="B194" s="8" t="s">
        <v>64</v>
      </c>
      <c r="C194" s="21" t="s">
        <v>931</v>
      </c>
      <c r="D194" s="21" t="s">
        <v>710</v>
      </c>
      <c r="E194" s="53">
        <f t="array" ref="E194:F194">VLOOKUP(C194,'NEW PTMT'!$B$4:$E1832,{3,4},0)</f>
        <v>632</v>
      </c>
      <c r="F194" s="30">
        <v>684.0</v>
      </c>
      <c r="G194" s="30">
        <v>30.0</v>
      </c>
      <c r="H194" s="18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17"/>
      <c r="Z194" s="6" t="str">
        <f t="shared" si="1"/>
        <v>Standard (Old Handle)147</v>
      </c>
      <c r="AA194" s="18" t="str">
        <f t="shared" si="2"/>
        <v>Standard (Old Handle)Pillar Cock Swan Neck (T/M) with Flange</v>
      </c>
      <c r="AB194" s="60">
        <f t="shared" si="3"/>
        <v>684</v>
      </c>
      <c r="AC194" s="61">
        <v>147.0</v>
      </c>
      <c r="AD194" s="57" t="s">
        <v>616</v>
      </c>
      <c r="AE194" s="18"/>
    </row>
    <row r="195">
      <c r="A195" s="5" t="s">
        <v>20</v>
      </c>
      <c r="B195" s="8" t="s">
        <v>64</v>
      </c>
      <c r="C195" s="21" t="s">
        <v>932</v>
      </c>
      <c r="D195" s="21" t="s">
        <v>601</v>
      </c>
      <c r="E195" s="53">
        <f t="array" ref="E195:F195">VLOOKUP(C195,'NEW PTMT'!$B$4:$E1832,{3,4},0)</f>
        <v>668</v>
      </c>
      <c r="F195" s="30">
        <v>722.0</v>
      </c>
      <c r="G195" s="30">
        <v>30.0</v>
      </c>
      <c r="H195" s="18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17"/>
      <c r="Z195" s="6" t="str">
        <f t="shared" si="1"/>
        <v>Standard (Old Handle)147-Q</v>
      </c>
      <c r="AA195" s="18" t="str">
        <f t="shared" si="2"/>
        <v>Standard (Old Handle)Pillar Cock Swan Neck (T/M) Square Spout with Flange</v>
      </c>
      <c r="AB195" s="60">
        <f t="shared" si="3"/>
        <v>722</v>
      </c>
      <c r="AC195" s="61" t="s">
        <v>737</v>
      </c>
      <c r="AD195" s="57" t="s">
        <v>703</v>
      </c>
      <c r="AE195" s="18"/>
    </row>
    <row r="196">
      <c r="A196" s="5" t="s">
        <v>20</v>
      </c>
      <c r="B196" s="8" t="s">
        <v>64</v>
      </c>
      <c r="C196" s="21" t="s">
        <v>933</v>
      </c>
      <c r="D196" s="21" t="s">
        <v>731</v>
      </c>
      <c r="E196" s="53">
        <f t="array" ref="E196:F196">VLOOKUP(C196,'NEW PTMT'!$B$4:$E1832,{3,4},0)</f>
        <v>387.6</v>
      </c>
      <c r="F196" s="30">
        <v>418.0</v>
      </c>
      <c r="G196" s="30">
        <v>30.0</v>
      </c>
      <c r="H196" s="1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17"/>
      <c r="Z196" s="6" t="str">
        <f t="shared" si="1"/>
        <v>Standard (Old Handle)149</v>
      </c>
      <c r="AA196" s="18" t="str">
        <f t="shared" si="2"/>
        <v>Standard (Old Handle)Washing Machine Tap with Flange</v>
      </c>
      <c r="AB196" s="60">
        <f t="shared" si="3"/>
        <v>418</v>
      </c>
      <c r="AC196" s="61">
        <v>149.0</v>
      </c>
      <c r="AD196" s="62" t="s">
        <v>731</v>
      </c>
      <c r="AE196" s="18"/>
    </row>
    <row r="197">
      <c r="A197" s="5" t="s">
        <v>20</v>
      </c>
      <c r="B197" s="8" t="s">
        <v>64</v>
      </c>
      <c r="C197" s="21" t="s">
        <v>934</v>
      </c>
      <c r="D197" s="21" t="s">
        <v>712</v>
      </c>
      <c r="E197" s="53">
        <f t="array" ref="E197:F197">VLOOKUP(C197,'NEW PTMT'!$B$4:$E1832,{3,4},0)</f>
        <v>1423.92</v>
      </c>
      <c r="F197" s="30">
        <v>1538.0</v>
      </c>
      <c r="G197" s="30">
        <v>14.0</v>
      </c>
      <c r="H197" s="1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17"/>
      <c r="Z197" s="6" t="str">
        <f t="shared" si="1"/>
        <v>Standard (Old Handle)150</v>
      </c>
      <c r="AA197" s="18" t="str">
        <f t="shared" si="2"/>
        <v>Standard (Old Handle)Center Hole Basin Mixer</v>
      </c>
      <c r="AB197" s="60">
        <f t="shared" si="3"/>
        <v>1538</v>
      </c>
      <c r="AC197" s="61">
        <v>150.0</v>
      </c>
      <c r="AD197" s="57" t="s">
        <v>650</v>
      </c>
      <c r="AE197" s="18"/>
    </row>
    <row r="198">
      <c r="A198" s="5" t="s">
        <v>20</v>
      </c>
      <c r="B198" s="8" t="s">
        <v>65</v>
      </c>
      <c r="C198" s="21">
        <v>121.0</v>
      </c>
      <c r="D198" s="21" t="s">
        <v>795</v>
      </c>
      <c r="E198" s="53">
        <f t="array" ref="E198:F198">VLOOKUP(C198,'NEW PTMT'!$B$4:$E1832,{3,4},0)</f>
        <v>218.28</v>
      </c>
      <c r="F198" s="30">
        <v>228.0</v>
      </c>
      <c r="G198" s="12">
        <v>108.0</v>
      </c>
      <c r="H198" s="18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17"/>
      <c r="Z198" s="6" t="str">
        <f t="shared" si="1"/>
        <v>Standard (New Handle)121</v>
      </c>
      <c r="AA198" s="18" t="str">
        <f t="shared" si="2"/>
        <v>Standard (New Handle)Bib Cock with Flange</v>
      </c>
      <c r="AB198" s="60">
        <f t="shared" si="3"/>
        <v>228</v>
      </c>
      <c r="AC198" s="61">
        <v>121.0</v>
      </c>
      <c r="AD198" s="57" t="s">
        <v>636</v>
      </c>
      <c r="AE198" s="18"/>
    </row>
    <row r="199">
      <c r="A199" s="5" t="s">
        <v>20</v>
      </c>
      <c r="B199" s="8" t="s">
        <v>65</v>
      </c>
      <c r="C199" s="8" t="s">
        <v>936</v>
      </c>
      <c r="D199" s="8" t="s">
        <v>748</v>
      </c>
      <c r="E199" s="53">
        <f t="array" ref="E199:F199">VLOOKUP(C199,'NEW PTMT'!$B$4:$E1832,{3,4},0)</f>
        <v>232</v>
      </c>
      <c r="F199" s="30">
        <v>242.0</v>
      </c>
      <c r="G199" s="12"/>
      <c r="H199" s="18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17"/>
      <c r="Z199" s="6" t="str">
        <f t="shared" si="1"/>
        <v>Standard (New Handle)121-F</v>
      </c>
      <c r="AA199" s="18" t="str">
        <f t="shared" si="2"/>
        <v>Standard (New Handle)Bib Cock (Foam Flow) with Flange</v>
      </c>
      <c r="AB199" s="60">
        <f t="shared" si="3"/>
        <v>242</v>
      </c>
      <c r="AC199" s="61" t="s">
        <v>208</v>
      </c>
      <c r="AD199" s="57" t="s">
        <v>417</v>
      </c>
      <c r="AE199" s="18"/>
    </row>
    <row r="200">
      <c r="A200" s="5" t="s">
        <v>20</v>
      </c>
      <c r="B200" s="8" t="s">
        <v>65</v>
      </c>
      <c r="C200" s="21">
        <v>123.0</v>
      </c>
      <c r="D200" s="21" t="s">
        <v>798</v>
      </c>
      <c r="E200" s="53">
        <f t="array" ref="E200:F200">VLOOKUP(C200,'NEW PTMT'!$B$4:$E1832,{3,4},0)</f>
        <v>252</v>
      </c>
      <c r="F200" s="30">
        <v>272.0</v>
      </c>
      <c r="G200" s="12">
        <v>60.0</v>
      </c>
      <c r="H200" s="18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17"/>
      <c r="Z200" s="6" t="str">
        <f t="shared" si="1"/>
        <v>Standard (New Handle)123</v>
      </c>
      <c r="AA200" s="18" t="str">
        <f t="shared" si="2"/>
        <v>Standard (New Handle)Bib Cock Fancy with Flange</v>
      </c>
      <c r="AB200" s="60">
        <f t="shared" si="3"/>
        <v>272</v>
      </c>
      <c r="AC200" s="61">
        <v>123.0</v>
      </c>
      <c r="AD200" s="57" t="s">
        <v>333</v>
      </c>
      <c r="AE200" s="18"/>
    </row>
    <row r="201">
      <c r="A201" s="5" t="s">
        <v>20</v>
      </c>
      <c r="B201" s="8" t="s">
        <v>65</v>
      </c>
      <c r="C201" s="148" t="s">
        <v>471</v>
      </c>
      <c r="D201" s="21" t="s">
        <v>306</v>
      </c>
      <c r="E201" s="53">
        <f t="array" ref="E201:F201">VLOOKUP(C201,'NEW PTMT'!$B$4:$E1832,{3,4},0)</f>
        <v>262</v>
      </c>
      <c r="F201" s="30">
        <v>284.0</v>
      </c>
      <c r="G201" s="12">
        <v>46.0</v>
      </c>
      <c r="H201" s="18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17"/>
      <c r="Z201" s="6" t="str">
        <f t="shared" si="1"/>
        <v>Standard (New Handle)123-F</v>
      </c>
      <c r="AA201" s="18" t="str">
        <f t="shared" si="2"/>
        <v>Standard (New Handle)Bib Cock Fancy (Foam Flow) with Flange</v>
      </c>
      <c r="AB201" s="60">
        <f t="shared" si="3"/>
        <v>284</v>
      </c>
      <c r="AC201" s="61" t="s">
        <v>471</v>
      </c>
      <c r="AD201" s="57" t="s">
        <v>437</v>
      </c>
      <c r="AE201" s="18"/>
    </row>
    <row r="202">
      <c r="A202" s="5" t="s">
        <v>20</v>
      </c>
      <c r="B202" s="8" t="s">
        <v>65</v>
      </c>
      <c r="C202" s="148" t="s">
        <v>573</v>
      </c>
      <c r="D202" s="21" t="s">
        <v>801</v>
      </c>
      <c r="E202" s="53">
        <f t="array" ref="E202:F202">VLOOKUP(C202,'NEW PTMT'!$B$4:$E1832,{3,4},0)</f>
        <v>303.96</v>
      </c>
      <c r="F202" s="30">
        <v>328.0</v>
      </c>
      <c r="G202" s="12">
        <v>60.0</v>
      </c>
      <c r="H202" s="18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17"/>
      <c r="Z202" s="6" t="str">
        <f t="shared" si="1"/>
        <v>Standard (New Handle)123-N</v>
      </c>
      <c r="AA202" s="18" t="str">
        <f t="shared" si="2"/>
        <v>Standard (New Handle)Bib Cock Fancy with New Flange &amp; Nipple</v>
      </c>
      <c r="AB202" s="60">
        <f t="shared" si="3"/>
        <v>328</v>
      </c>
      <c r="AC202" s="61" t="s">
        <v>573</v>
      </c>
      <c r="AD202" s="57" t="s">
        <v>500</v>
      </c>
      <c r="AE202" s="18"/>
    </row>
    <row r="203">
      <c r="A203" s="5" t="s">
        <v>20</v>
      </c>
      <c r="B203" s="8" t="s">
        <v>65</v>
      </c>
      <c r="C203" s="21">
        <v>124.0</v>
      </c>
      <c r="D203" s="21" t="s">
        <v>803</v>
      </c>
      <c r="E203" s="53">
        <f t="array" ref="E203:F203">VLOOKUP(C203,'NEW PTMT'!$B$4:$E1832,{3,4},0)</f>
        <v>291.72</v>
      </c>
      <c r="F203" s="30">
        <v>316.0</v>
      </c>
      <c r="G203" s="12">
        <v>46.0</v>
      </c>
      <c r="H203" s="18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17"/>
      <c r="Z203" s="6" t="str">
        <f t="shared" si="1"/>
        <v>Standard (New Handle)124</v>
      </c>
      <c r="AA203" s="18" t="str">
        <f t="shared" si="2"/>
        <v>Standard (New Handle)Bib Cock Long Body with Flange</v>
      </c>
      <c r="AB203" s="60">
        <f t="shared" si="3"/>
        <v>316</v>
      </c>
      <c r="AC203" s="61">
        <v>124.0</v>
      </c>
      <c r="AD203" s="57" t="s">
        <v>358</v>
      </c>
      <c r="AE203" s="18"/>
    </row>
    <row r="204">
      <c r="A204" s="5" t="s">
        <v>20</v>
      </c>
      <c r="B204" s="8" t="s">
        <v>65</v>
      </c>
      <c r="C204" s="148" t="s">
        <v>698</v>
      </c>
      <c r="D204" s="21" t="s">
        <v>339</v>
      </c>
      <c r="E204" s="53">
        <f t="array" ref="E204:F204">VLOOKUP(C204,'NEW PTMT'!$B$4:$E1832,{3,4},0)</f>
        <v>303.96</v>
      </c>
      <c r="F204" s="30">
        <v>328.0</v>
      </c>
      <c r="G204" s="12">
        <v>46.0</v>
      </c>
      <c r="H204" s="18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17"/>
      <c r="Z204" s="6" t="str">
        <f t="shared" si="1"/>
        <v>Standard (New Handle)124-F</v>
      </c>
      <c r="AA204" s="18" t="str">
        <f t="shared" si="2"/>
        <v>Standard (New Handle)Bib Cock Long Body (Foam Flow) with Flange</v>
      </c>
      <c r="AB204" s="60">
        <f t="shared" si="3"/>
        <v>328</v>
      </c>
      <c r="AC204" s="61" t="s">
        <v>698</v>
      </c>
      <c r="AD204" s="57" t="s">
        <v>520</v>
      </c>
      <c r="AE204" s="18"/>
    </row>
    <row r="205">
      <c r="A205" s="5" t="s">
        <v>20</v>
      </c>
      <c r="B205" s="8" t="s">
        <v>65</v>
      </c>
      <c r="C205" s="21">
        <v>127.0</v>
      </c>
      <c r="D205" s="21" t="s">
        <v>938</v>
      </c>
      <c r="E205" s="53">
        <f t="array" ref="E205:F205">VLOOKUP(C205,'NEW PTMT'!$B$4:$E1832,{3,4},0)</f>
        <v>252.4704</v>
      </c>
      <c r="F205" s="30">
        <v>274.0</v>
      </c>
      <c r="G205" s="12">
        <v>66.0</v>
      </c>
      <c r="H205" s="18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17"/>
      <c r="Z205" s="6" t="str">
        <f t="shared" si="1"/>
        <v>Standard (New Handle)127</v>
      </c>
      <c r="AA205" s="18" t="str">
        <f t="shared" si="2"/>
        <v>Standard (New Handle)Bib Cock Nozzle with Flange</v>
      </c>
      <c r="AB205" s="60">
        <f t="shared" si="3"/>
        <v>274</v>
      </c>
      <c r="AC205" s="61">
        <v>127.0</v>
      </c>
      <c r="AD205" s="57" t="s">
        <v>363</v>
      </c>
      <c r="AE205" s="18"/>
    </row>
    <row r="206">
      <c r="A206" s="5" t="s">
        <v>20</v>
      </c>
      <c r="B206" s="8" t="s">
        <v>65</v>
      </c>
      <c r="C206" s="21">
        <v>129.0</v>
      </c>
      <c r="D206" s="21" t="s">
        <v>808</v>
      </c>
      <c r="E206" s="53">
        <f t="array" ref="E206:F206">VLOOKUP(C206,'NEW PTMT'!$B$4:$E1832,{3,4},0)</f>
        <v>518.16</v>
      </c>
      <c r="F206" s="30">
        <v>558.0</v>
      </c>
      <c r="G206" s="12">
        <v>24.0</v>
      </c>
      <c r="H206" s="18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17"/>
      <c r="Z206" s="6" t="str">
        <f t="shared" si="1"/>
        <v>Standard (New Handle)129</v>
      </c>
      <c r="AA206" s="18" t="str">
        <f t="shared" si="2"/>
        <v>Standard (New Handle)2 Way Bib Cock with Flange</v>
      </c>
      <c r="AB206" s="60">
        <f t="shared" si="3"/>
        <v>558</v>
      </c>
      <c r="AC206" s="61">
        <v>129.0</v>
      </c>
      <c r="AD206" s="57" t="s">
        <v>378</v>
      </c>
      <c r="AE206" s="18"/>
    </row>
    <row r="207">
      <c r="A207" s="5" t="s">
        <v>20</v>
      </c>
      <c r="B207" s="8" t="s">
        <v>65</v>
      </c>
      <c r="C207" s="21">
        <v>130.0</v>
      </c>
      <c r="D207" s="21" t="s">
        <v>939</v>
      </c>
      <c r="E207" s="53">
        <f t="array" ref="E207:F207">VLOOKUP(C207,'NEW PTMT'!$B$4:$E1832,{3,4},0)</f>
        <v>316.1184</v>
      </c>
      <c r="F207" s="30">
        <v>342.0</v>
      </c>
      <c r="G207" s="12">
        <v>66.0</v>
      </c>
      <c r="H207" s="18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17"/>
      <c r="Z207" s="6" t="str">
        <f t="shared" si="1"/>
        <v>Standard (New Handle)130</v>
      </c>
      <c r="AA207" s="18" t="str">
        <f t="shared" si="2"/>
        <v>Standard (New Handle)Pillar Cock with Flange</v>
      </c>
      <c r="AB207" s="60">
        <f t="shared" si="3"/>
        <v>342</v>
      </c>
      <c r="AC207" s="61">
        <v>130.0</v>
      </c>
      <c r="AD207" s="57" t="s">
        <v>416</v>
      </c>
      <c r="AE207" s="18"/>
    </row>
    <row r="208">
      <c r="A208" s="5" t="s">
        <v>20</v>
      </c>
      <c r="B208" s="8" t="s">
        <v>65</v>
      </c>
      <c r="C208" s="21">
        <v>131.0</v>
      </c>
      <c r="D208" s="21" t="s">
        <v>756</v>
      </c>
      <c r="E208" s="53">
        <f t="array" ref="E208:F208">VLOOKUP(C208,'NEW PTMT'!$B$4:$E1832,{3,4},0)</f>
        <v>362</v>
      </c>
      <c r="F208" s="30">
        <v>392.0</v>
      </c>
      <c r="G208" s="12">
        <v>30.0</v>
      </c>
      <c r="H208" s="18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17"/>
      <c r="Z208" s="6" t="str">
        <f t="shared" si="1"/>
        <v>Standard (New Handle)131</v>
      </c>
      <c r="AA208" s="18" t="str">
        <f t="shared" si="2"/>
        <v>Standard (New Handle)Pillar Cock Fancy with Flange</v>
      </c>
      <c r="AB208" s="60">
        <f t="shared" si="3"/>
        <v>392</v>
      </c>
      <c r="AC208" s="61">
        <v>131.0</v>
      </c>
      <c r="AD208" s="57" t="s">
        <v>701</v>
      </c>
      <c r="AE208" s="18"/>
    </row>
    <row r="209">
      <c r="A209" s="5" t="s">
        <v>20</v>
      </c>
      <c r="B209" s="8" t="s">
        <v>65</v>
      </c>
      <c r="C209" s="148" t="s">
        <v>940</v>
      </c>
      <c r="D209" s="21" t="s">
        <v>941</v>
      </c>
      <c r="E209" s="53">
        <f t="array" ref="E209:F209">VLOOKUP(C209,'NEW PTMT'!$B$4:$E1832,{3,4},0)</f>
        <v>362</v>
      </c>
      <c r="F209" s="30">
        <v>392.0</v>
      </c>
      <c r="G209" s="30">
        <v>30.0</v>
      </c>
      <c r="H209" s="18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17"/>
      <c r="Z209" s="6" t="str">
        <f t="shared" si="1"/>
        <v>Standard (New Handle)1311</v>
      </c>
      <c r="AA209" s="18" t="str">
        <f t="shared" si="2"/>
        <v>Standard (New Handle)Pillar Cock (Foam Flow) with Flange</v>
      </c>
      <c r="AB209" s="60">
        <f t="shared" si="3"/>
        <v>392</v>
      </c>
      <c r="AC209" s="61">
        <v>1311.0</v>
      </c>
      <c r="AD209" s="57" t="s">
        <v>682</v>
      </c>
      <c r="AE209" s="18"/>
    </row>
    <row r="210">
      <c r="A210" s="5" t="s">
        <v>20</v>
      </c>
      <c r="B210" s="8" t="s">
        <v>65</v>
      </c>
      <c r="C210" s="21">
        <v>132.0</v>
      </c>
      <c r="D210" s="21" t="s">
        <v>813</v>
      </c>
      <c r="E210" s="53">
        <f t="array" ref="E210:F210">VLOOKUP(C210,'NEW PTMT'!$B$4:$E1832,{3,4},0)</f>
        <v>682</v>
      </c>
      <c r="F210" s="30">
        <v>738.0</v>
      </c>
      <c r="G210" s="30">
        <v>13.0</v>
      </c>
      <c r="H210" s="18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17"/>
      <c r="Z210" s="6" t="str">
        <f t="shared" si="1"/>
        <v>Standard (New Handle)132</v>
      </c>
      <c r="AA210" s="18" t="str">
        <f t="shared" si="2"/>
        <v>Standard (New Handle)Sink Cock (W/M) with Flange</v>
      </c>
      <c r="AB210" s="60">
        <f t="shared" si="3"/>
        <v>738</v>
      </c>
      <c r="AC210" s="61">
        <v>132.0</v>
      </c>
      <c r="AD210" s="57" t="s">
        <v>436</v>
      </c>
      <c r="AE210" s="18"/>
    </row>
    <row r="211">
      <c r="A211" s="5" t="s">
        <v>20</v>
      </c>
      <c r="B211" s="8" t="s">
        <v>65</v>
      </c>
      <c r="C211" s="21" t="s">
        <v>942</v>
      </c>
      <c r="D211" s="21" t="s">
        <v>815</v>
      </c>
      <c r="E211" s="53">
        <f t="array" ref="E211:F211">VLOOKUP(C211,'NEW PTMT'!$B$4:$E1832,{3,4},0)</f>
        <v>732.36</v>
      </c>
      <c r="F211" s="30">
        <v>748.0</v>
      </c>
      <c r="G211" s="30">
        <v>13.0</v>
      </c>
      <c r="H211" s="18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17"/>
      <c r="Z211" s="6" t="str">
        <f t="shared" si="1"/>
        <v>Standard (New Handle)133</v>
      </c>
      <c r="AA211" s="18" t="str">
        <f t="shared" si="2"/>
        <v>Standard (New Handle)Sink Cock Long Spout (T/M) with Flange</v>
      </c>
      <c r="AB211" s="60">
        <f t="shared" si="3"/>
        <v>748</v>
      </c>
      <c r="AC211" s="61">
        <v>133.0</v>
      </c>
      <c r="AD211" s="57" t="s">
        <v>480</v>
      </c>
      <c r="AE211" s="18"/>
    </row>
    <row r="212">
      <c r="A212" s="5" t="s">
        <v>20</v>
      </c>
      <c r="B212" s="8" t="s">
        <v>65</v>
      </c>
      <c r="C212" s="148" t="s">
        <v>943</v>
      </c>
      <c r="D212" s="21" t="s">
        <v>910</v>
      </c>
      <c r="E212" s="53">
        <f t="array" ref="E212:F212">VLOOKUP(C212,'NEW PTMT'!$B$4:$E1832,{3,4},0)</f>
        <v>622</v>
      </c>
      <c r="F212" s="30">
        <v>672.0</v>
      </c>
      <c r="G212" s="12">
        <v>30.0</v>
      </c>
      <c r="H212" s="18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17"/>
      <c r="Z212" s="6" t="str">
        <f t="shared" si="1"/>
        <v>Standard (New Handle)1322</v>
      </c>
      <c r="AA212" s="18" t="str">
        <f t="shared" si="2"/>
        <v>Standard (New Handle)Sink Cock Small Spout (W/M) with Flange</v>
      </c>
      <c r="AB212" s="60">
        <f t="shared" si="3"/>
        <v>672</v>
      </c>
      <c r="AC212" s="61">
        <v>1322.0</v>
      </c>
      <c r="AD212" s="57" t="s">
        <v>457</v>
      </c>
      <c r="AE212" s="18"/>
    </row>
    <row r="213">
      <c r="A213" s="5" t="s">
        <v>20</v>
      </c>
      <c r="B213" s="8" t="s">
        <v>65</v>
      </c>
      <c r="C213" s="21">
        <v>134.0</v>
      </c>
      <c r="D213" s="21" t="s">
        <v>482</v>
      </c>
      <c r="E213" s="53">
        <f t="array" ref="E213:F213">VLOOKUP(C213,'NEW PTMT'!$B$4:$E1832,{3,4},0)</f>
        <v>1244.4</v>
      </c>
      <c r="F213" s="30">
        <v>1344.0</v>
      </c>
      <c r="G213" s="30">
        <v>13.0</v>
      </c>
      <c r="H213" s="18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17"/>
      <c r="Z213" s="6" t="str">
        <f t="shared" si="1"/>
        <v>Standard (New Handle)134</v>
      </c>
      <c r="AA213" s="18" t="str">
        <f t="shared" si="2"/>
        <v>Standard (New Handle)Sink Mixer with Flange</v>
      </c>
      <c r="AB213" s="60">
        <f t="shared" si="3"/>
        <v>1344</v>
      </c>
      <c r="AC213" s="61">
        <v>134.0</v>
      </c>
      <c r="AD213" s="57" t="s">
        <v>499</v>
      </c>
      <c r="AE213" s="18"/>
    </row>
    <row r="214">
      <c r="A214" s="5" t="s">
        <v>20</v>
      </c>
      <c r="B214" s="8" t="s">
        <v>65</v>
      </c>
      <c r="C214" s="21">
        <v>135.0</v>
      </c>
      <c r="D214" s="21" t="s">
        <v>502</v>
      </c>
      <c r="E214" s="53">
        <f t="array" ref="E214:F214">VLOOKUP(C214,'NEW PTMT'!$B$4:$E1832,{3,4},0)</f>
        <v>1244.4</v>
      </c>
      <c r="F214" s="30">
        <v>1344.0</v>
      </c>
      <c r="G214" s="30">
        <v>13.0</v>
      </c>
      <c r="H214" s="18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17"/>
      <c r="Z214" s="6" t="str">
        <f t="shared" si="1"/>
        <v>Standard (New Handle)135</v>
      </c>
      <c r="AA214" s="18" t="str">
        <f t="shared" si="2"/>
        <v>Standard (New Handle)Wall Mixer with Flange</v>
      </c>
      <c r="AB214" s="60">
        <f t="shared" si="3"/>
        <v>1344</v>
      </c>
      <c r="AC214" s="61">
        <v>135.0</v>
      </c>
      <c r="AD214" s="57" t="s">
        <v>519</v>
      </c>
      <c r="AE214" s="18"/>
    </row>
    <row r="215">
      <c r="A215" s="5" t="s">
        <v>20</v>
      </c>
      <c r="B215" s="8" t="s">
        <v>65</v>
      </c>
      <c r="C215" s="8" t="s">
        <v>945</v>
      </c>
      <c r="D215" s="8" t="s">
        <v>523</v>
      </c>
      <c r="E215" s="53">
        <f t="array" ref="E215:F215">VLOOKUP(C215,'NEW PTMT'!$B$4:$E1832,{3,4},0)</f>
        <v>1927.8</v>
      </c>
      <c r="F215" s="30">
        <v>2082.0</v>
      </c>
      <c r="G215" s="30"/>
      <c r="H215" s="18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17"/>
      <c r="Z215" s="6" t="str">
        <f t="shared" si="1"/>
        <v>Standard (New Handle)1374</v>
      </c>
      <c r="AA215" s="18" t="str">
        <f t="shared" si="2"/>
        <v>Standard (New Handle)2 in 1 Telephonic Wall Mixer</v>
      </c>
      <c r="AB215" s="60">
        <f t="shared" si="3"/>
        <v>2082</v>
      </c>
      <c r="AC215" s="61">
        <v>1374.0</v>
      </c>
      <c r="AD215" s="57" t="s">
        <v>540</v>
      </c>
      <c r="AE215" s="18"/>
    </row>
    <row r="216">
      <c r="A216" s="5" t="s">
        <v>20</v>
      </c>
      <c r="B216" s="8" t="s">
        <v>65</v>
      </c>
      <c r="C216" s="148" t="s">
        <v>946</v>
      </c>
      <c r="D216" s="21" t="s">
        <v>734</v>
      </c>
      <c r="E216" s="53">
        <f t="array" ref="E216:F216">VLOOKUP(C216,'NEW PTMT'!$B$4:$E1832,{3,4},0)</f>
        <v>1621.8</v>
      </c>
      <c r="F216" s="30">
        <v>1752.0</v>
      </c>
      <c r="G216" s="30">
        <v>6.0</v>
      </c>
      <c r="H216" s="18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17"/>
      <c r="Z216" s="6" t="str">
        <f t="shared" si="1"/>
        <v>Standard (New Handle)1375</v>
      </c>
      <c r="AA216" s="18" t="str">
        <f t="shared" si="2"/>
        <v>Standard (New Handle)Wall Mixer L Bend with Flange</v>
      </c>
      <c r="AB216" s="60">
        <f t="shared" si="3"/>
        <v>1752</v>
      </c>
      <c r="AC216" s="64" t="s">
        <v>560</v>
      </c>
      <c r="AD216" s="57" t="s">
        <v>561</v>
      </c>
      <c r="AE216" s="18"/>
    </row>
    <row r="217">
      <c r="A217" s="5" t="s">
        <v>20</v>
      </c>
      <c r="B217" s="8" t="s">
        <v>65</v>
      </c>
      <c r="C217" s="21">
        <v>141.0</v>
      </c>
      <c r="D217" s="21" t="s">
        <v>719</v>
      </c>
      <c r="E217" s="53">
        <f t="array" ref="E217:F217">VLOOKUP(C217,'NEW PTMT'!$B$4:$E1832,{3,4},0)</f>
        <v>224</v>
      </c>
      <c r="F217" s="30">
        <v>242.0</v>
      </c>
      <c r="G217" s="12">
        <v>132.0</v>
      </c>
      <c r="H217" s="18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17"/>
      <c r="Z217" s="6" t="str">
        <f t="shared" si="1"/>
        <v>Standard (New Handle)141</v>
      </c>
      <c r="AA217" s="18" t="str">
        <f t="shared" si="2"/>
        <v>Standard (New Handle)Stop Cock 15mm (M/T)</v>
      </c>
      <c r="AB217" s="60">
        <f t="shared" si="3"/>
        <v>242</v>
      </c>
      <c r="AC217" s="61">
        <v>141.0</v>
      </c>
      <c r="AD217" s="57" t="s">
        <v>719</v>
      </c>
      <c r="AE217" s="18"/>
    </row>
    <row r="218">
      <c r="A218" s="5" t="s">
        <v>20</v>
      </c>
      <c r="B218" s="8" t="s">
        <v>65</v>
      </c>
      <c r="C218" s="148" t="s">
        <v>824</v>
      </c>
      <c r="D218" s="21" t="s">
        <v>823</v>
      </c>
      <c r="E218" s="53">
        <f t="array" ref="E218:F218">VLOOKUP(C218,'NEW PTMT'!$B$4:$E1832,{3,4},0)</f>
        <v>252.4704</v>
      </c>
      <c r="F218" s="30">
        <v>274.0</v>
      </c>
      <c r="G218" s="30">
        <v>66.0</v>
      </c>
      <c r="H218" s="18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17"/>
      <c r="Z218" s="6" t="str">
        <f t="shared" si="1"/>
        <v>Standard (New Handle)141-N</v>
      </c>
      <c r="AA218" s="18" t="str">
        <f t="shared" si="2"/>
        <v>Standard (New Handle)Stop Cock 15mm with Nozzle</v>
      </c>
      <c r="AB218" s="60">
        <f t="shared" si="3"/>
        <v>274</v>
      </c>
      <c r="AC218" s="61" t="s">
        <v>824</v>
      </c>
      <c r="AD218" s="57" t="s">
        <v>721</v>
      </c>
      <c r="AE218" s="18"/>
    </row>
    <row r="219">
      <c r="A219" s="5" t="s">
        <v>20</v>
      </c>
      <c r="B219" s="8" t="s">
        <v>65</v>
      </c>
      <c r="C219" s="21">
        <v>142.0</v>
      </c>
      <c r="D219" s="21" t="s">
        <v>717</v>
      </c>
      <c r="E219" s="53">
        <f t="array" ref="E219:F219">VLOOKUP(C219,'NEW PTMT'!$B$4:$E1832,{3,4},0)</f>
        <v>224</v>
      </c>
      <c r="F219" s="30">
        <v>242.0</v>
      </c>
      <c r="G219" s="12">
        <v>132.0</v>
      </c>
      <c r="H219" s="18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17"/>
      <c r="Z219" s="6" t="str">
        <f t="shared" si="1"/>
        <v>Standard (New Handle)142</v>
      </c>
      <c r="AA219" s="18" t="str">
        <f t="shared" si="2"/>
        <v>Standard (New Handle)Stop Cock 15mm (F/T)</v>
      </c>
      <c r="AB219" s="60">
        <f t="shared" si="3"/>
        <v>242</v>
      </c>
      <c r="AC219" s="61">
        <v>142.0</v>
      </c>
      <c r="AD219" s="57" t="s">
        <v>717</v>
      </c>
      <c r="AE219" s="18"/>
    </row>
    <row r="220">
      <c r="A220" s="5" t="s">
        <v>20</v>
      </c>
      <c r="B220" s="8" t="s">
        <v>65</v>
      </c>
      <c r="C220" s="21">
        <v>143.0</v>
      </c>
      <c r="D220" s="21" t="s">
        <v>723</v>
      </c>
      <c r="E220" s="53">
        <f t="array" ref="E220:F220">VLOOKUP(C220,'NEW PTMT'!$B$4:$E1832,{3,4},0)</f>
        <v>236</v>
      </c>
      <c r="F220" s="30">
        <v>256.0</v>
      </c>
      <c r="G220" s="12">
        <v>132.0</v>
      </c>
      <c r="H220" s="18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17"/>
      <c r="Z220" s="6" t="str">
        <f t="shared" si="1"/>
        <v>Standard (New Handle)143</v>
      </c>
      <c r="AA220" s="18" t="str">
        <f t="shared" si="2"/>
        <v>Standard (New Handle)Stop Cock 20mm (F/T)</v>
      </c>
      <c r="AB220" s="60">
        <f t="shared" si="3"/>
        <v>256</v>
      </c>
      <c r="AC220" s="61">
        <v>143.0</v>
      </c>
      <c r="AD220" s="57" t="s">
        <v>723</v>
      </c>
      <c r="AE220" s="18"/>
    </row>
    <row r="221">
      <c r="A221" s="5" t="s">
        <v>20</v>
      </c>
      <c r="B221" s="8" t="s">
        <v>65</v>
      </c>
      <c r="C221" s="21">
        <v>144.0</v>
      </c>
      <c r="D221" s="21" t="s">
        <v>395</v>
      </c>
      <c r="E221" s="53">
        <f t="array" ref="E221:F221">VLOOKUP(C221,'NEW PTMT'!$B$4:$E1832,{3,4},0)</f>
        <v>216.4032</v>
      </c>
      <c r="F221" s="30">
        <v>234.0</v>
      </c>
      <c r="G221" s="12">
        <v>90.0</v>
      </c>
      <c r="H221" s="18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17"/>
      <c r="Z221" s="6" t="str">
        <f t="shared" si="1"/>
        <v>Standard (New Handle)144</v>
      </c>
      <c r="AA221" s="18" t="str">
        <f t="shared" si="2"/>
        <v>Standard (New Handle)Angle Cock with Flange</v>
      </c>
      <c r="AB221" s="60">
        <f t="shared" si="3"/>
        <v>234</v>
      </c>
      <c r="AC221" s="61">
        <v>144.0</v>
      </c>
      <c r="AD221" s="62" t="s">
        <v>395</v>
      </c>
      <c r="AE221" s="18"/>
    </row>
    <row r="222">
      <c r="A222" s="5" t="s">
        <v>20</v>
      </c>
      <c r="B222" s="8" t="s">
        <v>65</v>
      </c>
      <c r="C222" s="21">
        <v>145.0</v>
      </c>
      <c r="D222" s="21" t="s">
        <v>829</v>
      </c>
      <c r="E222" s="53">
        <f t="array" ref="E222:F222">VLOOKUP(C222,'NEW PTMT'!$B$4:$E1832,{3,4},0)</f>
        <v>472</v>
      </c>
      <c r="F222" s="30">
        <v>508.0</v>
      </c>
      <c r="G222" s="12">
        <v>35.0</v>
      </c>
      <c r="H222" s="18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17"/>
      <c r="Z222" s="6" t="str">
        <f t="shared" si="1"/>
        <v>Standard (New Handle)145</v>
      </c>
      <c r="AA222" s="18" t="str">
        <f t="shared" si="2"/>
        <v>Standard (New Handle)2 Way Angle Cock with Flange</v>
      </c>
      <c r="AB222" s="60">
        <f t="shared" si="3"/>
        <v>508</v>
      </c>
      <c r="AC222" s="61">
        <v>145.0</v>
      </c>
      <c r="AD222" s="57" t="s">
        <v>359</v>
      </c>
      <c r="AE222" s="18"/>
    </row>
    <row r="223">
      <c r="A223" s="5" t="s">
        <v>20</v>
      </c>
      <c r="B223" s="8" t="s">
        <v>65</v>
      </c>
      <c r="C223" s="21">
        <v>146.0</v>
      </c>
      <c r="D223" s="21" t="s">
        <v>663</v>
      </c>
      <c r="E223" s="53">
        <f t="array" ref="E223:F223">VLOOKUP(C223,'NEW PTMT'!$B$4:$E1832,{3,4},0)</f>
        <v>362</v>
      </c>
      <c r="F223" s="30">
        <v>392.0</v>
      </c>
      <c r="G223" s="12">
        <v>64.0</v>
      </c>
      <c r="H223" s="18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17"/>
      <c r="Z223" s="6" t="str">
        <f t="shared" si="1"/>
        <v>Standard (New Handle)146</v>
      </c>
      <c r="AA223" s="18" t="str">
        <f t="shared" si="2"/>
        <v>Standard (New Handle)Concealed Stop Cock 15mm</v>
      </c>
      <c r="AB223" s="60">
        <f t="shared" si="3"/>
        <v>392</v>
      </c>
      <c r="AC223" s="61">
        <v>146.0</v>
      </c>
      <c r="AD223" s="62" t="s">
        <v>663</v>
      </c>
      <c r="AE223" s="18"/>
    </row>
    <row r="224">
      <c r="A224" s="5" t="s">
        <v>20</v>
      </c>
      <c r="B224" s="8" t="s">
        <v>65</v>
      </c>
      <c r="C224" s="21">
        <v>148.0</v>
      </c>
      <c r="D224" s="21" t="s">
        <v>690</v>
      </c>
      <c r="E224" s="53">
        <f t="array" ref="E224:F224">VLOOKUP(C224,'NEW PTMT'!$B$4:$E1832,{3,4},0)</f>
        <v>372</v>
      </c>
      <c r="F224" s="30">
        <v>402.0</v>
      </c>
      <c r="G224" s="12">
        <v>64.0</v>
      </c>
      <c r="H224" s="18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17"/>
      <c r="Z224" s="6" t="str">
        <f t="shared" si="1"/>
        <v>Standard (New Handle)148</v>
      </c>
      <c r="AA224" s="18" t="str">
        <f t="shared" si="2"/>
        <v>Standard (New Handle)Concealed Stop Cock 20mm</v>
      </c>
      <c r="AB224" s="60">
        <f t="shared" si="3"/>
        <v>402</v>
      </c>
      <c r="AC224" s="61">
        <v>148.0</v>
      </c>
      <c r="AD224" s="62" t="s">
        <v>690</v>
      </c>
      <c r="AE224" s="18"/>
    </row>
    <row r="225">
      <c r="A225" s="5" t="s">
        <v>20</v>
      </c>
      <c r="B225" s="8" t="s">
        <v>65</v>
      </c>
      <c r="C225" s="148" t="s">
        <v>739</v>
      </c>
      <c r="D225" s="21" t="s">
        <v>678</v>
      </c>
      <c r="E225" s="53">
        <f t="array" ref="E225:F225">VLOOKUP(C225,'NEW PTMT'!$B$4:$E1832,{3,4},0)</f>
        <v>1256</v>
      </c>
      <c r="F225" s="30">
        <v>1356.0</v>
      </c>
      <c r="G225" s="30">
        <v>64.0</v>
      </c>
      <c r="H225" s="18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17"/>
      <c r="Z225" s="6" t="str">
        <f t="shared" si="1"/>
        <v>Standard (New Handle)146-B</v>
      </c>
      <c r="AA225" s="18" t="str">
        <f t="shared" si="2"/>
        <v>Standard (New Handle)Concealed Stop Cock 15mm with Brass Body</v>
      </c>
      <c r="AB225" s="60">
        <f t="shared" si="3"/>
        <v>1356</v>
      </c>
      <c r="AC225" s="61" t="s">
        <v>739</v>
      </c>
      <c r="AD225" s="62" t="s">
        <v>678</v>
      </c>
      <c r="AE225" s="18"/>
    </row>
    <row r="226">
      <c r="A226" s="5" t="s">
        <v>20</v>
      </c>
      <c r="B226" s="8" t="s">
        <v>65</v>
      </c>
      <c r="C226" s="148" t="s">
        <v>741</v>
      </c>
      <c r="D226" s="21" t="s">
        <v>693</v>
      </c>
      <c r="E226" s="53">
        <f t="array" ref="E226:F226">VLOOKUP(C226,'NEW PTMT'!$B$4:$E1832,{3,4},0)</f>
        <v>1276</v>
      </c>
      <c r="F226" s="30">
        <v>1378.0</v>
      </c>
      <c r="G226" s="30">
        <v>64.0</v>
      </c>
      <c r="H226" s="18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17"/>
      <c r="Z226" s="6" t="str">
        <f t="shared" si="1"/>
        <v>Standard (New Handle)148-B</v>
      </c>
      <c r="AA226" s="18" t="str">
        <f t="shared" si="2"/>
        <v>Standard (New Handle)Concealed Stop Cock 20mm with Brass Body</v>
      </c>
      <c r="AB226" s="60">
        <f t="shared" si="3"/>
        <v>1378</v>
      </c>
      <c r="AC226" s="61" t="s">
        <v>741</v>
      </c>
      <c r="AD226" s="62" t="s">
        <v>693</v>
      </c>
      <c r="AE226" s="18"/>
    </row>
    <row r="227">
      <c r="A227" s="5" t="s">
        <v>20</v>
      </c>
      <c r="B227" s="8" t="s">
        <v>65</v>
      </c>
      <c r="C227" s="21">
        <v>147.0</v>
      </c>
      <c r="D227" s="21" t="s">
        <v>710</v>
      </c>
      <c r="E227" s="53">
        <f t="array" ref="E227:F227">VLOOKUP(C227,'NEW PTMT'!$B$4:$E1832,{3,4},0)</f>
        <v>632</v>
      </c>
      <c r="F227" s="30">
        <v>684.0</v>
      </c>
      <c r="G227" s="30">
        <v>30.0</v>
      </c>
      <c r="H227" s="18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17"/>
      <c r="Z227" s="6" t="str">
        <f t="shared" si="1"/>
        <v>Standard (New Handle)147</v>
      </c>
      <c r="AA227" s="18" t="str">
        <f t="shared" si="2"/>
        <v>Standard (New Handle)Pillar Cock Swan Neck (T/M) with Flange</v>
      </c>
      <c r="AB227" s="60">
        <f t="shared" si="3"/>
        <v>684</v>
      </c>
      <c r="AC227" s="61">
        <v>147.0</v>
      </c>
      <c r="AD227" s="57" t="s">
        <v>616</v>
      </c>
      <c r="AE227" s="18"/>
    </row>
    <row r="228">
      <c r="A228" s="5" t="s">
        <v>20</v>
      </c>
      <c r="B228" s="8" t="s">
        <v>65</v>
      </c>
      <c r="C228" s="21" t="s">
        <v>947</v>
      </c>
      <c r="D228" s="21" t="s">
        <v>601</v>
      </c>
      <c r="E228" s="53">
        <f t="array" ref="E228:F228">VLOOKUP(C228,'NEW PTMT'!$B$4:$E1832,{3,4},0)</f>
        <v>668</v>
      </c>
      <c r="F228" s="30">
        <v>722.0</v>
      </c>
      <c r="G228" s="30">
        <v>30.0</v>
      </c>
      <c r="H228" s="18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17"/>
      <c r="Z228" s="6" t="str">
        <f t="shared" si="1"/>
        <v>Standard (New Handle)147-Q</v>
      </c>
      <c r="AA228" s="18" t="str">
        <f t="shared" si="2"/>
        <v>Standard (New Handle)Pillar Cock Swan Neck (T/M) Square Spout with Flange</v>
      </c>
      <c r="AB228" s="60">
        <f t="shared" si="3"/>
        <v>722</v>
      </c>
      <c r="AC228" s="61" t="s">
        <v>737</v>
      </c>
      <c r="AD228" s="57" t="s">
        <v>703</v>
      </c>
      <c r="AE228" s="18"/>
    </row>
    <row r="229">
      <c r="A229" s="5" t="s">
        <v>20</v>
      </c>
      <c r="B229" s="8" t="s">
        <v>65</v>
      </c>
      <c r="C229" s="148" t="s">
        <v>948</v>
      </c>
      <c r="D229" s="21" t="s">
        <v>731</v>
      </c>
      <c r="E229" s="53">
        <f t="array" ref="E229:F229">VLOOKUP(C229,'NEW PTMT'!$B$4:$E1832,{3,4},0)</f>
        <v>387.6</v>
      </c>
      <c r="F229" s="30">
        <v>418.0</v>
      </c>
      <c r="G229" s="30">
        <v>30.0</v>
      </c>
      <c r="H229" s="18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17"/>
      <c r="Z229" s="6" t="str">
        <f t="shared" si="1"/>
        <v>Standard (New Handle)149</v>
      </c>
      <c r="AA229" s="18" t="str">
        <f t="shared" si="2"/>
        <v>Standard (New Handle)Washing Machine Tap with Flange</v>
      </c>
      <c r="AB229" s="60">
        <f t="shared" si="3"/>
        <v>418</v>
      </c>
      <c r="AC229" s="61">
        <v>149.0</v>
      </c>
      <c r="AD229" s="62" t="s">
        <v>731</v>
      </c>
      <c r="AE229" s="18"/>
    </row>
    <row r="230">
      <c r="A230" s="5" t="s">
        <v>20</v>
      </c>
      <c r="B230" s="8" t="s">
        <v>65</v>
      </c>
      <c r="C230" s="21">
        <v>150.0</v>
      </c>
      <c r="D230" s="21" t="s">
        <v>712</v>
      </c>
      <c r="E230" s="53">
        <f t="array" ref="E230:F230">VLOOKUP(C230,'NEW PTMT'!$B$4:$E1832,{3,4},0)</f>
        <v>1423.92</v>
      </c>
      <c r="F230" s="30">
        <v>1538.0</v>
      </c>
      <c r="G230" s="30">
        <v>14.0</v>
      </c>
      <c r="H230" s="18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17"/>
      <c r="Z230" s="6" t="str">
        <f t="shared" si="1"/>
        <v>Standard (New Handle)150</v>
      </c>
      <c r="AA230" s="18" t="str">
        <f t="shared" si="2"/>
        <v>Standard (New Handle)Center Hole Basin Mixer</v>
      </c>
      <c r="AB230" s="60">
        <f t="shared" si="3"/>
        <v>1538</v>
      </c>
      <c r="AC230" s="61">
        <v>150.0</v>
      </c>
      <c r="AD230" s="57" t="s">
        <v>650</v>
      </c>
      <c r="AE230" s="18"/>
    </row>
    <row r="231">
      <c r="A231" s="5" t="s">
        <v>20</v>
      </c>
      <c r="B231" s="8" t="s">
        <v>65</v>
      </c>
      <c r="C231" s="21">
        <v>186.0</v>
      </c>
      <c r="D231" s="21" t="s">
        <v>727</v>
      </c>
      <c r="E231" s="53">
        <f t="array" ref="E231:F231">VLOOKUP(C231,'NEW PTMT'!$B$4:$E1832,{3,4},0)</f>
        <v>132</v>
      </c>
      <c r="F231" s="30">
        <v>142.0</v>
      </c>
      <c r="G231" s="30">
        <v>64.0</v>
      </c>
      <c r="H231" s="18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17"/>
      <c r="Z231" s="6" t="str">
        <f t="shared" si="1"/>
        <v>Standard (New Handle)186</v>
      </c>
      <c r="AA231" s="18" t="str">
        <f t="shared" si="2"/>
        <v>Standard (New Handle)Urinal Spreader 15mm</v>
      </c>
      <c r="AB231" s="60">
        <f t="shared" si="3"/>
        <v>142</v>
      </c>
      <c r="AC231" s="61">
        <v>186.0</v>
      </c>
      <c r="AD231" s="57" t="s">
        <v>727</v>
      </c>
      <c r="AE231" s="18"/>
    </row>
    <row r="232">
      <c r="A232" s="5" t="s">
        <v>20</v>
      </c>
      <c r="B232" s="8" t="s">
        <v>65</v>
      </c>
      <c r="C232" s="21">
        <v>1861.0</v>
      </c>
      <c r="D232" s="21" t="s">
        <v>725</v>
      </c>
      <c r="E232" s="53">
        <f t="array" ref="E232:F232">VLOOKUP(C232,'NEW PTMT'!$B$4:$E1832,{3,4},0)</f>
        <v>174</v>
      </c>
      <c r="F232" s="30">
        <v>188.0</v>
      </c>
      <c r="G232" s="30">
        <v>64.0</v>
      </c>
      <c r="H232" s="18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17"/>
      <c r="Z232" s="6" t="str">
        <f t="shared" si="1"/>
        <v>Standard (New Handle)1861</v>
      </c>
      <c r="AA232" s="18" t="str">
        <f t="shared" si="2"/>
        <v>Standard (New Handle)Urinal Fish 32mm</v>
      </c>
      <c r="AB232" s="60">
        <f t="shared" si="3"/>
        <v>188</v>
      </c>
      <c r="AC232" s="64" t="s">
        <v>1004</v>
      </c>
      <c r="AD232" s="57" t="s">
        <v>725</v>
      </c>
      <c r="AE232" s="18"/>
    </row>
    <row r="233">
      <c r="A233" s="5" t="s">
        <v>20</v>
      </c>
      <c r="B233" s="8" t="s">
        <v>53</v>
      </c>
      <c r="C233" s="21" t="s">
        <v>950</v>
      </c>
      <c r="D233" s="21" t="s">
        <v>951</v>
      </c>
      <c r="E233" s="53">
        <f t="array" ref="E233:F233">VLOOKUP(C233,'NEW PTMT'!$B$4:$E1832,{3,4},0)</f>
        <v>244</v>
      </c>
      <c r="F233" s="30">
        <v>264.0</v>
      </c>
      <c r="G233" s="12">
        <v>66.0</v>
      </c>
      <c r="H233" s="18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17"/>
      <c r="Z233" s="6" t="str">
        <f t="shared" si="1"/>
        <v>Crystal121</v>
      </c>
      <c r="AA233" s="18" t="str">
        <f t="shared" si="2"/>
        <v>CrystalBib Cock with Flange</v>
      </c>
      <c r="AB233" s="60">
        <f t="shared" si="3"/>
        <v>264</v>
      </c>
      <c r="AC233" s="61">
        <v>121.0</v>
      </c>
      <c r="AD233" s="57" t="s">
        <v>636</v>
      </c>
      <c r="AE233" s="18"/>
    </row>
    <row r="234">
      <c r="A234" s="5" t="s">
        <v>20</v>
      </c>
      <c r="B234" s="8" t="s">
        <v>53</v>
      </c>
      <c r="C234" s="8" t="s">
        <v>952</v>
      </c>
      <c r="D234" s="8" t="s">
        <v>748</v>
      </c>
      <c r="E234" s="53">
        <f t="array" ref="E234:F234">VLOOKUP(C234,'NEW PTMT'!$B$4:$E1832,{3,4},0)</f>
        <v>256</v>
      </c>
      <c r="F234" s="30">
        <v>276.0</v>
      </c>
      <c r="G234" s="12"/>
      <c r="H234" s="18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17"/>
      <c r="Z234" s="6" t="str">
        <f t="shared" si="1"/>
        <v>Crystal121-F</v>
      </c>
      <c r="AA234" s="18" t="str">
        <f t="shared" si="2"/>
        <v>CrystalBib Cock (Foam Flow) with Flange</v>
      </c>
      <c r="AB234" s="60">
        <f t="shared" si="3"/>
        <v>276</v>
      </c>
      <c r="AC234" s="61" t="s">
        <v>208</v>
      </c>
      <c r="AD234" s="57" t="s">
        <v>417</v>
      </c>
      <c r="AE234" s="18"/>
    </row>
    <row r="235">
      <c r="A235" s="5" t="s">
        <v>20</v>
      </c>
      <c r="B235" s="8" t="s">
        <v>53</v>
      </c>
      <c r="C235" s="21" t="s">
        <v>953</v>
      </c>
      <c r="D235" s="21" t="s">
        <v>798</v>
      </c>
      <c r="E235" s="53">
        <f t="array" ref="E235:F235">VLOOKUP(C235,'NEW PTMT'!$B$4:$E1832,{3,4},0)</f>
        <v>273.6864</v>
      </c>
      <c r="F235" s="30">
        <v>296.0</v>
      </c>
      <c r="G235" s="12">
        <v>60.0</v>
      </c>
      <c r="H235" s="18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17"/>
      <c r="Z235" s="6" t="str">
        <f t="shared" si="1"/>
        <v>Crystal123</v>
      </c>
      <c r="AA235" s="18" t="str">
        <f t="shared" si="2"/>
        <v>CrystalBib Cock Fancy with Flange</v>
      </c>
      <c r="AB235" s="60">
        <f t="shared" si="3"/>
        <v>296</v>
      </c>
      <c r="AC235" s="61">
        <v>123.0</v>
      </c>
      <c r="AD235" s="57" t="s">
        <v>333</v>
      </c>
      <c r="AE235" s="18"/>
    </row>
    <row r="236">
      <c r="A236" s="5" t="s">
        <v>20</v>
      </c>
      <c r="B236" s="8" t="s">
        <v>53</v>
      </c>
      <c r="C236" s="21" t="s">
        <v>954</v>
      </c>
      <c r="D236" s="21" t="s">
        <v>306</v>
      </c>
      <c r="E236" s="53">
        <f t="array" ref="E236:F236">VLOOKUP(C236,'NEW PTMT'!$B$4:$E1832,{3,4},0)</f>
        <v>283.56</v>
      </c>
      <c r="F236" s="30">
        <v>306.0</v>
      </c>
      <c r="G236" s="12">
        <v>46.0</v>
      </c>
      <c r="H236" s="18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17"/>
      <c r="Z236" s="6" t="str">
        <f t="shared" si="1"/>
        <v>Crystal123-F</v>
      </c>
      <c r="AA236" s="18" t="str">
        <f t="shared" si="2"/>
        <v>CrystalBib Cock Fancy (Foam Flow) with Flange</v>
      </c>
      <c r="AB236" s="60">
        <f t="shared" si="3"/>
        <v>306</v>
      </c>
      <c r="AC236" s="61" t="s">
        <v>471</v>
      </c>
      <c r="AD236" s="57" t="s">
        <v>437</v>
      </c>
      <c r="AE236" s="18"/>
    </row>
    <row r="237">
      <c r="A237" s="5" t="s">
        <v>20</v>
      </c>
      <c r="B237" s="8" t="s">
        <v>53</v>
      </c>
      <c r="C237" s="21" t="s">
        <v>955</v>
      </c>
      <c r="D237" s="21" t="s">
        <v>801</v>
      </c>
      <c r="E237" s="53">
        <f t="array" ref="E237:F237">VLOOKUP(C237,'NEW PTMT'!$B$4:$E1832,{3,4},0)</f>
        <v>332</v>
      </c>
      <c r="F237" s="30">
        <v>358.0</v>
      </c>
      <c r="G237" s="12">
        <v>60.0</v>
      </c>
      <c r="H237" s="18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17"/>
      <c r="Z237" s="6" t="str">
        <f t="shared" si="1"/>
        <v>Crystal123-N</v>
      </c>
      <c r="AA237" s="18" t="str">
        <f t="shared" si="2"/>
        <v>CrystalBib Cock Fancy with New Flange &amp; Nipple</v>
      </c>
      <c r="AB237" s="60">
        <f t="shared" si="3"/>
        <v>358</v>
      </c>
      <c r="AC237" s="61" t="s">
        <v>573</v>
      </c>
      <c r="AD237" s="57" t="s">
        <v>500</v>
      </c>
      <c r="AE237" s="18"/>
    </row>
    <row r="238">
      <c r="A238" s="5" t="s">
        <v>20</v>
      </c>
      <c r="B238" s="8" t="s">
        <v>53</v>
      </c>
      <c r="C238" s="21" t="s">
        <v>956</v>
      </c>
      <c r="D238" s="21" t="s">
        <v>803</v>
      </c>
      <c r="E238" s="53">
        <f t="array" ref="E238:F238">VLOOKUP(C238,'NEW PTMT'!$B$4:$E1832,{3,4},0)</f>
        <v>313.9968</v>
      </c>
      <c r="F238" s="30">
        <v>338.0</v>
      </c>
      <c r="G238" s="12">
        <v>46.0</v>
      </c>
      <c r="H238" s="18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17"/>
      <c r="Z238" s="6" t="str">
        <f t="shared" si="1"/>
        <v>Crystal124</v>
      </c>
      <c r="AA238" s="18" t="str">
        <f t="shared" si="2"/>
        <v>CrystalBib Cock Long Body with Flange</v>
      </c>
      <c r="AB238" s="60">
        <f t="shared" si="3"/>
        <v>338</v>
      </c>
      <c r="AC238" s="61">
        <v>124.0</v>
      </c>
      <c r="AD238" s="57" t="s">
        <v>358</v>
      </c>
      <c r="AE238" s="18"/>
    </row>
    <row r="239">
      <c r="A239" s="5" t="s">
        <v>20</v>
      </c>
      <c r="B239" s="8" t="s">
        <v>53</v>
      </c>
      <c r="C239" s="21" t="s">
        <v>957</v>
      </c>
      <c r="D239" s="21" t="s">
        <v>958</v>
      </c>
      <c r="E239" s="53">
        <f t="array" ref="E239:F239">VLOOKUP(C239,'NEW PTMT'!$B$4:$E1832,{3,4},0)</f>
        <v>328</v>
      </c>
      <c r="F239" s="30">
        <v>354.0</v>
      </c>
      <c r="G239" s="12">
        <v>46.0</v>
      </c>
      <c r="H239" s="18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17"/>
      <c r="Z239" s="6" t="str">
        <f t="shared" si="1"/>
        <v>Crystal124-F</v>
      </c>
      <c r="AA239" s="18" t="str">
        <f t="shared" si="2"/>
        <v>CrystalBib Cock Long Body (Foam Flow) with Flange</v>
      </c>
      <c r="AB239" s="60">
        <f t="shared" si="3"/>
        <v>354</v>
      </c>
      <c r="AC239" s="61" t="s">
        <v>698</v>
      </c>
      <c r="AD239" s="57" t="s">
        <v>520</v>
      </c>
      <c r="AE239" s="18"/>
    </row>
    <row r="240">
      <c r="A240" s="5" t="s">
        <v>20</v>
      </c>
      <c r="B240" s="8" t="s">
        <v>53</v>
      </c>
      <c r="C240" s="21" t="s">
        <v>959</v>
      </c>
      <c r="D240" s="21" t="s">
        <v>363</v>
      </c>
      <c r="E240" s="53">
        <f t="array" ref="E240:F240">VLOOKUP(C240,'NEW PTMT'!$B$4:$E1832,{3,4},0)</f>
        <v>277.9296</v>
      </c>
      <c r="F240" s="30">
        <v>298.0</v>
      </c>
      <c r="G240" s="12">
        <v>66.0</v>
      </c>
      <c r="H240" s="18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17"/>
      <c r="Z240" s="6" t="str">
        <f t="shared" si="1"/>
        <v>Crystal127</v>
      </c>
      <c r="AA240" s="18" t="str">
        <f t="shared" si="2"/>
        <v>CrystalBib Cock Nozzle with Flange</v>
      </c>
      <c r="AB240" s="60">
        <f t="shared" si="3"/>
        <v>298</v>
      </c>
      <c r="AC240" s="61">
        <v>127.0</v>
      </c>
      <c r="AD240" s="62" t="s">
        <v>363</v>
      </c>
      <c r="AE240" s="18"/>
    </row>
    <row r="241">
      <c r="A241" s="5" t="s">
        <v>20</v>
      </c>
      <c r="B241" s="8" t="s">
        <v>53</v>
      </c>
      <c r="C241" s="21" t="s">
        <v>960</v>
      </c>
      <c r="D241" s="21" t="s">
        <v>961</v>
      </c>
      <c r="E241" s="53">
        <f t="array" ref="E241:F241">VLOOKUP(C241,'NEW PTMT'!$B$4:$E1832,{3,4},0)</f>
        <v>552</v>
      </c>
      <c r="F241" s="30">
        <v>596.0</v>
      </c>
      <c r="G241" s="12">
        <v>24.0</v>
      </c>
      <c r="H241" s="18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17"/>
      <c r="Z241" s="6" t="str">
        <f t="shared" si="1"/>
        <v>Crystal129</v>
      </c>
      <c r="AA241" s="18" t="str">
        <f t="shared" si="2"/>
        <v>Crystal2 Way Bib Cock with Flange</v>
      </c>
      <c r="AB241" s="60">
        <f t="shared" si="3"/>
        <v>596</v>
      </c>
      <c r="AC241" s="61">
        <v>129.0</v>
      </c>
      <c r="AD241" s="57" t="s">
        <v>378</v>
      </c>
      <c r="AE241" s="18"/>
    </row>
    <row r="242">
      <c r="A242" s="5" t="s">
        <v>20</v>
      </c>
      <c r="B242" s="8" t="s">
        <v>53</v>
      </c>
      <c r="C242" s="21" t="s">
        <v>962</v>
      </c>
      <c r="D242" s="21" t="s">
        <v>939</v>
      </c>
      <c r="E242" s="53">
        <f t="array" ref="E242:F242">VLOOKUP(C242,'NEW PTMT'!$B$4:$E1832,{3,4},0)</f>
        <v>352</v>
      </c>
      <c r="F242" s="30">
        <v>378.0</v>
      </c>
      <c r="G242" s="12">
        <v>66.0</v>
      </c>
      <c r="H242" s="18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17"/>
      <c r="Z242" s="6" t="str">
        <f t="shared" si="1"/>
        <v>Crystal130</v>
      </c>
      <c r="AA242" s="18" t="str">
        <f t="shared" si="2"/>
        <v>CrystalPillar Cock with Flange</v>
      </c>
      <c r="AB242" s="60">
        <f t="shared" si="3"/>
        <v>378</v>
      </c>
      <c r="AC242" s="61">
        <v>130.0</v>
      </c>
      <c r="AD242" s="57" t="s">
        <v>416</v>
      </c>
      <c r="AE242" s="18"/>
    </row>
    <row r="243">
      <c r="A243" s="5" t="s">
        <v>20</v>
      </c>
      <c r="B243" s="8" t="s">
        <v>53</v>
      </c>
      <c r="C243" s="21" t="s">
        <v>963</v>
      </c>
      <c r="D243" s="21" t="s">
        <v>756</v>
      </c>
      <c r="E243" s="53">
        <f t="array" ref="E243:F243">VLOOKUP(C243,'NEW PTMT'!$B$4:$E1832,{3,4},0)</f>
        <v>387.6</v>
      </c>
      <c r="F243" s="30">
        <v>418.0</v>
      </c>
      <c r="G243" s="12">
        <v>30.0</v>
      </c>
      <c r="H243" s="18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17"/>
      <c r="Z243" s="6" t="str">
        <f t="shared" si="1"/>
        <v>Crystal131</v>
      </c>
      <c r="AA243" s="18" t="str">
        <f t="shared" si="2"/>
        <v>CrystalPillar Cock Fancy with Flange</v>
      </c>
      <c r="AB243" s="60">
        <f t="shared" si="3"/>
        <v>418</v>
      </c>
      <c r="AC243" s="61">
        <v>131.0</v>
      </c>
      <c r="AD243" s="57" t="s">
        <v>701</v>
      </c>
      <c r="AE243" s="18"/>
    </row>
    <row r="244">
      <c r="A244" s="5" t="s">
        <v>20</v>
      </c>
      <c r="B244" s="8" t="s">
        <v>53</v>
      </c>
      <c r="C244" s="21" t="s">
        <v>964</v>
      </c>
      <c r="D244" s="21" t="s">
        <v>756</v>
      </c>
      <c r="E244" s="53">
        <f t="array" ref="E244:F244">VLOOKUP(C244,'NEW PTMT'!$B$4:$E1832,{3,4},0)</f>
        <v>397.8</v>
      </c>
      <c r="F244" s="30">
        <v>428.0</v>
      </c>
      <c r="G244" s="12">
        <v>30.0</v>
      </c>
      <c r="H244" s="18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17"/>
      <c r="Z244" s="6" t="str">
        <f t="shared" si="1"/>
        <v>Crystal1311</v>
      </c>
      <c r="AA244" s="18" t="str">
        <f t="shared" si="2"/>
        <v>CrystalPillar Cock Fancy (R.H.) with Flange</v>
      </c>
      <c r="AB244" s="60">
        <f t="shared" si="3"/>
        <v>428</v>
      </c>
      <c r="AC244" s="64" t="s">
        <v>752</v>
      </c>
      <c r="AD244" s="57" t="s">
        <v>699</v>
      </c>
      <c r="AE244" s="18"/>
    </row>
    <row r="245">
      <c r="A245" s="5" t="s">
        <v>20</v>
      </c>
      <c r="B245" s="8" t="s">
        <v>53</v>
      </c>
      <c r="C245" s="21" t="s">
        <v>965</v>
      </c>
      <c r="D245" s="21" t="s">
        <v>966</v>
      </c>
      <c r="E245" s="53">
        <f t="array" ref="E245:F245">VLOOKUP(C245,'NEW PTMT'!$B$4:$E1832,{3,4},0)</f>
        <v>712</v>
      </c>
      <c r="F245" s="30">
        <v>768.0</v>
      </c>
      <c r="G245" s="12">
        <v>13.0</v>
      </c>
      <c r="H245" s="18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17"/>
      <c r="Z245" s="6" t="str">
        <f t="shared" si="1"/>
        <v>Crystal132</v>
      </c>
      <c r="AA245" s="18" t="str">
        <f t="shared" si="2"/>
        <v>CrystalSink Cock (W/M) with Flange</v>
      </c>
      <c r="AB245" s="60">
        <f t="shared" si="3"/>
        <v>768</v>
      </c>
      <c r="AC245" s="61">
        <v>132.0</v>
      </c>
      <c r="AD245" s="57" t="s">
        <v>436</v>
      </c>
      <c r="AE245" s="18"/>
    </row>
    <row r="246">
      <c r="A246" s="5" t="s">
        <v>20</v>
      </c>
      <c r="B246" s="8" t="s">
        <v>53</v>
      </c>
      <c r="C246" s="21" t="s">
        <v>967</v>
      </c>
      <c r="D246" s="21" t="s">
        <v>968</v>
      </c>
      <c r="E246" s="53">
        <f t="array" ref="E246:F246">VLOOKUP(C246,'NEW PTMT'!$B$4:$E1832,{3,4},0)</f>
        <v>714</v>
      </c>
      <c r="F246" s="30">
        <v>772.0</v>
      </c>
      <c r="G246" s="12">
        <v>13.0</v>
      </c>
      <c r="H246" s="18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17"/>
      <c r="Z246" s="6" t="str">
        <f t="shared" si="1"/>
        <v>Crystal133</v>
      </c>
      <c r="AA246" s="18" t="str">
        <f t="shared" si="2"/>
        <v>CrystalSink Cock Long Spout (T/M) with Flange</v>
      </c>
      <c r="AB246" s="60">
        <f t="shared" si="3"/>
        <v>772</v>
      </c>
      <c r="AC246" s="61">
        <v>133.0</v>
      </c>
      <c r="AD246" s="57" t="s">
        <v>480</v>
      </c>
      <c r="AE246" s="18"/>
    </row>
    <row r="247">
      <c r="A247" s="5" t="s">
        <v>20</v>
      </c>
      <c r="B247" s="8" t="s">
        <v>53</v>
      </c>
      <c r="C247" s="21" t="s">
        <v>969</v>
      </c>
      <c r="D247" s="21" t="s">
        <v>970</v>
      </c>
      <c r="E247" s="53">
        <f t="array" ref="E247:F247">VLOOKUP(C247,'NEW PTMT'!$B$4:$E1832,{3,4},0)</f>
        <v>1298</v>
      </c>
      <c r="F247" s="30">
        <v>1398.0</v>
      </c>
      <c r="G247" s="12">
        <v>13.0</v>
      </c>
      <c r="H247" s="18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17"/>
      <c r="Z247" s="6" t="str">
        <f t="shared" si="1"/>
        <v>Crystal134</v>
      </c>
      <c r="AA247" s="18" t="str">
        <f t="shared" si="2"/>
        <v>CrystalSink Mixer with Flange</v>
      </c>
      <c r="AB247" s="60">
        <f t="shared" si="3"/>
        <v>1398</v>
      </c>
      <c r="AC247" s="61">
        <v>134.0</v>
      </c>
      <c r="AD247" s="57" t="s">
        <v>499</v>
      </c>
      <c r="AE247" s="18"/>
    </row>
    <row r="248">
      <c r="A248" s="5" t="s">
        <v>20</v>
      </c>
      <c r="B248" s="8" t="s">
        <v>53</v>
      </c>
      <c r="C248" s="21" t="s">
        <v>971</v>
      </c>
      <c r="D248" s="21" t="s">
        <v>972</v>
      </c>
      <c r="E248" s="53">
        <f t="array" ref="E248:F248">VLOOKUP(C248,'NEW PTMT'!$B$4:$E1832,{3,4},0)</f>
        <v>1298</v>
      </c>
      <c r="F248" s="30">
        <v>1398.0</v>
      </c>
      <c r="G248" s="12">
        <v>13.0</v>
      </c>
      <c r="H248" s="18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17"/>
      <c r="Z248" s="6" t="str">
        <f t="shared" si="1"/>
        <v>Crystal135</v>
      </c>
      <c r="AA248" s="18" t="str">
        <f t="shared" si="2"/>
        <v>CrystalWall Mixer with Flange</v>
      </c>
      <c r="AB248" s="60">
        <f t="shared" si="3"/>
        <v>1398</v>
      </c>
      <c r="AC248" s="61">
        <v>135.0</v>
      </c>
      <c r="AD248" s="57" t="s">
        <v>519</v>
      </c>
      <c r="AE248" s="18"/>
    </row>
    <row r="249">
      <c r="A249" s="5" t="s">
        <v>20</v>
      </c>
      <c r="B249" s="8" t="s">
        <v>53</v>
      </c>
      <c r="C249" s="8" t="s">
        <v>973</v>
      </c>
      <c r="D249" s="8" t="s">
        <v>523</v>
      </c>
      <c r="E249" s="53">
        <f t="array" ref="E249:F249">VLOOKUP(C249,'NEW PTMT'!$B$4:$E1832,{3,4},0)</f>
        <v>1998</v>
      </c>
      <c r="F249" s="30">
        <v>2158.0</v>
      </c>
      <c r="G249" s="12"/>
      <c r="H249" s="18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17"/>
      <c r="Z249" s="6" t="str">
        <f t="shared" si="1"/>
        <v>Crystal1374</v>
      </c>
      <c r="AA249" s="18" t="str">
        <f t="shared" si="2"/>
        <v>Crystal2 in 1 Telephonic Wall Mixer</v>
      </c>
      <c r="AB249" s="60">
        <f t="shared" si="3"/>
        <v>2158</v>
      </c>
      <c r="AC249" s="61">
        <v>1374.0</v>
      </c>
      <c r="AD249" s="57" t="s">
        <v>540</v>
      </c>
      <c r="AE249" s="18"/>
    </row>
    <row r="250">
      <c r="A250" s="5" t="s">
        <v>20</v>
      </c>
      <c r="B250" s="8" t="s">
        <v>53</v>
      </c>
      <c r="C250" s="21" t="s">
        <v>974</v>
      </c>
      <c r="D250" s="21" t="s">
        <v>734</v>
      </c>
      <c r="E250" s="53">
        <f t="array" ref="E250:F250">VLOOKUP(C250,'NEW PTMT'!$B$4:$E1832,{3,4},0)</f>
        <v>1694</v>
      </c>
      <c r="F250" s="30">
        <v>1828.0</v>
      </c>
      <c r="G250" s="12">
        <v>6.0</v>
      </c>
      <c r="H250" s="18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17"/>
      <c r="Z250" s="6" t="str">
        <f t="shared" si="1"/>
        <v>Crystal1375</v>
      </c>
      <c r="AA250" s="18" t="str">
        <f t="shared" si="2"/>
        <v>CrystalWall Mixer L Bend with Flange</v>
      </c>
      <c r="AB250" s="60">
        <f t="shared" si="3"/>
        <v>1828</v>
      </c>
      <c r="AC250" s="64" t="s">
        <v>560</v>
      </c>
      <c r="AD250" s="57" t="s">
        <v>561</v>
      </c>
      <c r="AE250" s="18"/>
    </row>
    <row r="251">
      <c r="A251" s="5" t="s">
        <v>20</v>
      </c>
      <c r="B251" s="8" t="s">
        <v>53</v>
      </c>
      <c r="C251" s="21" t="s">
        <v>975</v>
      </c>
      <c r="D251" s="21" t="s">
        <v>719</v>
      </c>
      <c r="E251" s="53">
        <f t="array" ref="E251:F251">VLOOKUP(C251,'NEW PTMT'!$B$4:$E1832,{3,4},0)</f>
        <v>244</v>
      </c>
      <c r="F251" s="30">
        <v>264.0</v>
      </c>
      <c r="G251" s="12">
        <v>66.0</v>
      </c>
      <c r="H251" s="18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17"/>
      <c r="Z251" s="6" t="str">
        <f t="shared" si="1"/>
        <v>Crystal141</v>
      </c>
      <c r="AA251" s="18" t="str">
        <f t="shared" si="2"/>
        <v>CrystalStop Cock 15mm (M/T)</v>
      </c>
      <c r="AB251" s="60">
        <f t="shared" si="3"/>
        <v>264</v>
      </c>
      <c r="AC251" s="61">
        <v>141.0</v>
      </c>
      <c r="AD251" s="57" t="s">
        <v>719</v>
      </c>
      <c r="AE251" s="18"/>
    </row>
    <row r="252">
      <c r="A252" s="5" t="s">
        <v>20</v>
      </c>
      <c r="B252" s="8" t="s">
        <v>53</v>
      </c>
      <c r="C252" s="21" t="s">
        <v>976</v>
      </c>
      <c r="D252" s="21" t="s">
        <v>717</v>
      </c>
      <c r="E252" s="53">
        <f t="array" ref="E252:F252">VLOOKUP(C252,'NEW PTMT'!$B$4:$E1832,{3,4},0)</f>
        <v>252.4704</v>
      </c>
      <c r="F252" s="30">
        <v>274.0</v>
      </c>
      <c r="G252" s="12">
        <v>66.0</v>
      </c>
      <c r="H252" s="18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17"/>
      <c r="Z252" s="6" t="str">
        <f t="shared" si="1"/>
        <v>Crystal142</v>
      </c>
      <c r="AA252" s="18" t="str">
        <f t="shared" si="2"/>
        <v>CrystalStop Cock 15mm (F/T)</v>
      </c>
      <c r="AB252" s="60">
        <f t="shared" si="3"/>
        <v>274</v>
      </c>
      <c r="AC252" s="61">
        <v>142.0</v>
      </c>
      <c r="AD252" s="57" t="s">
        <v>717</v>
      </c>
      <c r="AE252" s="18"/>
    </row>
    <row r="253">
      <c r="A253" s="5" t="s">
        <v>20</v>
      </c>
      <c r="B253" s="8" t="s">
        <v>53</v>
      </c>
      <c r="C253" s="21" t="s">
        <v>977</v>
      </c>
      <c r="D253" s="21" t="s">
        <v>978</v>
      </c>
      <c r="E253" s="53">
        <f t="array" ref="E253:F253">VLOOKUP(C253,'NEW PTMT'!$B$4:$E1832,{3,4},0)</f>
        <v>236</v>
      </c>
      <c r="F253" s="30">
        <v>256.0</v>
      </c>
      <c r="G253" s="12">
        <v>90.0</v>
      </c>
      <c r="H253" s="18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17"/>
      <c r="Z253" s="6" t="str">
        <f t="shared" si="1"/>
        <v>Crystal144</v>
      </c>
      <c r="AA253" s="18" t="str">
        <f t="shared" si="2"/>
        <v>CrystalAngle Cock with Flange</v>
      </c>
      <c r="AB253" s="60">
        <f t="shared" si="3"/>
        <v>256</v>
      </c>
      <c r="AC253" s="61">
        <v>144.0</v>
      </c>
      <c r="AD253" s="57" t="s">
        <v>395</v>
      </c>
      <c r="AE253" s="18"/>
    </row>
    <row r="254">
      <c r="A254" s="5" t="s">
        <v>20</v>
      </c>
      <c r="B254" s="8" t="s">
        <v>53</v>
      </c>
      <c r="C254" s="21" t="s">
        <v>979</v>
      </c>
      <c r="D254" s="21" t="s">
        <v>980</v>
      </c>
      <c r="E254" s="53">
        <f t="array" ref="E254:F254">VLOOKUP(C254,'NEW PTMT'!$B$4:$E1832,{3,4},0)</f>
        <v>517.6704</v>
      </c>
      <c r="F254" s="30">
        <v>558.0</v>
      </c>
      <c r="G254" s="12">
        <v>35.0</v>
      </c>
      <c r="H254" s="18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17"/>
      <c r="Z254" s="6" t="str">
        <f t="shared" si="1"/>
        <v>Crystal145</v>
      </c>
      <c r="AA254" s="18" t="str">
        <f t="shared" si="2"/>
        <v>Crystal2 Way Angle Cock with Flange</v>
      </c>
      <c r="AB254" s="60">
        <f t="shared" si="3"/>
        <v>558</v>
      </c>
      <c r="AC254" s="61">
        <v>145.0</v>
      </c>
      <c r="AD254" s="57" t="s">
        <v>359</v>
      </c>
      <c r="AE254" s="18"/>
    </row>
    <row r="255">
      <c r="A255" s="5" t="s">
        <v>20</v>
      </c>
      <c r="B255" s="8" t="s">
        <v>53</v>
      </c>
      <c r="C255" s="21" t="s">
        <v>981</v>
      </c>
      <c r="D255" s="21" t="s">
        <v>663</v>
      </c>
      <c r="E255" s="53">
        <f t="array" ref="E255:F255">VLOOKUP(C255,'NEW PTMT'!$B$4:$E1832,{3,4},0)</f>
        <v>391.68</v>
      </c>
      <c r="F255" s="30">
        <v>424.0</v>
      </c>
      <c r="G255" s="12">
        <v>64.0</v>
      </c>
      <c r="H255" s="18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17"/>
      <c r="Z255" s="6" t="str">
        <f t="shared" si="1"/>
        <v>Crystal146</v>
      </c>
      <c r="AA255" s="18" t="str">
        <f t="shared" si="2"/>
        <v>CrystalConcealed Stop Cock 15mm</v>
      </c>
      <c r="AB255" s="60">
        <f t="shared" si="3"/>
        <v>424</v>
      </c>
      <c r="AC255" s="61">
        <v>146.0</v>
      </c>
      <c r="AD255" s="57" t="s">
        <v>663</v>
      </c>
      <c r="AE255" s="18"/>
    </row>
    <row r="256">
      <c r="A256" s="5" t="s">
        <v>20</v>
      </c>
      <c r="B256" s="8" t="s">
        <v>53</v>
      </c>
      <c r="C256" s="21" t="s">
        <v>982</v>
      </c>
      <c r="D256" s="21" t="s">
        <v>710</v>
      </c>
      <c r="E256" s="53">
        <f t="array" ref="E256:F256">VLOOKUP(C256,'NEW PTMT'!$B$4:$E1832,{3,4},0)</f>
        <v>672</v>
      </c>
      <c r="F256" s="30">
        <v>726.0</v>
      </c>
      <c r="G256" s="12">
        <v>30.0</v>
      </c>
      <c r="H256" s="18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17"/>
      <c r="Z256" s="6" t="str">
        <f t="shared" si="1"/>
        <v>Crystal147</v>
      </c>
      <c r="AA256" s="18" t="str">
        <f t="shared" si="2"/>
        <v>CrystalPillar Cock Swan Neck (T/M) with Flange</v>
      </c>
      <c r="AB256" s="60">
        <f t="shared" si="3"/>
        <v>726</v>
      </c>
      <c r="AC256" s="61">
        <v>147.0</v>
      </c>
      <c r="AD256" s="57" t="s">
        <v>616</v>
      </c>
      <c r="AE256" s="18"/>
    </row>
    <row r="257">
      <c r="A257" s="5" t="s">
        <v>20</v>
      </c>
      <c r="B257" s="8" t="s">
        <v>53</v>
      </c>
      <c r="C257" s="21" t="s">
        <v>983</v>
      </c>
      <c r="D257" s="21" t="s">
        <v>601</v>
      </c>
      <c r="E257" s="53">
        <f t="array" ref="E257:F257">VLOOKUP(C257,'NEW PTMT'!$B$4:$E1832,{3,4},0)</f>
        <v>682</v>
      </c>
      <c r="F257" s="30">
        <v>738.0</v>
      </c>
      <c r="G257" s="12">
        <v>30.0</v>
      </c>
      <c r="H257" s="18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17"/>
      <c r="Z257" s="6" t="str">
        <f t="shared" si="1"/>
        <v>Crystal147-Q</v>
      </c>
      <c r="AA257" s="18" t="str">
        <f t="shared" si="2"/>
        <v>CrystalPillar Cock Swan Neck (T/M) Square Spout with Flange</v>
      </c>
      <c r="AB257" s="60">
        <f t="shared" si="3"/>
        <v>738</v>
      </c>
      <c r="AC257" s="61" t="s">
        <v>737</v>
      </c>
      <c r="AD257" s="57" t="s">
        <v>703</v>
      </c>
      <c r="AE257" s="18"/>
    </row>
    <row r="258">
      <c r="A258" s="5" t="s">
        <v>20</v>
      </c>
      <c r="B258" s="8" t="s">
        <v>53</v>
      </c>
      <c r="C258" s="21" t="s">
        <v>984</v>
      </c>
      <c r="D258" s="21" t="s">
        <v>731</v>
      </c>
      <c r="E258" s="53">
        <f t="array" ref="E258:F258">VLOOKUP(C258,'NEW PTMT'!$B$4:$E1832,{3,4},0)</f>
        <v>395.76</v>
      </c>
      <c r="F258" s="30">
        <v>428.0</v>
      </c>
      <c r="G258" s="12">
        <v>30.0</v>
      </c>
      <c r="H258" s="18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17"/>
      <c r="Z258" s="6" t="str">
        <f t="shared" si="1"/>
        <v>Crystal149</v>
      </c>
      <c r="AA258" s="18" t="str">
        <f t="shared" si="2"/>
        <v>CrystalWashing Machine Tap with Flange</v>
      </c>
      <c r="AB258" s="60">
        <f t="shared" si="3"/>
        <v>428</v>
      </c>
      <c r="AC258" s="61">
        <v>149.0</v>
      </c>
      <c r="AD258" s="62" t="s">
        <v>731</v>
      </c>
      <c r="AE258" s="18"/>
    </row>
    <row r="259">
      <c r="A259" s="5" t="s">
        <v>20</v>
      </c>
      <c r="B259" s="8" t="s">
        <v>53</v>
      </c>
      <c r="C259" s="21" t="s">
        <v>985</v>
      </c>
      <c r="D259" s="21" t="s">
        <v>712</v>
      </c>
      <c r="E259" s="53">
        <f t="array" ref="E259:F259">VLOOKUP(C259,'NEW PTMT'!$B$4:$E1832,{3,4},0)</f>
        <v>1550.4</v>
      </c>
      <c r="F259" s="30">
        <v>1674.0</v>
      </c>
      <c r="G259" s="12">
        <v>14.0</v>
      </c>
      <c r="H259" s="18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17"/>
      <c r="Z259" s="6" t="str">
        <f t="shared" si="1"/>
        <v>Crystal150</v>
      </c>
      <c r="AA259" s="18" t="str">
        <f t="shared" si="2"/>
        <v>CrystalCenter Hole Basin Mixer</v>
      </c>
      <c r="AB259" s="60">
        <f t="shared" si="3"/>
        <v>1674</v>
      </c>
      <c r="AC259" s="61">
        <v>150.0</v>
      </c>
      <c r="AD259" s="57" t="s">
        <v>650</v>
      </c>
      <c r="AE259" s="18"/>
    </row>
    <row r="260">
      <c r="A260" s="5" t="s">
        <v>20</v>
      </c>
      <c r="B260" s="8" t="s">
        <v>57</v>
      </c>
      <c r="C260" s="21" t="s">
        <v>987</v>
      </c>
      <c r="D260" s="21" t="s">
        <v>951</v>
      </c>
      <c r="E260" s="53">
        <f t="array" ref="E260:F260">VLOOKUP(C260,'NEW PTMT'!$B$4:$E1832,{3,4},0)</f>
        <v>244</v>
      </c>
      <c r="F260" s="30">
        <v>264.0</v>
      </c>
      <c r="G260" s="12">
        <v>66.0</v>
      </c>
      <c r="H260" s="18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17"/>
      <c r="Z260" s="6" t="str">
        <f t="shared" si="1"/>
        <v>Cobra121</v>
      </c>
      <c r="AA260" s="18" t="str">
        <f t="shared" si="2"/>
        <v>CobraBib Cock with Flange</v>
      </c>
      <c r="AB260" s="60">
        <f t="shared" si="3"/>
        <v>264</v>
      </c>
      <c r="AC260" s="61">
        <v>121.0</v>
      </c>
      <c r="AD260" s="57" t="s">
        <v>636</v>
      </c>
      <c r="AE260" s="18"/>
    </row>
    <row r="261">
      <c r="A261" s="5" t="s">
        <v>20</v>
      </c>
      <c r="B261" s="8" t="s">
        <v>57</v>
      </c>
      <c r="C261" s="8" t="s">
        <v>988</v>
      </c>
      <c r="D261" s="8" t="s">
        <v>748</v>
      </c>
      <c r="E261" s="53">
        <f t="array" ref="E261:F261">VLOOKUP(C261,'NEW PTMT'!$B$4:$E1832,{3,4},0)</f>
        <v>256</v>
      </c>
      <c r="F261" s="30">
        <v>276.0</v>
      </c>
      <c r="G261" s="12"/>
      <c r="H261" s="18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17"/>
      <c r="Z261" s="6" t="str">
        <f t="shared" si="1"/>
        <v>Cobra121-F</v>
      </c>
      <c r="AA261" s="18" t="str">
        <f t="shared" si="2"/>
        <v>CobraBib Cock (Foam Flow) with Flange</v>
      </c>
      <c r="AB261" s="60">
        <f t="shared" si="3"/>
        <v>276</v>
      </c>
      <c r="AC261" s="61" t="s">
        <v>208</v>
      </c>
      <c r="AD261" s="57" t="s">
        <v>417</v>
      </c>
      <c r="AE261" s="18"/>
    </row>
    <row r="262">
      <c r="A262" s="5" t="s">
        <v>20</v>
      </c>
      <c r="B262" s="8" t="s">
        <v>57</v>
      </c>
      <c r="C262" s="21" t="s">
        <v>989</v>
      </c>
      <c r="D262" s="21" t="s">
        <v>798</v>
      </c>
      <c r="E262" s="53">
        <f t="array" ref="E262:F262">VLOOKUP(C262,'NEW PTMT'!$B$4:$E1832,{3,4},0)</f>
        <v>273.6864</v>
      </c>
      <c r="F262" s="30">
        <v>296.0</v>
      </c>
      <c r="G262" s="12">
        <v>60.0</v>
      </c>
      <c r="H262" s="18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17"/>
      <c r="Z262" s="6" t="str">
        <f t="shared" si="1"/>
        <v>Cobra123</v>
      </c>
      <c r="AA262" s="18" t="str">
        <f t="shared" si="2"/>
        <v>CobraBib Cock Fancy with Flange</v>
      </c>
      <c r="AB262" s="60">
        <f t="shared" si="3"/>
        <v>296</v>
      </c>
      <c r="AC262" s="61">
        <v>123.0</v>
      </c>
      <c r="AD262" s="57" t="s">
        <v>333</v>
      </c>
      <c r="AE262" s="18"/>
    </row>
    <row r="263">
      <c r="A263" s="5" t="s">
        <v>20</v>
      </c>
      <c r="B263" s="8" t="s">
        <v>57</v>
      </c>
      <c r="C263" s="21" t="s">
        <v>990</v>
      </c>
      <c r="D263" s="21" t="s">
        <v>306</v>
      </c>
      <c r="E263" s="53">
        <f t="array" ref="E263:F263">VLOOKUP(C263,'NEW PTMT'!$B$4:$E1832,{3,4},0)</f>
        <v>283.56</v>
      </c>
      <c r="F263" s="30">
        <v>306.0</v>
      </c>
      <c r="G263" s="12">
        <v>46.0</v>
      </c>
      <c r="H263" s="18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17"/>
      <c r="Z263" s="6" t="str">
        <f t="shared" si="1"/>
        <v>Cobra123-F</v>
      </c>
      <c r="AA263" s="18" t="str">
        <f t="shared" si="2"/>
        <v>CobraBib Cock Fancy (Foam Flow) with Flange</v>
      </c>
      <c r="AB263" s="60">
        <f t="shared" si="3"/>
        <v>306</v>
      </c>
      <c r="AC263" s="61" t="s">
        <v>471</v>
      </c>
      <c r="AD263" s="57" t="s">
        <v>437</v>
      </c>
      <c r="AE263" s="18"/>
    </row>
    <row r="264">
      <c r="A264" s="5" t="s">
        <v>20</v>
      </c>
      <c r="B264" s="8" t="s">
        <v>57</v>
      </c>
      <c r="C264" s="21" t="s">
        <v>991</v>
      </c>
      <c r="D264" s="21" t="s">
        <v>801</v>
      </c>
      <c r="E264" s="53">
        <f t="array" ref="E264:F264">VLOOKUP(C264,'NEW PTMT'!$B$4:$E1832,{3,4},0)</f>
        <v>332</v>
      </c>
      <c r="F264" s="30">
        <v>358.0</v>
      </c>
      <c r="G264" s="12">
        <v>60.0</v>
      </c>
      <c r="H264" s="18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17"/>
      <c r="Z264" s="6" t="str">
        <f t="shared" si="1"/>
        <v>Cobra123-N</v>
      </c>
      <c r="AA264" s="18" t="str">
        <f t="shared" si="2"/>
        <v>CobraBib Cock Fancy with New Flange &amp; Nipple</v>
      </c>
      <c r="AB264" s="60">
        <f t="shared" si="3"/>
        <v>358</v>
      </c>
      <c r="AC264" s="61" t="s">
        <v>573</v>
      </c>
      <c r="AD264" s="57" t="s">
        <v>500</v>
      </c>
      <c r="AE264" s="18"/>
    </row>
    <row r="265">
      <c r="A265" s="5" t="s">
        <v>20</v>
      </c>
      <c r="B265" s="8" t="s">
        <v>57</v>
      </c>
      <c r="C265" s="21" t="s">
        <v>992</v>
      </c>
      <c r="D265" s="21" t="s">
        <v>803</v>
      </c>
      <c r="E265" s="53">
        <f t="array" ref="E265:F265">VLOOKUP(C265,'NEW PTMT'!$B$4:$E1832,{3,4},0)</f>
        <v>313.9968</v>
      </c>
      <c r="F265" s="30">
        <v>338.0</v>
      </c>
      <c r="G265" s="12">
        <v>46.0</v>
      </c>
      <c r="H265" s="18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17"/>
      <c r="Z265" s="6" t="str">
        <f t="shared" si="1"/>
        <v>Cobra124</v>
      </c>
      <c r="AA265" s="18" t="str">
        <f t="shared" si="2"/>
        <v>CobraBib Cock Long Body with Flange</v>
      </c>
      <c r="AB265" s="60">
        <f t="shared" si="3"/>
        <v>338</v>
      </c>
      <c r="AC265" s="61">
        <v>124.0</v>
      </c>
      <c r="AD265" s="57" t="s">
        <v>358</v>
      </c>
      <c r="AE265" s="18"/>
    </row>
    <row r="266">
      <c r="A266" s="5" t="s">
        <v>20</v>
      </c>
      <c r="B266" s="8" t="s">
        <v>57</v>
      </c>
      <c r="C266" s="21" t="s">
        <v>993</v>
      </c>
      <c r="D266" s="21" t="s">
        <v>958</v>
      </c>
      <c r="E266" s="53">
        <f t="array" ref="E266:F266">VLOOKUP(C266,'NEW PTMT'!$B$4:$E1832,{3,4},0)</f>
        <v>328</v>
      </c>
      <c r="F266" s="30">
        <v>354.0</v>
      </c>
      <c r="G266" s="12">
        <v>46.0</v>
      </c>
      <c r="H266" s="18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17"/>
      <c r="Z266" s="6" t="str">
        <f t="shared" si="1"/>
        <v>Cobra124-F</v>
      </c>
      <c r="AA266" s="18" t="str">
        <f t="shared" si="2"/>
        <v>CobraBib Cock Long Body (Foam Flow) with Flange</v>
      </c>
      <c r="AB266" s="60">
        <f t="shared" si="3"/>
        <v>354</v>
      </c>
      <c r="AC266" s="61" t="s">
        <v>698</v>
      </c>
      <c r="AD266" s="57" t="s">
        <v>520</v>
      </c>
      <c r="AE266" s="18"/>
    </row>
    <row r="267">
      <c r="A267" s="5" t="s">
        <v>20</v>
      </c>
      <c r="B267" s="8" t="s">
        <v>57</v>
      </c>
      <c r="C267" s="21" t="s">
        <v>994</v>
      </c>
      <c r="D267" s="21" t="s">
        <v>363</v>
      </c>
      <c r="E267" s="53">
        <f t="array" ref="E267:F267">VLOOKUP(C267,'NEW PTMT'!$B$4:$E1832,{3,4},0)</f>
        <v>277.9296</v>
      </c>
      <c r="F267" s="30">
        <v>298.0</v>
      </c>
      <c r="G267" s="12">
        <v>66.0</v>
      </c>
      <c r="H267" s="18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17"/>
      <c r="Z267" s="6" t="str">
        <f t="shared" si="1"/>
        <v>Cobra127</v>
      </c>
      <c r="AA267" s="18" t="str">
        <f t="shared" si="2"/>
        <v>CobraBib Cock Nozzle with Flange</v>
      </c>
      <c r="AB267" s="60">
        <f t="shared" si="3"/>
        <v>298</v>
      </c>
      <c r="AC267" s="61">
        <v>127.0</v>
      </c>
      <c r="AD267" s="62" t="s">
        <v>363</v>
      </c>
      <c r="AE267" s="18"/>
    </row>
    <row r="268">
      <c r="A268" s="5" t="s">
        <v>20</v>
      </c>
      <c r="B268" s="8" t="s">
        <v>57</v>
      </c>
      <c r="C268" s="21" t="s">
        <v>995</v>
      </c>
      <c r="D268" s="21" t="s">
        <v>961</v>
      </c>
      <c r="E268" s="53">
        <f t="array" ref="E268:F268">VLOOKUP(C268,'NEW PTMT'!$B$4:$E1832,{3,4},0)</f>
        <v>552</v>
      </c>
      <c r="F268" s="30">
        <v>596.0</v>
      </c>
      <c r="G268" s="12">
        <v>24.0</v>
      </c>
      <c r="H268" s="18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17"/>
      <c r="Z268" s="6" t="str">
        <f t="shared" si="1"/>
        <v>Cobra129</v>
      </c>
      <c r="AA268" s="18" t="str">
        <f t="shared" si="2"/>
        <v>Cobra2 Way Bib Cock with Flange</v>
      </c>
      <c r="AB268" s="60">
        <f t="shared" si="3"/>
        <v>596</v>
      </c>
      <c r="AC268" s="61">
        <v>129.0</v>
      </c>
      <c r="AD268" s="57" t="s">
        <v>378</v>
      </c>
      <c r="AE268" s="18"/>
    </row>
    <row r="269">
      <c r="A269" s="5" t="s">
        <v>20</v>
      </c>
      <c r="B269" s="8" t="s">
        <v>57</v>
      </c>
      <c r="C269" s="21" t="s">
        <v>996</v>
      </c>
      <c r="D269" s="21" t="s">
        <v>939</v>
      </c>
      <c r="E269" s="53">
        <f t="array" ref="E269:F269">VLOOKUP(C269,'NEW PTMT'!$B$4:$E1832,{3,4},0)</f>
        <v>352</v>
      </c>
      <c r="F269" s="30">
        <v>378.0</v>
      </c>
      <c r="G269" s="12">
        <v>66.0</v>
      </c>
      <c r="H269" s="18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17"/>
      <c r="Z269" s="6" t="str">
        <f t="shared" si="1"/>
        <v>Cobra130</v>
      </c>
      <c r="AA269" s="18" t="str">
        <f t="shared" si="2"/>
        <v>CobraPillar Cock with Flange</v>
      </c>
      <c r="AB269" s="60">
        <f t="shared" si="3"/>
        <v>378</v>
      </c>
      <c r="AC269" s="61">
        <v>130.0</v>
      </c>
      <c r="AD269" s="57" t="s">
        <v>416</v>
      </c>
      <c r="AE269" s="18"/>
    </row>
    <row r="270">
      <c r="A270" s="5" t="s">
        <v>20</v>
      </c>
      <c r="B270" s="8" t="s">
        <v>57</v>
      </c>
      <c r="C270" s="21" t="s">
        <v>997</v>
      </c>
      <c r="D270" s="21" t="s">
        <v>756</v>
      </c>
      <c r="E270" s="53">
        <f t="array" ref="E270:F270">VLOOKUP(C270,'NEW PTMT'!$B$4:$E1832,{3,4},0)</f>
        <v>387.6</v>
      </c>
      <c r="F270" s="30">
        <v>418.0</v>
      </c>
      <c r="G270" s="12">
        <v>30.0</v>
      </c>
      <c r="H270" s="18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17"/>
      <c r="Z270" s="6" t="str">
        <f t="shared" si="1"/>
        <v>Cobra131</v>
      </c>
      <c r="AA270" s="18" t="str">
        <f t="shared" si="2"/>
        <v>CobraPillar Cock Fancy with Flange</v>
      </c>
      <c r="AB270" s="60">
        <f t="shared" si="3"/>
        <v>418</v>
      </c>
      <c r="AC270" s="61">
        <v>131.0</v>
      </c>
      <c r="AD270" s="57" t="s">
        <v>701</v>
      </c>
      <c r="AE270" s="18"/>
    </row>
    <row r="271">
      <c r="A271" s="5" t="s">
        <v>20</v>
      </c>
      <c r="B271" s="8" t="s">
        <v>57</v>
      </c>
      <c r="C271" s="21" t="s">
        <v>998</v>
      </c>
      <c r="D271" s="21" t="s">
        <v>756</v>
      </c>
      <c r="E271" s="53">
        <f t="array" ref="E271:F271">VLOOKUP(C271,'NEW PTMT'!$B$4:$E1832,{3,4},0)</f>
        <v>397.8</v>
      </c>
      <c r="F271" s="30">
        <v>428.0</v>
      </c>
      <c r="G271" s="12">
        <v>30.0</v>
      </c>
      <c r="H271" s="18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17"/>
      <c r="Z271" s="6" t="str">
        <f t="shared" si="1"/>
        <v>Cobra1311</v>
      </c>
      <c r="AA271" s="18" t="str">
        <f t="shared" si="2"/>
        <v>CobraPillar Cock Fancy (R.H.) with Flange</v>
      </c>
      <c r="AB271" s="60">
        <f t="shared" si="3"/>
        <v>428</v>
      </c>
      <c r="AC271" s="64" t="s">
        <v>752</v>
      </c>
      <c r="AD271" s="57" t="s">
        <v>699</v>
      </c>
      <c r="AE271" s="18"/>
    </row>
    <row r="272">
      <c r="A272" s="5" t="s">
        <v>20</v>
      </c>
      <c r="B272" s="8" t="s">
        <v>57</v>
      </c>
      <c r="C272" s="21" t="s">
        <v>999</v>
      </c>
      <c r="D272" s="21" t="s">
        <v>966</v>
      </c>
      <c r="E272" s="53">
        <f t="array" ref="E272:F272">VLOOKUP(C272,'NEW PTMT'!$B$4:$E1832,{3,4},0)</f>
        <v>712</v>
      </c>
      <c r="F272" s="30">
        <v>768.0</v>
      </c>
      <c r="G272" s="12">
        <v>13.0</v>
      </c>
      <c r="H272" s="18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17"/>
      <c r="Z272" s="6" t="str">
        <f t="shared" si="1"/>
        <v>Cobra132</v>
      </c>
      <c r="AA272" s="18" t="str">
        <f t="shared" si="2"/>
        <v>CobraSink Cock (W/M) with Flange</v>
      </c>
      <c r="AB272" s="60">
        <f t="shared" si="3"/>
        <v>768</v>
      </c>
      <c r="AC272" s="61">
        <v>132.0</v>
      </c>
      <c r="AD272" s="57" t="s">
        <v>436</v>
      </c>
      <c r="AE272" s="18"/>
    </row>
    <row r="273">
      <c r="A273" s="5" t="s">
        <v>20</v>
      </c>
      <c r="B273" s="8" t="s">
        <v>57</v>
      </c>
      <c r="C273" s="21" t="s">
        <v>1002</v>
      </c>
      <c r="D273" s="21" t="s">
        <v>968</v>
      </c>
      <c r="E273" s="53">
        <f t="array" ref="E273:F273">VLOOKUP(C273,'NEW PTMT'!$B$4:$E1832,{3,4},0)</f>
        <v>714</v>
      </c>
      <c r="F273" s="30">
        <v>772.0</v>
      </c>
      <c r="G273" s="12">
        <v>13.0</v>
      </c>
      <c r="H273" s="18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17"/>
      <c r="Z273" s="6" t="str">
        <f t="shared" si="1"/>
        <v>Cobra133</v>
      </c>
      <c r="AA273" s="18" t="str">
        <f t="shared" si="2"/>
        <v>CobraSink Cock Long Spout (T/M) with Flange</v>
      </c>
      <c r="AB273" s="60">
        <f t="shared" si="3"/>
        <v>772</v>
      </c>
      <c r="AC273" s="61">
        <v>133.0</v>
      </c>
      <c r="AD273" s="57" t="s">
        <v>480</v>
      </c>
      <c r="AE273" s="18"/>
    </row>
    <row r="274">
      <c r="A274" s="5" t="s">
        <v>20</v>
      </c>
      <c r="B274" s="8" t="s">
        <v>57</v>
      </c>
      <c r="C274" s="21" t="s">
        <v>1003</v>
      </c>
      <c r="D274" s="21" t="s">
        <v>970</v>
      </c>
      <c r="E274" s="53">
        <f t="array" ref="E274:F274">VLOOKUP(C274,'NEW PTMT'!$B$4:$E1832,{3,4},0)</f>
        <v>1298</v>
      </c>
      <c r="F274" s="30">
        <v>1398.0</v>
      </c>
      <c r="G274" s="12">
        <v>13.0</v>
      </c>
      <c r="H274" s="18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17"/>
      <c r="Z274" s="6" t="str">
        <f t="shared" si="1"/>
        <v>Cobra134</v>
      </c>
      <c r="AA274" s="18" t="str">
        <f t="shared" si="2"/>
        <v>CobraSink Mixer with Flange</v>
      </c>
      <c r="AB274" s="60">
        <f t="shared" si="3"/>
        <v>1398</v>
      </c>
      <c r="AC274" s="61">
        <v>134.0</v>
      </c>
      <c r="AD274" s="57" t="s">
        <v>499</v>
      </c>
      <c r="AE274" s="18"/>
    </row>
    <row r="275">
      <c r="A275" s="5" t="s">
        <v>20</v>
      </c>
      <c r="B275" s="8" t="s">
        <v>57</v>
      </c>
      <c r="C275" s="21" t="s">
        <v>1005</v>
      </c>
      <c r="D275" s="21" t="s">
        <v>972</v>
      </c>
      <c r="E275" s="53">
        <f t="array" ref="E275:F275">VLOOKUP(C275,'NEW PTMT'!$B$4:$E1832,{3,4},0)</f>
        <v>1298</v>
      </c>
      <c r="F275" s="30">
        <v>1398.0</v>
      </c>
      <c r="G275" s="12">
        <v>13.0</v>
      </c>
      <c r="H275" s="18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17"/>
      <c r="Z275" s="6" t="str">
        <f t="shared" si="1"/>
        <v>Cobra135</v>
      </c>
      <c r="AA275" s="18" t="str">
        <f t="shared" si="2"/>
        <v>CobraWall Mixer with Flange</v>
      </c>
      <c r="AB275" s="60">
        <f t="shared" si="3"/>
        <v>1398</v>
      </c>
      <c r="AC275" s="61">
        <v>135.0</v>
      </c>
      <c r="AD275" s="57" t="s">
        <v>519</v>
      </c>
      <c r="AE275" s="18"/>
    </row>
    <row r="276">
      <c r="A276" s="5" t="s">
        <v>20</v>
      </c>
      <c r="B276" s="8" t="s">
        <v>57</v>
      </c>
      <c r="C276" s="8" t="s">
        <v>1006</v>
      </c>
      <c r="D276" s="8" t="s">
        <v>523</v>
      </c>
      <c r="E276" s="53">
        <f t="array" ref="E276:F276">VLOOKUP(C276,'NEW PTMT'!$B$4:$E1832,{3,4},0)</f>
        <v>1998</v>
      </c>
      <c r="F276" s="30">
        <v>2158.0</v>
      </c>
      <c r="G276" s="12"/>
      <c r="H276" s="18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17"/>
      <c r="Z276" s="6" t="str">
        <f t="shared" si="1"/>
        <v>Cobra1374</v>
      </c>
      <c r="AA276" s="18" t="str">
        <f t="shared" si="2"/>
        <v>Cobra2 in 1 Telephonic Wall Mixer</v>
      </c>
      <c r="AB276" s="60">
        <f t="shared" si="3"/>
        <v>2158</v>
      </c>
      <c r="AC276" s="64" t="s">
        <v>539</v>
      </c>
      <c r="AD276" s="57" t="s">
        <v>540</v>
      </c>
      <c r="AE276" s="18"/>
    </row>
    <row r="277">
      <c r="A277" s="5" t="s">
        <v>20</v>
      </c>
      <c r="B277" s="8" t="s">
        <v>57</v>
      </c>
      <c r="C277" s="21" t="s">
        <v>1007</v>
      </c>
      <c r="D277" s="21" t="s">
        <v>734</v>
      </c>
      <c r="E277" s="53">
        <f t="array" ref="E277:F277">VLOOKUP(C277,'NEW PTMT'!$B$4:$E1832,{3,4},0)</f>
        <v>1694</v>
      </c>
      <c r="F277" s="30">
        <v>1828.0</v>
      </c>
      <c r="G277" s="12">
        <v>6.0</v>
      </c>
      <c r="H277" s="18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17"/>
      <c r="Z277" s="6" t="str">
        <f t="shared" si="1"/>
        <v>Cobra1375</v>
      </c>
      <c r="AA277" s="18" t="str">
        <f t="shared" si="2"/>
        <v>CobraWall Mixer L Bend with Flange</v>
      </c>
      <c r="AB277" s="60">
        <f t="shared" si="3"/>
        <v>1828</v>
      </c>
      <c r="AC277" s="64" t="s">
        <v>560</v>
      </c>
      <c r="AD277" s="57" t="s">
        <v>561</v>
      </c>
      <c r="AE277" s="18"/>
    </row>
    <row r="278">
      <c r="A278" s="5" t="s">
        <v>20</v>
      </c>
      <c r="B278" s="8" t="s">
        <v>57</v>
      </c>
      <c r="C278" s="21" t="s">
        <v>1008</v>
      </c>
      <c r="D278" s="21" t="s">
        <v>719</v>
      </c>
      <c r="E278" s="53">
        <f t="array" ref="E278:F278">VLOOKUP(C278,'NEW PTMT'!$B$4:$E1832,{3,4},0)</f>
        <v>244</v>
      </c>
      <c r="F278" s="30">
        <v>264.0</v>
      </c>
      <c r="G278" s="12">
        <v>66.0</v>
      </c>
      <c r="H278" s="18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17"/>
      <c r="Z278" s="6" t="str">
        <f t="shared" si="1"/>
        <v>Cobra141</v>
      </c>
      <c r="AA278" s="18" t="str">
        <f t="shared" si="2"/>
        <v>CobraStop Cock 15mm (M/T)</v>
      </c>
      <c r="AB278" s="60">
        <f t="shared" si="3"/>
        <v>264</v>
      </c>
      <c r="AC278" s="61">
        <v>141.0</v>
      </c>
      <c r="AD278" s="57" t="s">
        <v>719</v>
      </c>
      <c r="AE278" s="18"/>
    </row>
    <row r="279">
      <c r="A279" s="5" t="s">
        <v>20</v>
      </c>
      <c r="B279" s="8" t="s">
        <v>57</v>
      </c>
      <c r="C279" s="21" t="s">
        <v>1009</v>
      </c>
      <c r="D279" s="21" t="s">
        <v>717</v>
      </c>
      <c r="E279" s="53">
        <f t="array" ref="E279:F279">VLOOKUP(C279,'NEW PTMT'!$B$4:$E1832,{3,4},0)</f>
        <v>252.4704</v>
      </c>
      <c r="F279" s="30">
        <v>274.0</v>
      </c>
      <c r="G279" s="12">
        <v>132.0</v>
      </c>
      <c r="H279" s="18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17"/>
      <c r="Z279" s="6" t="str">
        <f t="shared" si="1"/>
        <v>Cobra142</v>
      </c>
      <c r="AA279" s="18" t="str">
        <f t="shared" si="2"/>
        <v>CobraStop Cock 15mm (F/T)</v>
      </c>
      <c r="AB279" s="60">
        <f t="shared" si="3"/>
        <v>274</v>
      </c>
      <c r="AC279" s="61">
        <v>142.0</v>
      </c>
      <c r="AD279" s="62" t="s">
        <v>717</v>
      </c>
      <c r="AE279" s="18"/>
    </row>
    <row r="280">
      <c r="A280" s="5" t="s">
        <v>20</v>
      </c>
      <c r="B280" s="8" t="s">
        <v>57</v>
      </c>
      <c r="C280" s="21" t="s">
        <v>1010</v>
      </c>
      <c r="D280" s="21" t="s">
        <v>723</v>
      </c>
      <c r="E280" s="53">
        <f t="array" ref="E280:F280">VLOOKUP(C280,'NEW PTMT'!$B$4:$E1832,{3,4},0)</f>
        <v>264</v>
      </c>
      <c r="F280" s="30">
        <v>284.0</v>
      </c>
      <c r="G280" s="12">
        <v>66.0</v>
      </c>
      <c r="H280" s="18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17"/>
      <c r="Z280" s="6" t="str">
        <f t="shared" si="1"/>
        <v>Cobra143</v>
      </c>
      <c r="AA280" s="18" t="str">
        <f t="shared" si="2"/>
        <v>CobraStop Cock 20mm (F/T)</v>
      </c>
      <c r="AB280" s="60">
        <f t="shared" si="3"/>
        <v>284</v>
      </c>
      <c r="AC280" s="61">
        <v>143.0</v>
      </c>
      <c r="AD280" s="57" t="s">
        <v>723</v>
      </c>
      <c r="AE280" s="18"/>
    </row>
    <row r="281">
      <c r="A281" s="5" t="s">
        <v>20</v>
      </c>
      <c r="B281" s="8" t="s">
        <v>57</v>
      </c>
      <c r="C281" s="21" t="s">
        <v>1011</v>
      </c>
      <c r="D281" s="21" t="s">
        <v>978</v>
      </c>
      <c r="E281" s="53">
        <f t="array" ref="E281:F281">VLOOKUP(C281,'NEW PTMT'!$B$4:$E1832,{3,4},0)</f>
        <v>236</v>
      </c>
      <c r="F281" s="30">
        <v>256.0</v>
      </c>
      <c r="G281" s="12">
        <v>90.0</v>
      </c>
      <c r="H281" s="18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17"/>
      <c r="Z281" s="6" t="str">
        <f t="shared" si="1"/>
        <v>Cobra144</v>
      </c>
      <c r="AA281" s="18" t="str">
        <f t="shared" si="2"/>
        <v>CobraAngle Cock with Flange</v>
      </c>
      <c r="AB281" s="60">
        <f t="shared" si="3"/>
        <v>256</v>
      </c>
      <c r="AC281" s="61">
        <v>144.0</v>
      </c>
      <c r="AD281" s="57" t="s">
        <v>395</v>
      </c>
      <c r="AE281" s="18"/>
    </row>
    <row r="282">
      <c r="A282" s="5" t="s">
        <v>20</v>
      </c>
      <c r="B282" s="8" t="s">
        <v>57</v>
      </c>
      <c r="C282" s="21" t="s">
        <v>1012</v>
      </c>
      <c r="D282" s="21" t="s">
        <v>980</v>
      </c>
      <c r="E282" s="53">
        <f t="array" ref="E282:F282">VLOOKUP(C282,'NEW PTMT'!$B$4:$E1832,{3,4},0)</f>
        <v>517.6704</v>
      </c>
      <c r="F282" s="30">
        <v>558.0</v>
      </c>
      <c r="G282" s="12">
        <v>35.0</v>
      </c>
      <c r="H282" s="18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17"/>
      <c r="Z282" s="6" t="str">
        <f t="shared" si="1"/>
        <v>Cobra145</v>
      </c>
      <c r="AA282" s="18" t="str">
        <f t="shared" si="2"/>
        <v>Cobra2 Way Angle Cock with Flange</v>
      </c>
      <c r="AB282" s="60">
        <f t="shared" si="3"/>
        <v>558</v>
      </c>
      <c r="AC282" s="61">
        <v>145.0</v>
      </c>
      <c r="AD282" s="57" t="s">
        <v>359</v>
      </c>
      <c r="AE282" s="18"/>
    </row>
    <row r="283">
      <c r="A283" s="5" t="s">
        <v>20</v>
      </c>
      <c r="B283" s="8" t="s">
        <v>57</v>
      </c>
      <c r="C283" s="21" t="s">
        <v>1013</v>
      </c>
      <c r="D283" s="21" t="s">
        <v>663</v>
      </c>
      <c r="E283" s="53">
        <f t="array" ref="E283:F283">VLOOKUP(C283,'NEW PTMT'!$B$4:$E1832,{3,4},0)</f>
        <v>391.68</v>
      </c>
      <c r="F283" s="30">
        <v>424.0</v>
      </c>
      <c r="G283" s="12">
        <v>64.0</v>
      </c>
      <c r="H283" s="18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17"/>
      <c r="Z283" s="6" t="str">
        <f t="shared" si="1"/>
        <v>Cobra146</v>
      </c>
      <c r="AA283" s="18" t="str">
        <f t="shared" si="2"/>
        <v>CobraConcealed Stop Cock 15mm</v>
      </c>
      <c r="AB283" s="60">
        <f t="shared" si="3"/>
        <v>424</v>
      </c>
      <c r="AC283" s="61">
        <v>146.0</v>
      </c>
      <c r="AD283" s="62" t="s">
        <v>663</v>
      </c>
      <c r="AE283" s="18"/>
    </row>
    <row r="284">
      <c r="A284" s="5" t="s">
        <v>20</v>
      </c>
      <c r="B284" s="8" t="s">
        <v>57</v>
      </c>
      <c r="C284" s="21" t="s">
        <v>1014</v>
      </c>
      <c r="D284" s="21" t="s">
        <v>710</v>
      </c>
      <c r="E284" s="53">
        <f t="array" ref="E284:F284">VLOOKUP(C284,'NEW PTMT'!$B$4:$E1832,{3,4},0)</f>
        <v>672</v>
      </c>
      <c r="F284" s="30">
        <v>726.0</v>
      </c>
      <c r="G284" s="12">
        <v>30.0</v>
      </c>
      <c r="H284" s="18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17"/>
      <c r="Z284" s="6" t="str">
        <f t="shared" si="1"/>
        <v>Cobra147</v>
      </c>
      <c r="AA284" s="18" t="str">
        <f t="shared" si="2"/>
        <v>CobraPillar Cock Swan Neck (T/M) with Flange</v>
      </c>
      <c r="AB284" s="60">
        <f t="shared" si="3"/>
        <v>726</v>
      </c>
      <c r="AC284" s="61">
        <v>147.0</v>
      </c>
      <c r="AD284" s="57" t="s">
        <v>616</v>
      </c>
      <c r="AE284" s="18"/>
    </row>
    <row r="285">
      <c r="A285" s="5" t="s">
        <v>20</v>
      </c>
      <c r="B285" s="8" t="s">
        <v>57</v>
      </c>
      <c r="C285" s="21" t="s">
        <v>1015</v>
      </c>
      <c r="D285" s="21" t="s">
        <v>601</v>
      </c>
      <c r="E285" s="53">
        <f t="array" ref="E285:F285">VLOOKUP(C285,'NEW PTMT'!$B$4:$E1832,{3,4},0)</f>
        <v>682</v>
      </c>
      <c r="F285" s="30">
        <v>738.0</v>
      </c>
      <c r="G285" s="12">
        <v>30.0</v>
      </c>
      <c r="H285" s="18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17"/>
      <c r="Z285" s="6" t="str">
        <f t="shared" si="1"/>
        <v>Cobra147-Q</v>
      </c>
      <c r="AA285" s="18" t="str">
        <f t="shared" si="2"/>
        <v>CobraPillar Cock Swan Neck (T/M) Square Spout with Flange</v>
      </c>
      <c r="AB285" s="60">
        <f t="shared" si="3"/>
        <v>738</v>
      </c>
      <c r="AC285" s="61" t="s">
        <v>737</v>
      </c>
      <c r="AD285" s="57" t="s">
        <v>703</v>
      </c>
      <c r="AE285" s="18"/>
    </row>
    <row r="286">
      <c r="A286" s="5" t="s">
        <v>20</v>
      </c>
      <c r="B286" s="8" t="s">
        <v>57</v>
      </c>
      <c r="C286" s="21" t="s">
        <v>1016</v>
      </c>
      <c r="D286" s="21" t="s">
        <v>731</v>
      </c>
      <c r="E286" s="53">
        <f t="array" ref="E286:F286">VLOOKUP(C286,'NEW PTMT'!$B$4:$E1832,{3,4},0)</f>
        <v>395.76</v>
      </c>
      <c r="F286" s="30">
        <v>428.0</v>
      </c>
      <c r="G286" s="12">
        <v>30.0</v>
      </c>
      <c r="H286" s="18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17"/>
      <c r="Z286" s="6" t="str">
        <f t="shared" si="1"/>
        <v>Cobra149</v>
      </c>
      <c r="AA286" s="18" t="str">
        <f t="shared" si="2"/>
        <v>CobraWashing Machine Tap with Flange</v>
      </c>
      <c r="AB286" s="60">
        <f t="shared" si="3"/>
        <v>428</v>
      </c>
      <c r="AC286" s="61">
        <v>149.0</v>
      </c>
      <c r="AD286" s="62" t="s">
        <v>731</v>
      </c>
      <c r="AE286" s="18"/>
    </row>
    <row r="287">
      <c r="A287" s="5" t="s">
        <v>20</v>
      </c>
      <c r="B287" s="8" t="s">
        <v>57</v>
      </c>
      <c r="C287" s="21" t="s">
        <v>1017</v>
      </c>
      <c r="D287" s="21" t="s">
        <v>712</v>
      </c>
      <c r="E287" s="53">
        <f t="array" ref="E287:F287">VLOOKUP(C287,'NEW PTMT'!$B$4:$E1832,{3,4},0)</f>
        <v>1550.4</v>
      </c>
      <c r="F287" s="30">
        <v>1674.0</v>
      </c>
      <c r="G287" s="12">
        <v>14.0</v>
      </c>
      <c r="H287" s="18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17"/>
      <c r="Z287" s="6" t="str">
        <f t="shared" si="1"/>
        <v>Cobra150</v>
      </c>
      <c r="AA287" s="18" t="str">
        <f t="shared" si="2"/>
        <v>CobraCenter Hole Basin Mixer</v>
      </c>
      <c r="AB287" s="60">
        <f t="shared" si="3"/>
        <v>1674</v>
      </c>
      <c r="AC287" s="61">
        <v>150.0</v>
      </c>
      <c r="AD287" s="57" t="s">
        <v>650</v>
      </c>
      <c r="AE287" s="18"/>
    </row>
    <row r="288">
      <c r="A288" s="5" t="s">
        <v>20</v>
      </c>
      <c r="B288" s="8" t="s">
        <v>70</v>
      </c>
      <c r="C288" s="21" t="s">
        <v>1019</v>
      </c>
      <c r="D288" s="21" t="s">
        <v>795</v>
      </c>
      <c r="E288" s="53">
        <f t="array" ref="E288:F288">VLOOKUP(C288,'NEW PTMT'!$B$4:$E1832,{3,4},0)</f>
        <v>218.28</v>
      </c>
      <c r="F288" s="30">
        <v>228.0</v>
      </c>
      <c r="G288" s="12">
        <v>108.0</v>
      </c>
      <c r="H288" s="18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17"/>
      <c r="Z288" s="6" t="str">
        <f t="shared" si="1"/>
        <v>Diamond121</v>
      </c>
      <c r="AA288" s="18" t="str">
        <f t="shared" si="2"/>
        <v>DiamondBib Cock with Flange</v>
      </c>
      <c r="AB288" s="60">
        <f t="shared" si="3"/>
        <v>228</v>
      </c>
      <c r="AC288" s="61">
        <v>121.0</v>
      </c>
      <c r="AD288" s="57" t="s">
        <v>636</v>
      </c>
      <c r="AE288" s="18"/>
    </row>
    <row r="289">
      <c r="A289" s="5" t="s">
        <v>20</v>
      </c>
      <c r="B289" s="8" t="s">
        <v>70</v>
      </c>
      <c r="C289" s="8" t="s">
        <v>1020</v>
      </c>
      <c r="D289" s="8" t="s">
        <v>748</v>
      </c>
      <c r="E289" s="53">
        <f t="array" ref="E289:F289">VLOOKUP(C289,'NEW PTMT'!$B$4:$E1832,{3,4},0)</f>
        <v>232</v>
      </c>
      <c r="F289" s="30">
        <v>242.0</v>
      </c>
      <c r="G289" s="12"/>
      <c r="H289" s="18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17"/>
      <c r="Z289" s="6" t="str">
        <f t="shared" si="1"/>
        <v>Diamond121-F</v>
      </c>
      <c r="AA289" s="18" t="str">
        <f t="shared" si="2"/>
        <v>DiamondBib Cock (Foam Flow) with Flange</v>
      </c>
      <c r="AB289" s="60">
        <f t="shared" si="3"/>
        <v>242</v>
      </c>
      <c r="AC289" s="61" t="s">
        <v>208</v>
      </c>
      <c r="AD289" s="57" t="s">
        <v>417</v>
      </c>
      <c r="AE289" s="18"/>
    </row>
    <row r="290">
      <c r="A290" s="5" t="s">
        <v>20</v>
      </c>
      <c r="B290" s="8" t="s">
        <v>70</v>
      </c>
      <c r="C290" s="21" t="s">
        <v>1021</v>
      </c>
      <c r="D290" s="21" t="s">
        <v>798</v>
      </c>
      <c r="E290" s="53">
        <f t="array" ref="E290:F290">VLOOKUP(C290,'NEW PTMT'!$B$4:$E1832,{3,4},0)</f>
        <v>252</v>
      </c>
      <c r="F290" s="30">
        <v>272.0</v>
      </c>
      <c r="G290" s="12">
        <v>46.0</v>
      </c>
      <c r="H290" s="18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17"/>
      <c r="Z290" s="6" t="str">
        <f t="shared" si="1"/>
        <v>Diamond123</v>
      </c>
      <c r="AA290" s="18" t="str">
        <f t="shared" si="2"/>
        <v>DiamondBib Cock Fancy with Flange</v>
      </c>
      <c r="AB290" s="60">
        <f t="shared" si="3"/>
        <v>272</v>
      </c>
      <c r="AC290" s="61">
        <v>123.0</v>
      </c>
      <c r="AD290" s="57" t="s">
        <v>333</v>
      </c>
      <c r="AE290" s="18"/>
    </row>
    <row r="291">
      <c r="A291" s="5" t="s">
        <v>20</v>
      </c>
      <c r="B291" s="8" t="s">
        <v>70</v>
      </c>
      <c r="C291" s="21" t="s">
        <v>1022</v>
      </c>
      <c r="D291" s="21" t="s">
        <v>306</v>
      </c>
      <c r="E291" s="53">
        <f t="array" ref="E291:F291">VLOOKUP(C291,'NEW PTMT'!$B$4:$E1832,{3,4},0)</f>
        <v>262</v>
      </c>
      <c r="F291" s="30">
        <v>284.0</v>
      </c>
      <c r="G291" s="12">
        <v>46.0</v>
      </c>
      <c r="H291" s="18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17"/>
      <c r="Z291" s="6" t="str">
        <f t="shared" si="1"/>
        <v>Diamond123-F</v>
      </c>
      <c r="AA291" s="18" t="str">
        <f t="shared" si="2"/>
        <v>DiamondBib Cock Fancy (Foam Flow) with Flange</v>
      </c>
      <c r="AB291" s="60">
        <f t="shared" si="3"/>
        <v>284</v>
      </c>
      <c r="AC291" s="61" t="s">
        <v>471</v>
      </c>
      <c r="AD291" s="57" t="s">
        <v>437</v>
      </c>
      <c r="AE291" s="18"/>
    </row>
    <row r="292">
      <c r="A292" s="5" t="s">
        <v>20</v>
      </c>
      <c r="B292" s="8" t="s">
        <v>70</v>
      </c>
      <c r="C292" s="21" t="s">
        <v>1023</v>
      </c>
      <c r="D292" s="21" t="s">
        <v>801</v>
      </c>
      <c r="E292" s="53">
        <f t="array" ref="E292:F292">VLOOKUP(C292,'NEW PTMT'!$B$4:$E1832,{3,4},0)</f>
        <v>303.96</v>
      </c>
      <c r="F292" s="30">
        <v>328.0</v>
      </c>
      <c r="G292" s="12">
        <v>60.0</v>
      </c>
      <c r="H292" s="18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17"/>
      <c r="Z292" s="6" t="str">
        <f t="shared" si="1"/>
        <v>Diamond123-N</v>
      </c>
      <c r="AA292" s="18" t="str">
        <f t="shared" si="2"/>
        <v>DiamondBib Cock Fancy with New Flange &amp; Nipple</v>
      </c>
      <c r="AB292" s="60">
        <f t="shared" si="3"/>
        <v>328</v>
      </c>
      <c r="AC292" s="61" t="s">
        <v>573</v>
      </c>
      <c r="AD292" s="57" t="s">
        <v>500</v>
      </c>
      <c r="AE292" s="18"/>
    </row>
    <row r="293">
      <c r="A293" s="5" t="s">
        <v>20</v>
      </c>
      <c r="B293" s="8" t="s">
        <v>70</v>
      </c>
      <c r="C293" s="21" t="s">
        <v>1024</v>
      </c>
      <c r="D293" s="21" t="s">
        <v>803</v>
      </c>
      <c r="E293" s="53">
        <f t="array" ref="E293:F293">VLOOKUP(C293,'NEW PTMT'!$B$4:$E1832,{3,4},0)</f>
        <v>291.72</v>
      </c>
      <c r="F293" s="30">
        <v>316.0</v>
      </c>
      <c r="G293" s="12">
        <v>46.0</v>
      </c>
      <c r="H293" s="18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17"/>
      <c r="Z293" s="6" t="str">
        <f t="shared" si="1"/>
        <v>Diamond124</v>
      </c>
      <c r="AA293" s="18" t="str">
        <f t="shared" si="2"/>
        <v>DiamondBib Cock Long Body with Flange</v>
      </c>
      <c r="AB293" s="60">
        <f t="shared" si="3"/>
        <v>316</v>
      </c>
      <c r="AC293" s="61">
        <v>124.0</v>
      </c>
      <c r="AD293" s="57" t="s">
        <v>358</v>
      </c>
      <c r="AE293" s="18"/>
    </row>
    <row r="294">
      <c r="A294" s="5" t="s">
        <v>20</v>
      </c>
      <c r="B294" s="8" t="s">
        <v>70</v>
      </c>
      <c r="C294" s="21" t="s">
        <v>1025</v>
      </c>
      <c r="D294" s="21" t="s">
        <v>339</v>
      </c>
      <c r="E294" s="53">
        <f t="array" ref="E294:F294">VLOOKUP(C294,'NEW PTMT'!$B$4:$E1832,{3,4},0)</f>
        <v>303.96</v>
      </c>
      <c r="F294" s="30">
        <v>328.0</v>
      </c>
      <c r="G294" s="12">
        <v>46.0</v>
      </c>
      <c r="H294" s="18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17"/>
      <c r="Z294" s="6" t="str">
        <f t="shared" si="1"/>
        <v>Diamond124-F</v>
      </c>
      <c r="AA294" s="18" t="str">
        <f t="shared" si="2"/>
        <v>DiamondBib Cock Long Body (Foam Flow) with Flange</v>
      </c>
      <c r="AB294" s="60">
        <f t="shared" si="3"/>
        <v>328</v>
      </c>
      <c r="AC294" s="61" t="s">
        <v>698</v>
      </c>
      <c r="AD294" s="57" t="s">
        <v>520</v>
      </c>
      <c r="AE294" s="18"/>
    </row>
    <row r="295">
      <c r="A295" s="5" t="s">
        <v>20</v>
      </c>
      <c r="B295" s="8" t="s">
        <v>70</v>
      </c>
      <c r="C295" s="21" t="s">
        <v>1026</v>
      </c>
      <c r="D295" s="21" t="s">
        <v>806</v>
      </c>
      <c r="E295" s="53">
        <f t="array" ref="E295:F295">VLOOKUP(C295,'NEW PTMT'!$B$4:$E1832,{3,4},0)</f>
        <v>252.4704</v>
      </c>
      <c r="F295" s="30">
        <v>274.0</v>
      </c>
      <c r="G295" s="12">
        <v>66.0</v>
      </c>
      <c r="H295" s="18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17"/>
      <c r="Z295" s="6" t="str">
        <f t="shared" si="1"/>
        <v>Diamond127</v>
      </c>
      <c r="AA295" s="18" t="str">
        <f t="shared" si="2"/>
        <v>DiamondBib Cock Nozzle with Flange</v>
      </c>
      <c r="AB295" s="60">
        <f t="shared" si="3"/>
        <v>274</v>
      </c>
      <c r="AC295" s="61">
        <v>127.0</v>
      </c>
      <c r="AD295" s="57" t="s">
        <v>363</v>
      </c>
      <c r="AE295" s="18"/>
    </row>
    <row r="296">
      <c r="A296" s="5" t="s">
        <v>20</v>
      </c>
      <c r="B296" s="8" t="s">
        <v>70</v>
      </c>
      <c r="C296" s="21" t="s">
        <v>1027</v>
      </c>
      <c r="D296" s="21" t="s">
        <v>808</v>
      </c>
      <c r="E296" s="53">
        <f t="array" ref="E296:F296">VLOOKUP(C296,'NEW PTMT'!$B$4:$E1832,{3,4},0)</f>
        <v>518.16</v>
      </c>
      <c r="F296" s="30">
        <v>558.0</v>
      </c>
      <c r="G296" s="12">
        <v>24.0</v>
      </c>
      <c r="H296" s="18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17"/>
      <c r="Z296" s="6" t="str">
        <f t="shared" si="1"/>
        <v>Diamond129</v>
      </c>
      <c r="AA296" s="18" t="str">
        <f t="shared" si="2"/>
        <v>Diamond2 Way Bib Cock with Flange</v>
      </c>
      <c r="AB296" s="60">
        <f t="shared" si="3"/>
        <v>558</v>
      </c>
      <c r="AC296" s="61">
        <v>129.0</v>
      </c>
      <c r="AD296" s="57" t="s">
        <v>378</v>
      </c>
      <c r="AE296" s="18"/>
    </row>
    <row r="297">
      <c r="A297" s="5" t="s">
        <v>20</v>
      </c>
      <c r="B297" s="8" t="s">
        <v>70</v>
      </c>
      <c r="C297" s="21" t="s">
        <v>1028</v>
      </c>
      <c r="D297" s="21" t="s">
        <v>810</v>
      </c>
      <c r="E297" s="53">
        <f t="array" ref="E297:F297">VLOOKUP(C297,'NEW PTMT'!$B$4:$E1832,{3,4},0)</f>
        <v>316.1184</v>
      </c>
      <c r="F297" s="30">
        <v>342.0</v>
      </c>
      <c r="G297" s="12">
        <v>66.0</v>
      </c>
      <c r="H297" s="18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17"/>
      <c r="Z297" s="6" t="str">
        <f t="shared" si="1"/>
        <v>Diamond130</v>
      </c>
      <c r="AA297" s="18" t="str">
        <f t="shared" si="2"/>
        <v>DiamondPillar Cock with Flange</v>
      </c>
      <c r="AB297" s="60">
        <f t="shared" si="3"/>
        <v>342</v>
      </c>
      <c r="AC297" s="61">
        <v>130.0</v>
      </c>
      <c r="AD297" s="57" t="s">
        <v>416</v>
      </c>
      <c r="AE297" s="18"/>
    </row>
    <row r="298">
      <c r="A298" s="5" t="s">
        <v>20</v>
      </c>
      <c r="B298" s="8" t="s">
        <v>70</v>
      </c>
      <c r="C298" s="21" t="s">
        <v>1029</v>
      </c>
      <c r="D298" s="21" t="s">
        <v>781</v>
      </c>
      <c r="E298" s="53">
        <f t="array" ref="E298:F298">VLOOKUP(C298,'NEW PTMT'!$B$4:$E1832,{3,4},0)</f>
        <v>362</v>
      </c>
      <c r="F298" s="30">
        <v>392.0</v>
      </c>
      <c r="G298" s="12">
        <v>30.0</v>
      </c>
      <c r="H298" s="18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17"/>
      <c r="Z298" s="6" t="str">
        <f t="shared" si="1"/>
        <v>Diamond131</v>
      </c>
      <c r="AA298" s="18" t="str">
        <f t="shared" si="2"/>
        <v>DiamondPillar Cock Fancy with Flange</v>
      </c>
      <c r="AB298" s="60">
        <f t="shared" si="3"/>
        <v>392</v>
      </c>
      <c r="AC298" s="61">
        <v>131.0</v>
      </c>
      <c r="AD298" s="57" t="s">
        <v>701</v>
      </c>
      <c r="AE298" s="18"/>
    </row>
    <row r="299">
      <c r="A299" s="5" t="s">
        <v>20</v>
      </c>
      <c r="B299" s="8" t="s">
        <v>70</v>
      </c>
      <c r="C299" s="21" t="s">
        <v>1030</v>
      </c>
      <c r="D299" s="21" t="s">
        <v>813</v>
      </c>
      <c r="E299" s="53">
        <f t="array" ref="E299:F299">VLOOKUP(C299,'NEW PTMT'!$B$4:$E1832,{3,4},0)</f>
        <v>682</v>
      </c>
      <c r="F299" s="30">
        <v>738.0</v>
      </c>
      <c r="G299" s="12">
        <v>13.0</v>
      </c>
      <c r="H299" s="18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17"/>
      <c r="Z299" s="6" t="str">
        <f t="shared" si="1"/>
        <v>Diamond132</v>
      </c>
      <c r="AA299" s="18" t="str">
        <f t="shared" si="2"/>
        <v>DiamondSink Cock (W/M) with Flange</v>
      </c>
      <c r="AB299" s="60">
        <f t="shared" si="3"/>
        <v>738</v>
      </c>
      <c r="AC299" s="61">
        <v>132.0</v>
      </c>
      <c r="AD299" s="57" t="s">
        <v>436</v>
      </c>
      <c r="AE299" s="18"/>
    </row>
    <row r="300">
      <c r="A300" s="5" t="s">
        <v>20</v>
      </c>
      <c r="B300" s="8" t="s">
        <v>70</v>
      </c>
      <c r="C300" s="21" t="s">
        <v>1031</v>
      </c>
      <c r="D300" s="21" t="s">
        <v>815</v>
      </c>
      <c r="E300" s="53">
        <f t="array" ref="E300:F300">VLOOKUP(C300,'NEW PTMT'!$B$4:$E1832,{3,4},0)</f>
        <v>691.6416</v>
      </c>
      <c r="F300" s="30">
        <v>748.0</v>
      </c>
      <c r="G300" s="12">
        <v>13.0</v>
      </c>
      <c r="H300" s="18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17"/>
      <c r="Z300" s="6" t="str">
        <f t="shared" si="1"/>
        <v>Diamond133</v>
      </c>
      <c r="AA300" s="18" t="str">
        <f t="shared" si="2"/>
        <v>DiamondSink Cock Long Spout (T/M) with Flange</v>
      </c>
      <c r="AB300" s="60">
        <f t="shared" si="3"/>
        <v>748</v>
      </c>
      <c r="AC300" s="61">
        <v>133.0</v>
      </c>
      <c r="AD300" s="57" t="s">
        <v>480</v>
      </c>
      <c r="AE300" s="18"/>
    </row>
    <row r="301">
      <c r="A301" s="5" t="s">
        <v>20</v>
      </c>
      <c r="B301" s="8" t="s">
        <v>70</v>
      </c>
      <c r="C301" s="21" t="s">
        <v>1032</v>
      </c>
      <c r="D301" s="21" t="s">
        <v>482</v>
      </c>
      <c r="E301" s="53">
        <f t="array" ref="E301:F301">VLOOKUP(C301,'NEW PTMT'!$B$4:$E1832,{3,4},0)</f>
        <v>1244.4</v>
      </c>
      <c r="F301" s="30">
        <v>1344.0</v>
      </c>
      <c r="G301" s="12">
        <v>13.0</v>
      </c>
      <c r="H301" s="18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17"/>
      <c r="Z301" s="6" t="str">
        <f t="shared" si="1"/>
        <v>Diamond134</v>
      </c>
      <c r="AA301" s="18" t="str">
        <f t="shared" si="2"/>
        <v>DiamondSink Mixer with Flange</v>
      </c>
      <c r="AB301" s="60">
        <f t="shared" si="3"/>
        <v>1344</v>
      </c>
      <c r="AC301" s="61">
        <v>134.0</v>
      </c>
      <c r="AD301" s="57" t="s">
        <v>499</v>
      </c>
      <c r="AE301" s="18"/>
    </row>
    <row r="302">
      <c r="A302" s="5" t="s">
        <v>20</v>
      </c>
      <c r="B302" s="8" t="s">
        <v>70</v>
      </c>
      <c r="C302" s="21" t="s">
        <v>1033</v>
      </c>
      <c r="D302" s="21" t="s">
        <v>502</v>
      </c>
      <c r="E302" s="53">
        <f t="array" ref="E302:F302">VLOOKUP(C302,'NEW PTMT'!$B$4:$E1832,{3,4},0)</f>
        <v>1244.4</v>
      </c>
      <c r="F302" s="30">
        <v>1344.0</v>
      </c>
      <c r="G302" s="12">
        <v>13.0</v>
      </c>
      <c r="H302" s="18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17"/>
      <c r="Z302" s="6" t="str">
        <f t="shared" si="1"/>
        <v>Diamond135</v>
      </c>
      <c r="AA302" s="18" t="str">
        <f t="shared" si="2"/>
        <v>DiamondWall Mixer with Flange</v>
      </c>
      <c r="AB302" s="60">
        <f t="shared" si="3"/>
        <v>1344</v>
      </c>
      <c r="AC302" s="61">
        <v>135.0</v>
      </c>
      <c r="AD302" s="57" t="s">
        <v>519</v>
      </c>
      <c r="AE302" s="18"/>
    </row>
    <row r="303">
      <c r="A303" s="5" t="s">
        <v>20</v>
      </c>
      <c r="B303" s="8" t="s">
        <v>70</v>
      </c>
      <c r="C303" s="8" t="s">
        <v>1034</v>
      </c>
      <c r="D303" s="8" t="s">
        <v>523</v>
      </c>
      <c r="E303" s="53">
        <f t="array" ref="E303:F303">VLOOKUP(C303,'NEW PTMT'!$B$4:$E1832,{3,4},0)</f>
        <v>1927.8</v>
      </c>
      <c r="F303" s="30">
        <v>2082.0</v>
      </c>
      <c r="G303" s="12"/>
      <c r="H303" s="18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17"/>
      <c r="Z303" s="6" t="str">
        <f t="shared" si="1"/>
        <v>Diamond1374</v>
      </c>
      <c r="AA303" s="18" t="str">
        <f t="shared" si="2"/>
        <v>Diamond2 in 1 Telephonic Wall Mixer</v>
      </c>
      <c r="AB303" s="60">
        <f t="shared" si="3"/>
        <v>2082</v>
      </c>
      <c r="AC303" s="64" t="s">
        <v>539</v>
      </c>
      <c r="AD303" s="57" t="s">
        <v>540</v>
      </c>
      <c r="AE303" s="18"/>
    </row>
    <row r="304">
      <c r="A304" s="5" t="s">
        <v>20</v>
      </c>
      <c r="B304" s="8" t="s">
        <v>70</v>
      </c>
      <c r="C304" s="21" t="s">
        <v>1035</v>
      </c>
      <c r="D304" s="21" t="s">
        <v>820</v>
      </c>
      <c r="E304" s="53">
        <f t="array" ref="E304:F304">VLOOKUP(C304,'NEW PTMT'!$B$4:$E1832,{3,4},0)</f>
        <v>1621.8</v>
      </c>
      <c r="F304" s="30">
        <v>1752.0</v>
      </c>
      <c r="G304" s="12">
        <v>6.0</v>
      </c>
      <c r="H304" s="18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17"/>
      <c r="Z304" s="6" t="str">
        <f t="shared" si="1"/>
        <v>Diamond1375</v>
      </c>
      <c r="AA304" s="18" t="str">
        <f t="shared" si="2"/>
        <v>DiamondWall Mixer L Bend with Flange</v>
      </c>
      <c r="AB304" s="60">
        <f t="shared" si="3"/>
        <v>1752</v>
      </c>
      <c r="AC304" s="64" t="s">
        <v>560</v>
      </c>
      <c r="AD304" s="57" t="s">
        <v>561</v>
      </c>
      <c r="AE304" s="18"/>
    </row>
    <row r="305">
      <c r="A305" s="5" t="s">
        <v>20</v>
      </c>
      <c r="B305" s="8" t="s">
        <v>70</v>
      </c>
      <c r="C305" s="21" t="s">
        <v>1036</v>
      </c>
      <c r="D305" s="21" t="s">
        <v>719</v>
      </c>
      <c r="E305" s="53">
        <f t="array" ref="E305:F305">VLOOKUP(C305,'NEW PTMT'!$B$4:$E1832,{3,4},0)</f>
        <v>224</v>
      </c>
      <c r="F305" s="30">
        <v>242.0</v>
      </c>
      <c r="G305" s="12">
        <v>132.0</v>
      </c>
      <c r="H305" s="18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17"/>
      <c r="Z305" s="6" t="str">
        <f t="shared" si="1"/>
        <v>Diamond141</v>
      </c>
      <c r="AA305" s="18" t="str">
        <f t="shared" si="2"/>
        <v>DiamondStop Cock 15mm (M/T)</v>
      </c>
      <c r="AB305" s="60">
        <f t="shared" si="3"/>
        <v>242</v>
      </c>
      <c r="AC305" s="61">
        <v>141.0</v>
      </c>
      <c r="AD305" s="57" t="s">
        <v>719</v>
      </c>
      <c r="AE305" s="18"/>
    </row>
    <row r="306">
      <c r="A306" s="5" t="s">
        <v>20</v>
      </c>
      <c r="B306" s="8" t="s">
        <v>70</v>
      </c>
      <c r="C306" s="21" t="s">
        <v>1037</v>
      </c>
      <c r="D306" s="21" t="s">
        <v>823</v>
      </c>
      <c r="E306" s="53">
        <f t="array" ref="E306:F306">VLOOKUP(C306,'NEW PTMT'!$B$4:$E1832,{3,4},0)</f>
        <v>252.4704</v>
      </c>
      <c r="F306" s="30">
        <v>274.0</v>
      </c>
      <c r="G306" s="12">
        <v>66.0</v>
      </c>
      <c r="H306" s="18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17"/>
      <c r="Z306" s="6" t="str">
        <f t="shared" si="1"/>
        <v>Diamond141-N</v>
      </c>
      <c r="AA306" s="18" t="str">
        <f t="shared" si="2"/>
        <v>DiamondStop Cock 15mm with Nozzle</v>
      </c>
      <c r="AB306" s="60">
        <f t="shared" si="3"/>
        <v>274</v>
      </c>
      <c r="AC306" s="61" t="s">
        <v>824</v>
      </c>
      <c r="AD306" s="57" t="s">
        <v>721</v>
      </c>
      <c r="AE306" s="18"/>
    </row>
    <row r="307">
      <c r="A307" s="5" t="s">
        <v>20</v>
      </c>
      <c r="B307" s="8" t="s">
        <v>70</v>
      </c>
      <c r="C307" s="21" t="s">
        <v>1038</v>
      </c>
      <c r="D307" s="21" t="s">
        <v>717</v>
      </c>
      <c r="E307" s="53">
        <f t="array" ref="E307:F307">VLOOKUP(C307,'NEW PTMT'!$B$4:$E1832,{3,4},0)</f>
        <v>224</v>
      </c>
      <c r="F307" s="30">
        <v>242.0</v>
      </c>
      <c r="G307" s="12">
        <v>132.0</v>
      </c>
      <c r="H307" s="18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17"/>
      <c r="Z307" s="6" t="str">
        <f t="shared" si="1"/>
        <v>Diamond142</v>
      </c>
      <c r="AA307" s="18" t="str">
        <f t="shared" si="2"/>
        <v>DiamondStop Cock 15mm (F/T)</v>
      </c>
      <c r="AB307" s="60">
        <f t="shared" si="3"/>
        <v>242</v>
      </c>
      <c r="AC307" s="61">
        <v>142.0</v>
      </c>
      <c r="AD307" s="57" t="s">
        <v>717</v>
      </c>
      <c r="AE307" s="18"/>
    </row>
    <row r="308">
      <c r="A308" s="5" t="s">
        <v>20</v>
      </c>
      <c r="B308" s="8" t="s">
        <v>70</v>
      </c>
      <c r="C308" s="21" t="s">
        <v>1039</v>
      </c>
      <c r="D308" s="21" t="s">
        <v>723</v>
      </c>
      <c r="E308" s="53">
        <f t="array" ref="E308:F308">VLOOKUP(C308,'NEW PTMT'!$B$4:$E1832,{3,4},0)</f>
        <v>236</v>
      </c>
      <c r="F308" s="30">
        <v>256.0</v>
      </c>
      <c r="G308" s="12">
        <v>64.0</v>
      </c>
      <c r="H308" s="18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17"/>
      <c r="Z308" s="6" t="str">
        <f t="shared" si="1"/>
        <v>Diamond143</v>
      </c>
      <c r="AA308" s="18" t="str">
        <f t="shared" si="2"/>
        <v>DiamondStop Cock 20mm (F/T)</v>
      </c>
      <c r="AB308" s="60">
        <f t="shared" si="3"/>
        <v>256</v>
      </c>
      <c r="AC308" s="61">
        <v>143.0</v>
      </c>
      <c r="AD308" s="57" t="s">
        <v>723</v>
      </c>
      <c r="AE308" s="18"/>
    </row>
    <row r="309">
      <c r="A309" s="5" t="s">
        <v>20</v>
      </c>
      <c r="B309" s="8" t="s">
        <v>70</v>
      </c>
      <c r="C309" s="21" t="s">
        <v>1040</v>
      </c>
      <c r="D309" s="21" t="s">
        <v>395</v>
      </c>
      <c r="E309" s="53">
        <f t="array" ref="E309:F309">VLOOKUP(C309,'NEW PTMT'!$B$4:$E1832,{3,4},0)</f>
        <v>216.4032</v>
      </c>
      <c r="F309" s="30">
        <v>234.0</v>
      </c>
      <c r="G309" s="12">
        <v>90.0</v>
      </c>
      <c r="H309" s="18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17"/>
      <c r="Z309" s="6" t="str">
        <f t="shared" si="1"/>
        <v>Diamond144</v>
      </c>
      <c r="AA309" s="18" t="str">
        <f t="shared" si="2"/>
        <v>DiamondAngle Cock with Flange</v>
      </c>
      <c r="AB309" s="60">
        <f t="shared" si="3"/>
        <v>234</v>
      </c>
      <c r="AC309" s="61">
        <v>144.0</v>
      </c>
      <c r="AD309" s="57" t="s">
        <v>395</v>
      </c>
      <c r="AE309" s="18"/>
    </row>
    <row r="310">
      <c r="A310" s="5" t="s">
        <v>20</v>
      </c>
      <c r="B310" s="8" t="s">
        <v>70</v>
      </c>
      <c r="C310" s="21" t="s">
        <v>1041</v>
      </c>
      <c r="D310" s="21" t="s">
        <v>829</v>
      </c>
      <c r="E310" s="53">
        <f t="array" ref="E310:F310">VLOOKUP(C310,'NEW PTMT'!$B$4:$E1832,{3,4},0)</f>
        <v>472</v>
      </c>
      <c r="F310" s="30">
        <v>508.0</v>
      </c>
      <c r="G310" s="12">
        <v>30.0</v>
      </c>
      <c r="H310" s="18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17"/>
      <c r="Z310" s="6" t="str">
        <f t="shared" si="1"/>
        <v>Diamond145</v>
      </c>
      <c r="AA310" s="18" t="str">
        <f t="shared" si="2"/>
        <v>Diamond2 Way Angle Cock with Flange</v>
      </c>
      <c r="AB310" s="60">
        <f t="shared" si="3"/>
        <v>508</v>
      </c>
      <c r="AC310" s="61">
        <v>145.0</v>
      </c>
      <c r="AD310" s="57" t="s">
        <v>359</v>
      </c>
      <c r="AE310" s="18"/>
    </row>
    <row r="311">
      <c r="A311" s="5" t="s">
        <v>20</v>
      </c>
      <c r="B311" s="8" t="s">
        <v>70</v>
      </c>
      <c r="C311" s="21" t="s">
        <v>1042</v>
      </c>
      <c r="D311" s="21" t="s">
        <v>663</v>
      </c>
      <c r="E311" s="53">
        <f t="array" ref="E311:F311">VLOOKUP(C311,'NEW PTMT'!$B$4:$E1832,{3,4},0)</f>
        <v>362</v>
      </c>
      <c r="F311" s="30">
        <v>392.0</v>
      </c>
      <c r="G311" s="12">
        <v>64.0</v>
      </c>
      <c r="H311" s="18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17"/>
      <c r="Z311" s="6" t="str">
        <f t="shared" si="1"/>
        <v>Diamond146</v>
      </c>
      <c r="AA311" s="18" t="str">
        <f t="shared" si="2"/>
        <v>DiamondConcealed Stop Cock 15mm</v>
      </c>
      <c r="AB311" s="60">
        <f t="shared" si="3"/>
        <v>392</v>
      </c>
      <c r="AC311" s="61">
        <v>146.0</v>
      </c>
      <c r="AD311" s="57" t="s">
        <v>663</v>
      </c>
      <c r="AE311" s="18"/>
    </row>
    <row r="312">
      <c r="A312" s="5" t="s">
        <v>20</v>
      </c>
      <c r="B312" s="8" t="s">
        <v>70</v>
      </c>
      <c r="C312" s="21" t="s">
        <v>1043</v>
      </c>
      <c r="D312" s="21" t="s">
        <v>690</v>
      </c>
      <c r="E312" s="53">
        <f t="array" ref="E312:F312">VLOOKUP(C312,'NEW PTMT'!$B$4:$E1832,{3,4},0)</f>
        <v>372</v>
      </c>
      <c r="F312" s="30">
        <v>402.0</v>
      </c>
      <c r="G312" s="12">
        <v>64.0</v>
      </c>
      <c r="H312" s="18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17"/>
      <c r="Z312" s="6" t="str">
        <f t="shared" si="1"/>
        <v>Diamond148</v>
      </c>
      <c r="AA312" s="18" t="str">
        <f t="shared" si="2"/>
        <v>DiamondConcealed Stop Cock 20mm</v>
      </c>
      <c r="AB312" s="60">
        <f t="shared" si="3"/>
        <v>402</v>
      </c>
      <c r="AC312" s="61">
        <v>148.0</v>
      </c>
      <c r="AD312" s="57" t="s">
        <v>690</v>
      </c>
      <c r="AE312" s="18"/>
    </row>
    <row r="313">
      <c r="A313" s="5" t="s">
        <v>20</v>
      </c>
      <c r="B313" s="8" t="s">
        <v>70</v>
      </c>
      <c r="C313" s="21" t="s">
        <v>1044</v>
      </c>
      <c r="D313" s="21" t="s">
        <v>710</v>
      </c>
      <c r="E313" s="53">
        <f t="array" ref="E313:F313">VLOOKUP(C313,'NEW PTMT'!$B$4:$E1832,{3,4},0)</f>
        <v>632</v>
      </c>
      <c r="F313" s="30">
        <v>684.0</v>
      </c>
      <c r="G313" s="12">
        <v>30.0</v>
      </c>
      <c r="H313" s="18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17"/>
      <c r="Z313" s="6" t="str">
        <f t="shared" si="1"/>
        <v>Diamond147</v>
      </c>
      <c r="AA313" s="18" t="str">
        <f t="shared" si="2"/>
        <v>DiamondPillar Cock Swan Neck (T/M) with Flange</v>
      </c>
      <c r="AB313" s="60">
        <f t="shared" si="3"/>
        <v>684</v>
      </c>
      <c r="AC313" s="61">
        <v>147.0</v>
      </c>
      <c r="AD313" s="57" t="s">
        <v>616</v>
      </c>
      <c r="AE313" s="18"/>
    </row>
    <row r="314">
      <c r="A314" s="5" t="s">
        <v>20</v>
      </c>
      <c r="B314" s="8" t="s">
        <v>70</v>
      </c>
      <c r="C314" s="21" t="s">
        <v>1045</v>
      </c>
      <c r="D314" s="21" t="s">
        <v>601</v>
      </c>
      <c r="E314" s="53">
        <f t="array" ref="E314:F314">VLOOKUP(C314,'NEW PTMT'!$B$4:$E1832,{3,4},0)</f>
        <v>668</v>
      </c>
      <c r="F314" s="30">
        <v>722.0</v>
      </c>
      <c r="G314" s="12">
        <v>30.0</v>
      </c>
      <c r="H314" s="18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17"/>
      <c r="Z314" s="6" t="str">
        <f t="shared" si="1"/>
        <v>Diamond147-Q</v>
      </c>
      <c r="AA314" s="18" t="str">
        <f t="shared" si="2"/>
        <v>DiamondPillar Cock Swan Neck (T/M) Square Spout with Flange</v>
      </c>
      <c r="AB314" s="60">
        <f t="shared" si="3"/>
        <v>722</v>
      </c>
      <c r="AC314" s="61" t="s">
        <v>737</v>
      </c>
      <c r="AD314" s="57" t="s">
        <v>703</v>
      </c>
      <c r="AE314" s="18"/>
    </row>
    <row r="315">
      <c r="A315" s="5" t="s">
        <v>20</v>
      </c>
      <c r="B315" s="8" t="s">
        <v>70</v>
      </c>
      <c r="C315" s="21" t="s">
        <v>1046</v>
      </c>
      <c r="D315" s="21" t="s">
        <v>731</v>
      </c>
      <c r="E315" s="53">
        <f t="array" ref="E315:F315">VLOOKUP(C315,'NEW PTMT'!$B$4:$E1832,{3,4},0)</f>
        <v>387.6</v>
      </c>
      <c r="F315" s="30">
        <v>418.0</v>
      </c>
      <c r="G315" s="12">
        <v>30.0</v>
      </c>
      <c r="H315" s="18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17"/>
      <c r="Z315" s="6" t="str">
        <f t="shared" si="1"/>
        <v>Diamond149</v>
      </c>
      <c r="AA315" s="18" t="str">
        <f t="shared" si="2"/>
        <v>DiamondWashing Machine Tap with Flange</v>
      </c>
      <c r="AB315" s="60">
        <f t="shared" si="3"/>
        <v>418</v>
      </c>
      <c r="AC315" s="61">
        <v>149.0</v>
      </c>
      <c r="AD315" s="62" t="s">
        <v>731</v>
      </c>
      <c r="AE315" s="18"/>
    </row>
    <row r="316">
      <c r="A316" s="5" t="s">
        <v>20</v>
      </c>
      <c r="B316" s="8" t="s">
        <v>70</v>
      </c>
      <c r="C316" s="21" t="s">
        <v>1047</v>
      </c>
      <c r="D316" s="21" t="s">
        <v>712</v>
      </c>
      <c r="E316" s="53">
        <f t="array" ref="E316:F316">VLOOKUP(C316,'NEW PTMT'!$B$4:$E1832,{3,4},0)</f>
        <v>1423.92</v>
      </c>
      <c r="F316" s="30">
        <v>1538.0</v>
      </c>
      <c r="G316" s="12">
        <v>14.0</v>
      </c>
      <c r="H316" s="18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17"/>
      <c r="Z316" s="6" t="str">
        <f t="shared" si="1"/>
        <v>Diamond150</v>
      </c>
      <c r="AA316" s="18" t="str">
        <f t="shared" si="2"/>
        <v>DiamondCenter Hole Basin Mixer</v>
      </c>
      <c r="AB316" s="60">
        <f t="shared" si="3"/>
        <v>1538</v>
      </c>
      <c r="AC316" s="61">
        <v>150.0</v>
      </c>
      <c r="AD316" s="57" t="s">
        <v>650</v>
      </c>
      <c r="AE316" s="18"/>
    </row>
    <row r="317">
      <c r="A317" s="5" t="s">
        <v>20</v>
      </c>
      <c r="B317" s="8" t="s">
        <v>62</v>
      </c>
      <c r="C317" s="21" t="s">
        <v>1049</v>
      </c>
      <c r="D317" s="21" t="s">
        <v>1050</v>
      </c>
      <c r="E317" s="53">
        <f t="array" ref="E317:F317">VLOOKUP(C317,'NEW PTMT'!$B$4:$E1832,{3,4},0)</f>
        <v>244</v>
      </c>
      <c r="F317" s="30">
        <v>264.0</v>
      </c>
      <c r="G317" s="12">
        <v>66.0</v>
      </c>
      <c r="H317" s="18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17"/>
      <c r="Z317" s="6" t="str">
        <f t="shared" si="1"/>
        <v>Helix121</v>
      </c>
      <c r="AA317" s="18" t="str">
        <f t="shared" si="2"/>
        <v>HelixBib Cock with Flange</v>
      </c>
      <c r="AB317" s="60">
        <f t="shared" si="3"/>
        <v>264</v>
      </c>
      <c r="AC317" s="61">
        <v>121.0</v>
      </c>
      <c r="AD317" s="57" t="s">
        <v>636</v>
      </c>
      <c r="AE317" s="18"/>
    </row>
    <row r="318">
      <c r="A318" s="5" t="s">
        <v>20</v>
      </c>
      <c r="B318" s="8" t="s">
        <v>62</v>
      </c>
      <c r="C318" s="8" t="s">
        <v>1051</v>
      </c>
      <c r="D318" s="8" t="s">
        <v>748</v>
      </c>
      <c r="E318" s="53">
        <f t="array" ref="E318:F318">VLOOKUP(C318,'NEW PTMT'!$B$4:$E1832,{3,4},0)</f>
        <v>256</v>
      </c>
      <c r="F318" s="30">
        <v>276.0</v>
      </c>
      <c r="G318" s="12"/>
      <c r="H318" s="18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17"/>
      <c r="Z318" s="6" t="str">
        <f t="shared" si="1"/>
        <v>Helix121-F</v>
      </c>
      <c r="AA318" s="18" t="str">
        <f t="shared" si="2"/>
        <v>HelixBib Cock (Foam Flow) with Flange</v>
      </c>
      <c r="AB318" s="60">
        <f t="shared" si="3"/>
        <v>276</v>
      </c>
      <c r="AC318" s="61" t="s">
        <v>208</v>
      </c>
      <c r="AD318" s="57" t="s">
        <v>417</v>
      </c>
      <c r="AE318" s="18"/>
    </row>
    <row r="319">
      <c r="A319" s="5" t="s">
        <v>20</v>
      </c>
      <c r="B319" s="8" t="s">
        <v>62</v>
      </c>
      <c r="C319" s="21" t="s">
        <v>1052</v>
      </c>
      <c r="D319" s="21" t="s">
        <v>333</v>
      </c>
      <c r="E319" s="53">
        <f t="array" ref="E319:F319">VLOOKUP(C319,'NEW PTMT'!$B$4:$E1832,{3,4},0)</f>
        <v>274</v>
      </c>
      <c r="F319" s="30">
        <v>296.0</v>
      </c>
      <c r="G319" s="12">
        <v>60.0</v>
      </c>
      <c r="H319" s="18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17"/>
      <c r="Z319" s="6" t="str">
        <f t="shared" si="1"/>
        <v>Helix123</v>
      </c>
      <c r="AA319" s="18" t="str">
        <f t="shared" si="2"/>
        <v>HelixBib Cock Fancy with Flange</v>
      </c>
      <c r="AB319" s="60">
        <f t="shared" si="3"/>
        <v>296</v>
      </c>
      <c r="AC319" s="61">
        <v>123.0</v>
      </c>
      <c r="AD319" s="57" t="s">
        <v>333</v>
      </c>
      <c r="AE319" s="18"/>
    </row>
    <row r="320">
      <c r="A320" s="5" t="s">
        <v>20</v>
      </c>
      <c r="B320" s="8" t="s">
        <v>62</v>
      </c>
      <c r="C320" s="21" t="s">
        <v>1053</v>
      </c>
      <c r="D320" s="21" t="s">
        <v>437</v>
      </c>
      <c r="E320" s="53">
        <f t="array" ref="E320:F320">VLOOKUP(C320,'NEW PTMT'!$B$4:$E1832,{3,4},0)</f>
        <v>283.56</v>
      </c>
      <c r="F320" s="30">
        <v>306.0</v>
      </c>
      <c r="G320" s="12">
        <v>46.0</v>
      </c>
      <c r="H320" s="18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17"/>
      <c r="Z320" s="6" t="str">
        <f t="shared" si="1"/>
        <v>Helix123-F</v>
      </c>
      <c r="AA320" s="18" t="str">
        <f t="shared" si="2"/>
        <v>HelixBib Cock (Foam Flow) with Flange</v>
      </c>
      <c r="AB320" s="60">
        <f t="shared" si="3"/>
        <v>306</v>
      </c>
      <c r="AC320" s="61" t="s">
        <v>471</v>
      </c>
      <c r="AD320" s="57" t="s">
        <v>417</v>
      </c>
      <c r="AE320" s="18"/>
    </row>
    <row r="321">
      <c r="A321" s="5" t="s">
        <v>20</v>
      </c>
      <c r="B321" s="8" t="s">
        <v>62</v>
      </c>
      <c r="C321" s="21" t="s">
        <v>1054</v>
      </c>
      <c r="D321" s="21" t="s">
        <v>1055</v>
      </c>
      <c r="E321" s="53">
        <f t="array" ref="E321:F321">VLOOKUP(C321,'NEW PTMT'!$B$4:$E1832,{3,4},0)</f>
        <v>332</v>
      </c>
      <c r="F321" s="30">
        <v>358.0</v>
      </c>
      <c r="G321" s="12">
        <v>60.0</v>
      </c>
      <c r="H321" s="18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17"/>
      <c r="Z321" s="6" t="str">
        <f t="shared" si="1"/>
        <v>Helix123-N</v>
      </c>
      <c r="AA321" s="18" t="str">
        <f t="shared" si="2"/>
        <v>HelixBib Cock Fancy (Foam Flow) with New Flange &amp; Nipple</v>
      </c>
      <c r="AB321" s="60">
        <f t="shared" si="3"/>
        <v>358</v>
      </c>
      <c r="AC321" s="61" t="s">
        <v>573</v>
      </c>
      <c r="AD321" s="57" t="s">
        <v>460</v>
      </c>
      <c r="AE321" s="18"/>
    </row>
    <row r="322">
      <c r="A322" s="5" t="s">
        <v>20</v>
      </c>
      <c r="B322" s="8" t="s">
        <v>62</v>
      </c>
      <c r="C322" s="21" t="s">
        <v>1056</v>
      </c>
      <c r="D322" s="21" t="s">
        <v>803</v>
      </c>
      <c r="E322" s="53">
        <f t="array" ref="E322:F322">VLOOKUP(C322,'NEW PTMT'!$B$4:$E1832,{3,4},0)</f>
        <v>313.9968</v>
      </c>
      <c r="F322" s="30">
        <v>338.0</v>
      </c>
      <c r="G322" s="12">
        <v>46.0</v>
      </c>
      <c r="H322" s="18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17"/>
      <c r="Z322" s="6" t="str">
        <f t="shared" si="1"/>
        <v>Helix124</v>
      </c>
      <c r="AA322" s="18" t="str">
        <f t="shared" si="2"/>
        <v>HelixBib Cock Long Body with Flange</v>
      </c>
      <c r="AB322" s="60">
        <f t="shared" si="3"/>
        <v>338</v>
      </c>
      <c r="AC322" s="61">
        <v>124.0</v>
      </c>
      <c r="AD322" s="57" t="s">
        <v>358</v>
      </c>
      <c r="AE322" s="18"/>
    </row>
    <row r="323">
      <c r="A323" s="5" t="s">
        <v>20</v>
      </c>
      <c r="B323" s="8" t="s">
        <v>62</v>
      </c>
      <c r="C323" s="21" t="s">
        <v>1057</v>
      </c>
      <c r="D323" s="21" t="s">
        <v>339</v>
      </c>
      <c r="E323" s="53">
        <f t="array" ref="E323:F323">VLOOKUP(C323,'NEW PTMT'!$B$4:$E1832,{3,4},0)</f>
        <v>328</v>
      </c>
      <c r="F323" s="30">
        <v>354.0</v>
      </c>
      <c r="G323" s="12">
        <v>46.0</v>
      </c>
      <c r="H323" s="18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17"/>
      <c r="Z323" s="6" t="str">
        <f t="shared" si="1"/>
        <v>Helix124-F</v>
      </c>
      <c r="AA323" s="18" t="str">
        <f t="shared" si="2"/>
        <v>HelixBib Cock Long Body (Foam Flow) with Flange</v>
      </c>
      <c r="AB323" s="60">
        <f t="shared" si="3"/>
        <v>354</v>
      </c>
      <c r="AC323" s="61" t="s">
        <v>698</v>
      </c>
      <c r="AD323" s="62" t="s">
        <v>520</v>
      </c>
      <c r="AE323" s="18"/>
    </row>
    <row r="324">
      <c r="A324" s="5" t="s">
        <v>20</v>
      </c>
      <c r="B324" s="8" t="s">
        <v>62</v>
      </c>
      <c r="C324" s="21" t="s">
        <v>1058</v>
      </c>
      <c r="D324" s="21" t="s">
        <v>363</v>
      </c>
      <c r="E324" s="53">
        <f t="array" ref="E324:F324">VLOOKUP(C324,'NEW PTMT'!$B$4:$E1832,{3,4},0)</f>
        <v>277.9296</v>
      </c>
      <c r="F324" s="30">
        <v>298.0</v>
      </c>
      <c r="G324" s="12">
        <v>66.0</v>
      </c>
      <c r="H324" s="18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17"/>
      <c r="Z324" s="6" t="str">
        <f t="shared" si="1"/>
        <v>Helix127</v>
      </c>
      <c r="AA324" s="18" t="str">
        <f t="shared" si="2"/>
        <v>HelixBib Cock Nozzle with Flange</v>
      </c>
      <c r="AB324" s="60">
        <f t="shared" si="3"/>
        <v>298</v>
      </c>
      <c r="AC324" s="61">
        <v>127.0</v>
      </c>
      <c r="AD324" s="57" t="s">
        <v>363</v>
      </c>
      <c r="AE324" s="18"/>
    </row>
    <row r="325">
      <c r="A325" s="5" t="s">
        <v>20</v>
      </c>
      <c r="B325" s="8" t="s">
        <v>62</v>
      </c>
      <c r="C325" s="21" t="s">
        <v>1059</v>
      </c>
      <c r="D325" s="21" t="s">
        <v>808</v>
      </c>
      <c r="E325" s="53">
        <f t="array" ref="E325:F325">VLOOKUP(C325,'NEW PTMT'!$B$4:$E1832,{3,4},0)</f>
        <v>552</v>
      </c>
      <c r="F325" s="30">
        <v>596.0</v>
      </c>
      <c r="G325" s="12">
        <v>24.0</v>
      </c>
      <c r="H325" s="18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17"/>
      <c r="Z325" s="6" t="str">
        <f t="shared" si="1"/>
        <v>Helix129</v>
      </c>
      <c r="AA325" s="18" t="str">
        <f t="shared" si="2"/>
        <v>Helix2 Way Bib Cock with Flange</v>
      </c>
      <c r="AB325" s="60">
        <f t="shared" si="3"/>
        <v>596</v>
      </c>
      <c r="AC325" s="61">
        <v>129.0</v>
      </c>
      <c r="AD325" s="57" t="s">
        <v>378</v>
      </c>
      <c r="AE325" s="18"/>
    </row>
    <row r="326">
      <c r="A326" s="5" t="s">
        <v>20</v>
      </c>
      <c r="B326" s="8" t="s">
        <v>62</v>
      </c>
      <c r="C326" s="21" t="s">
        <v>1060</v>
      </c>
      <c r="D326" s="21" t="s">
        <v>399</v>
      </c>
      <c r="E326" s="53">
        <f t="array" ref="E326:F326">VLOOKUP(C326,'NEW PTMT'!$B$4:$E1832,{3,4},0)</f>
        <v>352</v>
      </c>
      <c r="F326" s="30">
        <v>382.0</v>
      </c>
      <c r="G326" s="12">
        <v>66.0</v>
      </c>
      <c r="H326" s="18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17"/>
      <c r="Z326" s="6" t="str">
        <f t="shared" si="1"/>
        <v>Helix130</v>
      </c>
      <c r="AA326" s="18" t="str">
        <f t="shared" si="2"/>
        <v>HelixPillar Cock with Flange</v>
      </c>
      <c r="AB326" s="60">
        <f t="shared" si="3"/>
        <v>382</v>
      </c>
      <c r="AC326" s="61">
        <v>130.0</v>
      </c>
      <c r="AD326" s="57" t="s">
        <v>416</v>
      </c>
      <c r="AE326" s="18"/>
    </row>
    <row r="327">
      <c r="A327" s="5" t="s">
        <v>20</v>
      </c>
      <c r="B327" s="8" t="s">
        <v>62</v>
      </c>
      <c r="C327" s="21" t="s">
        <v>1061</v>
      </c>
      <c r="D327" s="21" t="s">
        <v>756</v>
      </c>
      <c r="E327" s="53">
        <f t="array" ref="E327:F327">VLOOKUP(C327,'NEW PTMT'!$B$4:$E1832,{3,4},0)</f>
        <v>387.6</v>
      </c>
      <c r="F327" s="30">
        <v>418.0</v>
      </c>
      <c r="G327" s="12">
        <v>30.0</v>
      </c>
      <c r="H327" s="18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17"/>
      <c r="Z327" s="6" t="str">
        <f t="shared" si="1"/>
        <v>Helix131</v>
      </c>
      <c r="AA327" s="18" t="str">
        <f t="shared" si="2"/>
        <v>HelixPillar Cock Fancy with Flange</v>
      </c>
      <c r="AB327" s="60">
        <f t="shared" si="3"/>
        <v>418</v>
      </c>
      <c r="AC327" s="61">
        <v>131.0</v>
      </c>
      <c r="AD327" s="57" t="s">
        <v>701</v>
      </c>
      <c r="AE327" s="18"/>
    </row>
    <row r="328">
      <c r="A328" s="5" t="s">
        <v>20</v>
      </c>
      <c r="B328" s="8" t="s">
        <v>62</v>
      </c>
      <c r="C328" s="21" t="s">
        <v>1062</v>
      </c>
      <c r="D328" s="21" t="s">
        <v>756</v>
      </c>
      <c r="E328" s="53">
        <f t="array" ref="E328:F328">VLOOKUP(C328,'NEW PTMT'!$B$4:$E1832,{3,4},0)</f>
        <v>397.8</v>
      </c>
      <c r="F328" s="30">
        <v>428.0</v>
      </c>
      <c r="G328" s="30">
        <v>30.0</v>
      </c>
      <c r="H328" s="18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17"/>
      <c r="Z328" s="6" t="str">
        <f t="shared" si="1"/>
        <v>Helix1311</v>
      </c>
      <c r="AA328" s="18" t="str">
        <f t="shared" si="2"/>
        <v>HelixPillar Cock Fancy (R.H.) with Flange</v>
      </c>
      <c r="AB328" s="60">
        <f t="shared" si="3"/>
        <v>428</v>
      </c>
      <c r="AC328" s="64" t="s">
        <v>752</v>
      </c>
      <c r="AD328" s="57" t="s">
        <v>699</v>
      </c>
      <c r="AE328" s="18"/>
    </row>
    <row r="329">
      <c r="A329" s="5" t="s">
        <v>20</v>
      </c>
      <c r="B329" s="8" t="s">
        <v>62</v>
      </c>
      <c r="C329" s="21" t="s">
        <v>1063</v>
      </c>
      <c r="D329" s="21" t="s">
        <v>419</v>
      </c>
      <c r="E329" s="53">
        <f t="array" ref="E329:F329">VLOOKUP(C329,'NEW PTMT'!$B$4:$E1832,{3,4},0)</f>
        <v>712</v>
      </c>
      <c r="F329" s="30">
        <v>768.0</v>
      </c>
      <c r="G329" s="12">
        <v>13.0</v>
      </c>
      <c r="H329" s="18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17"/>
      <c r="Z329" s="6" t="str">
        <f t="shared" si="1"/>
        <v>Helix132</v>
      </c>
      <c r="AA329" s="18" t="str">
        <f t="shared" si="2"/>
        <v>HelixSink Cock (W/M) with Flange</v>
      </c>
      <c r="AB329" s="60">
        <f t="shared" si="3"/>
        <v>768</v>
      </c>
      <c r="AC329" s="61">
        <v>132.0</v>
      </c>
      <c r="AD329" s="57" t="s">
        <v>436</v>
      </c>
      <c r="AE329" s="18"/>
    </row>
    <row r="330">
      <c r="A330" s="5" t="s">
        <v>20</v>
      </c>
      <c r="B330" s="8" t="s">
        <v>62</v>
      </c>
      <c r="C330" s="21" t="s">
        <v>1064</v>
      </c>
      <c r="D330" s="21" t="s">
        <v>439</v>
      </c>
      <c r="E330" s="53">
        <f t="array" ref="E330:F330">VLOOKUP(C330,'NEW PTMT'!$B$4:$E1832,{3,4},0)</f>
        <v>634.3584</v>
      </c>
      <c r="F330" s="30">
        <v>686.0</v>
      </c>
      <c r="G330" s="30">
        <v>30.0</v>
      </c>
      <c r="H330" s="18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17"/>
      <c r="Z330" s="6" t="str">
        <f t="shared" si="1"/>
        <v>Helix1322</v>
      </c>
      <c r="AA330" s="18" t="str">
        <f t="shared" si="2"/>
        <v>HelixSink Cock Small Spout (W/M) with Flange</v>
      </c>
      <c r="AB330" s="60">
        <f t="shared" si="3"/>
        <v>686</v>
      </c>
      <c r="AC330" s="61">
        <v>1322.0</v>
      </c>
      <c r="AD330" s="57" t="s">
        <v>457</v>
      </c>
      <c r="AE330" s="18"/>
    </row>
    <row r="331">
      <c r="A331" s="5" t="s">
        <v>20</v>
      </c>
      <c r="B331" s="8" t="s">
        <v>62</v>
      </c>
      <c r="C331" s="21" t="s">
        <v>1066</v>
      </c>
      <c r="D331" s="21" t="s">
        <v>462</v>
      </c>
      <c r="E331" s="53">
        <f t="array" ref="E331:F331">VLOOKUP(C331,'NEW PTMT'!$B$4:$E1832,{3,4},0)</f>
        <v>711.96</v>
      </c>
      <c r="F331" s="30">
        <v>768.0</v>
      </c>
      <c r="G331" s="12">
        <v>13.0</v>
      </c>
      <c r="H331" s="18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17"/>
      <c r="Z331" s="6" t="str">
        <f t="shared" si="1"/>
        <v>Helix133</v>
      </c>
      <c r="AA331" s="18" t="str">
        <f t="shared" si="2"/>
        <v>HelixSink Cock Long Spout (T/M) with Flange</v>
      </c>
      <c r="AB331" s="60">
        <f t="shared" si="3"/>
        <v>768</v>
      </c>
      <c r="AC331" s="61">
        <v>133.0</v>
      </c>
      <c r="AD331" s="57" t="s">
        <v>480</v>
      </c>
      <c r="AE331" s="18"/>
    </row>
    <row r="332">
      <c r="A332" s="5" t="s">
        <v>20</v>
      </c>
      <c r="B332" s="8" t="s">
        <v>62</v>
      </c>
      <c r="C332" s="21" t="s">
        <v>1067</v>
      </c>
      <c r="D332" s="21" t="s">
        <v>482</v>
      </c>
      <c r="E332" s="53">
        <f t="array" ref="E332:F332">VLOOKUP(C332,'NEW PTMT'!$B$4:$E1832,{3,4},0)</f>
        <v>1298</v>
      </c>
      <c r="F332" s="30">
        <v>1402.0</v>
      </c>
      <c r="G332" s="12">
        <v>13.0</v>
      </c>
      <c r="H332" s="18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17"/>
      <c r="Z332" s="6" t="str">
        <f t="shared" si="1"/>
        <v>Helix134</v>
      </c>
      <c r="AA332" s="18" t="str">
        <f t="shared" si="2"/>
        <v>HelixSink Mixer with Flange</v>
      </c>
      <c r="AB332" s="60">
        <f t="shared" si="3"/>
        <v>1402</v>
      </c>
      <c r="AC332" s="61">
        <v>134.0</v>
      </c>
      <c r="AD332" s="57" t="s">
        <v>499</v>
      </c>
      <c r="AE332" s="18"/>
    </row>
    <row r="333">
      <c r="A333" s="5" t="s">
        <v>20</v>
      </c>
      <c r="B333" s="8" t="s">
        <v>62</v>
      </c>
      <c r="C333" s="8" t="s">
        <v>1068</v>
      </c>
      <c r="D333" s="8" t="s">
        <v>523</v>
      </c>
      <c r="E333" s="53">
        <f t="array" ref="E333:F333">VLOOKUP(C333,'NEW PTMT'!$B$4:$E1832,{3,4},0)</f>
        <v>1998</v>
      </c>
      <c r="F333" s="30">
        <v>2158.0</v>
      </c>
      <c r="G333" s="12"/>
      <c r="H333" s="18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17"/>
      <c r="Z333" s="6" t="str">
        <f t="shared" si="1"/>
        <v>Helix1374</v>
      </c>
      <c r="AA333" s="18" t="str">
        <f t="shared" si="2"/>
        <v>Helix2 in 1 Telephonic Wall Mixer</v>
      </c>
      <c r="AB333" s="60">
        <f t="shared" si="3"/>
        <v>2158</v>
      </c>
      <c r="AC333" s="64" t="s">
        <v>539</v>
      </c>
      <c r="AD333" s="57" t="s">
        <v>540</v>
      </c>
      <c r="AE333" s="18"/>
    </row>
    <row r="334">
      <c r="A334" s="5" t="s">
        <v>20</v>
      </c>
      <c r="B334" s="8" t="s">
        <v>62</v>
      </c>
      <c r="C334" s="21" t="s">
        <v>1069</v>
      </c>
      <c r="D334" s="21" t="s">
        <v>545</v>
      </c>
      <c r="E334" s="53">
        <f t="array" ref="E334:F334">VLOOKUP(C334,'NEW PTMT'!$B$4:$E1832,{3,4},0)</f>
        <v>1694</v>
      </c>
      <c r="F334" s="30">
        <v>1828.0</v>
      </c>
      <c r="G334" s="12">
        <v>6.0</v>
      </c>
      <c r="H334" s="18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17"/>
      <c r="Z334" s="6" t="str">
        <f t="shared" si="1"/>
        <v>Helix1375</v>
      </c>
      <c r="AA334" s="18" t="str">
        <f t="shared" si="2"/>
        <v>HelixWall Mixer L Bend with Flange</v>
      </c>
      <c r="AB334" s="60">
        <f t="shared" si="3"/>
        <v>1828</v>
      </c>
      <c r="AC334" s="64" t="s">
        <v>560</v>
      </c>
      <c r="AD334" s="57" t="s">
        <v>561</v>
      </c>
      <c r="AE334" s="18"/>
    </row>
    <row r="335">
      <c r="A335" s="5" t="s">
        <v>20</v>
      </c>
      <c r="B335" s="8" t="s">
        <v>62</v>
      </c>
      <c r="C335" s="21" t="s">
        <v>1070</v>
      </c>
      <c r="D335" s="21" t="s">
        <v>719</v>
      </c>
      <c r="E335" s="53">
        <f t="array" ref="E335:F335">VLOOKUP(C335,'NEW PTMT'!$B$4:$E1832,{3,4},0)</f>
        <v>244</v>
      </c>
      <c r="F335" s="30">
        <v>264.0</v>
      </c>
      <c r="G335" s="12">
        <v>66.0</v>
      </c>
      <c r="H335" s="18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17"/>
      <c r="Z335" s="6" t="str">
        <f t="shared" si="1"/>
        <v>Helix141</v>
      </c>
      <c r="AA335" s="18" t="str">
        <f t="shared" si="2"/>
        <v>HelixStop Cock 15mm (M/T)</v>
      </c>
      <c r="AB335" s="60">
        <f t="shared" si="3"/>
        <v>264</v>
      </c>
      <c r="AC335" s="61">
        <v>141.0</v>
      </c>
      <c r="AD335" s="57" t="s">
        <v>719</v>
      </c>
      <c r="AE335" s="18"/>
    </row>
    <row r="336">
      <c r="A336" s="5" t="s">
        <v>20</v>
      </c>
      <c r="B336" s="8" t="s">
        <v>62</v>
      </c>
      <c r="C336" s="21" t="s">
        <v>1071</v>
      </c>
      <c r="D336" s="21" t="s">
        <v>717</v>
      </c>
      <c r="E336" s="53">
        <f t="array" ref="E336:F336">VLOOKUP(C336,'NEW PTMT'!$B$4:$E1832,{3,4},0)</f>
        <v>252.4704</v>
      </c>
      <c r="F336" s="30">
        <v>272.0</v>
      </c>
      <c r="G336" s="12">
        <v>66.0</v>
      </c>
      <c r="H336" s="18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17"/>
      <c r="Z336" s="6" t="str">
        <f t="shared" si="1"/>
        <v>Helix142</v>
      </c>
      <c r="AA336" s="18" t="str">
        <f t="shared" si="2"/>
        <v>HelixStop Cock 15mm (F/T)</v>
      </c>
      <c r="AB336" s="60">
        <f t="shared" si="3"/>
        <v>272</v>
      </c>
      <c r="AC336" s="61">
        <v>142.0</v>
      </c>
      <c r="AD336" s="57" t="s">
        <v>717</v>
      </c>
      <c r="AE336" s="18"/>
    </row>
    <row r="337">
      <c r="A337" s="5" t="s">
        <v>20</v>
      </c>
      <c r="B337" s="8" t="s">
        <v>62</v>
      </c>
      <c r="C337" s="21" t="s">
        <v>1072</v>
      </c>
      <c r="D337" s="21" t="s">
        <v>723</v>
      </c>
      <c r="E337" s="53">
        <f t="array" ref="E337:F337">VLOOKUP(C337,'NEW PTMT'!$B$4:$E1832,{3,4},0)</f>
        <v>264</v>
      </c>
      <c r="F337" s="30">
        <v>286.0</v>
      </c>
      <c r="G337" s="12">
        <v>64.0</v>
      </c>
      <c r="H337" s="18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17"/>
      <c r="Z337" s="6" t="str">
        <f t="shared" si="1"/>
        <v>Helix143</v>
      </c>
      <c r="AA337" s="18" t="str">
        <f t="shared" si="2"/>
        <v>HelixStop Cock 20mm (F/T)</v>
      </c>
      <c r="AB337" s="60">
        <f t="shared" si="3"/>
        <v>286</v>
      </c>
      <c r="AC337" s="61">
        <v>143.0</v>
      </c>
      <c r="AD337" s="57" t="s">
        <v>723</v>
      </c>
      <c r="AE337" s="18"/>
    </row>
    <row r="338">
      <c r="A338" s="5" t="s">
        <v>20</v>
      </c>
      <c r="B338" s="8" t="s">
        <v>62</v>
      </c>
      <c r="C338" s="21" t="s">
        <v>1073</v>
      </c>
      <c r="D338" s="21" t="s">
        <v>395</v>
      </c>
      <c r="E338" s="53">
        <f t="array" ref="E338:F338">VLOOKUP(C338,'NEW PTMT'!$B$4:$E1832,{3,4},0)</f>
        <v>236</v>
      </c>
      <c r="F338" s="30">
        <v>256.0</v>
      </c>
      <c r="G338" s="12">
        <v>90.0</v>
      </c>
      <c r="H338" s="18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17"/>
      <c r="Z338" s="6" t="str">
        <f t="shared" si="1"/>
        <v>Helix144</v>
      </c>
      <c r="AA338" s="18" t="str">
        <f t="shared" si="2"/>
        <v>HelixAngle Cock with Flange</v>
      </c>
      <c r="AB338" s="60">
        <f t="shared" si="3"/>
        <v>256</v>
      </c>
      <c r="AC338" s="61">
        <v>144.0</v>
      </c>
      <c r="AD338" s="57" t="s">
        <v>395</v>
      </c>
      <c r="AE338" s="18"/>
    </row>
    <row r="339">
      <c r="A339" s="5" t="s">
        <v>20</v>
      </c>
      <c r="B339" s="8" t="s">
        <v>62</v>
      </c>
      <c r="C339" s="21" t="s">
        <v>1074</v>
      </c>
      <c r="D339" s="21" t="s">
        <v>1075</v>
      </c>
      <c r="E339" s="53">
        <f t="array" ref="E339:F339">VLOOKUP(C339,'NEW PTMT'!$B$4:$E1832,{3,4},0)</f>
        <v>518.16</v>
      </c>
      <c r="F339" s="30">
        <v>558.0</v>
      </c>
      <c r="G339" s="12">
        <v>35.0</v>
      </c>
      <c r="H339" s="18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17"/>
      <c r="Z339" s="6" t="str">
        <f t="shared" si="1"/>
        <v>Helix145</v>
      </c>
      <c r="AA339" s="18" t="str">
        <f t="shared" si="2"/>
        <v>Helix2 Way Angle Cock with Flange</v>
      </c>
      <c r="AB339" s="60">
        <f t="shared" si="3"/>
        <v>558</v>
      </c>
      <c r="AC339" s="61">
        <v>145.0</v>
      </c>
      <c r="AD339" s="57" t="s">
        <v>359</v>
      </c>
      <c r="AE339" s="18"/>
    </row>
    <row r="340">
      <c r="A340" s="5" t="s">
        <v>20</v>
      </c>
      <c r="B340" s="8" t="s">
        <v>62</v>
      </c>
      <c r="C340" s="21" t="s">
        <v>1076</v>
      </c>
      <c r="D340" s="21" t="s">
        <v>663</v>
      </c>
      <c r="E340" s="53">
        <f t="array" ref="E340:F340">VLOOKUP(C340,'NEW PTMT'!$B$4:$E1832,{3,4},0)</f>
        <v>391.68</v>
      </c>
      <c r="F340" s="30">
        <v>422.0</v>
      </c>
      <c r="G340" s="12">
        <v>64.0</v>
      </c>
      <c r="H340" s="18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17"/>
      <c r="Z340" s="6" t="str">
        <f t="shared" si="1"/>
        <v>Helix146</v>
      </c>
      <c r="AA340" s="18" t="str">
        <f t="shared" si="2"/>
        <v>HelixConcealed Stop Cock 15mm</v>
      </c>
      <c r="AB340" s="60">
        <f t="shared" si="3"/>
        <v>422</v>
      </c>
      <c r="AC340" s="61">
        <v>146.0</v>
      </c>
      <c r="AD340" s="57" t="s">
        <v>663</v>
      </c>
      <c r="AE340" s="18"/>
    </row>
    <row r="341">
      <c r="A341" s="5" t="s">
        <v>20</v>
      </c>
      <c r="B341" s="8" t="s">
        <v>62</v>
      </c>
      <c r="C341" s="21" t="s">
        <v>850</v>
      </c>
      <c r="D341" s="21" t="s">
        <v>678</v>
      </c>
      <c r="E341" s="53">
        <f t="array" ref="E341:F341">VLOOKUP(C341,'NEW PTMT'!$B$4:$E1832,{3,4},0)</f>
        <v>1236</v>
      </c>
      <c r="F341" s="30">
        <v>1336.0</v>
      </c>
      <c r="G341" s="30">
        <v>64.0</v>
      </c>
      <c r="H341" s="18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17"/>
      <c r="Z341" s="6" t="str">
        <f t="shared" si="1"/>
        <v>Helix146-B</v>
      </c>
      <c r="AA341" s="18" t="str">
        <f t="shared" si="2"/>
        <v>HelixConcealed Stop Cock 15mm with Brass Body</v>
      </c>
      <c r="AB341" s="60">
        <f t="shared" si="3"/>
        <v>1336</v>
      </c>
      <c r="AC341" s="61" t="s">
        <v>739</v>
      </c>
      <c r="AD341" s="57" t="s">
        <v>678</v>
      </c>
      <c r="AE341" s="18"/>
    </row>
    <row r="342">
      <c r="A342" s="5" t="s">
        <v>20</v>
      </c>
      <c r="B342" s="8" t="s">
        <v>62</v>
      </c>
      <c r="C342" s="21" t="s">
        <v>852</v>
      </c>
      <c r="D342" s="21" t="s">
        <v>693</v>
      </c>
      <c r="E342" s="53">
        <f t="array" ref="E342:F342">VLOOKUP(C342,'NEW PTMT'!$B$4:$E1832,{3,4},0)</f>
        <v>1248</v>
      </c>
      <c r="F342" s="30">
        <v>1348.0</v>
      </c>
      <c r="G342" s="30">
        <v>64.0</v>
      </c>
      <c r="H342" s="18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17"/>
      <c r="Z342" s="6" t="str">
        <f t="shared" si="1"/>
        <v>Helix148-B</v>
      </c>
      <c r="AA342" s="18" t="str">
        <f t="shared" si="2"/>
        <v>HelixConcealed Stop Cock 20mm with Brass Body</v>
      </c>
      <c r="AB342" s="60">
        <f t="shared" si="3"/>
        <v>1348</v>
      </c>
      <c r="AC342" s="61" t="s">
        <v>741</v>
      </c>
      <c r="AD342" s="57" t="s">
        <v>693</v>
      </c>
      <c r="AE342" s="18"/>
    </row>
    <row r="343">
      <c r="A343" s="5" t="s">
        <v>20</v>
      </c>
      <c r="B343" s="8" t="s">
        <v>62</v>
      </c>
      <c r="C343" s="21" t="s">
        <v>1078</v>
      </c>
      <c r="D343" s="21" t="s">
        <v>710</v>
      </c>
      <c r="E343" s="53">
        <f t="array" ref="E343:F343">VLOOKUP(C343,'NEW PTMT'!$B$4:$E1832,{3,4},0)</f>
        <v>672</v>
      </c>
      <c r="F343" s="30">
        <v>726.0</v>
      </c>
      <c r="G343" s="12">
        <v>30.0</v>
      </c>
      <c r="H343" s="18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17"/>
      <c r="Z343" s="6" t="str">
        <f t="shared" si="1"/>
        <v>Helix147</v>
      </c>
      <c r="AA343" s="18" t="str">
        <f t="shared" si="2"/>
        <v>HelixPillar Cock Swan Neck (T/M) with Flange</v>
      </c>
      <c r="AB343" s="60">
        <f t="shared" si="3"/>
        <v>726</v>
      </c>
      <c r="AC343" s="61">
        <v>147.0</v>
      </c>
      <c r="AD343" s="57" t="s">
        <v>616</v>
      </c>
      <c r="AE343" s="18"/>
    </row>
    <row r="344">
      <c r="A344" s="5" t="s">
        <v>20</v>
      </c>
      <c r="B344" s="8" t="s">
        <v>62</v>
      </c>
      <c r="C344" s="21" t="s">
        <v>1079</v>
      </c>
      <c r="D344" s="21" t="s">
        <v>1081</v>
      </c>
      <c r="E344" s="53">
        <f t="array" ref="E344:F344">VLOOKUP(C344,'NEW PTMT'!$B$4:$E1832,{3,4},0)</f>
        <v>684</v>
      </c>
      <c r="F344" s="30">
        <v>738.0</v>
      </c>
      <c r="G344" s="12">
        <v>30.0</v>
      </c>
      <c r="H344" s="18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17"/>
      <c r="Z344" s="6" t="str">
        <f t="shared" si="1"/>
        <v>Helix147-Q</v>
      </c>
      <c r="AA344" s="18" t="str">
        <f t="shared" si="2"/>
        <v>HelixPillar Cock Swan Neck (T/M) Square Spout with Flange</v>
      </c>
      <c r="AB344" s="60">
        <f t="shared" si="3"/>
        <v>738</v>
      </c>
      <c r="AC344" s="61" t="s">
        <v>737</v>
      </c>
      <c r="AD344" s="57" t="s">
        <v>703</v>
      </c>
      <c r="AE344" s="18"/>
    </row>
    <row r="345">
      <c r="A345" s="5" t="s">
        <v>20</v>
      </c>
      <c r="B345" s="8" t="s">
        <v>62</v>
      </c>
      <c r="C345" s="21" t="s">
        <v>1082</v>
      </c>
      <c r="D345" s="21" t="s">
        <v>690</v>
      </c>
      <c r="E345" s="53">
        <f t="array" ref="E345:F345">VLOOKUP(C345,'NEW PTMT'!$B$4:$E1832,{3,4},0)</f>
        <v>392</v>
      </c>
      <c r="F345" s="30">
        <v>422.0</v>
      </c>
      <c r="G345" s="12">
        <v>64.0</v>
      </c>
      <c r="H345" s="18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17"/>
      <c r="Z345" s="6" t="str">
        <f t="shared" si="1"/>
        <v>Helix148</v>
      </c>
      <c r="AA345" s="18" t="str">
        <f t="shared" si="2"/>
        <v>HelixConcealed Stop Cock 20mm</v>
      </c>
      <c r="AB345" s="60">
        <f t="shared" si="3"/>
        <v>422</v>
      </c>
      <c r="AC345" s="61">
        <v>148.0</v>
      </c>
      <c r="AD345" s="57" t="s">
        <v>690</v>
      </c>
      <c r="AE345" s="18"/>
    </row>
    <row r="346">
      <c r="A346" s="5" t="s">
        <v>20</v>
      </c>
      <c r="B346" s="8" t="s">
        <v>62</v>
      </c>
      <c r="C346" s="21" t="s">
        <v>1083</v>
      </c>
      <c r="D346" s="21" t="s">
        <v>731</v>
      </c>
      <c r="E346" s="53">
        <f t="array" ref="E346:F346">VLOOKUP(C346,'NEW PTMT'!$B$4:$E1832,{3,4},0)</f>
        <v>395.76</v>
      </c>
      <c r="F346" s="30">
        <v>428.0</v>
      </c>
      <c r="G346" s="12">
        <v>30.0</v>
      </c>
      <c r="H346" s="18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17"/>
      <c r="Z346" s="6" t="str">
        <f t="shared" si="1"/>
        <v>Helix149</v>
      </c>
      <c r="AA346" s="18" t="str">
        <f t="shared" si="2"/>
        <v>HelixWashing Machine Tap with Flange</v>
      </c>
      <c r="AB346" s="60">
        <f t="shared" si="3"/>
        <v>428</v>
      </c>
      <c r="AC346" s="61">
        <v>149.0</v>
      </c>
      <c r="AD346" s="62" t="s">
        <v>731</v>
      </c>
      <c r="AE346" s="18"/>
    </row>
    <row r="347">
      <c r="A347" s="5" t="s">
        <v>20</v>
      </c>
      <c r="B347" s="8" t="s">
        <v>62</v>
      </c>
      <c r="C347" s="21" t="s">
        <v>1086</v>
      </c>
      <c r="D347" s="21" t="s">
        <v>712</v>
      </c>
      <c r="E347" s="53">
        <f t="array" ref="E347:F347">VLOOKUP(C347,'NEW PTMT'!$B$4:$E1832,{3,4},0)</f>
        <v>1550.4</v>
      </c>
      <c r="F347" s="30">
        <v>1674.0</v>
      </c>
      <c r="G347" s="30">
        <v>14.0</v>
      </c>
      <c r="H347" s="18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17"/>
      <c r="Z347" s="6" t="str">
        <f t="shared" si="1"/>
        <v>Helix150</v>
      </c>
      <c r="AA347" s="18" t="str">
        <f t="shared" si="2"/>
        <v>HelixCenter Hole Basin Mixer</v>
      </c>
      <c r="AB347" s="60">
        <f t="shared" si="3"/>
        <v>1674</v>
      </c>
      <c r="AC347" s="61">
        <v>150.0</v>
      </c>
      <c r="AD347" s="57" t="s">
        <v>650</v>
      </c>
      <c r="AE347" s="18"/>
    </row>
    <row r="348">
      <c r="A348" s="5" t="s">
        <v>20</v>
      </c>
      <c r="B348" s="8" t="s">
        <v>128</v>
      </c>
      <c r="C348" s="21" t="s">
        <v>208</v>
      </c>
      <c r="D348" s="21" t="s">
        <v>951</v>
      </c>
      <c r="E348" s="53">
        <f t="array" ref="E348:F348">VLOOKUP(C348,'NEW PTMT'!$B$4:$E1832,{3,4},0)</f>
        <v>244</v>
      </c>
      <c r="F348" s="30">
        <v>264.0</v>
      </c>
      <c r="G348" s="30"/>
      <c r="H348" s="18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17"/>
      <c r="Z348" s="6" t="str">
        <f t="shared" si="1"/>
        <v>Erosa121</v>
      </c>
      <c r="AA348" s="18" t="str">
        <f t="shared" si="2"/>
        <v>ErosaBib Cock with Flange</v>
      </c>
      <c r="AB348" s="60">
        <f t="shared" si="3"/>
        <v>264</v>
      </c>
      <c r="AC348" s="61">
        <v>121.0</v>
      </c>
      <c r="AD348" s="57" t="s">
        <v>636</v>
      </c>
      <c r="AE348" s="18"/>
    </row>
    <row r="349">
      <c r="A349" s="5" t="s">
        <v>20</v>
      </c>
      <c r="B349" s="8" t="s">
        <v>128</v>
      </c>
      <c r="C349" s="21" t="s">
        <v>1092</v>
      </c>
      <c r="D349" s="21" t="s">
        <v>748</v>
      </c>
      <c r="E349" s="53">
        <f t="array" ref="E349:F349">VLOOKUP(C349,'NEW PTMT'!$B$4:$E1832,{3,4},0)</f>
        <v>256</v>
      </c>
      <c r="F349" s="30">
        <v>276.0</v>
      </c>
      <c r="G349" s="30"/>
      <c r="H349" s="18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17"/>
      <c r="Z349" s="6" t="str">
        <f t="shared" si="1"/>
        <v>Erosa121-F</v>
      </c>
      <c r="AA349" s="18" t="str">
        <f t="shared" si="2"/>
        <v>ErosaBib Cock (Foam Flow) with Flange</v>
      </c>
      <c r="AB349" s="60">
        <f t="shared" si="3"/>
        <v>276</v>
      </c>
      <c r="AC349" s="61" t="s">
        <v>208</v>
      </c>
      <c r="AD349" s="57" t="s">
        <v>417</v>
      </c>
      <c r="AE349" s="18"/>
    </row>
    <row r="350">
      <c r="A350" s="5" t="s">
        <v>20</v>
      </c>
      <c r="B350" s="8" t="s">
        <v>128</v>
      </c>
      <c r="C350" s="21" t="s">
        <v>1094</v>
      </c>
      <c r="D350" s="21" t="s">
        <v>798</v>
      </c>
      <c r="E350" s="53">
        <f t="array" ref="E350:F350">VLOOKUP(C350,'NEW PTMT'!$B$4:$E1832,{3,4},0)</f>
        <v>264</v>
      </c>
      <c r="F350" s="30">
        <v>286.0</v>
      </c>
      <c r="G350" s="30"/>
      <c r="H350" s="18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17"/>
      <c r="Z350" s="6" t="str">
        <f t="shared" si="1"/>
        <v>Erosa123</v>
      </c>
      <c r="AA350" s="18" t="str">
        <f t="shared" si="2"/>
        <v>ErosaBib Cock Fancy with Flange</v>
      </c>
      <c r="AB350" s="60">
        <f t="shared" si="3"/>
        <v>286</v>
      </c>
      <c r="AC350" s="61">
        <v>123.0</v>
      </c>
      <c r="AD350" s="57" t="s">
        <v>333</v>
      </c>
      <c r="AE350" s="18"/>
    </row>
    <row r="351">
      <c r="A351" s="5" t="s">
        <v>20</v>
      </c>
      <c r="B351" s="8" t="s">
        <v>128</v>
      </c>
      <c r="C351" s="21" t="s">
        <v>1096</v>
      </c>
      <c r="D351" s="21" t="s">
        <v>306</v>
      </c>
      <c r="E351" s="53">
        <f t="array" ref="E351:F351">VLOOKUP(C351,'NEW PTMT'!$B$4:$E1832,{3,4},0)</f>
        <v>273.6864</v>
      </c>
      <c r="F351" s="30">
        <v>296.0</v>
      </c>
      <c r="G351" s="30"/>
      <c r="H351" s="18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17"/>
      <c r="Z351" s="6" t="str">
        <f t="shared" si="1"/>
        <v>Erosa123-F</v>
      </c>
      <c r="AA351" s="18" t="str">
        <f t="shared" si="2"/>
        <v>ErosaBib Cock (Foam Flow) with Flange</v>
      </c>
      <c r="AB351" s="60">
        <f t="shared" si="3"/>
        <v>296</v>
      </c>
      <c r="AC351" s="61" t="s">
        <v>471</v>
      </c>
      <c r="AD351" s="57" t="s">
        <v>417</v>
      </c>
      <c r="AE351" s="18"/>
    </row>
    <row r="352">
      <c r="A352" s="5" t="s">
        <v>20</v>
      </c>
      <c r="B352" s="8" t="s">
        <v>128</v>
      </c>
      <c r="C352" s="21" t="s">
        <v>1098</v>
      </c>
      <c r="D352" s="21" t="s">
        <v>801</v>
      </c>
      <c r="E352" s="53">
        <f t="array" ref="E352:F352">VLOOKUP(C352,'NEW PTMT'!$B$4:$E1832,{3,4},0)</f>
        <v>313.9968</v>
      </c>
      <c r="F352" s="30">
        <v>338.0</v>
      </c>
      <c r="G352" s="30"/>
      <c r="H352" s="18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17"/>
      <c r="Z352" s="6" t="str">
        <f t="shared" si="1"/>
        <v>Erosa123-N</v>
      </c>
      <c r="AA352" s="18" t="str">
        <f t="shared" si="2"/>
        <v>ErosaBib Cock Fancy (Foam Flow) with New Flange &amp; Nipple</v>
      </c>
      <c r="AB352" s="60">
        <f t="shared" si="3"/>
        <v>338</v>
      </c>
      <c r="AC352" s="61" t="s">
        <v>573</v>
      </c>
      <c r="AD352" s="57" t="s">
        <v>460</v>
      </c>
      <c r="AE352" s="18"/>
    </row>
    <row r="353">
      <c r="A353" s="5" t="s">
        <v>20</v>
      </c>
      <c r="B353" s="8" t="s">
        <v>128</v>
      </c>
      <c r="C353" s="21" t="s">
        <v>1100</v>
      </c>
      <c r="D353" s="21" t="s">
        <v>803</v>
      </c>
      <c r="E353" s="53">
        <f t="array" ref="E353:F353">VLOOKUP(C353,'NEW PTMT'!$B$4:$E1832,{3,4},0)</f>
        <v>303.96</v>
      </c>
      <c r="F353" s="30">
        <v>328.0</v>
      </c>
      <c r="G353" s="30"/>
      <c r="H353" s="18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17"/>
      <c r="Z353" s="6" t="str">
        <f t="shared" si="1"/>
        <v>Erosa124</v>
      </c>
      <c r="AA353" s="18" t="str">
        <f t="shared" si="2"/>
        <v>ErosaBib Cock Long Body with Flange</v>
      </c>
      <c r="AB353" s="60">
        <f t="shared" si="3"/>
        <v>328</v>
      </c>
      <c r="AC353" s="61">
        <v>124.0</v>
      </c>
      <c r="AD353" s="57" t="s">
        <v>358</v>
      </c>
      <c r="AE353" s="18"/>
    </row>
    <row r="354">
      <c r="A354" s="5" t="s">
        <v>20</v>
      </c>
      <c r="B354" s="8" t="s">
        <v>128</v>
      </c>
      <c r="C354" s="21" t="s">
        <v>1102</v>
      </c>
      <c r="D354" s="21" t="s">
        <v>339</v>
      </c>
      <c r="E354" s="53">
        <f t="array" ref="E354:F354">VLOOKUP(C354,'NEW PTMT'!$B$4:$E1832,{3,4},0)</f>
        <v>313.9968</v>
      </c>
      <c r="F354" s="30">
        <v>338.0</v>
      </c>
      <c r="G354" s="30"/>
      <c r="H354" s="18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17"/>
      <c r="Z354" s="6" t="str">
        <f t="shared" si="1"/>
        <v>Erosa124-F</v>
      </c>
      <c r="AA354" s="18" t="str">
        <f t="shared" si="2"/>
        <v>ErosaBib Cock Long Body (Foam Flow) with Flange</v>
      </c>
      <c r="AB354" s="60">
        <f t="shared" si="3"/>
        <v>338</v>
      </c>
      <c r="AC354" s="61" t="s">
        <v>698</v>
      </c>
      <c r="AD354" s="62" t="s">
        <v>520</v>
      </c>
      <c r="AE354" s="18"/>
    </row>
    <row r="355">
      <c r="A355" s="5" t="s">
        <v>20</v>
      </c>
      <c r="B355" s="8" t="s">
        <v>128</v>
      </c>
      <c r="C355" s="21" t="s">
        <v>1104</v>
      </c>
      <c r="D355" s="21" t="s">
        <v>901</v>
      </c>
      <c r="E355" s="53">
        <f t="array" ref="E355:F355">VLOOKUP(C355,'NEW PTMT'!$B$4:$E1832,{3,4},0)</f>
        <v>264</v>
      </c>
      <c r="F355" s="30">
        <v>286.0</v>
      </c>
      <c r="G355" s="30"/>
      <c r="H355" s="18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17"/>
      <c r="Z355" s="6" t="str">
        <f t="shared" si="1"/>
        <v>Erosa127</v>
      </c>
      <c r="AA355" s="18" t="str">
        <f t="shared" si="2"/>
        <v>ErosaBib Cock Nozzle with Flange</v>
      </c>
      <c r="AB355" s="60">
        <f t="shared" si="3"/>
        <v>286</v>
      </c>
      <c r="AC355" s="61">
        <v>127.0</v>
      </c>
      <c r="AD355" s="57" t="s">
        <v>363</v>
      </c>
      <c r="AE355" s="18"/>
    </row>
    <row r="356">
      <c r="A356" s="5" t="s">
        <v>20</v>
      </c>
      <c r="B356" s="8" t="s">
        <v>128</v>
      </c>
      <c r="C356" s="21" t="s">
        <v>1105</v>
      </c>
      <c r="D356" s="21" t="s">
        <v>808</v>
      </c>
      <c r="E356" s="53">
        <f t="array" ref="E356:F356">VLOOKUP(C356,'NEW PTMT'!$B$4:$E1832,{3,4},0)</f>
        <v>526.1568</v>
      </c>
      <c r="F356" s="30">
        <v>568.0</v>
      </c>
      <c r="G356" s="30"/>
      <c r="H356" s="18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17"/>
      <c r="Z356" s="6" t="str">
        <f t="shared" si="1"/>
        <v>Erosa129</v>
      </c>
      <c r="AA356" s="18" t="str">
        <f t="shared" si="2"/>
        <v>Erosa2 Way Bib Cock with Flange</v>
      </c>
      <c r="AB356" s="60">
        <f t="shared" si="3"/>
        <v>568</v>
      </c>
      <c r="AC356" s="61">
        <v>129.0</v>
      </c>
      <c r="AD356" s="57" t="s">
        <v>378</v>
      </c>
      <c r="AE356" s="18"/>
    </row>
    <row r="357">
      <c r="A357" s="5" t="s">
        <v>20</v>
      </c>
      <c r="B357" s="8" t="s">
        <v>128</v>
      </c>
      <c r="C357" s="21" t="s">
        <v>1107</v>
      </c>
      <c r="D357" s="21" t="s">
        <v>939</v>
      </c>
      <c r="E357" s="53">
        <f t="array" ref="E357:F357">VLOOKUP(C357,'NEW PTMT'!$B$4:$E1832,{3,4},0)</f>
        <v>332</v>
      </c>
      <c r="F357" s="30">
        <v>358.0</v>
      </c>
      <c r="G357" s="30"/>
      <c r="H357" s="18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17"/>
      <c r="Z357" s="6" t="str">
        <f t="shared" si="1"/>
        <v>Erosa130</v>
      </c>
      <c r="AA357" s="18" t="str">
        <f t="shared" si="2"/>
        <v>ErosaPillar Cock with Flange</v>
      </c>
      <c r="AB357" s="60">
        <f t="shared" si="3"/>
        <v>358</v>
      </c>
      <c r="AC357" s="61">
        <v>130.0</v>
      </c>
      <c r="AD357" s="57" t="s">
        <v>416</v>
      </c>
      <c r="AE357" s="18"/>
    </row>
    <row r="358">
      <c r="A358" s="5" t="s">
        <v>20</v>
      </c>
      <c r="B358" s="8" t="s">
        <v>128</v>
      </c>
      <c r="C358" s="21" t="s">
        <v>1108</v>
      </c>
      <c r="D358" s="21" t="s">
        <v>941</v>
      </c>
      <c r="E358" s="53">
        <f t="array" ref="E358:F358">VLOOKUP(C358,'NEW PTMT'!$B$4:$E1832,{3,4},0)</f>
        <v>368</v>
      </c>
      <c r="F358" s="30">
        <v>398.0</v>
      </c>
      <c r="G358" s="30"/>
      <c r="H358" s="18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17"/>
      <c r="Z358" s="6" t="str">
        <f t="shared" si="1"/>
        <v>Erosa131</v>
      </c>
      <c r="AA358" s="18" t="str">
        <f t="shared" si="2"/>
        <v>ErosaPillar Cock Fancy with Flange</v>
      </c>
      <c r="AB358" s="60">
        <f t="shared" si="3"/>
        <v>398</v>
      </c>
      <c r="AC358" s="61">
        <v>131.0</v>
      </c>
      <c r="AD358" s="57" t="s">
        <v>701</v>
      </c>
      <c r="AE358" s="18"/>
    </row>
    <row r="359">
      <c r="A359" s="5" t="s">
        <v>20</v>
      </c>
      <c r="B359" s="8" t="s">
        <v>128</v>
      </c>
      <c r="C359" s="21" t="s">
        <v>1111</v>
      </c>
      <c r="D359" s="21" t="s">
        <v>1112</v>
      </c>
      <c r="E359" s="53">
        <f t="array" ref="E359:F359">VLOOKUP(C359,'NEW PTMT'!$B$4:$E1832,{3,4},0)</f>
        <v>705.84</v>
      </c>
      <c r="F359" s="30">
        <v>762.0</v>
      </c>
      <c r="G359" s="30"/>
      <c r="H359" s="18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17"/>
      <c r="Z359" s="6" t="str">
        <f t="shared" si="1"/>
        <v>Erosa132</v>
      </c>
      <c r="AA359" s="18" t="str">
        <f t="shared" si="2"/>
        <v>ErosaSink Cock (W/M) with Flange</v>
      </c>
      <c r="AB359" s="60">
        <f t="shared" si="3"/>
        <v>762</v>
      </c>
      <c r="AC359" s="61">
        <v>132.0</v>
      </c>
      <c r="AD359" s="57" t="s">
        <v>436</v>
      </c>
      <c r="AE359" s="18"/>
    </row>
    <row r="360">
      <c r="A360" s="5" t="s">
        <v>20</v>
      </c>
      <c r="B360" s="8" t="s">
        <v>128</v>
      </c>
      <c r="C360" s="21" t="s">
        <v>1113</v>
      </c>
      <c r="D360" s="21" t="s">
        <v>1114</v>
      </c>
      <c r="E360" s="53">
        <f t="array" ref="E360:F360">VLOOKUP(C360,'NEW PTMT'!$B$4:$E1832,{3,4},0)</f>
        <v>625.872</v>
      </c>
      <c r="F360" s="30">
        <v>676.0</v>
      </c>
      <c r="G360" s="30"/>
      <c r="H360" s="18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17"/>
      <c r="Z360" s="6" t="str">
        <f t="shared" si="1"/>
        <v>Erosa1322</v>
      </c>
      <c r="AA360" s="18" t="str">
        <f t="shared" si="2"/>
        <v>ErosaSink Cock Small Spout (W/M) with Flange</v>
      </c>
      <c r="AB360" s="60">
        <f t="shared" si="3"/>
        <v>676</v>
      </c>
      <c r="AC360" s="61">
        <v>1322.0</v>
      </c>
      <c r="AD360" s="57" t="s">
        <v>457</v>
      </c>
      <c r="AE360" s="18"/>
    </row>
    <row r="361">
      <c r="A361" s="5" t="s">
        <v>20</v>
      </c>
      <c r="B361" s="8" t="s">
        <v>128</v>
      </c>
      <c r="C361" s="21" t="s">
        <v>1117</v>
      </c>
      <c r="D361" s="21" t="s">
        <v>1118</v>
      </c>
      <c r="E361" s="53">
        <f t="array" ref="E361:F361">VLOOKUP(C361,'NEW PTMT'!$B$4:$E1832,{3,4},0)</f>
        <v>711.96</v>
      </c>
      <c r="F361" s="30">
        <v>768.0</v>
      </c>
      <c r="G361" s="30"/>
      <c r="H361" s="18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17"/>
      <c r="Z361" s="6" t="str">
        <f t="shared" si="1"/>
        <v>Erosa133</v>
      </c>
      <c r="AA361" s="18" t="str">
        <f t="shared" si="2"/>
        <v>ErosaSink Cock Long Spout (T/M) with Flange</v>
      </c>
      <c r="AB361" s="60">
        <f t="shared" si="3"/>
        <v>768</v>
      </c>
      <c r="AC361" s="61">
        <v>133.0</v>
      </c>
      <c r="AD361" s="57" t="s">
        <v>480</v>
      </c>
      <c r="AE361" s="18"/>
    </row>
    <row r="362">
      <c r="A362" s="5" t="s">
        <v>20</v>
      </c>
      <c r="B362" s="8" t="s">
        <v>128</v>
      </c>
      <c r="C362" s="21" t="s">
        <v>1119</v>
      </c>
      <c r="D362" s="21" t="s">
        <v>913</v>
      </c>
      <c r="E362" s="53">
        <f t="array" ref="E362:F362">VLOOKUP(C362,'NEW PTMT'!$B$4:$E1832,{3,4},0)</f>
        <v>1262.352</v>
      </c>
      <c r="F362" s="30">
        <v>1362.0</v>
      </c>
      <c r="G362" s="30"/>
      <c r="H362" s="18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17"/>
      <c r="Z362" s="6" t="str">
        <f t="shared" si="1"/>
        <v>Erosa134</v>
      </c>
      <c r="AA362" s="18" t="str">
        <f t="shared" si="2"/>
        <v>ErosaSink Mixer with Flange</v>
      </c>
      <c r="AB362" s="60">
        <f t="shared" si="3"/>
        <v>1362</v>
      </c>
      <c r="AC362" s="61">
        <v>134.0</v>
      </c>
      <c r="AD362" s="57" t="s">
        <v>499</v>
      </c>
      <c r="AE362" s="18"/>
    </row>
    <row r="363">
      <c r="A363" s="5" t="s">
        <v>20</v>
      </c>
      <c r="B363" s="8" t="s">
        <v>128</v>
      </c>
      <c r="C363" s="21" t="s">
        <v>1122</v>
      </c>
      <c r="D363" s="21" t="s">
        <v>523</v>
      </c>
      <c r="E363" s="53">
        <f t="array" ref="E363:F363">VLOOKUP(C363,'NEW PTMT'!$B$4:$E1832,{3,4},0)</f>
        <v>1994</v>
      </c>
      <c r="F363" s="30">
        <v>2154.0</v>
      </c>
      <c r="G363" s="30"/>
      <c r="H363" s="18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17"/>
      <c r="Z363" s="6" t="str">
        <f t="shared" si="1"/>
        <v>Erosa1374</v>
      </c>
      <c r="AA363" s="18" t="str">
        <f t="shared" si="2"/>
        <v>Erosa2 in 1 Telephonic Wall Mixer</v>
      </c>
      <c r="AB363" s="60">
        <f t="shared" si="3"/>
        <v>2154</v>
      </c>
      <c r="AC363" s="61">
        <v>1374.0</v>
      </c>
      <c r="AD363" s="57" t="s">
        <v>540</v>
      </c>
      <c r="AE363" s="18"/>
    </row>
    <row r="364">
      <c r="A364" s="5" t="s">
        <v>20</v>
      </c>
      <c r="B364" s="8" t="s">
        <v>128</v>
      </c>
      <c r="C364" s="21" t="s">
        <v>1123</v>
      </c>
      <c r="D364" s="21" t="s">
        <v>1124</v>
      </c>
      <c r="E364" s="53">
        <f t="array" ref="E364:F364">VLOOKUP(C364,'NEW PTMT'!$B$4:$E1832,{3,4},0)</f>
        <v>1688</v>
      </c>
      <c r="F364" s="30">
        <v>1822.0</v>
      </c>
      <c r="G364" s="30"/>
      <c r="H364" s="18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17"/>
      <c r="Z364" s="6" t="str">
        <f t="shared" si="1"/>
        <v>Erosa1375</v>
      </c>
      <c r="AA364" s="18" t="str">
        <f t="shared" si="2"/>
        <v>ErosaWall Mixer L Bend with Flange</v>
      </c>
      <c r="AB364" s="60">
        <f t="shared" si="3"/>
        <v>1822</v>
      </c>
      <c r="AC364" s="61">
        <v>1375.0</v>
      </c>
      <c r="AD364" s="57" t="s">
        <v>561</v>
      </c>
      <c r="AE364" s="18"/>
    </row>
    <row r="365">
      <c r="A365" s="5" t="s">
        <v>20</v>
      </c>
      <c r="B365" s="8" t="s">
        <v>128</v>
      </c>
      <c r="C365" s="21" t="s">
        <v>1127</v>
      </c>
      <c r="D365" s="21" t="s">
        <v>719</v>
      </c>
      <c r="E365" s="53">
        <f t="array" ref="E365:F365">VLOOKUP(C365,'NEW PTMT'!$B$4:$E1832,{3,4},0)</f>
        <v>234</v>
      </c>
      <c r="F365" s="30">
        <v>252.0</v>
      </c>
      <c r="G365" s="30"/>
      <c r="H365" s="18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17"/>
      <c r="Z365" s="6" t="str">
        <f t="shared" si="1"/>
        <v>Erosa141</v>
      </c>
      <c r="AA365" s="18" t="str">
        <f t="shared" si="2"/>
        <v>ErosaStop Cock 15mm (M/T)</v>
      </c>
      <c r="AB365" s="60">
        <f t="shared" si="3"/>
        <v>252</v>
      </c>
      <c r="AC365" s="61">
        <v>141.0</v>
      </c>
      <c r="AD365" s="57" t="s">
        <v>719</v>
      </c>
      <c r="AE365" s="18"/>
    </row>
    <row r="366">
      <c r="A366" s="5" t="s">
        <v>20</v>
      </c>
      <c r="B366" s="8" t="s">
        <v>128</v>
      </c>
      <c r="C366" s="21" t="s">
        <v>1128</v>
      </c>
      <c r="D366" s="21" t="s">
        <v>717</v>
      </c>
      <c r="E366" s="53">
        <f t="array" ref="E366:F366">VLOOKUP(C366,'NEW PTMT'!$B$4:$E1832,{3,4},0)</f>
        <v>234</v>
      </c>
      <c r="F366" s="30">
        <v>252.0</v>
      </c>
      <c r="G366" s="30"/>
      <c r="H366" s="18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17"/>
      <c r="Z366" s="6" t="str">
        <f t="shared" si="1"/>
        <v>Erosa142</v>
      </c>
      <c r="AA366" s="18" t="str">
        <f t="shared" si="2"/>
        <v>ErosaStop Cock 15mm (F/T)</v>
      </c>
      <c r="AB366" s="60">
        <f t="shared" si="3"/>
        <v>252</v>
      </c>
      <c r="AC366" s="61">
        <v>142.0</v>
      </c>
      <c r="AD366" s="57" t="s">
        <v>717</v>
      </c>
      <c r="AE366" s="18"/>
    </row>
    <row r="367">
      <c r="A367" s="5" t="s">
        <v>20</v>
      </c>
      <c r="B367" s="8" t="s">
        <v>128</v>
      </c>
      <c r="C367" s="21" t="s">
        <v>1130</v>
      </c>
      <c r="D367" s="21" t="s">
        <v>723</v>
      </c>
      <c r="E367" s="53">
        <f t="array" ref="E367:F367">VLOOKUP(C367,'NEW PTMT'!$B$4:$E1832,{3,4},0)</f>
        <v>244</v>
      </c>
      <c r="F367" s="30">
        <v>264.0</v>
      </c>
      <c r="G367" s="30"/>
      <c r="H367" s="18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17"/>
      <c r="Z367" s="6" t="str">
        <f t="shared" si="1"/>
        <v>Erosa143</v>
      </c>
      <c r="AA367" s="18" t="str">
        <f t="shared" si="2"/>
        <v>ErosaStop Cock 20mm (F/T)</v>
      </c>
      <c r="AB367" s="60">
        <f t="shared" si="3"/>
        <v>264</v>
      </c>
      <c r="AC367" s="61">
        <v>143.0</v>
      </c>
      <c r="AD367" s="57" t="s">
        <v>723</v>
      </c>
      <c r="AE367" s="18"/>
    </row>
    <row r="368">
      <c r="A368" s="5" t="s">
        <v>20</v>
      </c>
      <c r="B368" s="8" t="s">
        <v>128</v>
      </c>
      <c r="C368" s="21" t="s">
        <v>1132</v>
      </c>
      <c r="D368" s="21" t="s">
        <v>978</v>
      </c>
      <c r="E368" s="53">
        <f t="array" ref="E368:F368">VLOOKUP(C368,'NEW PTMT'!$B$4:$E1832,{3,4},0)</f>
        <v>222</v>
      </c>
      <c r="F368" s="30">
        <v>242.0</v>
      </c>
      <c r="G368" s="30"/>
      <c r="H368" s="18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17"/>
      <c r="Z368" s="6" t="str">
        <f t="shared" si="1"/>
        <v>Erosa144</v>
      </c>
      <c r="AA368" s="18" t="str">
        <f t="shared" si="2"/>
        <v>ErosaAngle Cock with Flange</v>
      </c>
      <c r="AB368" s="60">
        <f t="shared" si="3"/>
        <v>242</v>
      </c>
      <c r="AC368" s="61">
        <v>144.0</v>
      </c>
      <c r="AD368" s="57" t="s">
        <v>395</v>
      </c>
      <c r="AE368" s="18"/>
    </row>
    <row r="369">
      <c r="A369" s="5" t="s">
        <v>20</v>
      </c>
      <c r="B369" s="8" t="s">
        <v>128</v>
      </c>
      <c r="C369" s="21" t="s">
        <v>1133</v>
      </c>
      <c r="D369" s="21" t="s">
        <v>359</v>
      </c>
      <c r="E369" s="53">
        <f t="array" ref="E369:F369">VLOOKUP(C369,'NEW PTMT'!$B$4:$E1832,{3,4},0)</f>
        <v>491.64</v>
      </c>
      <c r="F369" s="30">
        <v>532.0</v>
      </c>
      <c r="G369" s="30"/>
      <c r="H369" s="18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17"/>
      <c r="Z369" s="6" t="str">
        <f t="shared" si="1"/>
        <v>Erosa145</v>
      </c>
      <c r="AA369" s="18" t="str">
        <f t="shared" si="2"/>
        <v>Erosa2 Way Angle Cock with Flange</v>
      </c>
      <c r="AB369" s="60">
        <f t="shared" si="3"/>
        <v>532</v>
      </c>
      <c r="AC369" s="61">
        <v>145.0</v>
      </c>
      <c r="AD369" s="57" t="s">
        <v>359</v>
      </c>
      <c r="AE369" s="18"/>
    </row>
    <row r="370">
      <c r="A370" s="5" t="s">
        <v>20</v>
      </c>
      <c r="B370" s="8" t="s">
        <v>128</v>
      </c>
      <c r="C370" s="21" t="s">
        <v>1134</v>
      </c>
      <c r="D370" s="21" t="s">
        <v>928</v>
      </c>
      <c r="E370" s="53">
        <f t="array" ref="E370:F370">VLOOKUP(C370,'NEW PTMT'!$B$4:$E1832,{3,4},0)</f>
        <v>375.5232</v>
      </c>
      <c r="F370" s="30">
        <v>406.0</v>
      </c>
      <c r="G370" s="30"/>
      <c r="H370" s="18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17"/>
      <c r="Z370" s="6" t="str">
        <f t="shared" si="1"/>
        <v>Erosa146</v>
      </c>
      <c r="AA370" s="18" t="str">
        <f t="shared" si="2"/>
        <v>ErosaConcealed Stop Cock 15mm</v>
      </c>
      <c r="AB370" s="60">
        <f t="shared" si="3"/>
        <v>406</v>
      </c>
      <c r="AC370" s="61">
        <v>146.0</v>
      </c>
      <c r="AD370" s="250" t="s">
        <v>663</v>
      </c>
      <c r="AE370" s="18"/>
    </row>
    <row r="371">
      <c r="A371" s="5" t="s">
        <v>20</v>
      </c>
      <c r="B371" s="8" t="s">
        <v>128</v>
      </c>
      <c r="C371" s="21" t="s">
        <v>1135</v>
      </c>
      <c r="D371" s="21" t="s">
        <v>930</v>
      </c>
      <c r="E371" s="53">
        <f t="array" ref="E371:F371">VLOOKUP(C371,'NEW PTMT'!$B$4:$E1832,{3,4},0)</f>
        <v>385.56</v>
      </c>
      <c r="F371" s="30">
        <v>416.0</v>
      </c>
      <c r="G371" s="30"/>
      <c r="H371" s="18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17"/>
      <c r="Z371" s="6" t="str">
        <f t="shared" si="1"/>
        <v>Erosa148</v>
      </c>
      <c r="AA371" s="18" t="str">
        <f t="shared" si="2"/>
        <v>ErosaConcealed Stop Cock 20mm</v>
      </c>
      <c r="AB371" s="60">
        <f t="shared" si="3"/>
        <v>416</v>
      </c>
      <c r="AC371" s="61">
        <v>148.0</v>
      </c>
      <c r="AD371" s="250" t="s">
        <v>690</v>
      </c>
      <c r="AE371" s="18"/>
    </row>
    <row r="372">
      <c r="A372" s="5" t="s">
        <v>20</v>
      </c>
      <c r="B372" s="8" t="s">
        <v>128</v>
      </c>
      <c r="C372" s="21" t="s">
        <v>1136</v>
      </c>
      <c r="D372" s="21" t="s">
        <v>1137</v>
      </c>
      <c r="E372" s="53">
        <f t="array" ref="E372:F372">VLOOKUP(C372,'NEW PTMT'!$B$4:$E1832,{3,4},0)</f>
        <v>646</v>
      </c>
      <c r="F372" s="30">
        <v>698.0</v>
      </c>
      <c r="G372" s="30"/>
      <c r="H372" s="18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17"/>
      <c r="Z372" s="6" t="str">
        <f t="shared" si="1"/>
        <v>Erosa147</v>
      </c>
      <c r="AA372" s="18" t="str">
        <f t="shared" si="2"/>
        <v>ErosaPillar Cock Swan Neck (T/M) with Flange</v>
      </c>
      <c r="AB372" s="60">
        <f t="shared" si="3"/>
        <v>698</v>
      </c>
      <c r="AC372" s="61">
        <v>147.0</v>
      </c>
      <c r="AD372" s="57" t="s">
        <v>616</v>
      </c>
      <c r="AE372" s="18"/>
    </row>
    <row r="373">
      <c r="A373" s="5" t="s">
        <v>20</v>
      </c>
      <c r="B373" s="8" t="s">
        <v>128</v>
      </c>
      <c r="C373" s="21" t="s">
        <v>1140</v>
      </c>
      <c r="D373" s="21" t="s">
        <v>1141</v>
      </c>
      <c r="E373" s="53">
        <f t="array" ref="E373:F373">VLOOKUP(C373,'NEW PTMT'!$B$4:$E1832,{3,4},0)</f>
        <v>688</v>
      </c>
      <c r="F373" s="30">
        <v>744.0</v>
      </c>
      <c r="G373" s="30"/>
      <c r="H373" s="18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17"/>
      <c r="Z373" s="6" t="str">
        <f t="shared" si="1"/>
        <v>Erosa147-Q</v>
      </c>
      <c r="AA373" s="18" t="str">
        <f t="shared" si="2"/>
        <v>ErosaPillar Cock Swan Neck (T/M) Square Spout with Flange</v>
      </c>
      <c r="AB373" s="60">
        <f t="shared" si="3"/>
        <v>744</v>
      </c>
      <c r="AC373" s="61" t="s">
        <v>737</v>
      </c>
      <c r="AD373" s="57" t="s">
        <v>703</v>
      </c>
      <c r="AE373" s="18"/>
    </row>
    <row r="374">
      <c r="A374" s="5" t="s">
        <v>20</v>
      </c>
      <c r="B374" s="8" t="s">
        <v>128</v>
      </c>
      <c r="C374" s="21" t="s">
        <v>1143</v>
      </c>
      <c r="D374" s="21" t="s">
        <v>731</v>
      </c>
      <c r="E374" s="53">
        <f t="array" ref="E374:F374">VLOOKUP(C374,'NEW PTMT'!$B$4:$E1832,{3,4},0)</f>
        <v>401.88</v>
      </c>
      <c r="F374" s="30">
        <v>434.0</v>
      </c>
      <c r="G374" s="30"/>
      <c r="H374" s="18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17"/>
      <c r="Z374" s="6" t="str">
        <f t="shared" si="1"/>
        <v>Erosa149</v>
      </c>
      <c r="AA374" s="18" t="str">
        <f t="shared" si="2"/>
        <v>ErosaWashing Machine Tap with Flange</v>
      </c>
      <c r="AB374" s="60">
        <f t="shared" si="3"/>
        <v>434</v>
      </c>
      <c r="AC374" s="61">
        <v>149.0</v>
      </c>
      <c r="AD374" s="62" t="s">
        <v>731</v>
      </c>
      <c r="AE374" s="18"/>
    </row>
    <row r="375">
      <c r="A375" s="5" t="s">
        <v>20</v>
      </c>
      <c r="B375" s="8" t="s">
        <v>128</v>
      </c>
      <c r="C375" s="21" t="s">
        <v>1144</v>
      </c>
      <c r="D375" s="21" t="s">
        <v>1145</v>
      </c>
      <c r="E375" s="53">
        <f t="array" ref="E375:F375">VLOOKUP(C375,'NEW PTMT'!$B$4:$E1832,{3,4},0)</f>
        <v>1502</v>
      </c>
      <c r="F375" s="30">
        <v>1622.0</v>
      </c>
      <c r="G375" s="30"/>
      <c r="H375" s="18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17"/>
      <c r="Z375" s="6" t="str">
        <f t="shared" si="1"/>
        <v>Erosa150</v>
      </c>
      <c r="AA375" s="18" t="str">
        <f t="shared" si="2"/>
        <v>ErosaCenter Hole Basin Mixer</v>
      </c>
      <c r="AB375" s="60">
        <f t="shared" si="3"/>
        <v>1622</v>
      </c>
      <c r="AC375" s="61">
        <v>150.0</v>
      </c>
      <c r="AD375" s="57" t="s">
        <v>650</v>
      </c>
      <c r="AE375" s="18"/>
    </row>
    <row r="376">
      <c r="A376" s="5" t="s">
        <v>20</v>
      </c>
      <c r="B376" s="8" t="s">
        <v>129</v>
      </c>
      <c r="C376" s="8" t="s">
        <v>1151</v>
      </c>
      <c r="D376" s="8" t="s">
        <v>1152</v>
      </c>
      <c r="E376" s="53">
        <f t="array" ref="E376:F376">VLOOKUP(C376,'NEW PTMT'!$B$4:$E1832,{3,4},0)</f>
        <v>122</v>
      </c>
      <c r="F376" s="30">
        <v>138.0</v>
      </c>
      <c r="G376" s="30"/>
      <c r="H376" s="18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17"/>
      <c r="Z376" s="6" t="str">
        <f t="shared" si="1"/>
        <v>Luxor121</v>
      </c>
      <c r="AA376" s="18" t="str">
        <f t="shared" si="2"/>
        <v>LuxorBib Cock with Flange</v>
      </c>
      <c r="AB376" s="60">
        <f t="shared" si="3"/>
        <v>138</v>
      </c>
      <c r="AC376" s="61">
        <v>121.0</v>
      </c>
      <c r="AD376" s="57" t="s">
        <v>636</v>
      </c>
      <c r="AE376" s="18"/>
    </row>
    <row r="377">
      <c r="A377" s="5" t="s">
        <v>20</v>
      </c>
      <c r="B377" s="8" t="s">
        <v>129</v>
      </c>
      <c r="C377" s="8" t="s">
        <v>1155</v>
      </c>
      <c r="D377" s="8" t="s">
        <v>1156</v>
      </c>
      <c r="E377" s="53">
        <f t="array" ref="E377:F377">VLOOKUP(C377,'NEW PTMT'!$B$4:$E1832,{3,4},0)</f>
        <v>142</v>
      </c>
      <c r="F377" s="30">
        <v>158.0</v>
      </c>
      <c r="G377" s="30"/>
      <c r="H377" s="18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17"/>
      <c r="Z377" s="6" t="str">
        <f t="shared" si="1"/>
        <v>Luxor124</v>
      </c>
      <c r="AA377" s="18" t="str">
        <f t="shared" si="2"/>
        <v>LuxorBib Cock Long Body with Flange</v>
      </c>
      <c r="AB377" s="60">
        <f t="shared" si="3"/>
        <v>158</v>
      </c>
      <c r="AC377" s="61">
        <v>124.0</v>
      </c>
      <c r="AD377" s="57" t="s">
        <v>358</v>
      </c>
      <c r="AE377" s="18"/>
    </row>
    <row r="378">
      <c r="A378" s="5" t="s">
        <v>20</v>
      </c>
      <c r="B378" s="8" t="s">
        <v>129</v>
      </c>
      <c r="C378" s="8" t="s">
        <v>1158</v>
      </c>
      <c r="D378" s="8" t="s">
        <v>1160</v>
      </c>
      <c r="E378" s="53">
        <f t="array" ref="E378:F378">VLOOKUP(C378,'NEW PTMT'!$B$4:$E1832,{3,4},0)</f>
        <v>122</v>
      </c>
      <c r="F378" s="30">
        <v>138.0</v>
      </c>
      <c r="G378" s="30"/>
      <c r="H378" s="18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17"/>
      <c r="Z378" s="6" t="str">
        <f t="shared" si="1"/>
        <v>Luxor144</v>
      </c>
      <c r="AA378" s="18" t="str">
        <f t="shared" si="2"/>
        <v>LuxorAngle Cock with Flange</v>
      </c>
      <c r="AB378" s="60">
        <f t="shared" si="3"/>
        <v>138</v>
      </c>
      <c r="AC378" s="61">
        <v>144.0</v>
      </c>
      <c r="AD378" s="57" t="s">
        <v>395</v>
      </c>
      <c r="AE378" s="18"/>
    </row>
    <row r="379">
      <c r="A379" s="5" t="s">
        <v>20</v>
      </c>
      <c r="B379" s="8" t="s">
        <v>130</v>
      </c>
      <c r="C379" s="8" t="s">
        <v>1165</v>
      </c>
      <c r="D379" s="8" t="s">
        <v>1152</v>
      </c>
      <c r="E379" s="53">
        <f t="array" ref="E379:F379">VLOOKUP(C379,'NEW PTMT'!$B$4:$E1832,{3,4},0)</f>
        <v>132</v>
      </c>
      <c r="F379" s="30">
        <v>148.0</v>
      </c>
      <c r="G379" s="30"/>
      <c r="H379" s="18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17"/>
      <c r="Z379" s="6" t="str">
        <f t="shared" si="1"/>
        <v>Glory121</v>
      </c>
      <c r="AA379" s="18" t="str">
        <f t="shared" si="2"/>
        <v>GloryBib Cock with Flange</v>
      </c>
      <c r="AB379" s="60">
        <f t="shared" si="3"/>
        <v>148</v>
      </c>
      <c r="AC379" s="61">
        <v>121.0</v>
      </c>
      <c r="AD379" s="57" t="s">
        <v>636</v>
      </c>
      <c r="AE379" s="18"/>
    </row>
    <row r="380">
      <c r="A380" s="5" t="s">
        <v>20</v>
      </c>
      <c r="B380" s="8" t="s">
        <v>130</v>
      </c>
      <c r="C380" s="8" t="s">
        <v>1168</v>
      </c>
      <c r="D380" s="8" t="s">
        <v>1156</v>
      </c>
      <c r="E380" s="53">
        <f t="array" ref="E380:F380">VLOOKUP(C380,'NEW PTMT'!$B$4:$E1832,{3,4},0)</f>
        <v>158</v>
      </c>
      <c r="F380" s="30">
        <v>178.0</v>
      </c>
      <c r="G380" s="30"/>
      <c r="H380" s="18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17"/>
      <c r="Z380" s="6" t="str">
        <f t="shared" si="1"/>
        <v>Glory124</v>
      </c>
      <c r="AA380" s="18" t="str">
        <f t="shared" si="2"/>
        <v>GloryBib Cock Long Body with Flange</v>
      </c>
      <c r="AB380" s="60">
        <f t="shared" si="3"/>
        <v>178</v>
      </c>
      <c r="AC380" s="61">
        <v>124.0</v>
      </c>
      <c r="AD380" s="57" t="s">
        <v>358</v>
      </c>
      <c r="AE380" s="18"/>
    </row>
    <row r="381">
      <c r="A381" s="5" t="s">
        <v>20</v>
      </c>
      <c r="B381" s="8" t="s">
        <v>130</v>
      </c>
      <c r="C381" s="8" t="s">
        <v>1171</v>
      </c>
      <c r="D381" s="8" t="s">
        <v>1160</v>
      </c>
      <c r="E381" s="53">
        <f t="array" ref="E381:F381">VLOOKUP(C381,'NEW PTMT'!$B$4:$E1832,{3,4},0)</f>
        <v>132</v>
      </c>
      <c r="F381" s="30">
        <v>148.0</v>
      </c>
      <c r="G381" s="30"/>
      <c r="H381" s="18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17"/>
      <c r="Z381" s="6" t="str">
        <f t="shared" si="1"/>
        <v>Glory144</v>
      </c>
      <c r="AA381" s="18" t="str">
        <f t="shared" si="2"/>
        <v>GloryAngle Cock with Flange</v>
      </c>
      <c r="AB381" s="60">
        <f t="shared" si="3"/>
        <v>148</v>
      </c>
      <c r="AC381" s="61">
        <v>144.0</v>
      </c>
      <c r="AD381" s="57" t="s">
        <v>395</v>
      </c>
      <c r="AE381" s="18"/>
    </row>
    <row r="382">
      <c r="A382" s="5" t="s">
        <v>20</v>
      </c>
      <c r="B382" s="8" t="s">
        <v>1933</v>
      </c>
      <c r="C382" s="21">
        <v>120.0</v>
      </c>
      <c r="D382" s="21" t="s">
        <v>1173</v>
      </c>
      <c r="E382" s="53">
        <f t="array" ref="E382:F382">VLOOKUP(C382,'NEW PTMT'!$B$4:$E1832,{3,4},0)</f>
        <v>202</v>
      </c>
      <c r="F382" s="30">
        <v>210.0</v>
      </c>
      <c r="G382" s="30">
        <v>90.0</v>
      </c>
      <c r="H382" s="18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17"/>
      <c r="Z382" s="6"/>
      <c r="AA382" s="18"/>
      <c r="AB382" s="34"/>
      <c r="AC382" s="61"/>
      <c r="AD382" s="57"/>
      <c r="AE382" s="18"/>
    </row>
    <row r="383">
      <c r="A383" s="5" t="s">
        <v>20</v>
      </c>
      <c r="B383" s="8" t="s">
        <v>1933</v>
      </c>
      <c r="C383" s="21" t="s">
        <v>1176</v>
      </c>
      <c r="D383" s="21" t="s">
        <v>1177</v>
      </c>
      <c r="E383" s="53">
        <f t="array" ref="E383:F383">VLOOKUP(C383,'NEW PTMT'!$B$4:$E1832,{3,4},0)</f>
        <v>191.76</v>
      </c>
      <c r="F383" s="30">
        <v>198.0</v>
      </c>
      <c r="G383" s="30">
        <v>90.0</v>
      </c>
      <c r="H383" s="18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17"/>
      <c r="Z383" s="6"/>
      <c r="AA383" s="18"/>
      <c r="AB383" s="34"/>
      <c r="AC383" s="34"/>
      <c r="AD383" s="57"/>
      <c r="AE383" s="18"/>
    </row>
    <row r="384">
      <c r="A384" s="5" t="s">
        <v>20</v>
      </c>
      <c r="B384" s="8" t="s">
        <v>1933</v>
      </c>
      <c r="C384" s="148" t="s">
        <v>1179</v>
      </c>
      <c r="D384" s="21" t="s">
        <v>1180</v>
      </c>
      <c r="E384" s="53">
        <f t="array" ref="E384:F384">VLOOKUP(C384,'NEW PTMT'!$B$4:$E1832,{3,4},0)</f>
        <v>254</v>
      </c>
      <c r="F384" s="30">
        <v>268.0</v>
      </c>
      <c r="G384" s="30">
        <v>60.0</v>
      </c>
      <c r="H384" s="18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17"/>
      <c r="Z384" s="6"/>
      <c r="AA384" s="18"/>
      <c r="AB384" s="34"/>
      <c r="AC384" s="34"/>
      <c r="AD384" s="57"/>
      <c r="AE384" s="18"/>
    </row>
    <row r="385">
      <c r="A385" s="5" t="s">
        <v>20</v>
      </c>
      <c r="B385" s="8" t="s">
        <v>1933</v>
      </c>
      <c r="C385" s="21" t="s">
        <v>1182</v>
      </c>
      <c r="D385" s="21" t="s">
        <v>1183</v>
      </c>
      <c r="E385" s="53">
        <f t="array" ref="E385:F385">VLOOKUP(C385,'NEW PTMT'!$B$4:$E1832,{3,4},0)</f>
        <v>202</v>
      </c>
      <c r="F385" s="30">
        <v>218.0</v>
      </c>
      <c r="G385" s="30">
        <v>132.0</v>
      </c>
      <c r="H385" s="18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17"/>
      <c r="Z385" s="6"/>
      <c r="AA385" s="18"/>
      <c r="AB385" s="34"/>
      <c r="AC385" s="34"/>
      <c r="AD385" s="57"/>
      <c r="AE385" s="18"/>
    </row>
    <row r="386">
      <c r="A386" s="5" t="s">
        <v>20</v>
      </c>
      <c r="B386" s="8" t="s">
        <v>1933</v>
      </c>
      <c r="C386" s="21" t="s">
        <v>1185</v>
      </c>
      <c r="D386" s="21" t="s">
        <v>1186</v>
      </c>
      <c r="E386" s="53">
        <f t="array" ref="E386:F386">VLOOKUP(C386,'NEW PTMT'!$B$4:$E1832,{3,4},0)</f>
        <v>201.96</v>
      </c>
      <c r="F386" s="30">
        <v>218.0</v>
      </c>
      <c r="G386" s="30">
        <v>60.0</v>
      </c>
      <c r="H386" s="18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17"/>
      <c r="Z386" s="6"/>
      <c r="AA386" s="18"/>
      <c r="AB386" s="34"/>
      <c r="AC386" s="34"/>
      <c r="AD386" s="57"/>
      <c r="AE386" s="18"/>
    </row>
    <row r="387">
      <c r="A387" s="5" t="s">
        <v>20</v>
      </c>
      <c r="B387" s="8" t="s">
        <v>1933</v>
      </c>
      <c r="C387" s="21" t="s">
        <v>1188</v>
      </c>
      <c r="D387" s="21" t="s">
        <v>1189</v>
      </c>
      <c r="E387" s="53">
        <f t="array" ref="E387:F387">VLOOKUP(C387,'NEW PTMT'!$B$4:$E1832,{3,4},0)</f>
        <v>193.8</v>
      </c>
      <c r="F387" s="30">
        <v>208.0</v>
      </c>
      <c r="G387" s="30">
        <v>60.0</v>
      </c>
      <c r="H387" s="18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17"/>
      <c r="Z387" s="6"/>
      <c r="AA387" s="18"/>
      <c r="AB387" s="34"/>
      <c r="AC387" s="34"/>
      <c r="AD387" s="57"/>
      <c r="AE387" s="18"/>
    </row>
    <row r="388">
      <c r="A388" s="5" t="s">
        <v>20</v>
      </c>
      <c r="B388" s="8" t="s">
        <v>1933</v>
      </c>
      <c r="C388" s="21" t="s">
        <v>1191</v>
      </c>
      <c r="D388" s="21" t="s">
        <v>1192</v>
      </c>
      <c r="E388" s="53">
        <f t="array" ref="E388:F388">VLOOKUP(C388,'NEW PTMT'!$B$4:$E1832,{3,4},0)</f>
        <v>136</v>
      </c>
      <c r="F388" s="30">
        <v>148.0</v>
      </c>
      <c r="G388" s="30">
        <v>90.0</v>
      </c>
      <c r="H388" s="18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17"/>
      <c r="Z388" s="6"/>
      <c r="AA388" s="18"/>
      <c r="AB388" s="34"/>
      <c r="AC388" s="34"/>
      <c r="AD388" s="57"/>
      <c r="AE388" s="18"/>
    </row>
    <row r="389">
      <c r="A389" s="5" t="s">
        <v>20</v>
      </c>
      <c r="B389" s="8" t="s">
        <v>1933</v>
      </c>
      <c r="C389" s="21" t="s">
        <v>1194</v>
      </c>
      <c r="D389" s="21" t="s">
        <v>1195</v>
      </c>
      <c r="E389" s="53">
        <f t="array" ref="E389:F389">VLOOKUP(C389,'NEW PTMT'!$B$4:$E1832,{3,4},0)</f>
        <v>132</v>
      </c>
      <c r="F389" s="30">
        <v>144.0</v>
      </c>
      <c r="G389" s="30">
        <v>90.0</v>
      </c>
      <c r="H389" s="18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17"/>
      <c r="Z389" s="6"/>
      <c r="AA389" s="18"/>
      <c r="AB389" s="34"/>
      <c r="AC389" s="34"/>
      <c r="AD389" s="57"/>
      <c r="AE389" s="18"/>
    </row>
    <row r="390">
      <c r="A390" s="5" t="s">
        <v>20</v>
      </c>
      <c r="B390" s="8" t="s">
        <v>1933</v>
      </c>
      <c r="C390" s="21" t="s">
        <v>1196</v>
      </c>
      <c r="D390" s="21" t="s">
        <v>1197</v>
      </c>
      <c r="E390" s="53">
        <f t="array" ref="E390:F390">VLOOKUP(C390,'NEW PTMT'!$B$4:$E1832,{3,4},0)</f>
        <v>158</v>
      </c>
      <c r="F390" s="30">
        <v>172.0</v>
      </c>
      <c r="G390" s="30">
        <v>108.0</v>
      </c>
      <c r="H390" s="18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17"/>
      <c r="Z390" s="6"/>
      <c r="AA390" s="18"/>
      <c r="AB390" s="34"/>
      <c r="AC390" s="34"/>
      <c r="AD390" s="57"/>
      <c r="AE390" s="18"/>
    </row>
    <row r="391">
      <c r="A391" s="5" t="s">
        <v>20</v>
      </c>
      <c r="B391" s="8" t="s">
        <v>1933</v>
      </c>
      <c r="C391" s="21" t="s">
        <v>1198</v>
      </c>
      <c r="D391" s="21" t="s">
        <v>1199</v>
      </c>
      <c r="E391" s="53">
        <f t="array" ref="E391:F391">VLOOKUP(C391,'NEW PTMT'!$B$4:$E1832,{3,4},0)</f>
        <v>152</v>
      </c>
      <c r="F391" s="30">
        <v>164.0</v>
      </c>
      <c r="G391" s="30">
        <v>108.0</v>
      </c>
      <c r="H391" s="18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17"/>
      <c r="Z391" s="6"/>
      <c r="AA391" s="18"/>
      <c r="AB391" s="34"/>
      <c r="AC391" s="34"/>
      <c r="AD391" s="57"/>
      <c r="AE391" s="18"/>
    </row>
    <row r="392">
      <c r="A392" s="5" t="s">
        <v>20</v>
      </c>
      <c r="B392" s="8" t="s">
        <v>1933</v>
      </c>
      <c r="C392" s="21" t="s">
        <v>1200</v>
      </c>
      <c r="D392" s="21" t="s">
        <v>1201</v>
      </c>
      <c r="E392" s="53">
        <f t="array" ref="E392:F392">VLOOKUP(C392,'NEW PTMT'!$B$4:$E1832,{3,4},0)</f>
        <v>212.16</v>
      </c>
      <c r="F392" s="30">
        <v>228.0</v>
      </c>
      <c r="G392" s="30">
        <v>54.0</v>
      </c>
      <c r="H392" s="18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17"/>
      <c r="Z392" s="6"/>
      <c r="AA392" s="18"/>
      <c r="AB392" s="34"/>
      <c r="AC392" s="34"/>
      <c r="AD392" s="57"/>
      <c r="AE392" s="18"/>
    </row>
    <row r="393">
      <c r="A393" s="5" t="s">
        <v>20</v>
      </c>
      <c r="B393" s="8" t="s">
        <v>1933</v>
      </c>
      <c r="C393" s="21" t="s">
        <v>1204</v>
      </c>
      <c r="D393" s="21" t="s">
        <v>1205</v>
      </c>
      <c r="E393" s="53">
        <f t="array" ref="E393:F393">VLOOKUP(C393,'NEW PTMT'!$B$4:$E1832,{3,4},0)</f>
        <v>204</v>
      </c>
      <c r="F393" s="30">
        <v>222.0</v>
      </c>
      <c r="G393" s="30">
        <v>54.0</v>
      </c>
      <c r="H393" s="18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17"/>
      <c r="Z393" s="6"/>
      <c r="AA393" s="18"/>
      <c r="AB393" s="34"/>
      <c r="AC393" s="34"/>
      <c r="AD393" s="57"/>
      <c r="AE393" s="18"/>
    </row>
    <row r="394">
      <c r="A394" s="5" t="s">
        <v>20</v>
      </c>
      <c r="B394" s="8" t="s">
        <v>1933</v>
      </c>
      <c r="C394" s="21" t="s">
        <v>1206</v>
      </c>
      <c r="D394" s="21" t="s">
        <v>1207</v>
      </c>
      <c r="E394" s="53">
        <f t="array" ref="E394:F394">VLOOKUP(C394,'NEW PTMT'!$B$4:$E1832,{3,4},0)</f>
        <v>228.48</v>
      </c>
      <c r="F394" s="30">
        <v>248.0</v>
      </c>
      <c r="G394" s="30">
        <v>60.0</v>
      </c>
      <c r="H394" s="18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17"/>
      <c r="Z394" s="6"/>
      <c r="AA394" s="18"/>
      <c r="AB394" s="34"/>
      <c r="AC394" s="34"/>
      <c r="AD394" s="57"/>
      <c r="AE394" s="18"/>
    </row>
    <row r="395">
      <c r="A395" s="5" t="s">
        <v>20</v>
      </c>
      <c r="B395" s="8" t="s">
        <v>1933</v>
      </c>
      <c r="C395" s="21" t="s">
        <v>1210</v>
      </c>
      <c r="D395" s="21" t="s">
        <v>1211</v>
      </c>
      <c r="E395" s="53">
        <f t="array" ref="E395:F395">VLOOKUP(C395,'NEW PTMT'!$B$4:$E1832,{3,4},0)</f>
        <v>228.48</v>
      </c>
      <c r="F395" s="30">
        <v>248.0</v>
      </c>
      <c r="G395" s="30">
        <v>60.0</v>
      </c>
      <c r="H395" s="18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17"/>
      <c r="Z395" s="6"/>
      <c r="AA395" s="18"/>
      <c r="AB395" s="34"/>
      <c r="AC395" s="34"/>
      <c r="AD395" s="57"/>
      <c r="AE395" s="18"/>
    </row>
    <row r="396">
      <c r="A396" s="5" t="s">
        <v>20</v>
      </c>
      <c r="B396" s="8" t="s">
        <v>1933</v>
      </c>
      <c r="C396" s="21" t="s">
        <v>1212</v>
      </c>
      <c r="D396" s="21" t="s">
        <v>1213</v>
      </c>
      <c r="E396" s="53">
        <f t="array" ref="E396:F396">VLOOKUP(C396,'NEW PTMT'!$B$4:$E1832,{3,4},0)</f>
        <v>228.48</v>
      </c>
      <c r="F396" s="30">
        <v>248.0</v>
      </c>
      <c r="G396" s="30">
        <v>60.0</v>
      </c>
      <c r="H396" s="18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17"/>
      <c r="Z396" s="6"/>
      <c r="AA396" s="18"/>
      <c r="AB396" s="34"/>
      <c r="AC396" s="34"/>
      <c r="AD396" s="57"/>
      <c r="AE396" s="18"/>
    </row>
    <row r="397">
      <c r="A397" s="5" t="s">
        <v>20</v>
      </c>
      <c r="B397" s="8" t="s">
        <v>1933</v>
      </c>
      <c r="C397" s="8" t="s">
        <v>1216</v>
      </c>
      <c r="D397" s="8" t="s">
        <v>1217</v>
      </c>
      <c r="E397" s="53">
        <f t="array" ref="E397:F397">VLOOKUP(C397,'NEW PTMT'!$B$4:$E1832,{3,4},0)</f>
        <v>201.96</v>
      </c>
      <c r="F397" s="30">
        <v>218.0</v>
      </c>
      <c r="G397" s="30"/>
      <c r="H397" s="18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17"/>
      <c r="Z397" s="6"/>
      <c r="AA397" s="18"/>
      <c r="AB397" s="34"/>
      <c r="AC397" s="34"/>
      <c r="AD397" s="57"/>
      <c r="AE397" s="18"/>
    </row>
    <row r="398">
      <c r="A398" s="5" t="s">
        <v>20</v>
      </c>
      <c r="B398" s="8" t="s">
        <v>1933</v>
      </c>
      <c r="C398" s="8" t="s">
        <v>1218</v>
      </c>
      <c r="D398" s="8" t="s">
        <v>1219</v>
      </c>
      <c r="E398" s="53">
        <f t="array" ref="E398:F398">VLOOKUP(C398,'NEW PTMT'!$B$4:$E1832,{3,4},0)</f>
        <v>193.8</v>
      </c>
      <c r="F398" s="30">
        <v>208.0</v>
      </c>
      <c r="G398" s="30"/>
      <c r="H398" s="18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17"/>
      <c r="Z398" s="6"/>
      <c r="AA398" s="18"/>
      <c r="AB398" s="34"/>
      <c r="AC398" s="34"/>
      <c r="AD398" s="57"/>
      <c r="AE398" s="18"/>
    </row>
    <row r="399">
      <c r="A399" s="5" t="s">
        <v>20</v>
      </c>
      <c r="B399" s="8" t="s">
        <v>1933</v>
      </c>
      <c r="C399" s="8" t="s">
        <v>1222</v>
      </c>
      <c r="D399" s="8" t="s">
        <v>1217</v>
      </c>
      <c r="E399" s="53">
        <f t="array" ref="E399:F399">VLOOKUP(C399,'NEW PTMT'!$B$4:$E1832,{3,4},0)</f>
        <v>181.56</v>
      </c>
      <c r="F399" s="30">
        <v>196.0</v>
      </c>
      <c r="G399" s="30"/>
      <c r="H399" s="18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17"/>
      <c r="Z399" s="6"/>
      <c r="AA399" s="18"/>
      <c r="AB399" s="34"/>
      <c r="AC399" s="34"/>
      <c r="AD399" s="57"/>
      <c r="AE399" s="18"/>
    </row>
    <row r="400">
      <c r="A400" s="5" t="s">
        <v>20</v>
      </c>
      <c r="B400" s="8" t="s">
        <v>1933</v>
      </c>
      <c r="C400" s="8" t="s">
        <v>1224</v>
      </c>
      <c r="D400" s="8" t="s">
        <v>1219</v>
      </c>
      <c r="E400" s="53">
        <f t="array" ref="E400:F400">VLOOKUP(C400,'NEW PTMT'!$B$4:$E1832,{3,4},0)</f>
        <v>174</v>
      </c>
      <c r="F400" s="30">
        <v>188.0</v>
      </c>
      <c r="G400" s="30"/>
      <c r="H400" s="18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17"/>
      <c r="Z400" s="6"/>
      <c r="AA400" s="18"/>
      <c r="AB400" s="34"/>
      <c r="AC400" s="34"/>
      <c r="AD400" s="57"/>
      <c r="AE400" s="18"/>
    </row>
    <row r="401">
      <c r="A401" s="5" t="s">
        <v>20</v>
      </c>
      <c r="B401" s="8" t="s">
        <v>1934</v>
      </c>
      <c r="C401" s="21">
        <v>136.0</v>
      </c>
      <c r="D401" s="21" t="s">
        <v>1229</v>
      </c>
      <c r="E401" s="53">
        <f t="array" ref="E401:F401">VLOOKUP(C401,'NEW PTMT'!$B$4:$E1832,{3,4},0)</f>
        <v>191.76</v>
      </c>
      <c r="F401" s="30">
        <v>208.0</v>
      </c>
      <c r="G401" s="30">
        <v>208.0</v>
      </c>
      <c r="H401" s="18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17"/>
      <c r="Z401" s="6"/>
      <c r="AA401" s="18"/>
      <c r="AB401" s="34"/>
      <c r="AC401" s="34"/>
      <c r="AD401" s="57"/>
      <c r="AE401" s="18"/>
    </row>
    <row r="402">
      <c r="A402" s="5" t="s">
        <v>20</v>
      </c>
      <c r="B402" s="8" t="s">
        <v>1934</v>
      </c>
      <c r="C402" s="8" t="s">
        <v>1232</v>
      </c>
      <c r="D402" s="8" t="s">
        <v>1233</v>
      </c>
      <c r="E402" s="53">
        <f t="array" ref="E402:F402">VLOOKUP(C402,'NEW PTMT'!$B$4:$E1832,{3,4},0)</f>
        <v>96</v>
      </c>
      <c r="F402" s="30">
        <v>104.0</v>
      </c>
      <c r="G402" s="30"/>
      <c r="H402" s="18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17"/>
      <c r="Z402" s="6"/>
      <c r="AA402" s="18"/>
      <c r="AB402" s="34"/>
      <c r="AC402" s="34"/>
      <c r="AD402" s="57"/>
      <c r="AE402" s="18"/>
    </row>
    <row r="403">
      <c r="A403" s="5" t="s">
        <v>20</v>
      </c>
      <c r="B403" s="8" t="s">
        <v>1934</v>
      </c>
      <c r="C403" s="21">
        <v>137.0</v>
      </c>
      <c r="D403" s="21" t="s">
        <v>1234</v>
      </c>
      <c r="E403" s="53">
        <f t="array" ref="E403:F403">VLOOKUP(C403,'NEW PTMT'!$B$4:$E1832,{3,4},0)</f>
        <v>34</v>
      </c>
      <c r="F403" s="30">
        <v>38.0</v>
      </c>
      <c r="G403" s="30">
        <v>1000.0</v>
      </c>
      <c r="H403" s="18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17"/>
      <c r="Z403" s="6"/>
      <c r="AA403" s="18"/>
      <c r="AB403" s="34"/>
      <c r="AC403" s="34"/>
      <c r="AD403" s="57"/>
      <c r="AE403" s="18"/>
    </row>
    <row r="404">
      <c r="A404" s="5" t="s">
        <v>20</v>
      </c>
      <c r="B404" s="8" t="s">
        <v>1934</v>
      </c>
      <c r="C404" s="21">
        <v>138.0</v>
      </c>
      <c r="D404" s="21" t="s">
        <v>1237</v>
      </c>
      <c r="E404" s="53">
        <f t="array" ref="E404:F404">VLOOKUP(C404,'NEW PTMT'!$B$4:$E1832,{3,4},0)</f>
        <v>224</v>
      </c>
      <c r="F404" s="30">
        <v>242.0</v>
      </c>
      <c r="G404" s="30">
        <v>208.0</v>
      </c>
      <c r="H404" s="18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17"/>
      <c r="Z404" s="6"/>
      <c r="AA404" s="18"/>
      <c r="AB404" s="34"/>
      <c r="AC404" s="34"/>
      <c r="AD404" s="57"/>
      <c r="AE404" s="18"/>
    </row>
    <row r="405">
      <c r="A405" s="5" t="s">
        <v>20</v>
      </c>
      <c r="B405" s="8" t="s">
        <v>1934</v>
      </c>
      <c r="C405" s="21">
        <v>139.0</v>
      </c>
      <c r="D405" s="21" t="s">
        <v>1239</v>
      </c>
      <c r="E405" s="53">
        <f t="array" ref="E405:F405">VLOOKUP(C405,'NEW PTMT'!$B$4:$E1832,{3,4},0)</f>
        <v>167.6064</v>
      </c>
      <c r="F405" s="30">
        <v>182.0</v>
      </c>
      <c r="G405" s="30">
        <v>320.0</v>
      </c>
      <c r="H405" s="18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17"/>
      <c r="Z405" s="6"/>
      <c r="AA405" s="18"/>
      <c r="AB405" s="34"/>
      <c r="AC405" s="34"/>
      <c r="AD405" s="57"/>
      <c r="AE405" s="18"/>
    </row>
    <row r="406">
      <c r="A406" s="5" t="s">
        <v>20</v>
      </c>
      <c r="B406" s="8" t="s">
        <v>1934</v>
      </c>
      <c r="C406" s="21" t="s">
        <v>1241</v>
      </c>
      <c r="D406" s="21" t="s">
        <v>1242</v>
      </c>
      <c r="E406" s="53">
        <f t="array" ref="E406:F406">VLOOKUP(C406,'NEW PTMT'!$B$4:$E1832,{3,4},0)</f>
        <v>187.68</v>
      </c>
      <c r="F406" s="30">
        <v>204.0</v>
      </c>
      <c r="G406" s="30">
        <v>180.0</v>
      </c>
      <c r="H406" s="18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17"/>
      <c r="Z406" s="6"/>
      <c r="AA406" s="18"/>
      <c r="AB406" s="34"/>
      <c r="AC406" s="34"/>
      <c r="AD406" s="57"/>
      <c r="AE406" s="18"/>
    </row>
    <row r="407">
      <c r="A407" s="5" t="s">
        <v>20</v>
      </c>
      <c r="B407" s="8" t="s">
        <v>1934</v>
      </c>
      <c r="C407" s="21">
        <v>1391.0</v>
      </c>
      <c r="D407" s="21" t="s">
        <v>1244</v>
      </c>
      <c r="E407" s="53">
        <f t="array" ref="E407:F407">VLOOKUP(C407,'NEW PTMT'!$B$4:$E1832,{3,4},0)</f>
        <v>176</v>
      </c>
      <c r="F407" s="30">
        <v>188.0</v>
      </c>
      <c r="G407" s="30">
        <v>192.0</v>
      </c>
      <c r="H407" s="18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17"/>
      <c r="Z407" s="6"/>
      <c r="AA407" s="18"/>
      <c r="AB407" s="34"/>
      <c r="AC407" s="34"/>
      <c r="AD407" s="57"/>
      <c r="AE407" s="18"/>
    </row>
    <row r="408">
      <c r="A408" s="5" t="s">
        <v>20</v>
      </c>
      <c r="B408" s="8" t="s">
        <v>1934</v>
      </c>
      <c r="C408" s="21" t="s">
        <v>1246</v>
      </c>
      <c r="D408" s="21" t="s">
        <v>1247</v>
      </c>
      <c r="E408" s="53">
        <f t="array" ref="E408:F408">VLOOKUP(C408,'NEW PTMT'!$B$4:$E1832,{3,4},0)</f>
        <v>195.84</v>
      </c>
      <c r="F408" s="30">
        <v>212.0</v>
      </c>
      <c r="G408" s="30">
        <v>180.0</v>
      </c>
      <c r="H408" s="18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17"/>
      <c r="Z408" s="6"/>
      <c r="AA408" s="18"/>
      <c r="AB408" s="34"/>
      <c r="AC408" s="34"/>
      <c r="AD408" s="57"/>
      <c r="AE408" s="18"/>
    </row>
    <row r="409">
      <c r="A409" s="5" t="s">
        <v>20</v>
      </c>
      <c r="B409" s="8" t="s">
        <v>1934</v>
      </c>
      <c r="C409" s="21">
        <v>140.0</v>
      </c>
      <c r="D409" s="21" t="s">
        <v>1249</v>
      </c>
      <c r="E409" s="53">
        <f t="array" ref="E409:F409">VLOOKUP(C409,'NEW PTMT'!$B$4:$E1832,{3,4},0)</f>
        <v>176</v>
      </c>
      <c r="F409" s="30">
        <v>188.0</v>
      </c>
      <c r="G409" s="30">
        <v>192.0</v>
      </c>
      <c r="H409" s="18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17"/>
      <c r="Z409" s="6"/>
      <c r="AA409" s="18"/>
      <c r="AB409" s="34"/>
      <c r="AC409" s="34"/>
      <c r="AD409" s="57"/>
      <c r="AE409" s="18"/>
    </row>
    <row r="410">
      <c r="A410" s="5" t="s">
        <v>20</v>
      </c>
      <c r="B410" s="8" t="s">
        <v>98</v>
      </c>
      <c r="C410" s="21" t="s">
        <v>1259</v>
      </c>
      <c r="D410" s="21" t="s">
        <v>1260</v>
      </c>
      <c r="E410" s="53">
        <f t="array" ref="E410:F410">VLOOKUP(C410,'NEW PTMT'!$B$4:$E1832,{3,4},0)</f>
        <v>466</v>
      </c>
      <c r="F410" s="30">
        <v>504.0</v>
      </c>
      <c r="G410" s="30">
        <v>33.0</v>
      </c>
      <c r="H410" s="18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17"/>
      <c r="Z410" s="6" t="str">
        <f t="shared" ref="Z410:Z602" si="4">B410&amp;AC410</f>
        <v>Delta123</v>
      </c>
      <c r="AA410" s="18" t="str">
        <f t="shared" ref="AA410:AA602" si="5">B410&amp;AD410</f>
        <v>DeltaBib Cock Fancy with Flange</v>
      </c>
      <c r="AB410" s="60">
        <f t="shared" ref="AB410:AB602" si="6">F410</f>
        <v>504</v>
      </c>
      <c r="AC410" s="34">
        <v>123.0</v>
      </c>
      <c r="AD410" s="57" t="s">
        <v>333</v>
      </c>
      <c r="AE410" s="18"/>
    </row>
    <row r="411">
      <c r="A411" s="5" t="s">
        <v>20</v>
      </c>
      <c r="B411" s="8" t="s">
        <v>98</v>
      </c>
      <c r="C411" s="21" t="s">
        <v>1261</v>
      </c>
      <c r="D411" s="21" t="s">
        <v>339</v>
      </c>
      <c r="E411" s="53">
        <f t="array" ref="E411:F411">VLOOKUP(C411,'NEW PTMT'!$B$4:$E1832,{3,4},0)</f>
        <v>572</v>
      </c>
      <c r="F411" s="30">
        <v>618.0</v>
      </c>
      <c r="G411" s="30">
        <v>33.0</v>
      </c>
      <c r="H411" s="18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17"/>
      <c r="Z411" s="6" t="str">
        <f t="shared" si="4"/>
        <v>Delta124</v>
      </c>
      <c r="AA411" s="18" t="str">
        <f t="shared" si="5"/>
        <v>DeltaBib Cock Long Body with Flange</v>
      </c>
      <c r="AB411" s="60">
        <f t="shared" si="6"/>
        <v>618</v>
      </c>
      <c r="AC411" s="34">
        <v>124.0</v>
      </c>
      <c r="AD411" s="57" t="s">
        <v>358</v>
      </c>
      <c r="AE411" s="18"/>
    </row>
    <row r="412">
      <c r="A412" s="5" t="s">
        <v>20</v>
      </c>
      <c r="B412" s="8" t="s">
        <v>98</v>
      </c>
      <c r="C412" s="21" t="s">
        <v>1262</v>
      </c>
      <c r="D412" s="21" t="s">
        <v>363</v>
      </c>
      <c r="E412" s="53">
        <f t="array" ref="E412:F412">VLOOKUP(C412,'NEW PTMT'!$B$4:$E1832,{3,4},0)</f>
        <v>485.8464</v>
      </c>
      <c r="F412" s="30">
        <v>526.0</v>
      </c>
      <c r="G412" s="30">
        <v>33.0</v>
      </c>
      <c r="H412" s="18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17"/>
      <c r="Z412" s="6" t="str">
        <f t="shared" si="4"/>
        <v>Delta127</v>
      </c>
      <c r="AA412" s="18" t="str">
        <f t="shared" si="5"/>
        <v>DeltaBib Cock Nozzle with Flange</v>
      </c>
      <c r="AB412" s="60">
        <f t="shared" si="6"/>
        <v>526</v>
      </c>
      <c r="AC412" s="34">
        <v>127.0</v>
      </c>
      <c r="AD412" s="57" t="s">
        <v>363</v>
      </c>
      <c r="AE412" s="18"/>
    </row>
    <row r="413">
      <c r="A413" s="5" t="s">
        <v>20</v>
      </c>
      <c r="B413" s="8" t="s">
        <v>98</v>
      </c>
      <c r="C413" s="21" t="s">
        <v>1264</v>
      </c>
      <c r="D413" s="253" t="s">
        <v>382</v>
      </c>
      <c r="E413" s="53">
        <f t="array" ref="E413:F413">VLOOKUP(C413,'NEW PTMT'!$B$4:$E1832,{3,4},0)</f>
        <v>876</v>
      </c>
      <c r="F413" s="30">
        <v>946.0</v>
      </c>
      <c r="G413" s="30">
        <v>24.0</v>
      </c>
      <c r="H413" s="18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17"/>
      <c r="Z413" s="6" t="str">
        <f t="shared" si="4"/>
        <v>Delta129</v>
      </c>
      <c r="AA413" s="18" t="str">
        <f t="shared" si="5"/>
        <v>Delta2 Way Bib Cock with Flange</v>
      </c>
      <c r="AB413" s="60">
        <f t="shared" si="6"/>
        <v>946</v>
      </c>
      <c r="AC413" s="34">
        <v>129.0</v>
      </c>
      <c r="AD413" s="57" t="s">
        <v>378</v>
      </c>
      <c r="AE413" s="18"/>
    </row>
    <row r="414">
      <c r="A414" s="5" t="s">
        <v>20</v>
      </c>
      <c r="B414" s="8" t="s">
        <v>98</v>
      </c>
      <c r="C414" s="21" t="s">
        <v>1265</v>
      </c>
      <c r="D414" s="253" t="s">
        <v>399</v>
      </c>
      <c r="E414" s="53">
        <f t="array" ref="E414:F414">VLOOKUP(C414,'NEW PTMT'!$B$4:$E1832,{3,4},0)</f>
        <v>628.32</v>
      </c>
      <c r="F414" s="30">
        <v>678.0</v>
      </c>
      <c r="G414" s="30">
        <v>30.0</v>
      </c>
      <c r="H414" s="18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17"/>
      <c r="Z414" s="6" t="str">
        <f t="shared" si="4"/>
        <v>Delta130</v>
      </c>
      <c r="AA414" s="18" t="str">
        <f t="shared" si="5"/>
        <v>DeltaPillar Cock with Flange</v>
      </c>
      <c r="AB414" s="60">
        <f t="shared" si="6"/>
        <v>678</v>
      </c>
      <c r="AC414" s="34">
        <v>130.0</v>
      </c>
      <c r="AD414" s="57" t="s">
        <v>416</v>
      </c>
      <c r="AE414" s="18"/>
    </row>
    <row r="415">
      <c r="A415" s="5" t="s">
        <v>20</v>
      </c>
      <c r="B415" s="8" t="s">
        <v>98</v>
      </c>
      <c r="C415" s="8" t="s">
        <v>1225</v>
      </c>
      <c r="D415" s="8" t="s">
        <v>696</v>
      </c>
      <c r="E415" s="53">
        <f t="array" ref="E415:F415">VLOOKUP(C415,'NEW PTMT'!$B$4:$E1832,{3,4},0)</f>
        <v>734.4</v>
      </c>
      <c r="F415" s="30">
        <v>794.0</v>
      </c>
      <c r="G415" s="30"/>
      <c r="H415" s="18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17"/>
      <c r="Z415" s="6" t="str">
        <f t="shared" si="4"/>
        <v>Delta131</v>
      </c>
      <c r="AA415" s="18" t="str">
        <f t="shared" si="5"/>
        <v>DeltaPillar Cock 12" Tall Height with Flange</v>
      </c>
      <c r="AB415" s="60">
        <f t="shared" si="6"/>
        <v>794</v>
      </c>
      <c r="AC415" s="61">
        <v>131.0</v>
      </c>
      <c r="AD415" s="57" t="s">
        <v>696</v>
      </c>
      <c r="AE415" s="18"/>
    </row>
    <row r="416">
      <c r="A416" s="5" t="s">
        <v>20</v>
      </c>
      <c r="B416" s="8" t="s">
        <v>98</v>
      </c>
      <c r="C416" s="21" t="s">
        <v>1266</v>
      </c>
      <c r="D416" s="253" t="s">
        <v>419</v>
      </c>
      <c r="E416" s="53">
        <f t="array" ref="E416:F416">VLOOKUP(C416,'NEW PTMT'!$B$4:$E1832,{3,4},0)</f>
        <v>941.9904</v>
      </c>
      <c r="F416" s="30">
        <v>1018.0</v>
      </c>
      <c r="G416" s="30">
        <v>13.0</v>
      </c>
      <c r="H416" s="18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17"/>
      <c r="Z416" s="6" t="str">
        <f t="shared" si="4"/>
        <v>Delta132</v>
      </c>
      <c r="AA416" s="18" t="str">
        <f t="shared" si="5"/>
        <v>DeltaSink Cock (W/M) with Flange</v>
      </c>
      <c r="AB416" s="60">
        <f t="shared" si="6"/>
        <v>1018</v>
      </c>
      <c r="AC416" s="34">
        <v>132.0</v>
      </c>
      <c r="AD416" s="57" t="s">
        <v>436</v>
      </c>
      <c r="AE416" s="18"/>
    </row>
    <row r="417">
      <c r="A417" s="5" t="s">
        <v>20</v>
      </c>
      <c r="B417" s="8" t="s">
        <v>98</v>
      </c>
      <c r="C417" s="21" t="s">
        <v>1268</v>
      </c>
      <c r="D417" s="253" t="s">
        <v>1269</v>
      </c>
      <c r="E417" s="53">
        <f t="array" ref="E417:F417">VLOOKUP(C417,'NEW PTMT'!$B$4:$E1832,{3,4},0)</f>
        <v>898</v>
      </c>
      <c r="F417" s="30">
        <v>968.0</v>
      </c>
      <c r="G417" s="30">
        <v>30.0</v>
      </c>
      <c r="H417" s="18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17"/>
      <c r="Z417" s="6" t="str">
        <f t="shared" si="4"/>
        <v>Delta1322</v>
      </c>
      <c r="AA417" s="18" t="str">
        <f t="shared" si="5"/>
        <v>DeltaSink Cock Small Spout (W/M) with Flange</v>
      </c>
      <c r="AB417" s="60">
        <f t="shared" si="6"/>
        <v>968</v>
      </c>
      <c r="AC417" s="254" t="s">
        <v>456</v>
      </c>
      <c r="AD417" s="57" t="s">
        <v>457</v>
      </c>
      <c r="AE417" s="18"/>
    </row>
    <row r="418">
      <c r="A418" s="5" t="s">
        <v>20</v>
      </c>
      <c r="B418" s="8" t="s">
        <v>98</v>
      </c>
      <c r="C418" s="21" t="s">
        <v>1270</v>
      </c>
      <c r="D418" s="253" t="s">
        <v>1271</v>
      </c>
      <c r="E418" s="53">
        <f t="array" ref="E418:F418">VLOOKUP(C418,'NEW PTMT'!$B$4:$E1832,{3,4},0)</f>
        <v>941.9904</v>
      </c>
      <c r="F418" s="30">
        <v>1016.0</v>
      </c>
      <c r="G418" s="30">
        <v>13.0</v>
      </c>
      <c r="H418" s="18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17"/>
      <c r="Z418" s="6" t="str">
        <f t="shared" si="4"/>
        <v>Delta133</v>
      </c>
      <c r="AA418" s="18" t="str">
        <f t="shared" si="5"/>
        <v>DeltaSink Cock Long Spout (T/M) with Flange</v>
      </c>
      <c r="AB418" s="60">
        <f t="shared" si="6"/>
        <v>1016</v>
      </c>
      <c r="AC418" s="34">
        <v>133.0</v>
      </c>
      <c r="AD418" s="57" t="s">
        <v>480</v>
      </c>
      <c r="AE418" s="18"/>
    </row>
    <row r="419">
      <c r="A419" s="5" t="s">
        <v>20</v>
      </c>
      <c r="B419" s="8" t="s">
        <v>98</v>
      </c>
      <c r="C419" s="21" t="s">
        <v>1272</v>
      </c>
      <c r="D419" s="253" t="s">
        <v>482</v>
      </c>
      <c r="E419" s="53">
        <f t="array" ref="E419:F419">VLOOKUP(C419,'NEW PTMT'!$B$4:$E1832,{3,4},0)</f>
        <v>1898</v>
      </c>
      <c r="F419" s="30">
        <v>2048.0</v>
      </c>
      <c r="G419" s="30">
        <v>13.0</v>
      </c>
      <c r="H419" s="18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17"/>
      <c r="Z419" s="6" t="str">
        <f t="shared" si="4"/>
        <v>Delta134</v>
      </c>
      <c r="AA419" s="18" t="str">
        <f t="shared" si="5"/>
        <v>DeltaSink Mixer with Flange</v>
      </c>
      <c r="AB419" s="60">
        <f t="shared" si="6"/>
        <v>2048</v>
      </c>
      <c r="AC419" s="34">
        <v>134.0</v>
      </c>
      <c r="AD419" s="57" t="s">
        <v>499</v>
      </c>
      <c r="AE419" s="18"/>
    </row>
    <row r="420">
      <c r="A420" s="5" t="s">
        <v>20</v>
      </c>
      <c r="B420" s="8" t="s">
        <v>98</v>
      </c>
      <c r="C420" s="21" t="s">
        <v>1274</v>
      </c>
      <c r="D420" s="253" t="s">
        <v>502</v>
      </c>
      <c r="E420" s="53">
        <f t="array" ref="E420:F420">VLOOKUP(C420,'NEW PTMT'!$B$4:$E1832,{3,4},0)</f>
        <v>1898</v>
      </c>
      <c r="F420" s="30">
        <v>2048.0</v>
      </c>
      <c r="G420" s="30">
        <v>13.0</v>
      </c>
      <c r="H420" s="18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17"/>
      <c r="Z420" s="6" t="str">
        <f t="shared" si="4"/>
        <v>Delta135</v>
      </c>
      <c r="AA420" s="18" t="str">
        <f t="shared" si="5"/>
        <v>DeltaWall Mixer with Flange</v>
      </c>
      <c r="AB420" s="60">
        <f t="shared" si="6"/>
        <v>2048</v>
      </c>
      <c r="AC420" s="34">
        <v>135.0</v>
      </c>
      <c r="AD420" s="57" t="s">
        <v>519</v>
      </c>
      <c r="AE420" s="18"/>
    </row>
    <row r="421">
      <c r="A421" s="5" t="s">
        <v>20</v>
      </c>
      <c r="B421" s="8" t="s">
        <v>98</v>
      </c>
      <c r="C421" s="8" t="s">
        <v>1226</v>
      </c>
      <c r="D421" s="8" t="s">
        <v>523</v>
      </c>
      <c r="E421" s="53">
        <f t="array" ref="E421:F421">VLOOKUP(C421,'NEW PTMT'!$B$4:$E1832,{3,4},0)</f>
        <v>2622</v>
      </c>
      <c r="F421" s="30">
        <v>2832.0</v>
      </c>
      <c r="G421" s="30"/>
      <c r="H421" s="18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17"/>
      <c r="Z421" s="6" t="str">
        <f t="shared" si="4"/>
        <v>Delta1374</v>
      </c>
      <c r="AA421" s="18" t="str">
        <f t="shared" si="5"/>
        <v>Delta2 in 1 Telephonic Wall Mixer</v>
      </c>
      <c r="AB421" s="60">
        <f t="shared" si="6"/>
        <v>2832</v>
      </c>
      <c r="AC421" s="61">
        <v>1374.0</v>
      </c>
      <c r="AD421" s="57" t="s">
        <v>540</v>
      </c>
      <c r="AE421" s="18"/>
    </row>
    <row r="422">
      <c r="A422" s="5" t="s">
        <v>20</v>
      </c>
      <c r="B422" s="8" t="s">
        <v>98</v>
      </c>
      <c r="C422" s="21" t="s">
        <v>1275</v>
      </c>
      <c r="D422" s="253" t="s">
        <v>1276</v>
      </c>
      <c r="E422" s="53">
        <f t="array" ref="E422:F422">VLOOKUP(C422,'NEW PTMT'!$B$4:$E1832,{3,4},0)</f>
        <v>2314</v>
      </c>
      <c r="F422" s="30">
        <v>2498.0</v>
      </c>
      <c r="G422" s="30">
        <v>6.0</v>
      </c>
      <c r="H422" s="18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17"/>
      <c r="Z422" s="6" t="str">
        <f t="shared" si="4"/>
        <v>Delta1375</v>
      </c>
      <c r="AA422" s="18" t="str">
        <f t="shared" si="5"/>
        <v>DeltaWall Mixer L Bend with Flange</v>
      </c>
      <c r="AB422" s="60">
        <f t="shared" si="6"/>
        <v>2498</v>
      </c>
      <c r="AC422" s="64" t="s">
        <v>560</v>
      </c>
      <c r="AD422" s="57" t="s">
        <v>561</v>
      </c>
      <c r="AE422" s="18"/>
    </row>
    <row r="423">
      <c r="A423" s="5" t="s">
        <v>20</v>
      </c>
      <c r="B423" s="8" t="s">
        <v>98</v>
      </c>
      <c r="C423" s="21" t="s">
        <v>1277</v>
      </c>
      <c r="D423" s="253" t="s">
        <v>395</v>
      </c>
      <c r="E423" s="53">
        <f t="array" ref="E423:F423">VLOOKUP(C423,'NEW PTMT'!$B$4:$E1832,{3,4},0)</f>
        <v>446</v>
      </c>
      <c r="F423" s="30">
        <v>482.0</v>
      </c>
      <c r="G423" s="30">
        <v>66.0</v>
      </c>
      <c r="H423" s="18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17"/>
      <c r="Z423" s="6" t="str">
        <f t="shared" si="4"/>
        <v>Delta144</v>
      </c>
      <c r="AA423" s="18" t="str">
        <f t="shared" si="5"/>
        <v>DeltaAngle Cock with Flange</v>
      </c>
      <c r="AB423" s="60">
        <f t="shared" si="6"/>
        <v>482</v>
      </c>
      <c r="AC423" s="34">
        <v>144.0</v>
      </c>
      <c r="AD423" s="57" t="s">
        <v>395</v>
      </c>
      <c r="AE423" s="18"/>
    </row>
    <row r="424">
      <c r="A424" s="5" t="s">
        <v>20</v>
      </c>
      <c r="B424" s="8" t="s">
        <v>98</v>
      </c>
      <c r="C424" s="21" t="s">
        <v>1278</v>
      </c>
      <c r="D424" s="253" t="s">
        <v>359</v>
      </c>
      <c r="E424" s="53">
        <f t="array" ref="E424:F424">VLOOKUP(C424,'NEW PTMT'!$B$4:$E1832,{3,4},0)</f>
        <v>813.96</v>
      </c>
      <c r="F424" s="30">
        <v>878.0</v>
      </c>
      <c r="G424" s="30">
        <v>23.0</v>
      </c>
      <c r="H424" s="18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17"/>
      <c r="Z424" s="6" t="str">
        <f t="shared" si="4"/>
        <v>Delta145</v>
      </c>
      <c r="AA424" s="18" t="str">
        <f t="shared" si="5"/>
        <v>Delta2 Way Angle Cock with Flange</v>
      </c>
      <c r="AB424" s="60">
        <f t="shared" si="6"/>
        <v>878</v>
      </c>
      <c r="AC424" s="34">
        <v>145.0</v>
      </c>
      <c r="AD424" s="57" t="s">
        <v>359</v>
      </c>
      <c r="AE424" s="18"/>
    </row>
    <row r="425">
      <c r="A425" s="5" t="s">
        <v>20</v>
      </c>
      <c r="B425" s="8" t="s">
        <v>98</v>
      </c>
      <c r="C425" s="21" t="s">
        <v>1279</v>
      </c>
      <c r="D425" s="253" t="s">
        <v>601</v>
      </c>
      <c r="E425" s="53">
        <f t="array" ref="E425:F425">VLOOKUP(C425,'NEW PTMT'!$B$4:$E1832,{3,4},0)</f>
        <v>794</v>
      </c>
      <c r="F425" s="30">
        <v>858.0</v>
      </c>
      <c r="G425" s="30">
        <v>30.0</v>
      </c>
      <c r="H425" s="18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17"/>
      <c r="Z425" s="6" t="str">
        <f t="shared" si="4"/>
        <v>Delta147</v>
      </c>
      <c r="AA425" s="18" t="str">
        <f t="shared" si="5"/>
        <v>DeltaPillar Cock Swan Neck (T/M) with Flange</v>
      </c>
      <c r="AB425" s="60">
        <f t="shared" si="6"/>
        <v>858</v>
      </c>
      <c r="AC425" s="34">
        <v>147.0</v>
      </c>
      <c r="AD425" s="57" t="s">
        <v>616</v>
      </c>
      <c r="AE425" s="18"/>
    </row>
    <row r="426">
      <c r="A426" s="5" t="s">
        <v>20</v>
      </c>
      <c r="B426" s="8" t="s">
        <v>98</v>
      </c>
      <c r="C426" s="21" t="s">
        <v>853</v>
      </c>
      <c r="D426" s="21" t="s">
        <v>678</v>
      </c>
      <c r="E426" s="53">
        <f t="array" ref="E426:F426">VLOOKUP(C426,'NEW PTMT'!$B$4:$E1832,{3,4},0)</f>
        <v>1548</v>
      </c>
      <c r="F426" s="30">
        <v>1672.0</v>
      </c>
      <c r="G426" s="30">
        <v>64.0</v>
      </c>
      <c r="H426" s="18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17"/>
      <c r="Z426" s="6" t="str">
        <f t="shared" si="4"/>
        <v>Delta146-B</v>
      </c>
      <c r="AA426" s="18" t="str">
        <f t="shared" si="5"/>
        <v>DeltaConcealed Stop Cock 15mm with Brass Body</v>
      </c>
      <c r="AB426" s="60">
        <f t="shared" si="6"/>
        <v>1672</v>
      </c>
      <c r="AC426" s="34" t="s">
        <v>739</v>
      </c>
      <c r="AD426" s="57" t="s">
        <v>678</v>
      </c>
      <c r="AE426" s="18"/>
    </row>
    <row r="427">
      <c r="A427" s="5" t="s">
        <v>20</v>
      </c>
      <c r="B427" s="8" t="s">
        <v>98</v>
      </c>
      <c r="C427" s="21" t="s">
        <v>854</v>
      </c>
      <c r="D427" s="21" t="s">
        <v>693</v>
      </c>
      <c r="E427" s="53">
        <f t="array" ref="E427:F427">VLOOKUP(C427,'NEW PTMT'!$B$4:$E1832,{3,4},0)</f>
        <v>1576</v>
      </c>
      <c r="F427" s="30">
        <v>1698.0</v>
      </c>
      <c r="G427" s="30">
        <v>64.0</v>
      </c>
      <c r="H427" s="18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17"/>
      <c r="Z427" s="6" t="str">
        <f t="shared" si="4"/>
        <v>Delta148-B</v>
      </c>
      <c r="AA427" s="18" t="str">
        <f t="shared" si="5"/>
        <v>DeltaConcealed Stop Cock 20mm with Brass Body</v>
      </c>
      <c r="AB427" s="60">
        <f t="shared" si="6"/>
        <v>1698</v>
      </c>
      <c r="AC427" s="34" t="s">
        <v>741</v>
      </c>
      <c r="AD427" s="57" t="s">
        <v>693</v>
      </c>
      <c r="AE427" s="18"/>
    </row>
    <row r="428">
      <c r="A428" s="5" t="s">
        <v>20</v>
      </c>
      <c r="B428" s="8" t="s">
        <v>98</v>
      </c>
      <c r="C428" s="21" t="s">
        <v>1282</v>
      </c>
      <c r="D428" s="21" t="s">
        <v>712</v>
      </c>
      <c r="E428" s="53">
        <f t="array" ref="E428:F428">VLOOKUP(C428,'NEW PTMT'!$B$4:$E1832,{3,4},0)</f>
        <v>2264.4</v>
      </c>
      <c r="F428" s="30">
        <v>2446.0</v>
      </c>
      <c r="G428" s="30">
        <v>14.0</v>
      </c>
      <c r="H428" s="18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17"/>
      <c r="Z428" s="6" t="str">
        <f t="shared" si="4"/>
        <v>Delta150</v>
      </c>
      <c r="AA428" s="18" t="str">
        <f t="shared" si="5"/>
        <v>DeltaCenter Hole Basin Mixer</v>
      </c>
      <c r="AB428" s="60">
        <f t="shared" si="6"/>
        <v>2446</v>
      </c>
      <c r="AC428" s="34">
        <v>150.0</v>
      </c>
      <c r="AD428" s="57" t="s">
        <v>650</v>
      </c>
      <c r="AE428" s="18"/>
    </row>
    <row r="429">
      <c r="A429" s="5" t="s">
        <v>20</v>
      </c>
      <c r="B429" s="8" t="s">
        <v>104</v>
      </c>
      <c r="C429" s="21" t="s">
        <v>1284</v>
      </c>
      <c r="D429" s="21" t="s">
        <v>773</v>
      </c>
      <c r="E429" s="53">
        <f t="array" ref="E429:F429">VLOOKUP(C429,'NEW PTMT'!$B$4:$E1832,{3,4},0)</f>
        <v>398</v>
      </c>
      <c r="F429" s="30">
        <v>432.0</v>
      </c>
      <c r="G429" s="30">
        <v>48.0</v>
      </c>
      <c r="H429" s="18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17"/>
      <c r="Z429" s="6" t="str">
        <f t="shared" si="4"/>
        <v>Ibix121</v>
      </c>
      <c r="AA429" s="18" t="str">
        <f t="shared" si="5"/>
        <v>IbixBib Cock with Flange</v>
      </c>
      <c r="AB429" s="60">
        <f t="shared" si="6"/>
        <v>432</v>
      </c>
      <c r="AC429" s="34">
        <v>121.0</v>
      </c>
      <c r="AD429" s="57" t="s">
        <v>636</v>
      </c>
      <c r="AE429" s="18"/>
    </row>
    <row r="430">
      <c r="A430" s="5" t="s">
        <v>20</v>
      </c>
      <c r="B430" s="8" t="s">
        <v>104</v>
      </c>
      <c r="C430" s="21" t="s">
        <v>1285</v>
      </c>
      <c r="D430" s="21" t="s">
        <v>748</v>
      </c>
      <c r="E430" s="53">
        <f t="array" ref="E430:F430">VLOOKUP(C430,'NEW PTMT'!$B$4:$E1832,{3,4},0)</f>
        <v>436</v>
      </c>
      <c r="F430" s="30">
        <v>472.0</v>
      </c>
      <c r="G430" s="30">
        <v>33.0</v>
      </c>
      <c r="H430" s="18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17"/>
      <c r="Z430" s="6" t="str">
        <f t="shared" si="4"/>
        <v>Ibix122</v>
      </c>
      <c r="AA430" s="18" t="str">
        <f t="shared" si="5"/>
        <v>IbixBib Cock (Foam Flow) with Flange</v>
      </c>
      <c r="AB430" s="60">
        <f t="shared" si="6"/>
        <v>472</v>
      </c>
      <c r="AC430" s="61">
        <v>122.0</v>
      </c>
      <c r="AD430" s="57" t="s">
        <v>417</v>
      </c>
      <c r="AE430" s="18"/>
    </row>
    <row r="431">
      <c r="A431" s="5" t="s">
        <v>20</v>
      </c>
      <c r="B431" s="8" t="s">
        <v>104</v>
      </c>
      <c r="C431" s="21" t="s">
        <v>1286</v>
      </c>
      <c r="D431" s="21" t="s">
        <v>306</v>
      </c>
      <c r="E431" s="53">
        <f t="array" ref="E431:F431">VLOOKUP(C431,'NEW PTMT'!$B$4:$E1832,{3,4},0)</f>
        <v>476</v>
      </c>
      <c r="F431" s="30">
        <v>514.0</v>
      </c>
      <c r="G431" s="30">
        <v>33.0</v>
      </c>
      <c r="H431" s="18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17"/>
      <c r="Z431" s="6" t="str">
        <f t="shared" si="4"/>
        <v>Ibix123</v>
      </c>
      <c r="AA431" s="18" t="str">
        <f t="shared" si="5"/>
        <v>IbixBib Cock Fancy with Flange</v>
      </c>
      <c r="AB431" s="60">
        <f t="shared" si="6"/>
        <v>514</v>
      </c>
      <c r="AC431" s="34">
        <v>123.0</v>
      </c>
      <c r="AD431" s="57" t="s">
        <v>333</v>
      </c>
      <c r="AE431" s="18"/>
    </row>
    <row r="432">
      <c r="A432" s="5" t="s">
        <v>20</v>
      </c>
      <c r="B432" s="8" t="s">
        <v>104</v>
      </c>
      <c r="C432" s="21" t="s">
        <v>1288</v>
      </c>
      <c r="D432" s="21" t="s">
        <v>777</v>
      </c>
      <c r="E432" s="53">
        <f t="array" ref="E432:F432">VLOOKUP(C432,'NEW PTMT'!$B$4:$E1832,{3,4},0)</f>
        <v>493.68</v>
      </c>
      <c r="F432" s="30">
        <v>534.0</v>
      </c>
      <c r="G432" s="30">
        <v>60.0</v>
      </c>
      <c r="H432" s="18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17"/>
      <c r="Z432" s="6" t="str">
        <f t="shared" si="4"/>
        <v>Ibix124</v>
      </c>
      <c r="AA432" s="18" t="str">
        <f t="shared" si="5"/>
        <v>IbixBib Cock Long Body with Flange</v>
      </c>
      <c r="AB432" s="60">
        <f t="shared" si="6"/>
        <v>534</v>
      </c>
      <c r="AC432" s="34">
        <v>124.0</v>
      </c>
      <c r="AD432" s="57" t="s">
        <v>358</v>
      </c>
      <c r="AE432" s="18"/>
    </row>
    <row r="433">
      <c r="A433" s="5" t="s">
        <v>20</v>
      </c>
      <c r="B433" s="8" t="s">
        <v>104</v>
      </c>
      <c r="C433" s="21" t="s">
        <v>1289</v>
      </c>
      <c r="D433" s="21" t="s">
        <v>382</v>
      </c>
      <c r="E433" s="53">
        <f t="array" ref="E433:F433">VLOOKUP(C433,'NEW PTMT'!$B$4:$E1832,{3,4},0)</f>
        <v>844.3968</v>
      </c>
      <c r="F433" s="30">
        <v>912.0</v>
      </c>
      <c r="G433" s="30">
        <v>30.0</v>
      </c>
      <c r="H433" s="18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17"/>
      <c r="Z433" s="6" t="str">
        <f t="shared" si="4"/>
        <v>Ibix129</v>
      </c>
      <c r="AA433" s="18" t="str">
        <f t="shared" si="5"/>
        <v>Ibix2 Way Bib Cock with Flange</v>
      </c>
      <c r="AB433" s="60">
        <f t="shared" si="6"/>
        <v>912</v>
      </c>
      <c r="AC433" s="34">
        <v>129.0</v>
      </c>
      <c r="AD433" s="57" t="s">
        <v>378</v>
      </c>
      <c r="AE433" s="18"/>
    </row>
    <row r="434">
      <c r="A434" s="5" t="s">
        <v>20</v>
      </c>
      <c r="B434" s="8" t="s">
        <v>104</v>
      </c>
      <c r="C434" s="21" t="s">
        <v>1290</v>
      </c>
      <c r="D434" s="21" t="s">
        <v>399</v>
      </c>
      <c r="E434" s="53">
        <f t="array" ref="E434:F434">VLOOKUP(C434,'NEW PTMT'!$B$4:$E1832,{3,4},0)</f>
        <v>603.84</v>
      </c>
      <c r="F434" s="30">
        <v>652.0</v>
      </c>
      <c r="G434" s="30">
        <v>33.0</v>
      </c>
      <c r="H434" s="18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17"/>
      <c r="Z434" s="6" t="str">
        <f t="shared" si="4"/>
        <v>Ibix130</v>
      </c>
      <c r="AA434" s="18" t="str">
        <f t="shared" si="5"/>
        <v>IbixPillar Cock with Flange</v>
      </c>
      <c r="AB434" s="60">
        <f t="shared" si="6"/>
        <v>652</v>
      </c>
      <c r="AC434" s="34">
        <v>130.0</v>
      </c>
      <c r="AD434" s="57" t="s">
        <v>416</v>
      </c>
      <c r="AE434" s="18"/>
    </row>
    <row r="435">
      <c r="A435" s="5" t="s">
        <v>20</v>
      </c>
      <c r="B435" s="8" t="s">
        <v>104</v>
      </c>
      <c r="C435" s="21" t="s">
        <v>1292</v>
      </c>
      <c r="D435" s="21" t="s">
        <v>781</v>
      </c>
      <c r="E435" s="53">
        <f t="array" ref="E435:F435">VLOOKUP(C435,'NEW PTMT'!$B$4:$E1832,{3,4},0)</f>
        <v>603.84</v>
      </c>
      <c r="F435" s="30">
        <v>652.0</v>
      </c>
      <c r="G435" s="30">
        <v>33.0</v>
      </c>
      <c r="H435" s="18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17"/>
      <c r="Z435" s="6" t="str">
        <f t="shared" si="4"/>
        <v>Ibix131</v>
      </c>
      <c r="AA435" s="18" t="str">
        <f t="shared" si="5"/>
        <v>IbixPillar Cock (Foam Flow) with Flange</v>
      </c>
      <c r="AB435" s="60">
        <f t="shared" si="6"/>
        <v>652</v>
      </c>
      <c r="AC435" s="34">
        <v>131.0</v>
      </c>
      <c r="AD435" s="57" t="s">
        <v>682</v>
      </c>
      <c r="AE435" s="18"/>
    </row>
    <row r="436">
      <c r="A436" s="5" t="s">
        <v>20</v>
      </c>
      <c r="B436" s="8" t="s">
        <v>104</v>
      </c>
      <c r="C436" s="21" t="s">
        <v>1295</v>
      </c>
      <c r="D436" s="21" t="s">
        <v>1296</v>
      </c>
      <c r="E436" s="53">
        <f t="array" ref="E436:F436">VLOOKUP(C436,'NEW PTMT'!$B$4:$E1832,{3,4},0)</f>
        <v>892</v>
      </c>
      <c r="F436" s="30">
        <v>964.0</v>
      </c>
      <c r="G436" s="30">
        <v>13.0</v>
      </c>
      <c r="H436" s="18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17"/>
      <c r="Z436" s="6" t="str">
        <f t="shared" si="4"/>
        <v>Ibix132</v>
      </c>
      <c r="AA436" s="18" t="str">
        <f t="shared" si="5"/>
        <v>IbixSink Cock (W/M) with Flange</v>
      </c>
      <c r="AB436" s="60">
        <f t="shared" si="6"/>
        <v>964</v>
      </c>
      <c r="AC436" s="34">
        <v>132.0</v>
      </c>
      <c r="AD436" s="57" t="s">
        <v>436</v>
      </c>
      <c r="AE436" s="18"/>
    </row>
    <row r="437">
      <c r="A437" s="5" t="s">
        <v>20</v>
      </c>
      <c r="B437" s="8" t="s">
        <v>104</v>
      </c>
      <c r="C437" s="21" t="s">
        <v>1298</v>
      </c>
      <c r="D437" s="253" t="s">
        <v>1269</v>
      </c>
      <c r="E437" s="53">
        <f t="array" ref="E437:F437">VLOOKUP(C437,'NEW PTMT'!$B$4:$E1832,{3,4},0)</f>
        <v>912.288</v>
      </c>
      <c r="F437" s="30">
        <v>986.0</v>
      </c>
      <c r="G437" s="30">
        <v>30.0</v>
      </c>
      <c r="H437" s="18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17"/>
      <c r="Z437" s="6" t="str">
        <f t="shared" si="4"/>
        <v>Ibix1322</v>
      </c>
      <c r="AA437" s="18" t="str">
        <f t="shared" si="5"/>
        <v>IbixSink Cock Small Spout (W/M) with Flange</v>
      </c>
      <c r="AB437" s="60">
        <f t="shared" si="6"/>
        <v>986</v>
      </c>
      <c r="AC437" s="61">
        <v>1322.0</v>
      </c>
      <c r="AD437" s="57" t="s">
        <v>457</v>
      </c>
      <c r="AE437" s="18"/>
    </row>
    <row r="438">
      <c r="A438" s="5" t="s">
        <v>20</v>
      </c>
      <c r="B438" s="8" t="s">
        <v>104</v>
      </c>
      <c r="C438" s="21" t="s">
        <v>1301</v>
      </c>
      <c r="D438" s="21" t="s">
        <v>1302</v>
      </c>
      <c r="E438" s="53">
        <f t="array" ref="E438:F438">VLOOKUP(C438,'NEW PTMT'!$B$4:$E1832,{3,4},0)</f>
        <v>912.288</v>
      </c>
      <c r="F438" s="30">
        <v>986.0</v>
      </c>
      <c r="G438" s="30">
        <v>13.0</v>
      </c>
      <c r="H438" s="18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17"/>
      <c r="Z438" s="6" t="str">
        <f t="shared" si="4"/>
        <v>Ibix133</v>
      </c>
      <c r="AA438" s="18" t="str">
        <f t="shared" si="5"/>
        <v>IbixSink Cock Long Spout (T/M) with Flange</v>
      </c>
      <c r="AB438" s="60">
        <f t="shared" si="6"/>
        <v>986</v>
      </c>
      <c r="AC438" s="34">
        <v>133.0</v>
      </c>
      <c r="AD438" s="57" t="s">
        <v>480</v>
      </c>
      <c r="AE438" s="18"/>
    </row>
    <row r="439">
      <c r="A439" s="5" t="s">
        <v>20</v>
      </c>
      <c r="B439" s="8" t="s">
        <v>104</v>
      </c>
      <c r="C439" s="8" t="s">
        <v>1304</v>
      </c>
      <c r="D439" s="8" t="s">
        <v>523</v>
      </c>
      <c r="E439" s="53">
        <f t="array" ref="E439:F439">VLOOKUP(C439,'NEW PTMT'!$B$4:$E1832,{3,4},0)</f>
        <v>2598</v>
      </c>
      <c r="F439" s="30">
        <v>2798.0</v>
      </c>
      <c r="G439" s="30"/>
      <c r="H439" s="18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17"/>
      <c r="Z439" s="6" t="str">
        <f t="shared" si="4"/>
        <v>Ibix1374</v>
      </c>
      <c r="AA439" s="18" t="str">
        <f t="shared" si="5"/>
        <v>Ibix2 in 1 Telephonic Wall Mixer</v>
      </c>
      <c r="AB439" s="60">
        <f t="shared" si="6"/>
        <v>2798</v>
      </c>
      <c r="AC439" s="61">
        <v>1374.0</v>
      </c>
      <c r="AD439" s="57" t="s">
        <v>540</v>
      </c>
      <c r="AE439" s="18"/>
    </row>
    <row r="440">
      <c r="A440" s="5" t="s">
        <v>20</v>
      </c>
      <c r="B440" s="8" t="s">
        <v>104</v>
      </c>
      <c r="C440" s="21" t="s">
        <v>1307</v>
      </c>
      <c r="D440" s="21" t="s">
        <v>734</v>
      </c>
      <c r="E440" s="53">
        <f t="array" ref="E440:F440">VLOOKUP(C440,'NEW PTMT'!$B$4:$E1832,{3,4},0)</f>
        <v>2292</v>
      </c>
      <c r="F440" s="30">
        <v>2476.0</v>
      </c>
      <c r="G440" s="30">
        <v>6.0</v>
      </c>
      <c r="H440" s="18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17"/>
      <c r="Z440" s="6" t="str">
        <f t="shared" si="4"/>
        <v>Ibix1375</v>
      </c>
      <c r="AA440" s="18" t="str">
        <f t="shared" si="5"/>
        <v>IbixWall Mixer L Bend with Flange</v>
      </c>
      <c r="AB440" s="60">
        <f t="shared" si="6"/>
        <v>2476</v>
      </c>
      <c r="AC440" s="64" t="s">
        <v>560</v>
      </c>
      <c r="AD440" s="57" t="s">
        <v>561</v>
      </c>
      <c r="AE440" s="18"/>
    </row>
    <row r="441">
      <c r="A441" s="5" t="s">
        <v>20</v>
      </c>
      <c r="B441" s="8" t="s">
        <v>104</v>
      </c>
      <c r="C441" s="21" t="s">
        <v>1308</v>
      </c>
      <c r="D441" s="21" t="s">
        <v>395</v>
      </c>
      <c r="E441" s="53">
        <f t="array" ref="E441:F441">VLOOKUP(C441,'NEW PTMT'!$B$4:$E1832,{3,4},0)</f>
        <v>402</v>
      </c>
      <c r="F441" s="30">
        <v>434.0</v>
      </c>
      <c r="G441" s="30">
        <v>66.0</v>
      </c>
      <c r="H441" s="18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17"/>
      <c r="Z441" s="6" t="str">
        <f t="shared" si="4"/>
        <v>Ibix144</v>
      </c>
      <c r="AA441" s="18" t="str">
        <f t="shared" si="5"/>
        <v>IbixAngle Cock with Flange</v>
      </c>
      <c r="AB441" s="60">
        <f t="shared" si="6"/>
        <v>434</v>
      </c>
      <c r="AC441" s="34">
        <v>144.0</v>
      </c>
      <c r="AD441" s="57" t="s">
        <v>395</v>
      </c>
      <c r="AE441" s="18"/>
    </row>
    <row r="442">
      <c r="A442" s="5" t="s">
        <v>20</v>
      </c>
      <c r="B442" s="8" t="s">
        <v>104</v>
      </c>
      <c r="C442" s="21" t="s">
        <v>1311</v>
      </c>
      <c r="D442" s="21" t="s">
        <v>359</v>
      </c>
      <c r="E442" s="53">
        <f t="array" ref="E442:F442">VLOOKUP(C442,'NEW PTMT'!$B$4:$E1832,{3,4},0)</f>
        <v>794</v>
      </c>
      <c r="F442" s="30">
        <v>858.0</v>
      </c>
      <c r="G442" s="30">
        <v>23.0</v>
      </c>
      <c r="H442" s="18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17"/>
      <c r="Z442" s="6" t="str">
        <f t="shared" si="4"/>
        <v>Ibix145</v>
      </c>
      <c r="AA442" s="18" t="str">
        <f t="shared" si="5"/>
        <v>Ibix2 Way Angle Cock with Flange</v>
      </c>
      <c r="AB442" s="60">
        <f t="shared" si="6"/>
        <v>858</v>
      </c>
      <c r="AC442" s="34">
        <v>145.0</v>
      </c>
      <c r="AD442" s="57" t="s">
        <v>359</v>
      </c>
      <c r="AE442" s="18"/>
    </row>
    <row r="443">
      <c r="A443" s="5" t="s">
        <v>20</v>
      </c>
      <c r="B443" s="8" t="s">
        <v>104</v>
      </c>
      <c r="C443" s="21" t="s">
        <v>1313</v>
      </c>
      <c r="D443" s="21" t="s">
        <v>710</v>
      </c>
      <c r="E443" s="53">
        <f t="array" ref="E443:F443">VLOOKUP(C443,'NEW PTMT'!$B$4:$E1832,{3,4},0)</f>
        <v>784</v>
      </c>
      <c r="F443" s="30">
        <v>848.0</v>
      </c>
      <c r="G443" s="30">
        <v>30.0</v>
      </c>
      <c r="H443" s="18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17"/>
      <c r="Z443" s="6" t="str">
        <f t="shared" si="4"/>
        <v>Ibix147</v>
      </c>
      <c r="AA443" s="18" t="str">
        <f t="shared" si="5"/>
        <v>IbixPillar Cock Swan Neck (T/M) with Flange</v>
      </c>
      <c r="AB443" s="60">
        <f t="shared" si="6"/>
        <v>848</v>
      </c>
      <c r="AC443" s="34">
        <v>147.0</v>
      </c>
      <c r="AD443" s="57" t="s">
        <v>616</v>
      </c>
      <c r="AE443" s="18"/>
    </row>
    <row r="444">
      <c r="A444" s="5" t="s">
        <v>20</v>
      </c>
      <c r="B444" s="8" t="s">
        <v>104</v>
      </c>
      <c r="C444" s="21" t="s">
        <v>1314</v>
      </c>
      <c r="D444" s="21" t="s">
        <v>601</v>
      </c>
      <c r="E444" s="53">
        <f t="array" ref="E444:F444">VLOOKUP(C444,'NEW PTMT'!$B$4:$E1832,{3,4},0)</f>
        <v>948.3552</v>
      </c>
      <c r="F444" s="30">
        <v>1024.0</v>
      </c>
      <c r="G444" s="30">
        <v>30.0</v>
      </c>
      <c r="H444" s="18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17"/>
      <c r="Z444" s="6" t="str">
        <f t="shared" si="4"/>
        <v>Ibix147-Q</v>
      </c>
      <c r="AA444" s="18" t="str">
        <f t="shared" si="5"/>
        <v>IbixPillar Cock Swan Neck (T/M) Square Spout with Flange</v>
      </c>
      <c r="AB444" s="60">
        <f t="shared" si="6"/>
        <v>1024</v>
      </c>
      <c r="AC444" s="34" t="s">
        <v>737</v>
      </c>
      <c r="AD444" s="57" t="s">
        <v>703</v>
      </c>
      <c r="AE444" s="18"/>
    </row>
    <row r="445">
      <c r="A445" s="5" t="s">
        <v>20</v>
      </c>
      <c r="B445" s="8" t="s">
        <v>104</v>
      </c>
      <c r="C445" s="21" t="s">
        <v>1315</v>
      </c>
      <c r="D445" s="21" t="s">
        <v>712</v>
      </c>
      <c r="E445" s="53">
        <f t="array" ref="E445:F445">VLOOKUP(C445,'NEW PTMT'!$B$4:$E1832,{3,4},0)</f>
        <v>1878</v>
      </c>
      <c r="F445" s="30">
        <v>2028.0</v>
      </c>
      <c r="G445" s="30">
        <v>14.0</v>
      </c>
      <c r="H445" s="18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17"/>
      <c r="Z445" s="6" t="str">
        <f t="shared" si="4"/>
        <v>Ibix150</v>
      </c>
      <c r="AA445" s="18" t="str">
        <f t="shared" si="5"/>
        <v>IbixCenter Hole Basin Mixer</v>
      </c>
      <c r="AB445" s="60">
        <f t="shared" si="6"/>
        <v>2028</v>
      </c>
      <c r="AC445" s="34">
        <v>150.0</v>
      </c>
      <c r="AD445" s="57" t="s">
        <v>650</v>
      </c>
      <c r="AE445" s="18"/>
    </row>
    <row r="446">
      <c r="A446" s="5" t="s">
        <v>20</v>
      </c>
      <c r="B446" s="8" t="s">
        <v>104</v>
      </c>
      <c r="C446" s="21" t="s">
        <v>1316</v>
      </c>
      <c r="D446" s="21" t="s">
        <v>744</v>
      </c>
      <c r="E446" s="53">
        <f t="array" ref="E446:F446">VLOOKUP(C446,'NEW PTMT'!$B$4:$E1832,{3,4},0)</f>
        <v>2204</v>
      </c>
      <c r="F446" s="30">
        <v>2382.0</v>
      </c>
      <c r="G446" s="30">
        <v>14.0</v>
      </c>
      <c r="H446" s="18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17"/>
      <c r="Z446" s="6" t="str">
        <f t="shared" si="4"/>
        <v>Ibix400</v>
      </c>
      <c r="AA446" s="18" t="str">
        <f t="shared" si="5"/>
        <v>IbixSingle Lever Basin Mixer</v>
      </c>
      <c r="AB446" s="60">
        <f t="shared" si="6"/>
        <v>2382</v>
      </c>
      <c r="AC446" s="34">
        <v>400.0</v>
      </c>
      <c r="AD446" s="57" t="s">
        <v>708</v>
      </c>
      <c r="AE446" s="18"/>
    </row>
    <row r="447">
      <c r="A447" s="5" t="s">
        <v>20</v>
      </c>
      <c r="B447" s="8" t="s">
        <v>112</v>
      </c>
      <c r="C447" s="21" t="s">
        <v>1321</v>
      </c>
      <c r="D447" s="21" t="s">
        <v>798</v>
      </c>
      <c r="E447" s="53">
        <f t="array" ref="E447:F447">VLOOKUP(C447,'NEW PTMT'!$B$4:$E1832,{3,4},0)</f>
        <v>242</v>
      </c>
      <c r="F447" s="30">
        <v>262.0</v>
      </c>
      <c r="G447" s="30">
        <v>108.0</v>
      </c>
      <c r="H447" s="18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17"/>
      <c r="Z447" s="6" t="str">
        <f t="shared" si="4"/>
        <v>Vitro121</v>
      </c>
      <c r="AA447" s="18" t="str">
        <f t="shared" si="5"/>
        <v>VitroBib Cock with Flange</v>
      </c>
      <c r="AB447" s="60">
        <f t="shared" si="6"/>
        <v>262</v>
      </c>
      <c r="AC447" s="34">
        <v>121.0</v>
      </c>
      <c r="AD447" s="57" t="s">
        <v>636</v>
      </c>
      <c r="AE447" s="18"/>
    </row>
    <row r="448">
      <c r="A448" s="5" t="s">
        <v>20</v>
      </c>
      <c r="B448" s="8" t="s">
        <v>112</v>
      </c>
      <c r="C448" s="8" t="s">
        <v>1323</v>
      </c>
      <c r="D448" s="8" t="s">
        <v>748</v>
      </c>
      <c r="E448" s="53">
        <f t="array" ref="E448:F448">VLOOKUP(C448,'NEW PTMT'!$B$4:$E1832,{3,4},0)</f>
        <v>254</v>
      </c>
      <c r="F448" s="30">
        <v>274.0</v>
      </c>
      <c r="G448" s="30"/>
      <c r="H448" s="18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17"/>
      <c r="Z448" s="6" t="str">
        <f t="shared" si="4"/>
        <v>Vitro121-F</v>
      </c>
      <c r="AA448" s="18" t="str">
        <f t="shared" si="5"/>
        <v>VitroBib Cock (Foam Flow) with Flange</v>
      </c>
      <c r="AB448" s="60">
        <f t="shared" si="6"/>
        <v>274</v>
      </c>
      <c r="AC448" s="61" t="s">
        <v>208</v>
      </c>
      <c r="AD448" s="57" t="s">
        <v>417</v>
      </c>
      <c r="AE448" s="18"/>
    </row>
    <row r="449">
      <c r="A449" s="5" t="s">
        <v>20</v>
      </c>
      <c r="B449" s="8" t="s">
        <v>112</v>
      </c>
      <c r="C449" s="21" t="s">
        <v>1326</v>
      </c>
      <c r="D449" s="21" t="s">
        <v>803</v>
      </c>
      <c r="E449" s="53">
        <f t="array" ref="E449:F449">VLOOKUP(C449,'NEW PTMT'!$B$4:$E1832,{3,4},0)</f>
        <v>334</v>
      </c>
      <c r="F449" s="30">
        <v>362.0</v>
      </c>
      <c r="G449" s="30">
        <v>54.0</v>
      </c>
      <c r="H449" s="18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17"/>
      <c r="Z449" s="6" t="str">
        <f t="shared" si="4"/>
        <v>Vitro124</v>
      </c>
      <c r="AA449" s="18" t="str">
        <f t="shared" si="5"/>
        <v>VitroBib Cock Long Body with Flange</v>
      </c>
      <c r="AB449" s="60">
        <f t="shared" si="6"/>
        <v>362</v>
      </c>
      <c r="AC449" s="34">
        <v>124.0</v>
      </c>
      <c r="AD449" s="57" t="s">
        <v>358</v>
      </c>
      <c r="AE449" s="18"/>
    </row>
    <row r="450">
      <c r="A450" s="5" t="s">
        <v>20</v>
      </c>
      <c r="B450" s="8" t="s">
        <v>112</v>
      </c>
      <c r="C450" s="21" t="s">
        <v>1327</v>
      </c>
      <c r="D450" s="21" t="s">
        <v>363</v>
      </c>
      <c r="E450" s="53">
        <f t="array" ref="E450:F450">VLOOKUP(C450,'NEW PTMT'!$B$4:$E1832,{3,4},0)</f>
        <v>285.6</v>
      </c>
      <c r="F450" s="30">
        <v>308.0</v>
      </c>
      <c r="G450" s="30">
        <v>66.0</v>
      </c>
      <c r="H450" s="18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17"/>
      <c r="Z450" s="6" t="str">
        <f t="shared" si="4"/>
        <v>Vitro127</v>
      </c>
      <c r="AA450" s="18" t="str">
        <f t="shared" si="5"/>
        <v>VitroBib Cock Nozzle with Flange</v>
      </c>
      <c r="AB450" s="60">
        <f t="shared" si="6"/>
        <v>308</v>
      </c>
      <c r="AC450" s="34">
        <v>127.0</v>
      </c>
      <c r="AD450" s="57" t="s">
        <v>363</v>
      </c>
      <c r="AE450" s="18"/>
    </row>
    <row r="451">
      <c r="A451" s="5" t="s">
        <v>20</v>
      </c>
      <c r="B451" s="8" t="s">
        <v>112</v>
      </c>
      <c r="C451" s="21" t="s">
        <v>1330</v>
      </c>
      <c r="D451" s="21" t="s">
        <v>378</v>
      </c>
      <c r="E451" s="53">
        <f t="array" ref="E451:F451">VLOOKUP(C451,'NEW PTMT'!$B$4:$E1832,{3,4},0)</f>
        <v>517.6704</v>
      </c>
      <c r="F451" s="30">
        <v>558.0</v>
      </c>
      <c r="G451" s="30">
        <v>24.0</v>
      </c>
      <c r="H451" s="18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17"/>
      <c r="Z451" s="6" t="str">
        <f t="shared" si="4"/>
        <v>Vitro129</v>
      </c>
      <c r="AA451" s="18" t="str">
        <f t="shared" si="5"/>
        <v>Vitro2 Way Bib Cock with Flange</v>
      </c>
      <c r="AB451" s="60">
        <f t="shared" si="6"/>
        <v>558</v>
      </c>
      <c r="AC451" s="34">
        <v>129.0</v>
      </c>
      <c r="AD451" s="57" t="s">
        <v>378</v>
      </c>
      <c r="AE451" s="18"/>
    </row>
    <row r="452">
      <c r="A452" s="5" t="s">
        <v>20</v>
      </c>
      <c r="B452" s="8" t="s">
        <v>112</v>
      </c>
      <c r="C452" s="21" t="s">
        <v>1331</v>
      </c>
      <c r="D452" s="21" t="s">
        <v>416</v>
      </c>
      <c r="E452" s="53">
        <f t="array" ref="E452:F452">VLOOKUP(C452,'NEW PTMT'!$B$4:$E1832,{3,4},0)</f>
        <v>332</v>
      </c>
      <c r="F452" s="30">
        <v>358.0</v>
      </c>
      <c r="G452" s="30">
        <v>30.0</v>
      </c>
      <c r="H452" s="18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17"/>
      <c r="Z452" s="6" t="str">
        <f t="shared" si="4"/>
        <v>Vitro130</v>
      </c>
      <c r="AA452" s="18" t="str">
        <f t="shared" si="5"/>
        <v>VitroPillar Cock with Flange</v>
      </c>
      <c r="AB452" s="60">
        <f t="shared" si="6"/>
        <v>358</v>
      </c>
      <c r="AC452" s="34">
        <v>130.0</v>
      </c>
      <c r="AD452" s="57" t="s">
        <v>416</v>
      </c>
      <c r="AE452" s="18"/>
    </row>
    <row r="453">
      <c r="A453" s="5" t="s">
        <v>20</v>
      </c>
      <c r="B453" s="8" t="s">
        <v>112</v>
      </c>
      <c r="C453" s="21" t="s">
        <v>1332</v>
      </c>
      <c r="D453" s="21" t="s">
        <v>419</v>
      </c>
      <c r="E453" s="53">
        <f t="array" ref="E453:F453">VLOOKUP(C453,'NEW PTMT'!$B$4:$E1832,{3,4},0)</f>
        <v>672</v>
      </c>
      <c r="F453" s="30">
        <v>726.0</v>
      </c>
      <c r="G453" s="30">
        <v>13.0</v>
      </c>
      <c r="H453" s="18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17"/>
      <c r="Z453" s="6" t="str">
        <f t="shared" si="4"/>
        <v>Vitro132</v>
      </c>
      <c r="AA453" s="18" t="str">
        <f t="shared" si="5"/>
        <v>VitroSink Cock (W/M) with Flange</v>
      </c>
      <c r="AB453" s="60">
        <f t="shared" si="6"/>
        <v>726</v>
      </c>
      <c r="AC453" s="34">
        <v>132.0</v>
      </c>
      <c r="AD453" s="57" t="s">
        <v>436</v>
      </c>
      <c r="AE453" s="18"/>
    </row>
    <row r="454">
      <c r="A454" s="5" t="s">
        <v>20</v>
      </c>
      <c r="B454" s="8" t="s">
        <v>112</v>
      </c>
      <c r="C454" s="21" t="s">
        <v>1334</v>
      </c>
      <c r="D454" s="21" t="s">
        <v>1335</v>
      </c>
      <c r="E454" s="53">
        <f t="array" ref="E454:F454">VLOOKUP(C454,'NEW PTMT'!$B$4:$E1832,{3,4},0)</f>
        <v>612</v>
      </c>
      <c r="F454" s="30">
        <v>662.0</v>
      </c>
      <c r="G454" s="30">
        <v>30.0</v>
      </c>
      <c r="H454" s="18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17"/>
      <c r="Z454" s="6" t="str">
        <f t="shared" si="4"/>
        <v>Vitro1322</v>
      </c>
      <c r="AA454" s="18" t="str">
        <f t="shared" si="5"/>
        <v>VitroSink Cock Small Spout (W/M) with Flange</v>
      </c>
      <c r="AB454" s="60">
        <f t="shared" si="6"/>
        <v>662</v>
      </c>
      <c r="AC454" s="254" t="s">
        <v>456</v>
      </c>
      <c r="AD454" s="57" t="s">
        <v>457</v>
      </c>
      <c r="AE454" s="18"/>
    </row>
    <row r="455">
      <c r="A455" s="5" t="s">
        <v>20</v>
      </c>
      <c r="B455" s="8" t="s">
        <v>112</v>
      </c>
      <c r="C455" s="21" t="s">
        <v>1337</v>
      </c>
      <c r="D455" s="21" t="s">
        <v>1302</v>
      </c>
      <c r="E455" s="53">
        <f t="array" ref="E455:F455">VLOOKUP(C455,'NEW PTMT'!$B$4:$E1832,{3,4},0)</f>
        <v>672</v>
      </c>
      <c r="F455" s="30">
        <v>726.0</v>
      </c>
      <c r="G455" s="30">
        <v>13.0</v>
      </c>
      <c r="H455" s="18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17"/>
      <c r="Z455" s="6" t="str">
        <f t="shared" si="4"/>
        <v>Vitro133</v>
      </c>
      <c r="AA455" s="18" t="str">
        <f t="shared" si="5"/>
        <v>VitroSink Cock Long Spout (T/M) with Flange</v>
      </c>
      <c r="AB455" s="60">
        <f t="shared" si="6"/>
        <v>726</v>
      </c>
      <c r="AC455" s="34">
        <v>133.0</v>
      </c>
      <c r="AD455" s="57" t="s">
        <v>480</v>
      </c>
      <c r="AE455" s="18"/>
    </row>
    <row r="456">
      <c r="A456" s="5" t="s">
        <v>20</v>
      </c>
      <c r="B456" s="8" t="s">
        <v>112</v>
      </c>
      <c r="C456" s="21" t="s">
        <v>1339</v>
      </c>
      <c r="D456" s="21" t="s">
        <v>482</v>
      </c>
      <c r="E456" s="53">
        <f t="array" ref="E456:F456">VLOOKUP(C456,'NEW PTMT'!$B$4:$E1832,{3,4},0)</f>
        <v>1262.352</v>
      </c>
      <c r="F456" s="30">
        <v>1364.0</v>
      </c>
      <c r="G456" s="30">
        <v>13.0</v>
      </c>
      <c r="H456" s="18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17"/>
      <c r="Z456" s="6" t="str">
        <f t="shared" si="4"/>
        <v>Vitro134</v>
      </c>
      <c r="AA456" s="18" t="str">
        <f t="shared" si="5"/>
        <v>VitroSink Mixer with Flange</v>
      </c>
      <c r="AB456" s="60">
        <f t="shared" si="6"/>
        <v>1364</v>
      </c>
      <c r="AC456" s="34">
        <v>134.0</v>
      </c>
      <c r="AD456" s="57" t="s">
        <v>499</v>
      </c>
      <c r="AE456" s="18"/>
    </row>
    <row r="457">
      <c r="A457" s="5" t="s">
        <v>20</v>
      </c>
      <c r="B457" s="8" t="s">
        <v>112</v>
      </c>
      <c r="C457" s="21" t="s">
        <v>1341</v>
      </c>
      <c r="D457" s="21" t="s">
        <v>502</v>
      </c>
      <c r="E457" s="53">
        <f t="array" ref="E457:F457">VLOOKUP(C457,'NEW PTMT'!$B$4:$E1832,{3,4},0)</f>
        <v>1164</v>
      </c>
      <c r="F457" s="30">
        <v>1258.0</v>
      </c>
      <c r="G457" s="30">
        <v>13.0</v>
      </c>
      <c r="H457" s="18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17"/>
      <c r="Z457" s="6" t="str">
        <f t="shared" si="4"/>
        <v>Vitro135</v>
      </c>
      <c r="AA457" s="18" t="str">
        <f t="shared" si="5"/>
        <v>VitroWall Mixer with Flange</v>
      </c>
      <c r="AB457" s="60">
        <f t="shared" si="6"/>
        <v>1258</v>
      </c>
      <c r="AC457" s="34">
        <v>135.0</v>
      </c>
      <c r="AD457" s="57" t="s">
        <v>519</v>
      </c>
      <c r="AE457" s="18"/>
    </row>
    <row r="458">
      <c r="A458" s="5" t="s">
        <v>20</v>
      </c>
      <c r="B458" s="8" t="s">
        <v>112</v>
      </c>
      <c r="C458" s="21" t="s">
        <v>1343</v>
      </c>
      <c r="D458" s="21" t="s">
        <v>734</v>
      </c>
      <c r="E458" s="53">
        <f t="array" ref="E458:F458">VLOOKUP(C458,'NEW PTMT'!$B$4:$E1832,{3,4},0)</f>
        <v>1527.552</v>
      </c>
      <c r="F458" s="30">
        <v>1648.0</v>
      </c>
      <c r="G458" s="30">
        <v>6.0</v>
      </c>
      <c r="H458" s="18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17"/>
      <c r="Z458" s="6" t="str">
        <f t="shared" si="4"/>
        <v>Vitro1375</v>
      </c>
      <c r="AA458" s="18" t="str">
        <f t="shared" si="5"/>
        <v>VitroWall Mixer L Bend with Flange</v>
      </c>
      <c r="AB458" s="60">
        <f t="shared" si="6"/>
        <v>1648</v>
      </c>
      <c r="AC458" s="64" t="s">
        <v>560</v>
      </c>
      <c r="AD458" s="57" t="s">
        <v>561</v>
      </c>
      <c r="AE458" s="18"/>
    </row>
    <row r="459">
      <c r="A459" s="5" t="s">
        <v>20</v>
      </c>
      <c r="B459" s="8" t="s">
        <v>112</v>
      </c>
      <c r="C459" s="21" t="s">
        <v>1345</v>
      </c>
      <c r="D459" s="21" t="s">
        <v>395</v>
      </c>
      <c r="E459" s="53">
        <f t="array" ref="E459:F459">VLOOKUP(C459,'NEW PTMT'!$B$4:$E1832,{3,4},0)</f>
        <v>236</v>
      </c>
      <c r="F459" s="30">
        <v>256.0</v>
      </c>
      <c r="G459" s="30">
        <v>90.0</v>
      </c>
      <c r="H459" s="18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17"/>
      <c r="Z459" s="6" t="str">
        <f t="shared" si="4"/>
        <v>Vitro144</v>
      </c>
      <c r="AA459" s="18" t="str">
        <f t="shared" si="5"/>
        <v>VitroAngle Cock with Flange</v>
      </c>
      <c r="AB459" s="60">
        <f t="shared" si="6"/>
        <v>256</v>
      </c>
      <c r="AC459" s="34">
        <v>144.0</v>
      </c>
      <c r="AD459" s="57" t="s">
        <v>395</v>
      </c>
      <c r="AE459" s="18"/>
    </row>
    <row r="460">
      <c r="A460" s="5" t="s">
        <v>20</v>
      </c>
      <c r="B460" s="8" t="s">
        <v>112</v>
      </c>
      <c r="C460" s="21" t="s">
        <v>1347</v>
      </c>
      <c r="D460" s="21" t="s">
        <v>829</v>
      </c>
      <c r="E460" s="53">
        <f t="array" ref="E460:F460">VLOOKUP(C460,'NEW PTMT'!$B$4:$E1832,{3,4},0)</f>
        <v>505.92</v>
      </c>
      <c r="F460" s="30">
        <v>546.0</v>
      </c>
      <c r="G460" s="30">
        <v>30.0</v>
      </c>
      <c r="H460" s="18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17"/>
      <c r="Z460" s="6" t="str">
        <f t="shared" si="4"/>
        <v>Vitro145</v>
      </c>
      <c r="AA460" s="18" t="str">
        <f t="shared" si="5"/>
        <v>Vitro2 Way Angle Cock with Flange</v>
      </c>
      <c r="AB460" s="60">
        <f t="shared" si="6"/>
        <v>546</v>
      </c>
      <c r="AC460" s="34">
        <v>145.0</v>
      </c>
      <c r="AD460" s="57" t="s">
        <v>359</v>
      </c>
      <c r="AE460" s="18"/>
    </row>
    <row r="461">
      <c r="A461" s="5" t="s">
        <v>20</v>
      </c>
      <c r="B461" s="8" t="s">
        <v>112</v>
      </c>
      <c r="C461" s="21" t="s">
        <v>1349</v>
      </c>
      <c r="D461" s="21" t="s">
        <v>1350</v>
      </c>
      <c r="E461" s="53">
        <f t="array" ref="E461:F461">VLOOKUP(C461,'NEW PTMT'!$B$4:$E1832,{3,4},0)</f>
        <v>607.92</v>
      </c>
      <c r="F461" s="30">
        <v>658.0</v>
      </c>
      <c r="G461" s="30">
        <v>30.0</v>
      </c>
      <c r="H461" s="18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17"/>
      <c r="Z461" s="6" t="str">
        <f t="shared" si="4"/>
        <v>Vitro147</v>
      </c>
      <c r="AA461" s="18" t="str">
        <f t="shared" si="5"/>
        <v>VitroPillar Cock Swan Neck (T/M) with Flange</v>
      </c>
      <c r="AB461" s="60">
        <f t="shared" si="6"/>
        <v>658</v>
      </c>
      <c r="AC461" s="34">
        <v>147.0</v>
      </c>
      <c r="AD461" s="57" t="s">
        <v>616</v>
      </c>
      <c r="AE461" s="18"/>
    </row>
    <row r="462">
      <c r="A462" s="5" t="s">
        <v>20</v>
      </c>
      <c r="B462" s="8" t="s">
        <v>112</v>
      </c>
      <c r="C462" s="21" t="s">
        <v>1352</v>
      </c>
      <c r="D462" s="21" t="s">
        <v>731</v>
      </c>
      <c r="E462" s="53">
        <f t="array" ref="E462:F462">VLOOKUP(C462,'NEW PTMT'!$B$4:$E1832,{3,4},0)</f>
        <v>391.68</v>
      </c>
      <c r="F462" s="30">
        <v>424.0</v>
      </c>
      <c r="G462" s="30">
        <v>66.0</v>
      </c>
      <c r="H462" s="18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17"/>
      <c r="Z462" s="6" t="str">
        <f t="shared" si="4"/>
        <v>Vitro149</v>
      </c>
      <c r="AA462" s="18" t="str">
        <f t="shared" si="5"/>
        <v>VitroWashing Machine Tap with Flange</v>
      </c>
      <c r="AB462" s="60">
        <f t="shared" si="6"/>
        <v>424</v>
      </c>
      <c r="AC462" s="61">
        <v>149.0</v>
      </c>
      <c r="AD462" s="62" t="s">
        <v>731</v>
      </c>
      <c r="AE462" s="18"/>
    </row>
    <row r="463">
      <c r="A463" s="5" t="s">
        <v>20</v>
      </c>
      <c r="B463" s="8" t="s">
        <v>76</v>
      </c>
      <c r="C463" s="21" t="s">
        <v>1356</v>
      </c>
      <c r="D463" s="21" t="s">
        <v>798</v>
      </c>
      <c r="E463" s="53">
        <f t="array" ref="E463:F463">VLOOKUP(C463,'NEW PTMT'!$B$4:$E1832,{3,4},0)</f>
        <v>226</v>
      </c>
      <c r="F463" s="30">
        <v>244.0</v>
      </c>
      <c r="G463" s="30">
        <v>108.0</v>
      </c>
      <c r="H463" s="18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17"/>
      <c r="Z463" s="6" t="str">
        <f t="shared" si="4"/>
        <v>Flora121</v>
      </c>
      <c r="AA463" s="18" t="str">
        <f t="shared" si="5"/>
        <v>FloraBib Cock with Flange</v>
      </c>
      <c r="AB463" s="60">
        <f t="shared" si="6"/>
        <v>244</v>
      </c>
      <c r="AC463" s="34">
        <v>121.0</v>
      </c>
      <c r="AD463" s="57" t="s">
        <v>636</v>
      </c>
      <c r="AE463" s="18"/>
    </row>
    <row r="464">
      <c r="A464" s="5" t="s">
        <v>20</v>
      </c>
      <c r="B464" s="8" t="s">
        <v>76</v>
      </c>
      <c r="C464" s="8" t="s">
        <v>1353</v>
      </c>
      <c r="D464" s="8" t="s">
        <v>748</v>
      </c>
      <c r="E464" s="53">
        <f t="array" ref="E464:F464">VLOOKUP(C464,'NEW PTMT'!$B$4:$E1832,{3,4},0)</f>
        <v>238</v>
      </c>
      <c r="F464" s="30">
        <v>256.0</v>
      </c>
      <c r="G464" s="30"/>
      <c r="H464" s="18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17"/>
      <c r="Z464" s="6" t="str">
        <f t="shared" si="4"/>
        <v>Flora121-F</v>
      </c>
      <c r="AA464" s="18" t="str">
        <f t="shared" si="5"/>
        <v>FloraBib Cock (Foam Flow) with Flange</v>
      </c>
      <c r="AB464" s="60">
        <f t="shared" si="6"/>
        <v>256</v>
      </c>
      <c r="AC464" s="61" t="s">
        <v>208</v>
      </c>
      <c r="AD464" s="57" t="s">
        <v>417</v>
      </c>
      <c r="AE464" s="18"/>
    </row>
    <row r="465">
      <c r="A465" s="5" t="s">
        <v>20</v>
      </c>
      <c r="B465" s="8" t="s">
        <v>76</v>
      </c>
      <c r="C465" s="21" t="s">
        <v>1360</v>
      </c>
      <c r="D465" s="21" t="s">
        <v>803</v>
      </c>
      <c r="E465" s="53">
        <f t="array" ref="E465:F465">VLOOKUP(C465,'NEW PTMT'!$B$4:$E1832,{3,4},0)</f>
        <v>296</v>
      </c>
      <c r="F465" s="30">
        <v>322.0</v>
      </c>
      <c r="G465" s="12">
        <v>54.0</v>
      </c>
      <c r="H465" s="18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17"/>
      <c r="Z465" s="6" t="str">
        <f t="shared" si="4"/>
        <v>Flora124</v>
      </c>
      <c r="AA465" s="18" t="str">
        <f t="shared" si="5"/>
        <v>FloraBib Cock Long Body with Flange</v>
      </c>
      <c r="AB465" s="60">
        <f t="shared" si="6"/>
        <v>322</v>
      </c>
      <c r="AC465" s="34">
        <v>124.0</v>
      </c>
      <c r="AD465" s="57" t="s">
        <v>358</v>
      </c>
      <c r="AE465" s="18"/>
    </row>
    <row r="466">
      <c r="A466" s="5" t="s">
        <v>20</v>
      </c>
      <c r="B466" s="8" t="s">
        <v>76</v>
      </c>
      <c r="C466" s="21" t="s">
        <v>1362</v>
      </c>
      <c r="D466" s="21" t="s">
        <v>1363</v>
      </c>
      <c r="E466" s="53">
        <f t="array" ref="E466:F466">VLOOKUP(C466,'NEW PTMT'!$B$4:$E1832,{3,4},0)</f>
        <v>311.8752</v>
      </c>
      <c r="F466" s="30">
        <v>338.0</v>
      </c>
      <c r="G466" s="12">
        <v>46.0</v>
      </c>
      <c r="H466" s="18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17"/>
      <c r="Z466" s="6" t="str">
        <f t="shared" si="4"/>
        <v>Flora124-F</v>
      </c>
      <c r="AA466" s="18" t="str">
        <f t="shared" si="5"/>
        <v>FloraBib Cock Long Body Foam Flow with Flange</v>
      </c>
      <c r="AB466" s="60">
        <f t="shared" si="6"/>
        <v>338</v>
      </c>
      <c r="AC466" s="61" t="s">
        <v>698</v>
      </c>
      <c r="AD466" s="57" t="s">
        <v>541</v>
      </c>
      <c r="AE466" s="18"/>
    </row>
    <row r="467">
      <c r="A467" s="5" t="s">
        <v>20</v>
      </c>
      <c r="B467" s="8" t="s">
        <v>76</v>
      </c>
      <c r="C467" s="21" t="s">
        <v>1365</v>
      </c>
      <c r="D467" s="21" t="s">
        <v>363</v>
      </c>
      <c r="E467" s="53">
        <f t="array" ref="E467:F467">VLOOKUP(C467,'NEW PTMT'!$B$4:$E1832,{3,4},0)</f>
        <v>271.5648</v>
      </c>
      <c r="F467" s="30">
        <v>294.0</v>
      </c>
      <c r="G467" s="12">
        <v>66.0</v>
      </c>
      <c r="H467" s="18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17"/>
      <c r="Z467" s="6" t="str">
        <f t="shared" si="4"/>
        <v>Flora127</v>
      </c>
      <c r="AA467" s="18" t="str">
        <f t="shared" si="5"/>
        <v>FloraBib Cock Nozzle with Flange</v>
      </c>
      <c r="AB467" s="60">
        <f t="shared" si="6"/>
        <v>294</v>
      </c>
      <c r="AC467" s="34">
        <v>127.0</v>
      </c>
      <c r="AD467" s="62" t="s">
        <v>363</v>
      </c>
      <c r="AE467" s="18"/>
    </row>
    <row r="468">
      <c r="A468" s="5" t="s">
        <v>20</v>
      </c>
      <c r="B468" s="8" t="s">
        <v>76</v>
      </c>
      <c r="C468" s="21" t="s">
        <v>1368</v>
      </c>
      <c r="D468" s="21" t="s">
        <v>378</v>
      </c>
      <c r="E468" s="53">
        <f t="array" ref="E468:F468">VLOOKUP(C468,'NEW PTMT'!$B$4:$E1832,{3,4},0)</f>
        <v>456</v>
      </c>
      <c r="F468" s="30">
        <v>492.0</v>
      </c>
      <c r="G468" s="30">
        <v>24.0</v>
      </c>
      <c r="H468" s="18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17"/>
      <c r="Z468" s="6" t="str">
        <f t="shared" si="4"/>
        <v>Flora129</v>
      </c>
      <c r="AA468" s="18" t="str">
        <f t="shared" si="5"/>
        <v>Flora2 Way Bib Cock with Flange</v>
      </c>
      <c r="AB468" s="60">
        <f t="shared" si="6"/>
        <v>492</v>
      </c>
      <c r="AC468" s="34">
        <v>129.0</v>
      </c>
      <c r="AD468" s="62" t="s">
        <v>378</v>
      </c>
      <c r="AE468" s="18"/>
    </row>
    <row r="469">
      <c r="A469" s="5" t="s">
        <v>20</v>
      </c>
      <c r="B469" s="8" t="s">
        <v>76</v>
      </c>
      <c r="C469" s="21" t="s">
        <v>1369</v>
      </c>
      <c r="D469" s="21" t="s">
        <v>416</v>
      </c>
      <c r="E469" s="53">
        <f t="array" ref="E469:F469">VLOOKUP(C469,'NEW PTMT'!$B$4:$E1832,{3,4},0)</f>
        <v>313.9968</v>
      </c>
      <c r="F469" s="30">
        <v>338.0</v>
      </c>
      <c r="G469" s="12">
        <v>30.0</v>
      </c>
      <c r="H469" s="18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17"/>
      <c r="Z469" s="6" t="str">
        <f t="shared" si="4"/>
        <v>Flora130</v>
      </c>
      <c r="AA469" s="18" t="str">
        <f t="shared" si="5"/>
        <v>FloraPillar Cock with Flange</v>
      </c>
      <c r="AB469" s="60">
        <f t="shared" si="6"/>
        <v>338</v>
      </c>
      <c r="AC469" s="34">
        <v>130.0</v>
      </c>
      <c r="AD469" s="57" t="s">
        <v>416</v>
      </c>
      <c r="AE469" s="18"/>
    </row>
    <row r="470">
      <c r="A470" s="5" t="s">
        <v>20</v>
      </c>
      <c r="B470" s="8" t="s">
        <v>76</v>
      </c>
      <c r="C470" s="21" t="s">
        <v>1370</v>
      </c>
      <c r="D470" s="21" t="s">
        <v>419</v>
      </c>
      <c r="E470" s="53">
        <f t="array" ref="E470:F470">VLOOKUP(C470,'NEW PTMT'!$B$4:$E1832,{3,4},0)</f>
        <v>625.872</v>
      </c>
      <c r="F470" s="30">
        <v>676.0</v>
      </c>
      <c r="G470" s="12">
        <v>13.0</v>
      </c>
      <c r="H470" s="18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17"/>
      <c r="Z470" s="6" t="str">
        <f t="shared" si="4"/>
        <v>Flora132</v>
      </c>
      <c r="AA470" s="18" t="str">
        <f t="shared" si="5"/>
        <v>FloraSink Cock (W/M) with Flange</v>
      </c>
      <c r="AB470" s="60">
        <f t="shared" si="6"/>
        <v>676</v>
      </c>
      <c r="AC470" s="34">
        <v>132.0</v>
      </c>
      <c r="AD470" s="57" t="s">
        <v>436</v>
      </c>
      <c r="AE470" s="18"/>
    </row>
    <row r="471">
      <c r="A471" s="5" t="s">
        <v>20</v>
      </c>
      <c r="B471" s="8" t="s">
        <v>76</v>
      </c>
      <c r="C471" s="21" t="s">
        <v>1372</v>
      </c>
      <c r="D471" s="21" t="s">
        <v>1335</v>
      </c>
      <c r="E471" s="53">
        <f t="array" ref="E471:F471">VLOOKUP(C471,'NEW PTMT'!$B$4:$E1832,{3,4},0)</f>
        <v>574</v>
      </c>
      <c r="F471" s="30">
        <v>622.0</v>
      </c>
      <c r="G471" s="12">
        <v>30.0</v>
      </c>
      <c r="H471" s="18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17"/>
      <c r="Z471" s="6" t="str">
        <f t="shared" si="4"/>
        <v>Flora1322</v>
      </c>
      <c r="AA471" s="18" t="str">
        <f t="shared" si="5"/>
        <v>FloraSink Cock Small Spout (W/M) with Flange</v>
      </c>
      <c r="AB471" s="60">
        <f t="shared" si="6"/>
        <v>622</v>
      </c>
      <c r="AC471" s="254" t="s">
        <v>456</v>
      </c>
      <c r="AD471" s="57" t="s">
        <v>457</v>
      </c>
      <c r="AE471" s="18"/>
    </row>
    <row r="472">
      <c r="A472" s="5" t="s">
        <v>20</v>
      </c>
      <c r="B472" s="8" t="s">
        <v>76</v>
      </c>
      <c r="C472" s="21" t="s">
        <v>1375</v>
      </c>
      <c r="D472" s="21" t="s">
        <v>1376</v>
      </c>
      <c r="E472" s="53">
        <f t="array" ref="E472:F472">VLOOKUP(C472,'NEW PTMT'!$B$4:$E1832,{3,4},0)</f>
        <v>646</v>
      </c>
      <c r="F472" s="30">
        <v>698.0</v>
      </c>
      <c r="G472" s="12">
        <v>13.0</v>
      </c>
      <c r="H472" s="18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17"/>
      <c r="Z472" s="6" t="str">
        <f t="shared" si="4"/>
        <v>Flora133</v>
      </c>
      <c r="AA472" s="18" t="str">
        <f t="shared" si="5"/>
        <v>FloraSink Cock Long Spout (T/M) with Flange</v>
      </c>
      <c r="AB472" s="60">
        <f t="shared" si="6"/>
        <v>698</v>
      </c>
      <c r="AC472" s="34">
        <v>133.0</v>
      </c>
      <c r="AD472" s="57" t="s">
        <v>480</v>
      </c>
      <c r="AE472" s="18"/>
    </row>
    <row r="473">
      <c r="A473" s="5" t="s">
        <v>20</v>
      </c>
      <c r="B473" s="8" t="s">
        <v>76</v>
      </c>
      <c r="C473" s="21" t="s">
        <v>1378</v>
      </c>
      <c r="D473" s="21" t="s">
        <v>482</v>
      </c>
      <c r="E473" s="53">
        <f t="array" ref="E473:F473">VLOOKUP(C473,'NEW PTMT'!$B$4:$E1832,{3,4},0)</f>
        <v>1262.352</v>
      </c>
      <c r="F473" s="30">
        <v>1364.0</v>
      </c>
      <c r="G473" s="12">
        <v>13.0</v>
      </c>
      <c r="H473" s="18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17"/>
      <c r="Z473" s="6" t="str">
        <f t="shared" si="4"/>
        <v>Flora134</v>
      </c>
      <c r="AA473" s="18" t="str">
        <f t="shared" si="5"/>
        <v>FloraSink Mixer with Flange</v>
      </c>
      <c r="AB473" s="60">
        <f t="shared" si="6"/>
        <v>1364</v>
      </c>
      <c r="AC473" s="34">
        <v>134.0</v>
      </c>
      <c r="AD473" s="57" t="s">
        <v>499</v>
      </c>
      <c r="AE473" s="18"/>
    </row>
    <row r="474">
      <c r="A474" s="5" t="s">
        <v>20</v>
      </c>
      <c r="B474" s="8" t="s">
        <v>76</v>
      </c>
      <c r="C474" s="21" t="s">
        <v>1379</v>
      </c>
      <c r="D474" s="21" t="s">
        <v>502</v>
      </c>
      <c r="E474" s="53">
        <f t="array" ref="E474:F474">VLOOKUP(C474,'NEW PTMT'!$B$4:$E1832,{3,4},0)</f>
        <v>1208</v>
      </c>
      <c r="F474" s="30">
        <v>1306.0</v>
      </c>
      <c r="G474" s="12">
        <v>13.0</v>
      </c>
      <c r="H474" s="18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17"/>
      <c r="Z474" s="6" t="str">
        <f t="shared" si="4"/>
        <v>Flora135</v>
      </c>
      <c r="AA474" s="18" t="str">
        <f t="shared" si="5"/>
        <v>FloraWall Mixer with Flange</v>
      </c>
      <c r="AB474" s="60">
        <f t="shared" si="6"/>
        <v>1306</v>
      </c>
      <c r="AC474" s="34">
        <v>135.0</v>
      </c>
      <c r="AD474" s="57" t="s">
        <v>519</v>
      </c>
      <c r="AE474" s="18"/>
    </row>
    <row r="475">
      <c r="A475" s="5" t="s">
        <v>20</v>
      </c>
      <c r="B475" s="8" t="s">
        <v>76</v>
      </c>
      <c r="C475" s="8" t="s">
        <v>1280</v>
      </c>
      <c r="D475" s="8" t="s">
        <v>523</v>
      </c>
      <c r="E475" s="53">
        <f t="array" ref="E475:F475">VLOOKUP(C475,'NEW PTMT'!$B$4:$E1832,{3,4},0)</f>
        <v>1888</v>
      </c>
      <c r="F475" s="30">
        <v>2038.0</v>
      </c>
      <c r="G475" s="12"/>
      <c r="H475" s="18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17"/>
      <c r="Z475" s="6" t="str">
        <f t="shared" si="4"/>
        <v>Flora1374</v>
      </c>
      <c r="AA475" s="18" t="str">
        <f t="shared" si="5"/>
        <v>Flora2 in 1 Telephonic Wall Mixer</v>
      </c>
      <c r="AB475" s="60">
        <f t="shared" si="6"/>
        <v>2038</v>
      </c>
      <c r="AC475" s="61">
        <v>1374.0</v>
      </c>
      <c r="AD475" s="57" t="s">
        <v>540</v>
      </c>
      <c r="AE475" s="18"/>
    </row>
    <row r="476">
      <c r="A476" s="5" t="s">
        <v>20</v>
      </c>
      <c r="B476" s="8" t="s">
        <v>76</v>
      </c>
      <c r="C476" s="21" t="s">
        <v>1384</v>
      </c>
      <c r="D476" s="21" t="s">
        <v>820</v>
      </c>
      <c r="E476" s="53">
        <f t="array" ref="E476:F476">VLOOKUP(C476,'NEW PTMT'!$B$4:$E1832,{3,4},0)</f>
        <v>1582</v>
      </c>
      <c r="F476" s="30">
        <v>1708.0</v>
      </c>
      <c r="G476" s="12">
        <v>6.0</v>
      </c>
      <c r="H476" s="18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17"/>
      <c r="Z476" s="6" t="str">
        <f t="shared" si="4"/>
        <v>Flora1375</v>
      </c>
      <c r="AA476" s="18" t="str">
        <f t="shared" si="5"/>
        <v>FloraWall Mixer L Bend with Flange</v>
      </c>
      <c r="AB476" s="60">
        <f t="shared" si="6"/>
        <v>1708</v>
      </c>
      <c r="AC476" s="64" t="s">
        <v>560</v>
      </c>
      <c r="AD476" s="57" t="s">
        <v>561</v>
      </c>
      <c r="AE476" s="18"/>
    </row>
    <row r="477">
      <c r="A477" s="5" t="s">
        <v>20</v>
      </c>
      <c r="B477" s="8" t="s">
        <v>76</v>
      </c>
      <c r="C477" s="21" t="s">
        <v>1387</v>
      </c>
      <c r="D477" s="21" t="s">
        <v>395</v>
      </c>
      <c r="E477" s="53">
        <f t="array" ref="E477:F477">VLOOKUP(C477,'NEW PTMT'!$B$4:$E1832,{3,4},0)</f>
        <v>236</v>
      </c>
      <c r="F477" s="30">
        <v>256.0</v>
      </c>
      <c r="G477" s="12">
        <v>90.0</v>
      </c>
      <c r="H477" s="18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17"/>
      <c r="Z477" s="6" t="str">
        <f t="shared" si="4"/>
        <v>Flora144</v>
      </c>
      <c r="AA477" s="18" t="str">
        <f t="shared" si="5"/>
        <v>FloraAngle Cock with Flange</v>
      </c>
      <c r="AB477" s="60">
        <f t="shared" si="6"/>
        <v>256</v>
      </c>
      <c r="AC477" s="34">
        <v>144.0</v>
      </c>
      <c r="AD477" s="62" t="s">
        <v>395</v>
      </c>
      <c r="AE477" s="18"/>
    </row>
    <row r="478">
      <c r="A478" s="5" t="s">
        <v>20</v>
      </c>
      <c r="B478" s="8" t="s">
        <v>76</v>
      </c>
      <c r="C478" s="21" t="s">
        <v>1389</v>
      </c>
      <c r="D478" s="21" t="s">
        <v>829</v>
      </c>
      <c r="E478" s="53">
        <f t="array" ref="E478:F478">VLOOKUP(C478,'NEW PTMT'!$B$4:$E1832,{3,4},0)</f>
        <v>422.1984</v>
      </c>
      <c r="F478" s="30">
        <v>456.0</v>
      </c>
      <c r="G478" s="12">
        <v>30.0</v>
      </c>
      <c r="H478" s="18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17"/>
      <c r="Z478" s="6" t="str">
        <f t="shared" si="4"/>
        <v>Flora145</v>
      </c>
      <c r="AA478" s="18" t="str">
        <f t="shared" si="5"/>
        <v>Flora2 Way Angle Cock with Flange</v>
      </c>
      <c r="AB478" s="60">
        <f t="shared" si="6"/>
        <v>456</v>
      </c>
      <c r="AC478" s="34">
        <v>145.0</v>
      </c>
      <c r="AD478" s="57" t="s">
        <v>359</v>
      </c>
      <c r="AE478" s="18"/>
    </row>
    <row r="479">
      <c r="A479" s="5" t="s">
        <v>20</v>
      </c>
      <c r="B479" s="8" t="s">
        <v>76</v>
      </c>
      <c r="C479" s="21" t="s">
        <v>1391</v>
      </c>
      <c r="D479" s="21" t="s">
        <v>1392</v>
      </c>
      <c r="E479" s="53">
        <f t="array" ref="E479:F479">VLOOKUP(C479,'NEW PTMT'!$B$4:$E1832,{3,4},0)</f>
        <v>594.048</v>
      </c>
      <c r="F479" s="30">
        <v>642.0</v>
      </c>
      <c r="G479" s="12">
        <v>30.0</v>
      </c>
      <c r="H479" s="18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17"/>
      <c r="Z479" s="6" t="str">
        <f t="shared" si="4"/>
        <v>Flora147</v>
      </c>
      <c r="AA479" s="18" t="str">
        <f t="shared" si="5"/>
        <v>FloraPillar Cock Swan Neck (T/M) with Flange</v>
      </c>
      <c r="AB479" s="60">
        <f t="shared" si="6"/>
        <v>642</v>
      </c>
      <c r="AC479" s="34">
        <v>147.0</v>
      </c>
      <c r="AD479" s="57" t="s">
        <v>616</v>
      </c>
      <c r="AE479" s="18"/>
    </row>
    <row r="480">
      <c r="A480" s="5" t="s">
        <v>20</v>
      </c>
      <c r="B480" s="8" t="s">
        <v>76</v>
      </c>
      <c r="C480" s="21" t="s">
        <v>1394</v>
      </c>
      <c r="D480" s="21" t="s">
        <v>1395</v>
      </c>
      <c r="E480" s="53">
        <f t="array" ref="E480:F480">VLOOKUP(C480,'NEW PTMT'!$B$4:$E1832,{3,4},0)</f>
        <v>362</v>
      </c>
      <c r="F480" s="30">
        <v>392.0</v>
      </c>
      <c r="G480" s="12">
        <v>66.0</v>
      </c>
      <c r="H480" s="18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17"/>
      <c r="Z480" s="6" t="str">
        <f t="shared" si="4"/>
        <v>Flora149</v>
      </c>
      <c r="AA480" s="18" t="str">
        <f t="shared" si="5"/>
        <v>FloraWashing Machine Tap with Flange</v>
      </c>
      <c r="AB480" s="60">
        <f t="shared" si="6"/>
        <v>392</v>
      </c>
      <c r="AC480" s="61">
        <v>149.0</v>
      </c>
      <c r="AD480" s="62" t="s">
        <v>731</v>
      </c>
      <c r="AE480" s="18"/>
    </row>
    <row r="481">
      <c r="A481" s="5" t="s">
        <v>20</v>
      </c>
      <c r="B481" s="8" t="s">
        <v>77</v>
      </c>
      <c r="C481" s="21" t="s">
        <v>1401</v>
      </c>
      <c r="D481" s="21" t="s">
        <v>798</v>
      </c>
      <c r="E481" s="53">
        <f t="array" ref="E481:F481">VLOOKUP(C481,'NEW PTMT'!$B$4:$E1832,{3,4},0)</f>
        <v>226</v>
      </c>
      <c r="F481" s="30">
        <v>244.0</v>
      </c>
      <c r="G481" s="30">
        <v>66.0</v>
      </c>
      <c r="H481" s="18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17"/>
      <c r="Z481" s="6" t="str">
        <f t="shared" si="4"/>
        <v>Astra121</v>
      </c>
      <c r="AA481" s="18" t="str">
        <f t="shared" si="5"/>
        <v>AstraBib Cock with Flange</v>
      </c>
      <c r="AB481" s="60">
        <f t="shared" si="6"/>
        <v>244</v>
      </c>
      <c r="AC481" s="34">
        <v>121.0</v>
      </c>
      <c r="AD481" s="57" t="s">
        <v>636</v>
      </c>
      <c r="AE481" s="18"/>
    </row>
    <row r="482">
      <c r="A482" s="5" t="s">
        <v>20</v>
      </c>
      <c r="B482" s="8" t="s">
        <v>77</v>
      </c>
      <c r="C482" s="8" t="s">
        <v>1382</v>
      </c>
      <c r="D482" s="8" t="s">
        <v>748</v>
      </c>
      <c r="E482" s="53">
        <f t="array" ref="E482:F482">VLOOKUP(C482,'NEW PTMT'!$B$4:$E1832,{3,4},0)</f>
        <v>238</v>
      </c>
      <c r="F482" s="30">
        <v>258.0</v>
      </c>
      <c r="G482" s="30"/>
      <c r="H482" s="18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17"/>
      <c r="Z482" s="6" t="str">
        <f t="shared" si="4"/>
        <v>Astra121-F</v>
      </c>
      <c r="AA482" s="18" t="str">
        <f t="shared" si="5"/>
        <v>AstraBib Cock (Foam Flow) with Flange</v>
      </c>
      <c r="AB482" s="60">
        <f t="shared" si="6"/>
        <v>258</v>
      </c>
      <c r="AC482" s="61" t="s">
        <v>208</v>
      </c>
      <c r="AD482" s="57" t="s">
        <v>417</v>
      </c>
      <c r="AE482" s="18"/>
    </row>
    <row r="483">
      <c r="A483" s="5" t="s">
        <v>20</v>
      </c>
      <c r="B483" s="8" t="s">
        <v>77</v>
      </c>
      <c r="C483" s="21" t="s">
        <v>1405</v>
      </c>
      <c r="D483" s="21" t="s">
        <v>803</v>
      </c>
      <c r="E483" s="53">
        <f t="array" ref="E483:F483">VLOOKUP(C483,'NEW PTMT'!$B$4:$E1832,{3,4},0)</f>
        <v>296</v>
      </c>
      <c r="F483" s="30">
        <v>318.0</v>
      </c>
      <c r="G483" s="59">
        <v>54.0</v>
      </c>
      <c r="H483" s="18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17"/>
      <c r="Z483" s="6" t="str">
        <f t="shared" si="4"/>
        <v>Astra124</v>
      </c>
      <c r="AA483" s="18" t="str">
        <f t="shared" si="5"/>
        <v>AstraBib Cock Long Body with Flange</v>
      </c>
      <c r="AB483" s="60">
        <f t="shared" si="6"/>
        <v>318</v>
      </c>
      <c r="AC483" s="34">
        <v>124.0</v>
      </c>
      <c r="AD483" s="57" t="s">
        <v>358</v>
      </c>
      <c r="AE483" s="18"/>
    </row>
    <row r="484">
      <c r="A484" s="5" t="s">
        <v>20</v>
      </c>
      <c r="B484" s="8" t="s">
        <v>77</v>
      </c>
      <c r="C484" s="21" t="s">
        <v>1407</v>
      </c>
      <c r="D484" s="21" t="s">
        <v>363</v>
      </c>
      <c r="E484" s="53">
        <f t="array" ref="E484:F484">VLOOKUP(C484,'NEW PTMT'!$B$4:$E1832,{3,4},0)</f>
        <v>271.5648</v>
      </c>
      <c r="F484" s="30">
        <v>294.0</v>
      </c>
      <c r="G484" s="12">
        <v>66.0</v>
      </c>
      <c r="H484" s="18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17"/>
      <c r="Z484" s="6" t="str">
        <f t="shared" si="4"/>
        <v>Astra127</v>
      </c>
      <c r="AA484" s="18" t="str">
        <f t="shared" si="5"/>
        <v>AstraBib Cock Nozzle with Flange</v>
      </c>
      <c r="AB484" s="60">
        <f t="shared" si="6"/>
        <v>294</v>
      </c>
      <c r="AC484" s="34">
        <v>127.0</v>
      </c>
      <c r="AD484" s="62" t="s">
        <v>363</v>
      </c>
      <c r="AE484" s="18"/>
    </row>
    <row r="485">
      <c r="A485" s="5" t="s">
        <v>20</v>
      </c>
      <c r="B485" s="8" t="s">
        <v>77</v>
      </c>
      <c r="C485" s="21" t="s">
        <v>1409</v>
      </c>
      <c r="D485" s="21" t="s">
        <v>378</v>
      </c>
      <c r="E485" s="53">
        <f t="array" ref="E485:F485">VLOOKUP(C485,'NEW PTMT'!$B$4:$E1832,{3,4},0)</f>
        <v>456</v>
      </c>
      <c r="F485" s="30">
        <v>492.0</v>
      </c>
      <c r="G485" s="30">
        <v>24.0</v>
      </c>
      <c r="H485" s="18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17"/>
      <c r="Z485" s="6" t="str">
        <f t="shared" si="4"/>
        <v>Astra129</v>
      </c>
      <c r="AA485" s="18" t="str">
        <f t="shared" si="5"/>
        <v>Astra2 Way Bib Cock with Flange</v>
      </c>
      <c r="AB485" s="60">
        <f t="shared" si="6"/>
        <v>492</v>
      </c>
      <c r="AC485" s="34">
        <v>129.0</v>
      </c>
      <c r="AD485" s="62" t="s">
        <v>378</v>
      </c>
      <c r="AE485" s="18"/>
    </row>
    <row r="486">
      <c r="A486" s="5" t="s">
        <v>20</v>
      </c>
      <c r="B486" s="8" t="s">
        <v>77</v>
      </c>
      <c r="C486" s="21" t="s">
        <v>1410</v>
      </c>
      <c r="D486" s="21" t="s">
        <v>416</v>
      </c>
      <c r="E486" s="53">
        <f t="array" ref="E486:F486">VLOOKUP(C486,'NEW PTMT'!$B$4:$E1832,{3,4},0)</f>
        <v>313.9968</v>
      </c>
      <c r="F486" s="30">
        <v>338.0</v>
      </c>
      <c r="G486" s="12">
        <v>30.0</v>
      </c>
      <c r="H486" s="18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17"/>
      <c r="Z486" s="6" t="str">
        <f t="shared" si="4"/>
        <v>Astra130</v>
      </c>
      <c r="AA486" s="18" t="str">
        <f t="shared" si="5"/>
        <v>AstraPillar Cock with Flange</v>
      </c>
      <c r="AB486" s="60">
        <f t="shared" si="6"/>
        <v>338</v>
      </c>
      <c r="AC486" s="34">
        <v>130.0</v>
      </c>
      <c r="AD486" s="62" t="s">
        <v>416</v>
      </c>
      <c r="AE486" s="18"/>
    </row>
    <row r="487">
      <c r="A487" s="5" t="s">
        <v>20</v>
      </c>
      <c r="B487" s="8" t="s">
        <v>77</v>
      </c>
      <c r="C487" s="21" t="s">
        <v>1412</v>
      </c>
      <c r="D487" s="21" t="s">
        <v>419</v>
      </c>
      <c r="E487" s="53">
        <f t="array" ref="E487:F487">VLOOKUP(C487,'NEW PTMT'!$B$4:$E1832,{3,4},0)</f>
        <v>625.872</v>
      </c>
      <c r="F487" s="30">
        <v>676.0</v>
      </c>
      <c r="G487" s="59">
        <v>13.0</v>
      </c>
      <c r="H487" s="18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17"/>
      <c r="Z487" s="6" t="str">
        <f t="shared" si="4"/>
        <v>Astra132</v>
      </c>
      <c r="AA487" s="18" t="str">
        <f t="shared" si="5"/>
        <v>AstraSink Cock (W/M) with Flange</v>
      </c>
      <c r="AB487" s="60">
        <f t="shared" si="6"/>
        <v>676</v>
      </c>
      <c r="AC487" s="34">
        <v>132.0</v>
      </c>
      <c r="AD487" s="57" t="s">
        <v>436</v>
      </c>
      <c r="AE487" s="18"/>
    </row>
    <row r="488">
      <c r="A488" s="5" t="s">
        <v>20</v>
      </c>
      <c r="B488" s="8" t="s">
        <v>77</v>
      </c>
      <c r="C488" s="21" t="s">
        <v>1413</v>
      </c>
      <c r="D488" s="21" t="s">
        <v>1335</v>
      </c>
      <c r="E488" s="53">
        <f t="array" ref="E488:F488">VLOOKUP(C488,'NEW PTMT'!$B$4:$E1832,{3,4},0)</f>
        <v>574</v>
      </c>
      <c r="F488" s="30">
        <v>622.0</v>
      </c>
      <c r="G488" s="59">
        <v>30.0</v>
      </c>
      <c r="H488" s="18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17"/>
      <c r="Z488" s="6" t="str">
        <f t="shared" si="4"/>
        <v>Astra1322</v>
      </c>
      <c r="AA488" s="18" t="str">
        <f t="shared" si="5"/>
        <v>AstraSink Cock Small Spout (W/M) with Flange</v>
      </c>
      <c r="AB488" s="60">
        <f t="shared" si="6"/>
        <v>622</v>
      </c>
      <c r="AC488" s="254" t="s">
        <v>456</v>
      </c>
      <c r="AD488" s="57" t="s">
        <v>457</v>
      </c>
      <c r="AE488" s="18"/>
    </row>
    <row r="489">
      <c r="A489" s="5" t="s">
        <v>20</v>
      </c>
      <c r="B489" s="8" t="s">
        <v>77</v>
      </c>
      <c r="C489" s="21" t="s">
        <v>1414</v>
      </c>
      <c r="D489" s="21" t="s">
        <v>1376</v>
      </c>
      <c r="E489" s="53">
        <f t="array" ref="E489:F489">VLOOKUP(C489,'NEW PTMT'!$B$4:$E1832,{3,4},0)</f>
        <v>646</v>
      </c>
      <c r="F489" s="30">
        <v>698.0</v>
      </c>
      <c r="G489" s="59">
        <v>13.0</v>
      </c>
      <c r="H489" s="18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17"/>
      <c r="Z489" s="6" t="str">
        <f t="shared" si="4"/>
        <v>Astra133</v>
      </c>
      <c r="AA489" s="18" t="str">
        <f t="shared" si="5"/>
        <v>AstraSink Cock Long Spout (T/M) with Flange</v>
      </c>
      <c r="AB489" s="60">
        <f t="shared" si="6"/>
        <v>698</v>
      </c>
      <c r="AC489" s="34">
        <v>133.0</v>
      </c>
      <c r="AD489" s="57" t="s">
        <v>480</v>
      </c>
      <c r="AE489" s="18"/>
    </row>
    <row r="490">
      <c r="A490" s="5" t="s">
        <v>20</v>
      </c>
      <c r="B490" s="8" t="s">
        <v>77</v>
      </c>
      <c r="C490" s="21" t="s">
        <v>1415</v>
      </c>
      <c r="D490" s="21" t="s">
        <v>482</v>
      </c>
      <c r="E490" s="53">
        <f t="array" ref="E490:F490">VLOOKUP(C490,'NEW PTMT'!$B$4:$E1832,{3,4},0)</f>
        <v>1262.352</v>
      </c>
      <c r="F490" s="30">
        <v>1364.0</v>
      </c>
      <c r="G490" s="12">
        <v>13.0</v>
      </c>
      <c r="H490" s="18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17"/>
      <c r="Z490" s="6" t="str">
        <f t="shared" si="4"/>
        <v>Astra134</v>
      </c>
      <c r="AA490" s="18" t="str">
        <f t="shared" si="5"/>
        <v>AstraSink Mixer with Flange</v>
      </c>
      <c r="AB490" s="60">
        <f t="shared" si="6"/>
        <v>1364</v>
      </c>
      <c r="AC490" s="61">
        <v>134.0</v>
      </c>
      <c r="AD490" s="57" t="s">
        <v>499</v>
      </c>
      <c r="AE490" s="18"/>
    </row>
    <row r="491">
      <c r="A491" s="5" t="s">
        <v>20</v>
      </c>
      <c r="B491" s="8" t="s">
        <v>77</v>
      </c>
      <c r="C491" s="21" t="s">
        <v>1416</v>
      </c>
      <c r="D491" s="21" t="s">
        <v>502</v>
      </c>
      <c r="E491" s="53">
        <f t="array" ref="E491:F491">VLOOKUP(C491,'NEW PTMT'!$B$4:$E1832,{3,4},0)</f>
        <v>1208</v>
      </c>
      <c r="F491" s="30">
        <v>1306.0</v>
      </c>
      <c r="G491" s="12">
        <v>13.0</v>
      </c>
      <c r="H491" s="18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17"/>
      <c r="Z491" s="6" t="str">
        <f t="shared" si="4"/>
        <v>Astra135</v>
      </c>
      <c r="AA491" s="18" t="str">
        <f t="shared" si="5"/>
        <v>AstraWall Mixer with Flange</v>
      </c>
      <c r="AB491" s="60">
        <f t="shared" si="6"/>
        <v>1306</v>
      </c>
      <c r="AC491" s="61">
        <v>135.0</v>
      </c>
      <c r="AD491" s="57" t="s">
        <v>519</v>
      </c>
      <c r="AE491" s="18"/>
    </row>
    <row r="492">
      <c r="A492" s="5" t="s">
        <v>20</v>
      </c>
      <c r="B492" s="8" t="s">
        <v>77</v>
      </c>
      <c r="C492" s="8" t="s">
        <v>1383</v>
      </c>
      <c r="D492" s="8" t="s">
        <v>523</v>
      </c>
      <c r="E492" s="53">
        <f t="array" ref="E492:F492">VLOOKUP(C492,'NEW PTMT'!$B$4:$E1832,{3,4},0)</f>
        <v>1888</v>
      </c>
      <c r="F492" s="30">
        <v>2038.0</v>
      </c>
      <c r="G492" s="12"/>
      <c r="H492" s="18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17"/>
      <c r="Z492" s="6" t="str">
        <f t="shared" si="4"/>
        <v>Astra1374</v>
      </c>
      <c r="AA492" s="18" t="str">
        <f t="shared" si="5"/>
        <v>Astra2 in 1 Telephonic Wall Mixer</v>
      </c>
      <c r="AB492" s="60">
        <f t="shared" si="6"/>
        <v>2038</v>
      </c>
      <c r="AC492" s="61">
        <v>1374.0</v>
      </c>
      <c r="AD492" s="57" t="s">
        <v>540</v>
      </c>
      <c r="AE492" s="18"/>
    </row>
    <row r="493">
      <c r="A493" s="5" t="s">
        <v>20</v>
      </c>
      <c r="B493" s="8" t="s">
        <v>77</v>
      </c>
      <c r="C493" s="21" t="s">
        <v>1418</v>
      </c>
      <c r="D493" s="21" t="s">
        <v>1419</v>
      </c>
      <c r="E493" s="53">
        <f t="array" ref="E493:F493">VLOOKUP(C493,'NEW PTMT'!$B$4:$E1832,{3,4},0)</f>
        <v>1582</v>
      </c>
      <c r="F493" s="30">
        <v>1708.0</v>
      </c>
      <c r="G493" s="30">
        <v>6.0</v>
      </c>
      <c r="H493" s="18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17"/>
      <c r="Z493" s="6" t="str">
        <f t="shared" si="4"/>
        <v>Astra1375</v>
      </c>
      <c r="AA493" s="18" t="str">
        <f t="shared" si="5"/>
        <v>AstraWall Mixer L Bend with Flange</v>
      </c>
      <c r="AB493" s="60">
        <f t="shared" si="6"/>
        <v>1708</v>
      </c>
      <c r="AC493" s="64" t="s">
        <v>560</v>
      </c>
      <c r="AD493" s="57" t="s">
        <v>561</v>
      </c>
      <c r="AE493" s="18"/>
    </row>
    <row r="494">
      <c r="A494" s="5" t="s">
        <v>20</v>
      </c>
      <c r="B494" s="8" t="s">
        <v>77</v>
      </c>
      <c r="C494" s="21" t="s">
        <v>1420</v>
      </c>
      <c r="D494" s="21" t="s">
        <v>395</v>
      </c>
      <c r="E494" s="53">
        <f t="array" ref="E494:F494">VLOOKUP(C494,'NEW PTMT'!$B$4:$E1832,{3,4},0)</f>
        <v>236</v>
      </c>
      <c r="F494" s="30">
        <v>256.0</v>
      </c>
      <c r="G494" s="59">
        <v>90.0</v>
      </c>
      <c r="H494" s="18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17"/>
      <c r="Z494" s="6" t="str">
        <f t="shared" si="4"/>
        <v>Astra144</v>
      </c>
      <c r="AA494" s="18" t="str">
        <f t="shared" si="5"/>
        <v>AstraAngle Cock with Flange</v>
      </c>
      <c r="AB494" s="60">
        <f t="shared" si="6"/>
        <v>256</v>
      </c>
      <c r="AC494" s="34">
        <v>144.0</v>
      </c>
      <c r="AD494" s="62" t="s">
        <v>395</v>
      </c>
      <c r="AE494" s="18"/>
    </row>
    <row r="495">
      <c r="A495" s="5" t="s">
        <v>20</v>
      </c>
      <c r="B495" s="8" t="s">
        <v>77</v>
      </c>
      <c r="C495" s="21" t="s">
        <v>1422</v>
      </c>
      <c r="D495" s="21" t="s">
        <v>829</v>
      </c>
      <c r="E495" s="53">
        <f t="array" ref="E495:F495">VLOOKUP(C495,'NEW PTMT'!$B$4:$E1832,{3,4},0)</f>
        <v>422.1984</v>
      </c>
      <c r="F495" s="30">
        <v>456.0</v>
      </c>
      <c r="G495" s="59">
        <v>35.0</v>
      </c>
      <c r="H495" s="18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17"/>
      <c r="Z495" s="6" t="str">
        <f t="shared" si="4"/>
        <v>Astra145</v>
      </c>
      <c r="AA495" s="18" t="str">
        <f t="shared" si="5"/>
        <v>Astra2 Way Angle Cock with Flange</v>
      </c>
      <c r="AB495" s="60">
        <f t="shared" si="6"/>
        <v>456</v>
      </c>
      <c r="AC495" s="34">
        <v>145.0</v>
      </c>
      <c r="AD495" s="57" t="s">
        <v>359</v>
      </c>
      <c r="AE495" s="18"/>
    </row>
    <row r="496">
      <c r="A496" s="5" t="s">
        <v>20</v>
      </c>
      <c r="B496" s="8" t="s">
        <v>77</v>
      </c>
      <c r="C496" s="21" t="s">
        <v>1424</v>
      </c>
      <c r="D496" s="21" t="s">
        <v>1392</v>
      </c>
      <c r="E496" s="53">
        <f t="array" ref="E496:F496">VLOOKUP(C496,'NEW PTMT'!$B$4:$E1832,{3,4},0)</f>
        <v>594.048</v>
      </c>
      <c r="F496" s="30">
        <v>642.0</v>
      </c>
      <c r="G496" s="59">
        <v>30.0</v>
      </c>
      <c r="H496" s="18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17"/>
      <c r="Z496" s="6" t="str">
        <f t="shared" si="4"/>
        <v>Astra147</v>
      </c>
      <c r="AA496" s="18" t="str">
        <f t="shared" si="5"/>
        <v>AstraPillar Cock Swan Neck (T/M) with Flange</v>
      </c>
      <c r="AB496" s="60">
        <f t="shared" si="6"/>
        <v>642</v>
      </c>
      <c r="AC496" s="34">
        <v>147.0</v>
      </c>
      <c r="AD496" s="57" t="s">
        <v>616</v>
      </c>
      <c r="AE496" s="18"/>
    </row>
    <row r="497">
      <c r="A497" s="5" t="s">
        <v>20</v>
      </c>
      <c r="B497" s="8" t="s">
        <v>77</v>
      </c>
      <c r="C497" s="21" t="s">
        <v>1425</v>
      </c>
      <c r="D497" s="21" t="s">
        <v>1395</v>
      </c>
      <c r="E497" s="53">
        <f t="array" ref="E497:F497">VLOOKUP(C497,'NEW PTMT'!$B$4:$E1832,{3,4},0)</f>
        <v>362</v>
      </c>
      <c r="F497" s="30">
        <v>392.0</v>
      </c>
      <c r="G497" s="59">
        <v>66.0</v>
      </c>
      <c r="H497" s="18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17"/>
      <c r="Z497" s="6" t="str">
        <f t="shared" si="4"/>
        <v>Astra149</v>
      </c>
      <c r="AA497" s="18" t="str">
        <f t="shared" si="5"/>
        <v>AstraWashing Machine Tap with Flange</v>
      </c>
      <c r="AB497" s="60">
        <f t="shared" si="6"/>
        <v>392</v>
      </c>
      <c r="AC497" s="61">
        <v>149.0</v>
      </c>
      <c r="AD497" s="62" t="s">
        <v>731</v>
      </c>
      <c r="AE497" s="18"/>
    </row>
    <row r="498">
      <c r="A498" s="5" t="s">
        <v>20</v>
      </c>
      <c r="B498" s="8" t="s">
        <v>81</v>
      </c>
      <c r="C498" s="21" t="s">
        <v>1427</v>
      </c>
      <c r="D498" s="21" t="s">
        <v>798</v>
      </c>
      <c r="E498" s="53">
        <f t="array" ref="E498:F498">VLOOKUP(C498,'NEW PTMT'!$B$4:$E1832,{3,4},0)</f>
        <v>226</v>
      </c>
      <c r="F498" s="30">
        <v>244.0</v>
      </c>
      <c r="G498" s="30">
        <v>66.0</v>
      </c>
      <c r="H498" s="18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17"/>
      <c r="Z498" s="6" t="str">
        <f t="shared" si="4"/>
        <v>Apex121</v>
      </c>
      <c r="AA498" s="18" t="str">
        <f t="shared" si="5"/>
        <v>ApexBib Cock with Flange</v>
      </c>
      <c r="AB498" s="60">
        <f t="shared" si="6"/>
        <v>244</v>
      </c>
      <c r="AC498" s="34">
        <v>121.0</v>
      </c>
      <c r="AD498" s="57" t="s">
        <v>636</v>
      </c>
      <c r="AE498" s="18"/>
    </row>
    <row r="499">
      <c r="A499" s="5" t="s">
        <v>20</v>
      </c>
      <c r="B499" s="8" t="s">
        <v>81</v>
      </c>
      <c r="C499" s="8" t="s">
        <v>1388</v>
      </c>
      <c r="D499" s="8" t="s">
        <v>748</v>
      </c>
      <c r="E499" s="53">
        <f t="array" ref="E499:F499">VLOOKUP(C499,'NEW PTMT'!$B$4:$E1832,{3,4},0)</f>
        <v>238</v>
      </c>
      <c r="F499" s="30">
        <v>258.0</v>
      </c>
      <c r="G499" s="30"/>
      <c r="H499" s="18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17"/>
      <c r="Z499" s="6" t="str">
        <f t="shared" si="4"/>
        <v>Apex121-F</v>
      </c>
      <c r="AA499" s="18" t="str">
        <f t="shared" si="5"/>
        <v>ApexBib Cock (Foam Flow) with Flange</v>
      </c>
      <c r="AB499" s="60">
        <f t="shared" si="6"/>
        <v>258</v>
      </c>
      <c r="AC499" s="61" t="s">
        <v>208</v>
      </c>
      <c r="AD499" s="57" t="s">
        <v>417</v>
      </c>
      <c r="AE499" s="18"/>
    </row>
    <row r="500">
      <c r="A500" s="5" t="s">
        <v>20</v>
      </c>
      <c r="B500" s="8" t="s">
        <v>81</v>
      </c>
      <c r="C500" s="21" t="s">
        <v>1432</v>
      </c>
      <c r="D500" s="21" t="s">
        <v>803</v>
      </c>
      <c r="E500" s="53">
        <f t="array" ref="E500:F500">VLOOKUP(C500,'NEW PTMT'!$B$4:$E1832,{3,4},0)</f>
        <v>296</v>
      </c>
      <c r="F500" s="30">
        <v>318.0</v>
      </c>
      <c r="G500" s="59">
        <v>46.0</v>
      </c>
      <c r="H500" s="18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17"/>
      <c r="Z500" s="6" t="str">
        <f t="shared" si="4"/>
        <v>Apex124</v>
      </c>
      <c r="AA500" s="18" t="str">
        <f t="shared" si="5"/>
        <v>ApexBib Cock Long Body with Flange</v>
      </c>
      <c r="AB500" s="60">
        <f t="shared" si="6"/>
        <v>318</v>
      </c>
      <c r="AC500" s="34">
        <v>124.0</v>
      </c>
      <c r="AD500" s="57" t="s">
        <v>358</v>
      </c>
      <c r="AE500" s="18"/>
    </row>
    <row r="501">
      <c r="A501" s="5" t="s">
        <v>20</v>
      </c>
      <c r="B501" s="8" t="s">
        <v>81</v>
      </c>
      <c r="C501" s="21" t="s">
        <v>1433</v>
      </c>
      <c r="D501" s="21" t="s">
        <v>363</v>
      </c>
      <c r="E501" s="53">
        <f t="array" ref="E501:F501">VLOOKUP(C501,'NEW PTMT'!$B$4:$E1832,{3,4},0)</f>
        <v>271.5648</v>
      </c>
      <c r="F501" s="30">
        <v>294.0</v>
      </c>
      <c r="G501" s="12">
        <v>66.0</v>
      </c>
      <c r="H501" s="18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17"/>
      <c r="Z501" s="6" t="str">
        <f t="shared" si="4"/>
        <v>Apex127</v>
      </c>
      <c r="AA501" s="18" t="str">
        <f t="shared" si="5"/>
        <v>ApexBib Cock Nozzle with Flange</v>
      </c>
      <c r="AB501" s="60">
        <f t="shared" si="6"/>
        <v>294</v>
      </c>
      <c r="AC501" s="34">
        <v>127.0</v>
      </c>
      <c r="AD501" s="62" t="s">
        <v>363</v>
      </c>
      <c r="AE501" s="18"/>
    </row>
    <row r="502">
      <c r="A502" s="5" t="s">
        <v>20</v>
      </c>
      <c r="B502" s="8" t="s">
        <v>81</v>
      </c>
      <c r="C502" s="21" t="s">
        <v>1434</v>
      </c>
      <c r="D502" s="21" t="s">
        <v>378</v>
      </c>
      <c r="E502" s="53">
        <f t="array" ref="E502:F502">VLOOKUP(C502,'NEW PTMT'!$B$4:$E1832,{3,4},0)</f>
        <v>456</v>
      </c>
      <c r="F502" s="30">
        <v>492.0</v>
      </c>
      <c r="G502" s="30">
        <v>24.0</v>
      </c>
      <c r="H502" s="18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17"/>
      <c r="Z502" s="6" t="str">
        <f t="shared" si="4"/>
        <v>Apex129</v>
      </c>
      <c r="AA502" s="18" t="str">
        <f t="shared" si="5"/>
        <v>Apex2 Way Bib Cock with Flange</v>
      </c>
      <c r="AB502" s="60">
        <f t="shared" si="6"/>
        <v>492</v>
      </c>
      <c r="AC502" s="34">
        <v>129.0</v>
      </c>
      <c r="AD502" s="62" t="s">
        <v>378</v>
      </c>
      <c r="AE502" s="18"/>
    </row>
    <row r="503">
      <c r="A503" s="5" t="s">
        <v>20</v>
      </c>
      <c r="B503" s="8" t="s">
        <v>81</v>
      </c>
      <c r="C503" s="21" t="s">
        <v>1435</v>
      </c>
      <c r="D503" s="21" t="s">
        <v>416</v>
      </c>
      <c r="E503" s="53">
        <f t="array" ref="E503:F503">VLOOKUP(C503,'NEW PTMT'!$B$4:$E1832,{3,4},0)</f>
        <v>313.9968</v>
      </c>
      <c r="F503" s="30">
        <v>338.0</v>
      </c>
      <c r="G503" s="12">
        <v>30.0</v>
      </c>
      <c r="H503" s="18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17"/>
      <c r="Z503" s="6" t="str">
        <f t="shared" si="4"/>
        <v>Apex130</v>
      </c>
      <c r="AA503" s="18" t="str">
        <f t="shared" si="5"/>
        <v>ApexPillar Cock with Flange</v>
      </c>
      <c r="AB503" s="60">
        <f t="shared" si="6"/>
        <v>338</v>
      </c>
      <c r="AC503" s="34">
        <v>130.0</v>
      </c>
      <c r="AD503" s="62" t="s">
        <v>416</v>
      </c>
      <c r="AE503" s="18"/>
    </row>
    <row r="504">
      <c r="A504" s="5" t="s">
        <v>20</v>
      </c>
      <c r="B504" s="8" t="s">
        <v>81</v>
      </c>
      <c r="C504" s="21" t="s">
        <v>1436</v>
      </c>
      <c r="D504" s="21" t="s">
        <v>419</v>
      </c>
      <c r="E504" s="53">
        <f t="array" ref="E504:F504">VLOOKUP(C504,'NEW PTMT'!$B$4:$E1832,{3,4},0)</f>
        <v>625.872</v>
      </c>
      <c r="F504" s="30">
        <v>676.0</v>
      </c>
      <c r="G504" s="59">
        <v>13.0</v>
      </c>
      <c r="H504" s="18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17"/>
      <c r="Z504" s="6" t="str">
        <f t="shared" si="4"/>
        <v>Apex132</v>
      </c>
      <c r="AA504" s="18" t="str">
        <f t="shared" si="5"/>
        <v>ApexSink Cock (W/M) with Flange</v>
      </c>
      <c r="AB504" s="60">
        <f t="shared" si="6"/>
        <v>676</v>
      </c>
      <c r="AC504" s="34">
        <v>132.0</v>
      </c>
      <c r="AD504" s="57" t="s">
        <v>436</v>
      </c>
      <c r="AE504" s="18"/>
    </row>
    <row r="505">
      <c r="A505" s="5" t="s">
        <v>20</v>
      </c>
      <c r="B505" s="8" t="s">
        <v>81</v>
      </c>
      <c r="C505" s="21" t="s">
        <v>1437</v>
      </c>
      <c r="D505" s="21" t="s">
        <v>1335</v>
      </c>
      <c r="E505" s="53">
        <f t="array" ref="E505:F505">VLOOKUP(C505,'NEW PTMT'!$B$4:$E1832,{3,4},0)</f>
        <v>574</v>
      </c>
      <c r="F505" s="30">
        <v>622.0</v>
      </c>
      <c r="G505" s="59">
        <v>30.0</v>
      </c>
      <c r="H505" s="18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17"/>
      <c r="Z505" s="6" t="str">
        <f t="shared" si="4"/>
        <v>Apex1322</v>
      </c>
      <c r="AA505" s="18" t="str">
        <f t="shared" si="5"/>
        <v>ApexSink Cock Small Spout (W/M) with Flange</v>
      </c>
      <c r="AB505" s="60">
        <f t="shared" si="6"/>
        <v>622</v>
      </c>
      <c r="AC505" s="254" t="s">
        <v>456</v>
      </c>
      <c r="AD505" s="57" t="s">
        <v>457</v>
      </c>
      <c r="AE505" s="18"/>
    </row>
    <row r="506">
      <c r="A506" s="5" t="s">
        <v>20</v>
      </c>
      <c r="B506" s="8" t="s">
        <v>81</v>
      </c>
      <c r="C506" s="21" t="s">
        <v>1439</v>
      </c>
      <c r="D506" s="21" t="s">
        <v>1376</v>
      </c>
      <c r="E506" s="53">
        <f t="array" ref="E506:F506">VLOOKUP(C506,'NEW PTMT'!$B$4:$E1832,{3,4},0)</f>
        <v>646</v>
      </c>
      <c r="F506" s="30">
        <v>698.0</v>
      </c>
      <c r="G506" s="59">
        <v>13.0</v>
      </c>
      <c r="H506" s="18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17"/>
      <c r="Z506" s="6" t="str">
        <f t="shared" si="4"/>
        <v>Apex133</v>
      </c>
      <c r="AA506" s="18" t="str">
        <f t="shared" si="5"/>
        <v>ApexSink Cock Long Spout (T/M) with Flange</v>
      </c>
      <c r="AB506" s="60">
        <f t="shared" si="6"/>
        <v>698</v>
      </c>
      <c r="AC506" s="34">
        <v>133.0</v>
      </c>
      <c r="AD506" s="57" t="s">
        <v>480</v>
      </c>
      <c r="AE506" s="18"/>
    </row>
    <row r="507">
      <c r="A507" s="5" t="s">
        <v>20</v>
      </c>
      <c r="B507" s="8" t="s">
        <v>81</v>
      </c>
      <c r="C507" s="21" t="s">
        <v>1441</v>
      </c>
      <c r="D507" s="21" t="s">
        <v>482</v>
      </c>
      <c r="E507" s="53">
        <f t="array" ref="E507:F507">VLOOKUP(C507,'NEW PTMT'!$B$4:$E1832,{3,4},0)</f>
        <v>1262.352</v>
      </c>
      <c r="F507" s="30">
        <v>1364.0</v>
      </c>
      <c r="G507" s="12">
        <v>13.0</v>
      </c>
      <c r="H507" s="18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17"/>
      <c r="Z507" s="6" t="str">
        <f t="shared" si="4"/>
        <v>Apex134</v>
      </c>
      <c r="AA507" s="18" t="str">
        <f t="shared" si="5"/>
        <v>ApexSink Mixer with Flange</v>
      </c>
      <c r="AB507" s="60">
        <f t="shared" si="6"/>
        <v>1364</v>
      </c>
      <c r="AC507" s="254">
        <v>134.0</v>
      </c>
      <c r="AD507" s="57" t="s">
        <v>499</v>
      </c>
      <c r="AE507" s="18"/>
    </row>
    <row r="508">
      <c r="A508" s="5" t="s">
        <v>20</v>
      </c>
      <c r="B508" s="8" t="s">
        <v>81</v>
      </c>
      <c r="C508" s="21" t="s">
        <v>1443</v>
      </c>
      <c r="D508" s="21" t="s">
        <v>502</v>
      </c>
      <c r="E508" s="53">
        <f t="array" ref="E508:F508">VLOOKUP(C508,'NEW PTMT'!$B$4:$E1832,{3,4},0)</f>
        <v>1208</v>
      </c>
      <c r="F508" s="30">
        <v>1306.0</v>
      </c>
      <c r="G508" s="12">
        <v>13.0</v>
      </c>
      <c r="H508" s="18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17"/>
      <c r="Z508" s="6" t="str">
        <f t="shared" si="4"/>
        <v>Apex135</v>
      </c>
      <c r="AA508" s="18" t="str">
        <f t="shared" si="5"/>
        <v>ApexWall Mixer with Flange</v>
      </c>
      <c r="AB508" s="60">
        <f t="shared" si="6"/>
        <v>1306</v>
      </c>
      <c r="AC508" s="34">
        <v>135.0</v>
      </c>
      <c r="AD508" s="57" t="s">
        <v>519</v>
      </c>
      <c r="AE508" s="18"/>
    </row>
    <row r="509">
      <c r="A509" s="5" t="s">
        <v>20</v>
      </c>
      <c r="B509" s="8" t="s">
        <v>81</v>
      </c>
      <c r="C509" s="8" t="s">
        <v>1390</v>
      </c>
      <c r="D509" s="8" t="s">
        <v>523</v>
      </c>
      <c r="E509" s="53">
        <f t="array" ref="E509:F509">VLOOKUP(C509,'NEW PTMT'!$B$4:$E1832,{3,4},0)</f>
        <v>1888</v>
      </c>
      <c r="F509" s="30">
        <v>2038.0</v>
      </c>
      <c r="G509" s="12"/>
      <c r="H509" s="18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17"/>
      <c r="Z509" s="6" t="str">
        <f t="shared" si="4"/>
        <v>Apex1374</v>
      </c>
      <c r="AA509" s="18" t="str">
        <f t="shared" si="5"/>
        <v>Apex2 in 1 Telephonic Wall Mixer</v>
      </c>
      <c r="AB509" s="60">
        <f t="shared" si="6"/>
        <v>2038</v>
      </c>
      <c r="AC509" s="61">
        <v>1374.0</v>
      </c>
      <c r="AD509" s="57" t="s">
        <v>540</v>
      </c>
      <c r="AE509" s="18"/>
    </row>
    <row r="510">
      <c r="A510" s="5" t="s">
        <v>20</v>
      </c>
      <c r="B510" s="8" t="s">
        <v>81</v>
      </c>
      <c r="C510" s="21" t="s">
        <v>1447</v>
      </c>
      <c r="D510" s="21" t="s">
        <v>820</v>
      </c>
      <c r="E510" s="53">
        <f t="array" ref="E510:F510">VLOOKUP(C510,'NEW PTMT'!$B$4:$E1832,{3,4},0)</f>
        <v>1582</v>
      </c>
      <c r="F510" s="30">
        <v>1708.0</v>
      </c>
      <c r="G510" s="30">
        <v>6.0</v>
      </c>
      <c r="H510" s="18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17"/>
      <c r="Z510" s="6" t="str">
        <f t="shared" si="4"/>
        <v>Apex1375</v>
      </c>
      <c r="AA510" s="18" t="str">
        <f t="shared" si="5"/>
        <v>ApexWall Mixer L Bend with Flange</v>
      </c>
      <c r="AB510" s="60">
        <f t="shared" si="6"/>
        <v>1708</v>
      </c>
      <c r="AC510" s="64" t="s">
        <v>560</v>
      </c>
      <c r="AD510" s="57" t="s">
        <v>561</v>
      </c>
      <c r="AE510" s="18"/>
    </row>
    <row r="511">
      <c r="A511" s="5" t="s">
        <v>20</v>
      </c>
      <c r="B511" s="8" t="s">
        <v>81</v>
      </c>
      <c r="C511" s="21" t="s">
        <v>1449</v>
      </c>
      <c r="D511" s="21" t="s">
        <v>395</v>
      </c>
      <c r="E511" s="53">
        <f t="array" ref="E511:F511">VLOOKUP(C511,'NEW PTMT'!$B$4:$E1832,{3,4},0)</f>
        <v>236</v>
      </c>
      <c r="F511" s="30">
        <v>256.0</v>
      </c>
      <c r="G511" s="59">
        <v>90.0</v>
      </c>
      <c r="H511" s="18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17"/>
      <c r="Z511" s="6" t="str">
        <f t="shared" si="4"/>
        <v>Apex144</v>
      </c>
      <c r="AA511" s="18" t="str">
        <f t="shared" si="5"/>
        <v>ApexAngle Cock with Flange</v>
      </c>
      <c r="AB511" s="60">
        <f t="shared" si="6"/>
        <v>256</v>
      </c>
      <c r="AC511" s="34">
        <v>144.0</v>
      </c>
      <c r="AD511" s="62" t="s">
        <v>395</v>
      </c>
      <c r="AE511" s="18"/>
    </row>
    <row r="512">
      <c r="A512" s="5" t="s">
        <v>20</v>
      </c>
      <c r="B512" s="8" t="s">
        <v>81</v>
      </c>
      <c r="C512" s="21" t="s">
        <v>1451</v>
      </c>
      <c r="D512" s="21" t="s">
        <v>829</v>
      </c>
      <c r="E512" s="53">
        <f t="array" ref="E512:F512">VLOOKUP(C512,'NEW PTMT'!$B$4:$E1832,{3,4},0)</f>
        <v>422.1984</v>
      </c>
      <c r="F512" s="30">
        <v>456.0</v>
      </c>
      <c r="G512" s="59">
        <v>35.0</v>
      </c>
      <c r="H512" s="18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17"/>
      <c r="Z512" s="6" t="str">
        <f t="shared" si="4"/>
        <v>Apex145</v>
      </c>
      <c r="AA512" s="18" t="str">
        <f t="shared" si="5"/>
        <v>Apex2 Way Angle Cock with Flange</v>
      </c>
      <c r="AB512" s="60">
        <f t="shared" si="6"/>
        <v>456</v>
      </c>
      <c r="AC512" s="34">
        <v>145.0</v>
      </c>
      <c r="AD512" s="57" t="s">
        <v>359</v>
      </c>
      <c r="AE512" s="18"/>
    </row>
    <row r="513">
      <c r="A513" s="5" t="s">
        <v>20</v>
      </c>
      <c r="B513" s="8" t="s">
        <v>81</v>
      </c>
      <c r="C513" s="21" t="s">
        <v>1454</v>
      </c>
      <c r="D513" s="21" t="s">
        <v>1392</v>
      </c>
      <c r="E513" s="53">
        <f t="array" ref="E513:F513">VLOOKUP(C513,'NEW PTMT'!$B$4:$E1832,{3,4},0)</f>
        <v>594.048</v>
      </c>
      <c r="F513" s="30">
        <v>642.0</v>
      </c>
      <c r="G513" s="59">
        <v>30.0</v>
      </c>
      <c r="H513" s="18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17"/>
      <c r="Z513" s="6" t="str">
        <f t="shared" si="4"/>
        <v>Apex147</v>
      </c>
      <c r="AA513" s="18" t="str">
        <f t="shared" si="5"/>
        <v>ApexPillar Cock Swan Neck (T/M) with Flange</v>
      </c>
      <c r="AB513" s="60">
        <f t="shared" si="6"/>
        <v>642</v>
      </c>
      <c r="AC513" s="34">
        <v>147.0</v>
      </c>
      <c r="AD513" s="57" t="s">
        <v>616</v>
      </c>
      <c r="AE513" s="18"/>
    </row>
    <row r="514">
      <c r="A514" s="5" t="s">
        <v>20</v>
      </c>
      <c r="B514" s="8" t="s">
        <v>81</v>
      </c>
      <c r="C514" s="21" t="s">
        <v>1456</v>
      </c>
      <c r="D514" s="21" t="s">
        <v>1395</v>
      </c>
      <c r="E514" s="53">
        <f t="array" ref="E514:F514">VLOOKUP(C514,'NEW PTMT'!$B$4:$E1832,{3,4},0)</f>
        <v>362</v>
      </c>
      <c r="F514" s="30">
        <v>392.0</v>
      </c>
      <c r="G514" s="59">
        <v>66.0</v>
      </c>
      <c r="H514" s="18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17"/>
      <c r="Z514" s="6" t="str">
        <f t="shared" si="4"/>
        <v>Apex149</v>
      </c>
      <c r="AA514" s="18" t="str">
        <f t="shared" si="5"/>
        <v>ApexWashing Machine Tap with Flange</v>
      </c>
      <c r="AB514" s="60">
        <f t="shared" si="6"/>
        <v>392</v>
      </c>
      <c r="AC514" s="61">
        <v>149.0</v>
      </c>
      <c r="AD514" s="62" t="s">
        <v>731</v>
      </c>
      <c r="AE514" s="18"/>
    </row>
    <row r="515">
      <c r="A515" s="5" t="s">
        <v>20</v>
      </c>
      <c r="B515" s="8" t="s">
        <v>88</v>
      </c>
      <c r="C515" s="21" t="s">
        <v>1464</v>
      </c>
      <c r="D515" s="21" t="s">
        <v>798</v>
      </c>
      <c r="E515" s="53">
        <f t="array" ref="E515:F515">VLOOKUP(C515,'NEW PTMT'!$B$4:$E1832,{3,4},0)</f>
        <v>226</v>
      </c>
      <c r="F515" s="30">
        <v>244.0</v>
      </c>
      <c r="G515" s="30">
        <v>66.0</v>
      </c>
      <c r="H515" s="18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17"/>
      <c r="Z515" s="6" t="str">
        <f t="shared" si="4"/>
        <v>Ebon121</v>
      </c>
      <c r="AA515" s="18" t="str">
        <f t="shared" si="5"/>
        <v>EbonBib Cock with Flange</v>
      </c>
      <c r="AB515" s="60">
        <f t="shared" si="6"/>
        <v>244</v>
      </c>
      <c r="AC515" s="34">
        <v>121.0</v>
      </c>
      <c r="AD515" s="57" t="s">
        <v>636</v>
      </c>
      <c r="AE515" s="18"/>
    </row>
    <row r="516">
      <c r="A516" s="5" t="s">
        <v>20</v>
      </c>
      <c r="B516" s="8" t="s">
        <v>88</v>
      </c>
      <c r="C516" s="8" t="s">
        <v>1396</v>
      </c>
      <c r="D516" s="8" t="s">
        <v>748</v>
      </c>
      <c r="E516" s="53">
        <f t="array" ref="E516:F516">VLOOKUP(C516,'NEW PTMT'!$B$4:$E1832,{3,4},0)</f>
        <v>238</v>
      </c>
      <c r="F516" s="30">
        <v>258.0</v>
      </c>
      <c r="G516" s="30"/>
      <c r="H516" s="18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17"/>
      <c r="Z516" s="6" t="str">
        <f t="shared" si="4"/>
        <v>Ebon121-F</v>
      </c>
      <c r="AA516" s="18" t="str">
        <f t="shared" si="5"/>
        <v>EbonBib Cock (Foam Flow) with Flange</v>
      </c>
      <c r="AB516" s="60">
        <f t="shared" si="6"/>
        <v>258</v>
      </c>
      <c r="AC516" s="61" t="s">
        <v>208</v>
      </c>
      <c r="AD516" s="57" t="s">
        <v>417</v>
      </c>
      <c r="AE516" s="18"/>
    </row>
    <row r="517">
      <c r="A517" s="5" t="s">
        <v>20</v>
      </c>
      <c r="B517" s="8" t="s">
        <v>88</v>
      </c>
      <c r="C517" s="21" t="s">
        <v>1468</v>
      </c>
      <c r="D517" s="21" t="s">
        <v>803</v>
      </c>
      <c r="E517" s="53">
        <f t="array" ref="E517:F517">VLOOKUP(C517,'NEW PTMT'!$B$4:$E1832,{3,4},0)</f>
        <v>296</v>
      </c>
      <c r="F517" s="30">
        <v>318.0</v>
      </c>
      <c r="G517" s="59">
        <v>54.0</v>
      </c>
      <c r="H517" s="18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17"/>
      <c r="Z517" s="6" t="str">
        <f t="shared" si="4"/>
        <v>Ebon124</v>
      </c>
      <c r="AA517" s="18" t="str">
        <f t="shared" si="5"/>
        <v>EbonBib Cock Long Body with Flange</v>
      </c>
      <c r="AB517" s="60">
        <f t="shared" si="6"/>
        <v>318</v>
      </c>
      <c r="AC517" s="34">
        <v>124.0</v>
      </c>
      <c r="AD517" s="57" t="s">
        <v>358</v>
      </c>
      <c r="AE517" s="18"/>
    </row>
    <row r="518">
      <c r="A518" s="5" t="s">
        <v>20</v>
      </c>
      <c r="B518" s="8" t="s">
        <v>88</v>
      </c>
      <c r="C518" s="21" t="s">
        <v>1470</v>
      </c>
      <c r="D518" s="21" t="s">
        <v>363</v>
      </c>
      <c r="E518" s="53">
        <f t="array" ref="E518:F518">VLOOKUP(C518,'NEW PTMT'!$B$4:$E1832,{3,4},0)</f>
        <v>271.5648</v>
      </c>
      <c r="F518" s="30">
        <v>294.0</v>
      </c>
      <c r="G518" s="12">
        <v>66.0</v>
      </c>
      <c r="H518" s="18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17"/>
      <c r="Z518" s="6" t="str">
        <f t="shared" si="4"/>
        <v>Ebon127</v>
      </c>
      <c r="AA518" s="18" t="str">
        <f t="shared" si="5"/>
        <v>EbonBib Cock Nozzle with Flange</v>
      </c>
      <c r="AB518" s="60">
        <f t="shared" si="6"/>
        <v>294</v>
      </c>
      <c r="AC518" s="34">
        <v>127.0</v>
      </c>
      <c r="AD518" s="62" t="s">
        <v>363</v>
      </c>
      <c r="AE518" s="18"/>
    </row>
    <row r="519">
      <c r="A519" s="5" t="s">
        <v>20</v>
      </c>
      <c r="B519" s="8" t="s">
        <v>88</v>
      </c>
      <c r="C519" s="21" t="s">
        <v>1473</v>
      </c>
      <c r="D519" s="21" t="s">
        <v>378</v>
      </c>
      <c r="E519" s="53">
        <f t="array" ref="E519:F519">VLOOKUP(C519,'NEW PTMT'!$B$4:$E1832,{3,4},0)</f>
        <v>456</v>
      </c>
      <c r="F519" s="30">
        <v>492.0</v>
      </c>
      <c r="G519" s="30">
        <v>24.0</v>
      </c>
      <c r="H519" s="18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17"/>
      <c r="Z519" s="6" t="str">
        <f t="shared" si="4"/>
        <v>Ebon129</v>
      </c>
      <c r="AA519" s="18" t="str">
        <f t="shared" si="5"/>
        <v>Ebon2 Way Bib Cock with Flange</v>
      </c>
      <c r="AB519" s="60">
        <f t="shared" si="6"/>
        <v>492</v>
      </c>
      <c r="AC519" s="34">
        <v>129.0</v>
      </c>
      <c r="AD519" s="250" t="s">
        <v>378</v>
      </c>
      <c r="AE519" s="18"/>
    </row>
    <row r="520">
      <c r="A520" s="5" t="s">
        <v>20</v>
      </c>
      <c r="B520" s="8" t="s">
        <v>88</v>
      </c>
      <c r="C520" s="21" t="s">
        <v>1475</v>
      </c>
      <c r="D520" s="21" t="s">
        <v>416</v>
      </c>
      <c r="E520" s="53">
        <f t="array" ref="E520:F520">VLOOKUP(C520,'NEW PTMT'!$B$4:$E1832,{3,4},0)</f>
        <v>313.9968</v>
      </c>
      <c r="F520" s="30">
        <v>338.0</v>
      </c>
      <c r="G520" s="12">
        <v>30.0</v>
      </c>
      <c r="H520" s="18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17"/>
      <c r="Z520" s="6" t="str">
        <f t="shared" si="4"/>
        <v>Ebon130</v>
      </c>
      <c r="AA520" s="18" t="str">
        <f t="shared" si="5"/>
        <v>EbonPillar Cock with Flange</v>
      </c>
      <c r="AB520" s="60">
        <f t="shared" si="6"/>
        <v>338</v>
      </c>
      <c r="AC520" s="34">
        <v>130.0</v>
      </c>
      <c r="AD520" s="62" t="s">
        <v>416</v>
      </c>
      <c r="AE520" s="18"/>
    </row>
    <row r="521">
      <c r="A521" s="5" t="s">
        <v>20</v>
      </c>
      <c r="B521" s="8" t="s">
        <v>88</v>
      </c>
      <c r="C521" s="21" t="s">
        <v>1478</v>
      </c>
      <c r="D521" s="21" t="s">
        <v>419</v>
      </c>
      <c r="E521" s="53">
        <f t="array" ref="E521:F521">VLOOKUP(C521,'NEW PTMT'!$B$4:$E1832,{3,4},0)</f>
        <v>625.872</v>
      </c>
      <c r="F521" s="30">
        <v>676.0</v>
      </c>
      <c r="G521" s="59">
        <v>13.0</v>
      </c>
      <c r="H521" s="18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17"/>
      <c r="Z521" s="6" t="str">
        <f t="shared" si="4"/>
        <v>Ebon132</v>
      </c>
      <c r="AA521" s="18" t="str">
        <f t="shared" si="5"/>
        <v>EbonSink Cock (W/M) with Flange</v>
      </c>
      <c r="AB521" s="60">
        <f t="shared" si="6"/>
        <v>676</v>
      </c>
      <c r="AC521" s="34">
        <v>132.0</v>
      </c>
      <c r="AD521" s="57" t="s">
        <v>436</v>
      </c>
      <c r="AE521" s="18"/>
    </row>
    <row r="522">
      <c r="A522" s="5" t="s">
        <v>20</v>
      </c>
      <c r="B522" s="8" t="s">
        <v>88</v>
      </c>
      <c r="C522" s="21" t="s">
        <v>1480</v>
      </c>
      <c r="D522" s="21" t="s">
        <v>1335</v>
      </c>
      <c r="E522" s="53">
        <f t="array" ref="E522:F522">VLOOKUP(C522,'NEW PTMT'!$B$4:$E1832,{3,4},0)</f>
        <v>574</v>
      </c>
      <c r="F522" s="30">
        <v>622.0</v>
      </c>
      <c r="G522" s="59">
        <v>30.0</v>
      </c>
      <c r="H522" s="18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17"/>
      <c r="Z522" s="6" t="str">
        <f t="shared" si="4"/>
        <v>Ebon1322</v>
      </c>
      <c r="AA522" s="18" t="str">
        <f t="shared" si="5"/>
        <v>EbonSink Cock Small Spout (W/M) with Flange</v>
      </c>
      <c r="AB522" s="60">
        <f t="shared" si="6"/>
        <v>622</v>
      </c>
      <c r="AC522" s="254" t="s">
        <v>456</v>
      </c>
      <c r="AD522" s="57" t="s">
        <v>457</v>
      </c>
      <c r="AE522" s="18"/>
    </row>
    <row r="523">
      <c r="A523" s="5" t="s">
        <v>20</v>
      </c>
      <c r="B523" s="8" t="s">
        <v>88</v>
      </c>
      <c r="C523" s="21" t="s">
        <v>1482</v>
      </c>
      <c r="D523" s="21" t="s">
        <v>1376</v>
      </c>
      <c r="E523" s="53">
        <f t="array" ref="E523:F523">VLOOKUP(C523,'NEW PTMT'!$B$4:$E1832,{3,4},0)</f>
        <v>646</v>
      </c>
      <c r="F523" s="30">
        <v>698.0</v>
      </c>
      <c r="G523" s="59">
        <v>13.0</v>
      </c>
      <c r="H523" s="18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17"/>
      <c r="Z523" s="6" t="str">
        <f t="shared" si="4"/>
        <v>Ebon133</v>
      </c>
      <c r="AA523" s="18" t="str">
        <f t="shared" si="5"/>
        <v>EbonSink Cock Long Spout (T/M) with Flange</v>
      </c>
      <c r="AB523" s="60">
        <f t="shared" si="6"/>
        <v>698</v>
      </c>
      <c r="AC523" s="34">
        <v>133.0</v>
      </c>
      <c r="AD523" s="57" t="s">
        <v>480</v>
      </c>
      <c r="AE523" s="18"/>
    </row>
    <row r="524">
      <c r="A524" s="5" t="s">
        <v>20</v>
      </c>
      <c r="B524" s="8" t="s">
        <v>88</v>
      </c>
      <c r="C524" s="21" t="s">
        <v>1484</v>
      </c>
      <c r="D524" s="21" t="s">
        <v>482</v>
      </c>
      <c r="E524" s="53">
        <f t="array" ref="E524:F524">VLOOKUP(C524,'NEW PTMT'!$B$4:$E1832,{3,4},0)</f>
        <v>1262.352</v>
      </c>
      <c r="F524" s="30">
        <v>1364.0</v>
      </c>
      <c r="G524" s="12">
        <v>13.0</v>
      </c>
      <c r="H524" s="18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17"/>
      <c r="Z524" s="6" t="str">
        <f t="shared" si="4"/>
        <v>Ebon134</v>
      </c>
      <c r="AA524" s="18" t="str">
        <f t="shared" si="5"/>
        <v>EbonSink Mixer with Flange</v>
      </c>
      <c r="AB524" s="60">
        <f t="shared" si="6"/>
        <v>1364</v>
      </c>
      <c r="AC524" s="254">
        <v>134.0</v>
      </c>
      <c r="AD524" s="57" t="s">
        <v>499</v>
      </c>
      <c r="AE524" s="18"/>
    </row>
    <row r="525">
      <c r="A525" s="5" t="s">
        <v>20</v>
      </c>
      <c r="B525" s="8" t="s">
        <v>88</v>
      </c>
      <c r="C525" s="21" t="s">
        <v>1486</v>
      </c>
      <c r="D525" s="21" t="s">
        <v>502</v>
      </c>
      <c r="E525" s="53">
        <f t="array" ref="E525:F525">VLOOKUP(C525,'NEW PTMT'!$B$4:$E1832,{3,4},0)</f>
        <v>1208</v>
      </c>
      <c r="F525" s="30">
        <v>1306.0</v>
      </c>
      <c r="G525" s="12">
        <v>13.0</v>
      </c>
      <c r="H525" s="18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17"/>
      <c r="Z525" s="6" t="str">
        <f t="shared" si="4"/>
        <v>Ebon135</v>
      </c>
      <c r="AA525" s="18" t="str">
        <f t="shared" si="5"/>
        <v>EbonWall Mixer with Flange</v>
      </c>
      <c r="AB525" s="60">
        <f t="shared" si="6"/>
        <v>1306</v>
      </c>
      <c r="AC525" s="34">
        <v>135.0</v>
      </c>
      <c r="AD525" s="57" t="s">
        <v>519</v>
      </c>
      <c r="AE525" s="18"/>
    </row>
    <row r="526">
      <c r="A526" s="5" t="s">
        <v>20</v>
      </c>
      <c r="B526" s="8" t="s">
        <v>88</v>
      </c>
      <c r="C526" s="8" t="s">
        <v>1397</v>
      </c>
      <c r="D526" s="8" t="s">
        <v>523</v>
      </c>
      <c r="E526" s="53">
        <f t="array" ref="E526:F526">VLOOKUP(C526,'NEW PTMT'!$B$4:$E1832,{3,4},0)</f>
        <v>1888</v>
      </c>
      <c r="F526" s="30">
        <v>2038.0</v>
      </c>
      <c r="G526" s="12"/>
      <c r="H526" s="18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17"/>
      <c r="Z526" s="6" t="str">
        <f t="shared" si="4"/>
        <v>Ebon1374</v>
      </c>
      <c r="AA526" s="18" t="str">
        <f t="shared" si="5"/>
        <v>Ebon2 in 1 Telephonic Wall Mixer</v>
      </c>
      <c r="AB526" s="60">
        <f t="shared" si="6"/>
        <v>2038</v>
      </c>
      <c r="AC526" s="61">
        <v>1374.0</v>
      </c>
      <c r="AD526" s="57" t="s">
        <v>540</v>
      </c>
      <c r="AE526" s="18"/>
    </row>
    <row r="527">
      <c r="A527" s="5" t="s">
        <v>20</v>
      </c>
      <c r="B527" s="8" t="s">
        <v>88</v>
      </c>
      <c r="C527" s="21" t="s">
        <v>1489</v>
      </c>
      <c r="D527" s="21" t="s">
        <v>820</v>
      </c>
      <c r="E527" s="53">
        <f t="array" ref="E527:F527">VLOOKUP(C527,'NEW PTMT'!$B$4:$E1832,{3,4},0)</f>
        <v>1582</v>
      </c>
      <c r="F527" s="30">
        <v>1708.0</v>
      </c>
      <c r="G527" s="30">
        <v>6.0</v>
      </c>
      <c r="H527" s="18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17"/>
      <c r="Z527" s="6" t="str">
        <f t="shared" si="4"/>
        <v>Ebon1375</v>
      </c>
      <c r="AA527" s="18" t="str">
        <f t="shared" si="5"/>
        <v>EbonWall Mixer L Bend with Flange</v>
      </c>
      <c r="AB527" s="60">
        <f t="shared" si="6"/>
        <v>1708</v>
      </c>
      <c r="AC527" s="64" t="s">
        <v>560</v>
      </c>
      <c r="AD527" s="57" t="s">
        <v>561</v>
      </c>
      <c r="AE527" s="18"/>
    </row>
    <row r="528">
      <c r="A528" s="5" t="s">
        <v>20</v>
      </c>
      <c r="B528" s="8" t="s">
        <v>88</v>
      </c>
      <c r="C528" s="21" t="s">
        <v>1491</v>
      </c>
      <c r="D528" s="21" t="s">
        <v>395</v>
      </c>
      <c r="E528" s="53">
        <f t="array" ref="E528:F528">VLOOKUP(C528,'NEW PTMT'!$B$4:$E1832,{3,4},0)</f>
        <v>236</v>
      </c>
      <c r="F528" s="30">
        <v>256.0</v>
      </c>
      <c r="G528" s="59">
        <v>90.0</v>
      </c>
      <c r="H528" s="18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17"/>
      <c r="Z528" s="6" t="str">
        <f t="shared" si="4"/>
        <v>Ebon144</v>
      </c>
      <c r="AA528" s="18" t="str">
        <f t="shared" si="5"/>
        <v>EbonAngle Cock with Flange</v>
      </c>
      <c r="AB528" s="60">
        <f t="shared" si="6"/>
        <v>256</v>
      </c>
      <c r="AC528" s="34">
        <v>144.0</v>
      </c>
      <c r="AD528" s="62" t="s">
        <v>395</v>
      </c>
      <c r="AE528" s="18"/>
    </row>
    <row r="529">
      <c r="A529" s="5" t="s">
        <v>20</v>
      </c>
      <c r="B529" s="8" t="s">
        <v>88</v>
      </c>
      <c r="C529" s="21" t="s">
        <v>1496</v>
      </c>
      <c r="D529" s="21" t="s">
        <v>829</v>
      </c>
      <c r="E529" s="53">
        <f t="array" ref="E529:F529">VLOOKUP(C529,'NEW PTMT'!$B$4:$E1832,{3,4},0)</f>
        <v>422.1984</v>
      </c>
      <c r="F529" s="30">
        <v>456.0</v>
      </c>
      <c r="G529" s="59">
        <v>30.0</v>
      </c>
      <c r="H529" s="18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17"/>
      <c r="Z529" s="6" t="str">
        <f t="shared" si="4"/>
        <v>Ebon145</v>
      </c>
      <c r="AA529" s="18" t="str">
        <f t="shared" si="5"/>
        <v>Ebon2 Way Angle Cock with Flange</v>
      </c>
      <c r="AB529" s="60">
        <f t="shared" si="6"/>
        <v>456</v>
      </c>
      <c r="AC529" s="34">
        <v>145.0</v>
      </c>
      <c r="AD529" s="57" t="s">
        <v>359</v>
      </c>
      <c r="AE529" s="18"/>
    </row>
    <row r="530">
      <c r="A530" s="5" t="s">
        <v>20</v>
      </c>
      <c r="B530" s="8" t="s">
        <v>88</v>
      </c>
      <c r="C530" s="21" t="s">
        <v>1498</v>
      </c>
      <c r="D530" s="21" t="s">
        <v>1392</v>
      </c>
      <c r="E530" s="53">
        <f t="array" ref="E530:F530">VLOOKUP(C530,'NEW PTMT'!$B$4:$E1832,{3,4},0)</f>
        <v>594.048</v>
      </c>
      <c r="F530" s="30">
        <v>642.0</v>
      </c>
      <c r="G530" s="59">
        <v>30.0</v>
      </c>
      <c r="H530" s="18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17"/>
      <c r="Z530" s="6" t="str">
        <f t="shared" si="4"/>
        <v>Ebon147</v>
      </c>
      <c r="AA530" s="18" t="str">
        <f t="shared" si="5"/>
        <v>EbonPillar Cock Swan Neck (T/M) with Flange</v>
      </c>
      <c r="AB530" s="60">
        <f t="shared" si="6"/>
        <v>642</v>
      </c>
      <c r="AC530" s="34">
        <v>147.0</v>
      </c>
      <c r="AD530" s="57" t="s">
        <v>616</v>
      </c>
      <c r="AE530" s="18"/>
    </row>
    <row r="531">
      <c r="A531" s="5" t="s">
        <v>20</v>
      </c>
      <c r="B531" s="8" t="s">
        <v>88</v>
      </c>
      <c r="C531" s="21" t="s">
        <v>1501</v>
      </c>
      <c r="D531" s="21" t="s">
        <v>1395</v>
      </c>
      <c r="E531" s="53">
        <f t="array" ref="E531:F531">VLOOKUP(C531,'NEW PTMT'!$B$4:$E1832,{3,4},0)</f>
        <v>362</v>
      </c>
      <c r="F531" s="30">
        <v>392.0</v>
      </c>
      <c r="G531" s="59">
        <v>66.0</v>
      </c>
      <c r="H531" s="18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17"/>
      <c r="Z531" s="6" t="str">
        <f t="shared" si="4"/>
        <v>Ebon149</v>
      </c>
      <c r="AA531" s="18" t="str">
        <f t="shared" si="5"/>
        <v>EbonWashing Machine Tap with Flange</v>
      </c>
      <c r="AB531" s="60">
        <f t="shared" si="6"/>
        <v>392</v>
      </c>
      <c r="AC531" s="61">
        <v>149.0</v>
      </c>
      <c r="AD531" s="62" t="s">
        <v>731</v>
      </c>
      <c r="AE531" s="18"/>
    </row>
    <row r="532">
      <c r="A532" s="5" t="s">
        <v>20</v>
      </c>
      <c r="B532" s="8" t="s">
        <v>36</v>
      </c>
      <c r="C532" s="21" t="s">
        <v>1508</v>
      </c>
      <c r="D532" s="21" t="s">
        <v>798</v>
      </c>
      <c r="E532" s="53">
        <f t="array" ref="E532:F532">VLOOKUP(C532,'NEW PTMT'!$B$4:$E1832,{3,4},0)</f>
        <v>226</v>
      </c>
      <c r="F532" s="30">
        <v>244.0</v>
      </c>
      <c r="G532" s="59">
        <v>108.0</v>
      </c>
      <c r="H532" s="18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17"/>
      <c r="Z532" s="6" t="str">
        <f t="shared" si="4"/>
        <v>Black Pearl121</v>
      </c>
      <c r="AA532" s="18" t="str">
        <f t="shared" si="5"/>
        <v>Black PearlBib Cock with Flange</v>
      </c>
      <c r="AB532" s="60">
        <f t="shared" si="6"/>
        <v>244</v>
      </c>
      <c r="AC532" s="34">
        <v>121.0</v>
      </c>
      <c r="AD532" s="57" t="s">
        <v>636</v>
      </c>
      <c r="AE532" s="18"/>
    </row>
    <row r="533">
      <c r="A533" s="5" t="s">
        <v>20</v>
      </c>
      <c r="B533" s="8" t="s">
        <v>36</v>
      </c>
      <c r="C533" s="8" t="s">
        <v>1400</v>
      </c>
      <c r="D533" s="8" t="s">
        <v>748</v>
      </c>
      <c r="E533" s="53">
        <f t="array" ref="E533:F533">VLOOKUP(C533,'NEW PTMT'!$B$4:$E1832,{3,4},0)</f>
        <v>238</v>
      </c>
      <c r="F533" s="30">
        <v>256.0</v>
      </c>
      <c r="G533" s="59"/>
      <c r="H533" s="18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17"/>
      <c r="Z533" s="6" t="str">
        <f t="shared" si="4"/>
        <v>Black Pearl121-F</v>
      </c>
      <c r="AA533" s="18" t="str">
        <f t="shared" si="5"/>
        <v>Black PearlBib Cock (Foam Flow) with Flange</v>
      </c>
      <c r="AB533" s="60">
        <f t="shared" si="6"/>
        <v>256</v>
      </c>
      <c r="AC533" s="61" t="s">
        <v>208</v>
      </c>
      <c r="AD533" s="57" t="s">
        <v>417</v>
      </c>
      <c r="AE533" s="18"/>
    </row>
    <row r="534">
      <c r="A534" s="5" t="s">
        <v>20</v>
      </c>
      <c r="B534" s="8" t="s">
        <v>36</v>
      </c>
      <c r="C534" s="21" t="s">
        <v>1513</v>
      </c>
      <c r="D534" s="21" t="s">
        <v>803</v>
      </c>
      <c r="E534" s="53">
        <f t="array" ref="E534:F534">VLOOKUP(C534,'NEW PTMT'!$B$4:$E1832,{3,4},0)</f>
        <v>296</v>
      </c>
      <c r="F534" s="30">
        <v>322.0</v>
      </c>
      <c r="G534" s="59">
        <v>54.0</v>
      </c>
      <c r="H534" s="18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17"/>
      <c r="Z534" s="6" t="str">
        <f t="shared" si="4"/>
        <v>Black Pearl124</v>
      </c>
      <c r="AA534" s="18" t="str">
        <f t="shared" si="5"/>
        <v>Black PearlBib Cock Long Body with Flange</v>
      </c>
      <c r="AB534" s="60">
        <f t="shared" si="6"/>
        <v>322</v>
      </c>
      <c r="AC534" s="61">
        <v>124.0</v>
      </c>
      <c r="AD534" s="57" t="s">
        <v>358</v>
      </c>
      <c r="AE534" s="18"/>
    </row>
    <row r="535">
      <c r="A535" s="5" t="s">
        <v>20</v>
      </c>
      <c r="B535" s="8" t="s">
        <v>36</v>
      </c>
      <c r="C535" s="21" t="s">
        <v>1516</v>
      </c>
      <c r="D535" s="21" t="s">
        <v>1363</v>
      </c>
      <c r="E535" s="53">
        <f t="array" ref="E535:F535">VLOOKUP(C535,'NEW PTMT'!$B$4:$E1832,{3,4},0)</f>
        <v>311.8752</v>
      </c>
      <c r="F535" s="30">
        <v>338.0</v>
      </c>
      <c r="G535" s="59">
        <v>46.0</v>
      </c>
      <c r="H535" s="18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17"/>
      <c r="Z535" s="6" t="str">
        <f t="shared" si="4"/>
        <v>Black Pearl124-F</v>
      </c>
      <c r="AA535" s="18" t="str">
        <f t="shared" si="5"/>
        <v>Black PearlBib Cock Long Body Foam Flow with Flange</v>
      </c>
      <c r="AB535" s="60">
        <f t="shared" si="6"/>
        <v>338</v>
      </c>
      <c r="AC535" s="61" t="s">
        <v>698</v>
      </c>
      <c r="AD535" s="57" t="s">
        <v>541</v>
      </c>
      <c r="AE535" s="18"/>
    </row>
    <row r="536">
      <c r="A536" s="5" t="s">
        <v>20</v>
      </c>
      <c r="B536" s="8" t="s">
        <v>36</v>
      </c>
      <c r="C536" s="21" t="s">
        <v>1519</v>
      </c>
      <c r="D536" s="21" t="s">
        <v>363</v>
      </c>
      <c r="E536" s="53">
        <f t="array" ref="E536:F536">VLOOKUP(C536,'NEW PTMT'!$B$4:$E1832,{3,4},0)</f>
        <v>271.5648</v>
      </c>
      <c r="F536" s="30">
        <v>294.0</v>
      </c>
      <c r="G536" s="12">
        <v>66.0</v>
      </c>
      <c r="H536" s="18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17"/>
      <c r="Z536" s="6" t="str">
        <f t="shared" si="4"/>
        <v>Black Pearl127</v>
      </c>
      <c r="AA536" s="18" t="str">
        <f t="shared" si="5"/>
        <v>Black PearlBib Cock Nozzle with Flange</v>
      </c>
      <c r="AB536" s="60">
        <f t="shared" si="6"/>
        <v>294</v>
      </c>
      <c r="AC536" s="61">
        <v>127.0</v>
      </c>
      <c r="AD536" s="62" t="s">
        <v>363</v>
      </c>
      <c r="AE536" s="18"/>
    </row>
    <row r="537">
      <c r="A537" s="5" t="s">
        <v>20</v>
      </c>
      <c r="B537" s="8" t="s">
        <v>36</v>
      </c>
      <c r="C537" s="21" t="s">
        <v>1522</v>
      </c>
      <c r="D537" s="21" t="s">
        <v>378</v>
      </c>
      <c r="E537" s="53">
        <f t="array" ref="E537:F537">VLOOKUP(C537,'NEW PTMT'!$B$4:$E1832,{3,4},0)</f>
        <v>456</v>
      </c>
      <c r="F537" s="30">
        <v>492.0</v>
      </c>
      <c r="G537" s="59">
        <v>24.0</v>
      </c>
      <c r="H537" s="18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17"/>
      <c r="Z537" s="6" t="str">
        <f t="shared" si="4"/>
        <v>Black Pearl129</v>
      </c>
      <c r="AA537" s="18" t="str">
        <f t="shared" si="5"/>
        <v>Black Pearl2 Way Bib Cock with Flange</v>
      </c>
      <c r="AB537" s="60">
        <f t="shared" si="6"/>
        <v>492</v>
      </c>
      <c r="AC537" s="61">
        <v>129.0</v>
      </c>
      <c r="AD537" s="250" t="s">
        <v>378</v>
      </c>
      <c r="AE537" s="18"/>
    </row>
    <row r="538">
      <c r="A538" s="5" t="s">
        <v>20</v>
      </c>
      <c r="B538" s="8" t="s">
        <v>36</v>
      </c>
      <c r="C538" s="21" t="s">
        <v>1524</v>
      </c>
      <c r="D538" s="21" t="s">
        <v>416</v>
      </c>
      <c r="E538" s="53">
        <f t="array" ref="E538:F538">VLOOKUP(C538,'NEW PTMT'!$B$4:$E1832,{3,4},0)</f>
        <v>313.9968</v>
      </c>
      <c r="F538" s="30">
        <v>338.0</v>
      </c>
      <c r="G538" s="12">
        <v>30.0</v>
      </c>
      <c r="H538" s="18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17"/>
      <c r="Z538" s="6" t="str">
        <f t="shared" si="4"/>
        <v>Black Pearl130</v>
      </c>
      <c r="AA538" s="18" t="str">
        <f t="shared" si="5"/>
        <v>Black PearlPillar Cock with Flange</v>
      </c>
      <c r="AB538" s="60">
        <f t="shared" si="6"/>
        <v>338</v>
      </c>
      <c r="AC538" s="61">
        <v>130.0</v>
      </c>
      <c r="AD538" s="62" t="s">
        <v>416</v>
      </c>
      <c r="AE538" s="18"/>
    </row>
    <row r="539">
      <c r="A539" s="5" t="s">
        <v>20</v>
      </c>
      <c r="B539" s="8" t="s">
        <v>36</v>
      </c>
      <c r="C539" s="21" t="s">
        <v>1527</v>
      </c>
      <c r="D539" s="21" t="s">
        <v>419</v>
      </c>
      <c r="E539" s="53">
        <f t="array" ref="E539:F539">VLOOKUP(C539,'NEW PTMT'!$B$4:$E1832,{3,4},0)</f>
        <v>625.872</v>
      </c>
      <c r="F539" s="30">
        <v>676.0</v>
      </c>
      <c r="G539" s="59">
        <v>13.0</v>
      </c>
      <c r="H539" s="18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17"/>
      <c r="Z539" s="6" t="str">
        <f t="shared" si="4"/>
        <v>Black Pearl132</v>
      </c>
      <c r="AA539" s="18" t="str">
        <f t="shared" si="5"/>
        <v>Black PearlSink Cock (W/M) with Flange</v>
      </c>
      <c r="AB539" s="60">
        <f t="shared" si="6"/>
        <v>676</v>
      </c>
      <c r="AC539" s="61">
        <v>132.0</v>
      </c>
      <c r="AD539" s="57" t="s">
        <v>436</v>
      </c>
      <c r="AE539" s="18"/>
    </row>
    <row r="540">
      <c r="A540" s="5" t="s">
        <v>20</v>
      </c>
      <c r="B540" s="8" t="s">
        <v>36</v>
      </c>
      <c r="C540" s="21" t="s">
        <v>1529</v>
      </c>
      <c r="D540" s="21" t="s">
        <v>1335</v>
      </c>
      <c r="E540" s="53">
        <f t="array" ref="E540:F540">VLOOKUP(C540,'NEW PTMT'!$B$4:$E1832,{3,4},0)</f>
        <v>574</v>
      </c>
      <c r="F540" s="30">
        <v>622.0</v>
      </c>
      <c r="G540" s="59">
        <v>30.0</v>
      </c>
      <c r="H540" s="18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17"/>
      <c r="Z540" s="6" t="str">
        <f t="shared" si="4"/>
        <v>Black Pearl1322</v>
      </c>
      <c r="AA540" s="18" t="str">
        <f t="shared" si="5"/>
        <v>Black PearlSink Cock Small Spout (W/M) with Flange</v>
      </c>
      <c r="AB540" s="60">
        <f t="shared" si="6"/>
        <v>622</v>
      </c>
      <c r="AC540" s="61">
        <v>1322.0</v>
      </c>
      <c r="AD540" s="57" t="s">
        <v>457</v>
      </c>
      <c r="AE540" s="18"/>
    </row>
    <row r="541">
      <c r="A541" s="5" t="s">
        <v>20</v>
      </c>
      <c r="B541" s="8" t="s">
        <v>36</v>
      </c>
      <c r="C541" s="21" t="s">
        <v>1532</v>
      </c>
      <c r="D541" s="21" t="s">
        <v>1533</v>
      </c>
      <c r="E541" s="53">
        <f t="array" ref="E541:F541">VLOOKUP(C541,'NEW PTMT'!$B$4:$E1832,{3,4},0)</f>
        <v>646</v>
      </c>
      <c r="F541" s="30">
        <v>698.0</v>
      </c>
      <c r="G541" s="59">
        <v>13.0</v>
      </c>
      <c r="H541" s="18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17"/>
      <c r="Z541" s="6" t="str">
        <f t="shared" si="4"/>
        <v>Black Pearl133</v>
      </c>
      <c r="AA541" s="18" t="str">
        <f t="shared" si="5"/>
        <v>Black PearlSink Cock Long Spout (T/M) with Flange</v>
      </c>
      <c r="AB541" s="60">
        <f t="shared" si="6"/>
        <v>698</v>
      </c>
      <c r="AC541" s="61">
        <v>133.0</v>
      </c>
      <c r="AD541" s="57" t="s">
        <v>480</v>
      </c>
      <c r="AE541" s="18"/>
    </row>
    <row r="542">
      <c r="A542" s="5" t="s">
        <v>20</v>
      </c>
      <c r="B542" s="8" t="s">
        <v>36</v>
      </c>
      <c r="C542" s="21" t="s">
        <v>1535</v>
      </c>
      <c r="D542" s="21" t="s">
        <v>482</v>
      </c>
      <c r="E542" s="53">
        <f t="array" ref="E542:F542">VLOOKUP(C542,'NEW PTMT'!$B$4:$E1832,{3,4},0)</f>
        <v>1262.352</v>
      </c>
      <c r="F542" s="30">
        <v>1364.0</v>
      </c>
      <c r="G542" s="59">
        <v>13.0</v>
      </c>
      <c r="H542" s="18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4"/>
      <c r="Y542" s="316"/>
      <c r="Z542" s="6" t="str">
        <f t="shared" si="4"/>
        <v>Black Pearl134</v>
      </c>
      <c r="AA542" s="18" t="str">
        <f t="shared" si="5"/>
        <v>Black PearlSink Mixer with Flange</v>
      </c>
      <c r="AB542" s="60">
        <f t="shared" si="6"/>
        <v>1364</v>
      </c>
      <c r="AC542" s="61">
        <v>134.0</v>
      </c>
      <c r="AD542" s="57" t="s">
        <v>499</v>
      </c>
      <c r="AE542" s="18"/>
    </row>
    <row r="543">
      <c r="A543" s="5" t="s">
        <v>20</v>
      </c>
      <c r="B543" s="8" t="s">
        <v>36</v>
      </c>
      <c r="C543" s="21" t="s">
        <v>1538</v>
      </c>
      <c r="D543" s="21" t="s">
        <v>502</v>
      </c>
      <c r="E543" s="53">
        <f t="array" ref="E543:F543">VLOOKUP(C543,'NEW PTMT'!$B$4:$E1832,{3,4},0)</f>
        <v>1208</v>
      </c>
      <c r="F543" s="30">
        <v>1306.0</v>
      </c>
      <c r="G543" s="59">
        <v>13.0</v>
      </c>
      <c r="H543" s="18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4"/>
      <c r="Y543" s="316"/>
      <c r="Z543" s="6" t="str">
        <f t="shared" si="4"/>
        <v>Black Pearl135</v>
      </c>
      <c r="AA543" s="18" t="str">
        <f t="shared" si="5"/>
        <v>Black PearlWall Mixer with Flange</v>
      </c>
      <c r="AB543" s="60">
        <f t="shared" si="6"/>
        <v>1306</v>
      </c>
      <c r="AC543" s="61">
        <v>135.0</v>
      </c>
      <c r="AD543" s="57" t="s">
        <v>519</v>
      </c>
      <c r="AE543" s="18"/>
    </row>
    <row r="544">
      <c r="A544" s="5" t="s">
        <v>20</v>
      </c>
      <c r="B544" s="8" t="s">
        <v>36</v>
      </c>
      <c r="C544" s="8" t="s">
        <v>1402</v>
      </c>
      <c r="D544" s="8" t="s">
        <v>523</v>
      </c>
      <c r="E544" s="53">
        <f t="array" ref="E544:F544">VLOOKUP(C544,'NEW PTMT'!$B$4:$E1832,{3,4},0)</f>
        <v>1888</v>
      </c>
      <c r="F544" s="30">
        <v>2038.0</v>
      </c>
      <c r="G544" s="59"/>
      <c r="H544" s="18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4"/>
      <c r="Y544" s="316"/>
      <c r="Z544" s="6" t="str">
        <f t="shared" si="4"/>
        <v>Black Pearl1374</v>
      </c>
      <c r="AA544" s="18" t="str">
        <f t="shared" si="5"/>
        <v>Black Pearl2 in 1 Telephonic Wall Mixer</v>
      </c>
      <c r="AB544" s="60">
        <f t="shared" si="6"/>
        <v>2038</v>
      </c>
      <c r="AC544" s="61">
        <v>1374.0</v>
      </c>
      <c r="AD544" s="57" t="s">
        <v>540</v>
      </c>
      <c r="AE544" s="18"/>
    </row>
    <row r="545">
      <c r="A545" s="5" t="s">
        <v>20</v>
      </c>
      <c r="B545" s="8" t="s">
        <v>36</v>
      </c>
      <c r="C545" s="21" t="s">
        <v>1540</v>
      </c>
      <c r="D545" s="21" t="s">
        <v>734</v>
      </c>
      <c r="E545" s="53">
        <f t="array" ref="E545:F545">VLOOKUP(C545,'NEW PTMT'!$B$4:$E1832,{3,4},0)</f>
        <v>1582</v>
      </c>
      <c r="F545" s="30">
        <v>1708.0</v>
      </c>
      <c r="G545" s="30">
        <v>6.0</v>
      </c>
      <c r="H545" s="18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17"/>
      <c r="Z545" s="6" t="str">
        <f t="shared" si="4"/>
        <v>Black Pearl1375</v>
      </c>
      <c r="AA545" s="18" t="str">
        <f t="shared" si="5"/>
        <v>Black PearlWall Mixer L Bend with Flange</v>
      </c>
      <c r="AB545" s="60">
        <f t="shared" si="6"/>
        <v>1708</v>
      </c>
      <c r="AC545" s="61">
        <v>1375.0</v>
      </c>
      <c r="AD545" s="57" t="s">
        <v>561</v>
      </c>
      <c r="AE545" s="18"/>
    </row>
    <row r="546">
      <c r="A546" s="5" t="s">
        <v>20</v>
      </c>
      <c r="B546" s="8" t="s">
        <v>36</v>
      </c>
      <c r="C546" s="21" t="s">
        <v>1543</v>
      </c>
      <c r="D546" s="21" t="s">
        <v>395</v>
      </c>
      <c r="E546" s="53">
        <f t="array" ref="E546:F546">VLOOKUP(C546,'NEW PTMT'!$B$4:$E1832,{3,4},0)</f>
        <v>236</v>
      </c>
      <c r="F546" s="30">
        <v>256.0</v>
      </c>
      <c r="G546" s="59">
        <v>90.0</v>
      </c>
      <c r="H546" s="18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17"/>
      <c r="Z546" s="6" t="str">
        <f t="shared" si="4"/>
        <v>Black Pearl144</v>
      </c>
      <c r="AA546" s="18" t="str">
        <f t="shared" si="5"/>
        <v>Black PearlAngle Cock with Flange</v>
      </c>
      <c r="AB546" s="60">
        <f t="shared" si="6"/>
        <v>256</v>
      </c>
      <c r="AC546" s="61">
        <v>144.0</v>
      </c>
      <c r="AD546" s="62" t="s">
        <v>395</v>
      </c>
      <c r="AE546" s="18"/>
    </row>
    <row r="547">
      <c r="A547" s="5" t="s">
        <v>20</v>
      </c>
      <c r="B547" s="8" t="s">
        <v>36</v>
      </c>
      <c r="C547" s="21" t="s">
        <v>1545</v>
      </c>
      <c r="D547" s="21" t="s">
        <v>829</v>
      </c>
      <c r="E547" s="53">
        <f t="array" ref="E547:F547">VLOOKUP(C547,'NEW PTMT'!$B$4:$E1832,{3,4},0)</f>
        <v>422.1984</v>
      </c>
      <c r="F547" s="30">
        <v>456.0</v>
      </c>
      <c r="G547" s="59">
        <v>30.0</v>
      </c>
      <c r="H547" s="18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17"/>
      <c r="Z547" s="6" t="str">
        <f t="shared" si="4"/>
        <v>Black Pearl145</v>
      </c>
      <c r="AA547" s="18" t="str">
        <f t="shared" si="5"/>
        <v>Black Pearl2 Way Angle Cock with Flange</v>
      </c>
      <c r="AB547" s="60">
        <f t="shared" si="6"/>
        <v>456</v>
      </c>
      <c r="AC547" s="61">
        <v>145.0</v>
      </c>
      <c r="AD547" s="57" t="s">
        <v>359</v>
      </c>
      <c r="AE547" s="18"/>
    </row>
    <row r="548">
      <c r="A548" s="5" t="s">
        <v>20</v>
      </c>
      <c r="B548" s="8" t="s">
        <v>36</v>
      </c>
      <c r="C548" s="21" t="s">
        <v>1548</v>
      </c>
      <c r="D548" s="21" t="s">
        <v>1350</v>
      </c>
      <c r="E548" s="53">
        <f t="array" ref="E548:F548">VLOOKUP(C548,'NEW PTMT'!$B$4:$E1832,{3,4},0)</f>
        <v>594.048</v>
      </c>
      <c r="F548" s="30">
        <v>642.0</v>
      </c>
      <c r="G548" s="59">
        <v>30.0</v>
      </c>
      <c r="H548" s="18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4"/>
      <c r="Y548" s="17"/>
      <c r="Z548" s="6" t="str">
        <f t="shared" si="4"/>
        <v>Black Pearl147</v>
      </c>
      <c r="AA548" s="18" t="str">
        <f t="shared" si="5"/>
        <v>Black PearlPillar Cock Swan Neck (T/M) with Flange</v>
      </c>
      <c r="AB548" s="60">
        <f t="shared" si="6"/>
        <v>642</v>
      </c>
      <c r="AC548" s="61">
        <v>147.0</v>
      </c>
      <c r="AD548" s="57" t="s">
        <v>616</v>
      </c>
      <c r="AE548" s="18"/>
    </row>
    <row r="549">
      <c r="A549" s="5" t="s">
        <v>20</v>
      </c>
      <c r="B549" s="8" t="s">
        <v>36</v>
      </c>
      <c r="C549" s="21" t="s">
        <v>1550</v>
      </c>
      <c r="D549" s="21" t="s">
        <v>731</v>
      </c>
      <c r="E549" s="53">
        <f t="array" ref="E549:F549">VLOOKUP(C549,'NEW PTMT'!$B$4:$E1832,{3,4},0)</f>
        <v>362</v>
      </c>
      <c r="F549" s="30">
        <v>392.0</v>
      </c>
      <c r="G549" s="59">
        <v>66.0</v>
      </c>
      <c r="H549" s="18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17"/>
      <c r="Z549" s="6" t="str">
        <f t="shared" si="4"/>
        <v>Black Pearl149</v>
      </c>
      <c r="AA549" s="18" t="str">
        <f t="shared" si="5"/>
        <v>Black PearlWashing Machine Tap with Flange</v>
      </c>
      <c r="AB549" s="60">
        <f t="shared" si="6"/>
        <v>392</v>
      </c>
      <c r="AC549" s="61">
        <v>149.0</v>
      </c>
      <c r="AD549" s="62" t="s">
        <v>731</v>
      </c>
      <c r="AE549" s="18"/>
    </row>
    <row r="550">
      <c r="A550" s="5" t="s">
        <v>20</v>
      </c>
      <c r="B550" s="8" t="s">
        <v>110</v>
      </c>
      <c r="C550" s="21" t="s">
        <v>1556</v>
      </c>
      <c r="D550" s="21" t="s">
        <v>1050</v>
      </c>
      <c r="E550" s="53">
        <f t="array" ref="E550:F550">VLOOKUP(C550,'NEW PTMT'!$B$4:$E1832,{3,4},0)</f>
        <v>285.6</v>
      </c>
      <c r="F550" s="30">
        <v>308.0</v>
      </c>
      <c r="G550" s="30">
        <v>108.0</v>
      </c>
      <c r="H550" s="18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17"/>
      <c r="Z550" s="6" t="str">
        <f t="shared" si="4"/>
        <v>Grand121</v>
      </c>
      <c r="AA550" s="18" t="str">
        <f t="shared" si="5"/>
        <v>GrandBib Cock with Flange</v>
      </c>
      <c r="AB550" s="60">
        <f t="shared" si="6"/>
        <v>308</v>
      </c>
      <c r="AC550" s="34">
        <v>121.0</v>
      </c>
      <c r="AD550" s="57" t="s">
        <v>636</v>
      </c>
      <c r="AE550" s="18"/>
    </row>
    <row r="551">
      <c r="A551" s="5" t="s">
        <v>20</v>
      </c>
      <c r="B551" s="8" t="s">
        <v>110</v>
      </c>
      <c r="C551" s="8" t="s">
        <v>1404</v>
      </c>
      <c r="D551" s="8" t="s">
        <v>748</v>
      </c>
      <c r="E551" s="53">
        <f t="array" ref="E551:F551">VLOOKUP(C551,'NEW PTMT'!$B$4:$E1832,{3,4},0)</f>
        <v>297.84</v>
      </c>
      <c r="F551" s="30">
        <v>322.0</v>
      </c>
      <c r="G551" s="30"/>
      <c r="H551" s="18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17"/>
      <c r="Z551" s="6" t="str">
        <f t="shared" si="4"/>
        <v>Grand121-F</v>
      </c>
      <c r="AA551" s="18" t="str">
        <f t="shared" si="5"/>
        <v>GrandBib Cock (Foam Flow) with Flange</v>
      </c>
      <c r="AB551" s="60">
        <f t="shared" si="6"/>
        <v>322</v>
      </c>
      <c r="AC551" s="61" t="s">
        <v>208</v>
      </c>
      <c r="AD551" s="57" t="s">
        <v>417</v>
      </c>
      <c r="AE551" s="18"/>
    </row>
    <row r="552">
      <c r="A552" s="5" t="s">
        <v>20</v>
      </c>
      <c r="B552" s="8" t="s">
        <v>110</v>
      </c>
      <c r="C552" s="21" t="s">
        <v>1557</v>
      </c>
      <c r="D552" s="21" t="s">
        <v>798</v>
      </c>
      <c r="E552" s="53">
        <f t="array" ref="E552:F552">VLOOKUP(C552,'NEW PTMT'!$B$4:$E1832,{3,4},0)</f>
        <v>326</v>
      </c>
      <c r="F552" s="30">
        <v>352.0</v>
      </c>
      <c r="G552" s="30">
        <v>60.0</v>
      </c>
      <c r="H552" s="18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17"/>
      <c r="Z552" s="6" t="str">
        <f t="shared" si="4"/>
        <v>Grand123</v>
      </c>
      <c r="AA552" s="18" t="str">
        <f t="shared" si="5"/>
        <v>GrandBib Cock Fancy with Flange</v>
      </c>
      <c r="AB552" s="60">
        <f t="shared" si="6"/>
        <v>352</v>
      </c>
      <c r="AC552" s="34">
        <v>123.0</v>
      </c>
      <c r="AD552" s="57" t="s">
        <v>333</v>
      </c>
      <c r="AE552" s="18"/>
    </row>
    <row r="553">
      <c r="A553" s="5" t="s">
        <v>20</v>
      </c>
      <c r="B553" s="8" t="s">
        <v>110</v>
      </c>
      <c r="C553" s="21" t="s">
        <v>1559</v>
      </c>
      <c r="D553" s="21" t="s">
        <v>306</v>
      </c>
      <c r="E553" s="53">
        <f t="array" ref="E553:F553">VLOOKUP(C553,'NEW PTMT'!$B$4:$E1832,{3,4},0)</f>
        <v>342</v>
      </c>
      <c r="F553" s="30">
        <v>368.0</v>
      </c>
      <c r="G553" s="30">
        <v>60.0</v>
      </c>
      <c r="H553" s="18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17"/>
      <c r="Z553" s="6" t="str">
        <f t="shared" si="4"/>
        <v>Grand123-F</v>
      </c>
      <c r="AA553" s="18" t="str">
        <f t="shared" si="5"/>
        <v>GrandBib Cock Fancy (Foam Flow) with Flange</v>
      </c>
      <c r="AB553" s="60">
        <f t="shared" si="6"/>
        <v>368</v>
      </c>
      <c r="AC553" s="34" t="s">
        <v>471</v>
      </c>
      <c r="AD553" s="57" t="s">
        <v>437</v>
      </c>
      <c r="AE553" s="18"/>
    </row>
    <row r="554">
      <c r="A554" s="5" t="s">
        <v>20</v>
      </c>
      <c r="B554" s="8" t="s">
        <v>110</v>
      </c>
      <c r="C554" s="21" t="s">
        <v>1560</v>
      </c>
      <c r="D554" s="21" t="s">
        <v>801</v>
      </c>
      <c r="E554" s="53">
        <f t="array" ref="E554:F554">VLOOKUP(C554,'NEW PTMT'!$B$4:$E1832,{3,4},0)</f>
        <v>395.76</v>
      </c>
      <c r="F554" s="30">
        <v>428.0</v>
      </c>
      <c r="G554" s="30">
        <v>60.0</v>
      </c>
      <c r="H554" s="18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17"/>
      <c r="Z554" s="6" t="str">
        <f t="shared" si="4"/>
        <v>Grand123-N</v>
      </c>
      <c r="AA554" s="18" t="str">
        <f t="shared" si="5"/>
        <v>GrandBib Cock Fancy with New Flange &amp; Nipple</v>
      </c>
      <c r="AB554" s="60">
        <f t="shared" si="6"/>
        <v>428</v>
      </c>
      <c r="AC554" s="34" t="s">
        <v>573</v>
      </c>
      <c r="AD554" s="57" t="s">
        <v>500</v>
      </c>
      <c r="AE554" s="18"/>
    </row>
    <row r="555">
      <c r="A555" s="5" t="s">
        <v>20</v>
      </c>
      <c r="B555" s="8" t="s">
        <v>110</v>
      </c>
      <c r="C555" s="21" t="s">
        <v>1562</v>
      </c>
      <c r="D555" s="21" t="s">
        <v>358</v>
      </c>
      <c r="E555" s="53">
        <f t="array" ref="E555:F555">VLOOKUP(C555,'NEW PTMT'!$B$4:$E1832,{3,4},0)</f>
        <v>382</v>
      </c>
      <c r="F555" s="30">
        <v>414.0</v>
      </c>
      <c r="G555" s="30">
        <v>60.0</v>
      </c>
      <c r="H555" s="18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17"/>
      <c r="Z555" s="6" t="str">
        <f t="shared" si="4"/>
        <v>Grand124</v>
      </c>
      <c r="AA555" s="18" t="str">
        <f t="shared" si="5"/>
        <v>GrandBib Cock Long Body with Flange</v>
      </c>
      <c r="AB555" s="60">
        <f t="shared" si="6"/>
        <v>414</v>
      </c>
      <c r="AC555" s="34">
        <v>124.0</v>
      </c>
      <c r="AD555" s="62" t="s">
        <v>358</v>
      </c>
      <c r="AE555" s="18"/>
    </row>
    <row r="556">
      <c r="A556" s="5" t="s">
        <v>20</v>
      </c>
      <c r="B556" s="8" t="s">
        <v>110</v>
      </c>
      <c r="C556" s="21" t="s">
        <v>1564</v>
      </c>
      <c r="D556" s="21" t="s">
        <v>520</v>
      </c>
      <c r="E556" s="53">
        <f t="array" ref="E556:F556">VLOOKUP(C556,'NEW PTMT'!$B$4:$E1832,{3,4},0)</f>
        <v>395.76</v>
      </c>
      <c r="F556" s="30">
        <v>428.0</v>
      </c>
      <c r="G556" s="30">
        <v>60.0</v>
      </c>
      <c r="H556" s="18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17"/>
      <c r="Z556" s="6" t="str">
        <f t="shared" si="4"/>
        <v>Grand124-F</v>
      </c>
      <c r="AA556" s="18" t="str">
        <f t="shared" si="5"/>
        <v>GrandBib Cock Long Body (Foam Flow) with Flange</v>
      </c>
      <c r="AB556" s="60">
        <f t="shared" si="6"/>
        <v>428</v>
      </c>
      <c r="AC556" s="34" t="s">
        <v>698</v>
      </c>
      <c r="AD556" s="62" t="s">
        <v>520</v>
      </c>
      <c r="AE556" s="18"/>
    </row>
    <row r="557">
      <c r="A557" s="5" t="s">
        <v>20</v>
      </c>
      <c r="B557" s="8" t="s">
        <v>110</v>
      </c>
      <c r="C557" s="21" t="s">
        <v>1566</v>
      </c>
      <c r="D557" s="21" t="s">
        <v>806</v>
      </c>
      <c r="E557" s="53">
        <f t="array" ref="E557:F557">VLOOKUP(C557,'NEW PTMT'!$B$4:$E1832,{3,4},0)</f>
        <v>328</v>
      </c>
      <c r="F557" s="30">
        <v>354.0</v>
      </c>
      <c r="G557" s="30">
        <v>66.0</v>
      </c>
      <c r="H557" s="18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17"/>
      <c r="Z557" s="6" t="str">
        <f t="shared" si="4"/>
        <v>Grand127</v>
      </c>
      <c r="AA557" s="18" t="str">
        <f t="shared" si="5"/>
        <v>GrandBib Cock Nozzle with Flange</v>
      </c>
      <c r="AB557" s="60">
        <f t="shared" si="6"/>
        <v>354</v>
      </c>
      <c r="AC557" s="34">
        <v>127.0</v>
      </c>
      <c r="AD557" s="57" t="s">
        <v>363</v>
      </c>
      <c r="AE557" s="18"/>
    </row>
    <row r="558">
      <c r="A558" s="5" t="s">
        <v>20</v>
      </c>
      <c r="B558" s="8" t="s">
        <v>110</v>
      </c>
      <c r="C558" s="21" t="s">
        <v>1568</v>
      </c>
      <c r="D558" s="21" t="s">
        <v>808</v>
      </c>
      <c r="E558" s="53">
        <f t="array" ref="E558:F558">VLOOKUP(C558,'NEW PTMT'!$B$4:$E1832,{3,4},0)</f>
        <v>672</v>
      </c>
      <c r="F558" s="30">
        <v>726.0</v>
      </c>
      <c r="G558" s="30">
        <v>24.0</v>
      </c>
      <c r="H558" s="18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17"/>
      <c r="Z558" s="6" t="str">
        <f t="shared" si="4"/>
        <v>Grand129</v>
      </c>
      <c r="AA558" s="18" t="str">
        <f t="shared" si="5"/>
        <v>Grand2 Way Bib Cock with Flange</v>
      </c>
      <c r="AB558" s="60">
        <f t="shared" si="6"/>
        <v>726</v>
      </c>
      <c r="AC558" s="34">
        <v>129.0</v>
      </c>
      <c r="AD558" s="57" t="s">
        <v>378</v>
      </c>
      <c r="AE558" s="18"/>
    </row>
    <row r="559">
      <c r="A559" s="5" t="s">
        <v>20</v>
      </c>
      <c r="B559" s="8" t="s">
        <v>110</v>
      </c>
      <c r="C559" s="21" t="s">
        <v>1570</v>
      </c>
      <c r="D559" s="21" t="s">
        <v>416</v>
      </c>
      <c r="E559" s="53">
        <f t="array" ref="E559:F559">VLOOKUP(C559,'NEW PTMT'!$B$4:$E1832,{3,4},0)</f>
        <v>403.92</v>
      </c>
      <c r="F559" s="30">
        <v>436.0</v>
      </c>
      <c r="G559" s="30">
        <v>60.0</v>
      </c>
      <c r="H559" s="18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17"/>
      <c r="Z559" s="6" t="str">
        <f t="shared" si="4"/>
        <v>Grand130</v>
      </c>
      <c r="AA559" s="18" t="str">
        <f t="shared" si="5"/>
        <v>GrandPillar Cock with Flange</v>
      </c>
      <c r="AB559" s="60">
        <f t="shared" si="6"/>
        <v>436</v>
      </c>
      <c r="AC559" s="34">
        <v>130.0</v>
      </c>
      <c r="AD559" s="62" t="s">
        <v>416</v>
      </c>
      <c r="AE559" s="18"/>
    </row>
    <row r="560">
      <c r="A560" s="5" t="s">
        <v>20</v>
      </c>
      <c r="B560" s="8" t="s">
        <v>110</v>
      </c>
      <c r="C560" s="21" t="s">
        <v>1572</v>
      </c>
      <c r="D560" s="21" t="s">
        <v>1573</v>
      </c>
      <c r="E560" s="53">
        <f t="array" ref="E560:F560">VLOOKUP(C560,'NEW PTMT'!$B$4:$E1832,{3,4},0)</f>
        <v>786</v>
      </c>
      <c r="F560" s="30">
        <v>848.0</v>
      </c>
      <c r="G560" s="30">
        <v>13.0</v>
      </c>
      <c r="H560" s="18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17"/>
      <c r="Z560" s="6" t="str">
        <f t="shared" si="4"/>
        <v>Grand132</v>
      </c>
      <c r="AA560" s="18" t="str">
        <f t="shared" si="5"/>
        <v>GrandSink Cock (W/M) with Flange</v>
      </c>
      <c r="AB560" s="60">
        <f t="shared" si="6"/>
        <v>848</v>
      </c>
      <c r="AC560" s="34">
        <v>132.0</v>
      </c>
      <c r="AD560" s="57" t="s">
        <v>436</v>
      </c>
      <c r="AE560" s="18"/>
    </row>
    <row r="561">
      <c r="A561" s="5" t="s">
        <v>20</v>
      </c>
      <c r="B561" s="8" t="s">
        <v>110</v>
      </c>
      <c r="C561" s="21" t="s">
        <v>1574</v>
      </c>
      <c r="D561" s="21" t="s">
        <v>1302</v>
      </c>
      <c r="E561" s="53">
        <f t="array" ref="E561:F561">VLOOKUP(C561,'NEW PTMT'!$B$4:$E1832,{3,4},0)</f>
        <v>806.208</v>
      </c>
      <c r="F561" s="30">
        <v>872.0</v>
      </c>
      <c r="G561" s="30">
        <v>13.0</v>
      </c>
      <c r="H561" s="18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17"/>
      <c r="Z561" s="6" t="str">
        <f t="shared" si="4"/>
        <v>Grand133</v>
      </c>
      <c r="AA561" s="18" t="str">
        <f t="shared" si="5"/>
        <v>GrandSink Cock Long Spout (T/M) with Flange</v>
      </c>
      <c r="AB561" s="60">
        <f t="shared" si="6"/>
        <v>872</v>
      </c>
      <c r="AC561" s="34">
        <v>133.0</v>
      </c>
      <c r="AD561" s="57" t="s">
        <v>480</v>
      </c>
      <c r="AE561" s="18"/>
    </row>
    <row r="562">
      <c r="A562" s="5" t="s">
        <v>20</v>
      </c>
      <c r="B562" s="8" t="s">
        <v>110</v>
      </c>
      <c r="C562" s="21" t="s">
        <v>1576</v>
      </c>
      <c r="D562" s="21" t="s">
        <v>1577</v>
      </c>
      <c r="E562" s="53">
        <f t="array" ref="E562:F562">VLOOKUP(C562,'NEW PTMT'!$B$4:$E1832,{3,4},0)</f>
        <v>1611.6</v>
      </c>
      <c r="F562" s="30">
        <v>1742.0</v>
      </c>
      <c r="G562" s="30">
        <v>13.0</v>
      </c>
      <c r="H562" s="18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17"/>
      <c r="Z562" s="6" t="str">
        <f t="shared" si="4"/>
        <v>Grand134</v>
      </c>
      <c r="AA562" s="18" t="str">
        <f t="shared" si="5"/>
        <v>GrandSink Mixer with Flange</v>
      </c>
      <c r="AB562" s="60">
        <f t="shared" si="6"/>
        <v>1742</v>
      </c>
      <c r="AC562" s="34">
        <v>134.0</v>
      </c>
      <c r="AD562" s="57" t="s">
        <v>499</v>
      </c>
      <c r="AE562" s="18"/>
    </row>
    <row r="563">
      <c r="A563" s="5" t="s">
        <v>20</v>
      </c>
      <c r="B563" s="8" t="s">
        <v>110</v>
      </c>
      <c r="C563" s="21" t="s">
        <v>1579</v>
      </c>
      <c r="D563" s="21" t="s">
        <v>1580</v>
      </c>
      <c r="E563" s="53">
        <f t="array" ref="E563:F563">VLOOKUP(C563,'NEW PTMT'!$B$4:$E1832,{3,4},0)</f>
        <v>1611.6</v>
      </c>
      <c r="F563" s="30">
        <v>1742.0</v>
      </c>
      <c r="G563" s="30">
        <v>13.0</v>
      </c>
      <c r="H563" s="18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17"/>
      <c r="Z563" s="6" t="str">
        <f t="shared" si="4"/>
        <v>Grand135</v>
      </c>
      <c r="AA563" s="18" t="str">
        <f t="shared" si="5"/>
        <v>GrandWall Mixer with Flange</v>
      </c>
      <c r="AB563" s="60">
        <f t="shared" si="6"/>
        <v>1742</v>
      </c>
      <c r="AC563" s="34">
        <v>135.0</v>
      </c>
      <c r="AD563" s="57" t="s">
        <v>519</v>
      </c>
      <c r="AE563" s="18"/>
    </row>
    <row r="564">
      <c r="A564" s="5" t="s">
        <v>20</v>
      </c>
      <c r="B564" s="8" t="s">
        <v>110</v>
      </c>
      <c r="C564" s="8" t="s">
        <v>1406</v>
      </c>
      <c r="D564" s="8" t="s">
        <v>523</v>
      </c>
      <c r="E564" s="53">
        <f t="array" ref="E564:F564">VLOOKUP(C564,'NEW PTMT'!$B$4:$E1832,{3,4},0)</f>
        <v>2233.8</v>
      </c>
      <c r="F564" s="30">
        <v>2414.0</v>
      </c>
      <c r="G564" s="30"/>
      <c r="H564" s="18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17"/>
      <c r="Z564" s="6" t="str">
        <f t="shared" si="4"/>
        <v>Grand1374</v>
      </c>
      <c r="AA564" s="18" t="str">
        <f t="shared" si="5"/>
        <v>Grand2 in 1 Telephonic Wall Mixer</v>
      </c>
      <c r="AB564" s="60">
        <f t="shared" si="6"/>
        <v>2414</v>
      </c>
      <c r="AC564" s="61">
        <v>1374.0</v>
      </c>
      <c r="AD564" s="57" t="s">
        <v>540</v>
      </c>
      <c r="AE564" s="18"/>
    </row>
    <row r="565">
      <c r="A565" s="5" t="s">
        <v>20</v>
      </c>
      <c r="B565" s="8" t="s">
        <v>110</v>
      </c>
      <c r="C565" s="21" t="s">
        <v>1584</v>
      </c>
      <c r="D565" s="21" t="s">
        <v>734</v>
      </c>
      <c r="E565" s="53">
        <f t="array" ref="E565:F565">VLOOKUP(C565,'NEW PTMT'!$B$4:$E1832,{3,4},0)</f>
        <v>1927.8</v>
      </c>
      <c r="F565" s="30">
        <v>2082.0</v>
      </c>
      <c r="G565" s="30">
        <v>6.0</v>
      </c>
      <c r="H565" s="18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17"/>
      <c r="Z565" s="6" t="str">
        <f t="shared" si="4"/>
        <v>Grand1375</v>
      </c>
      <c r="AA565" s="18" t="str">
        <f t="shared" si="5"/>
        <v>GrandWall Mixer L Bend with Flange</v>
      </c>
      <c r="AB565" s="60">
        <f t="shared" si="6"/>
        <v>2082</v>
      </c>
      <c r="AC565" s="64" t="s">
        <v>560</v>
      </c>
      <c r="AD565" s="57" t="s">
        <v>561</v>
      </c>
      <c r="AE565" s="18"/>
    </row>
    <row r="566">
      <c r="A566" s="5" t="s">
        <v>20</v>
      </c>
      <c r="B566" s="8" t="s">
        <v>110</v>
      </c>
      <c r="C566" s="21" t="s">
        <v>1587</v>
      </c>
      <c r="D566" s="21" t="s">
        <v>719</v>
      </c>
      <c r="E566" s="53">
        <f t="array" ref="E566:F566">VLOOKUP(C566,'NEW PTMT'!$B$4:$E1832,{3,4},0)</f>
        <v>287.64</v>
      </c>
      <c r="F566" s="30">
        <v>312.0</v>
      </c>
      <c r="G566" s="30">
        <v>132.0</v>
      </c>
      <c r="H566" s="18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17"/>
      <c r="Z566" s="6" t="str">
        <f t="shared" si="4"/>
        <v>Grand141</v>
      </c>
      <c r="AA566" s="18" t="str">
        <f t="shared" si="5"/>
        <v>GrandStop Cock 15mm (M/T)</v>
      </c>
      <c r="AB566" s="60">
        <f t="shared" si="6"/>
        <v>312</v>
      </c>
      <c r="AC566" s="34">
        <v>141.0</v>
      </c>
      <c r="AD566" s="57" t="s">
        <v>719</v>
      </c>
      <c r="AE566" s="18"/>
    </row>
    <row r="567">
      <c r="A567" s="5" t="s">
        <v>20</v>
      </c>
      <c r="B567" s="8" t="s">
        <v>110</v>
      </c>
      <c r="C567" s="21" t="s">
        <v>1590</v>
      </c>
      <c r="D567" s="21" t="s">
        <v>717</v>
      </c>
      <c r="E567" s="53">
        <f t="array" ref="E567:F567">VLOOKUP(C567,'NEW PTMT'!$B$4:$E1832,{3,4},0)</f>
        <v>287.64</v>
      </c>
      <c r="F567" s="30">
        <v>312.0</v>
      </c>
      <c r="G567" s="30">
        <v>132.0</v>
      </c>
      <c r="H567" s="18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17"/>
      <c r="Z567" s="6" t="str">
        <f t="shared" si="4"/>
        <v>Grand142</v>
      </c>
      <c r="AA567" s="18" t="str">
        <f t="shared" si="5"/>
        <v>GrandStop Cock 15mm (F/T)</v>
      </c>
      <c r="AB567" s="60">
        <f t="shared" si="6"/>
        <v>312</v>
      </c>
      <c r="AC567" s="34">
        <v>142.0</v>
      </c>
      <c r="AD567" s="57" t="s">
        <v>717</v>
      </c>
      <c r="AE567" s="18"/>
    </row>
    <row r="568">
      <c r="A568" s="5" t="s">
        <v>20</v>
      </c>
      <c r="B568" s="8" t="s">
        <v>110</v>
      </c>
      <c r="C568" s="21" t="s">
        <v>1592</v>
      </c>
      <c r="D568" s="21" t="s">
        <v>723</v>
      </c>
      <c r="E568" s="53">
        <f t="array" ref="E568:F568">VLOOKUP(C568,'NEW PTMT'!$B$4:$E1832,{3,4},0)</f>
        <v>301.92</v>
      </c>
      <c r="F568" s="30">
        <v>326.0</v>
      </c>
      <c r="G568" s="30">
        <v>64.0</v>
      </c>
      <c r="H568" s="18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17"/>
      <c r="Z568" s="6" t="str">
        <f t="shared" si="4"/>
        <v>Grand143</v>
      </c>
      <c r="AA568" s="18" t="str">
        <f t="shared" si="5"/>
        <v>GrandStop Cock 20mm (F/T)</v>
      </c>
      <c r="AB568" s="60">
        <f t="shared" si="6"/>
        <v>326</v>
      </c>
      <c r="AC568" s="34">
        <v>143.0</v>
      </c>
      <c r="AD568" s="57" t="s">
        <v>723</v>
      </c>
      <c r="AE568" s="18"/>
    </row>
    <row r="569">
      <c r="A569" s="5" t="s">
        <v>20</v>
      </c>
      <c r="B569" s="8" t="s">
        <v>110</v>
      </c>
      <c r="C569" s="21" t="s">
        <v>1595</v>
      </c>
      <c r="D569" s="21" t="s">
        <v>395</v>
      </c>
      <c r="E569" s="53">
        <f t="array" ref="E569:F569">VLOOKUP(C569,'NEW PTMT'!$B$4:$E1832,{3,4},0)</f>
        <v>281.52</v>
      </c>
      <c r="F569" s="30">
        <v>304.0</v>
      </c>
      <c r="G569" s="30">
        <v>132.0</v>
      </c>
      <c r="H569" s="18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17"/>
      <c r="Z569" s="6" t="str">
        <f t="shared" si="4"/>
        <v>Grand144</v>
      </c>
      <c r="AA569" s="18" t="str">
        <f t="shared" si="5"/>
        <v>GrandAngle Cock with Flange</v>
      </c>
      <c r="AB569" s="60">
        <f t="shared" si="6"/>
        <v>304</v>
      </c>
      <c r="AC569" s="34">
        <v>144.0</v>
      </c>
      <c r="AD569" s="62" t="s">
        <v>395</v>
      </c>
      <c r="AE569" s="18"/>
    </row>
    <row r="570">
      <c r="A570" s="5" t="s">
        <v>20</v>
      </c>
      <c r="B570" s="8" t="s">
        <v>110</v>
      </c>
      <c r="C570" s="21" t="s">
        <v>1599</v>
      </c>
      <c r="D570" s="21" t="s">
        <v>359</v>
      </c>
      <c r="E570" s="53">
        <f t="array" ref="E570:F570">VLOOKUP(C570,'NEW PTMT'!$B$4:$E1832,{3,4},0)</f>
        <v>578</v>
      </c>
      <c r="F570" s="30">
        <v>624.0</v>
      </c>
      <c r="G570" s="30">
        <v>30.0</v>
      </c>
      <c r="H570" s="18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17"/>
      <c r="Z570" s="6" t="str">
        <f t="shared" si="4"/>
        <v>Grand145</v>
      </c>
      <c r="AA570" s="18" t="str">
        <f t="shared" si="5"/>
        <v>Grand2 Way Angle Cock with Flange</v>
      </c>
      <c r="AB570" s="60">
        <f t="shared" si="6"/>
        <v>624</v>
      </c>
      <c r="AC570" s="34">
        <v>145.0</v>
      </c>
      <c r="AD570" s="62" t="s">
        <v>359</v>
      </c>
      <c r="AE570" s="18"/>
    </row>
    <row r="571">
      <c r="A571" s="5" t="s">
        <v>20</v>
      </c>
      <c r="B571" s="8" t="s">
        <v>110</v>
      </c>
      <c r="C571" s="21" t="s">
        <v>1601</v>
      </c>
      <c r="D571" s="21" t="s">
        <v>663</v>
      </c>
      <c r="E571" s="53">
        <f t="array" ref="E571:F571">VLOOKUP(C571,'NEW PTMT'!$B$4:$E1832,{3,4},0)</f>
        <v>472</v>
      </c>
      <c r="F571" s="30">
        <v>512.0</v>
      </c>
      <c r="G571" s="30">
        <v>64.0</v>
      </c>
      <c r="H571" s="18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17"/>
      <c r="Z571" s="6" t="str">
        <f t="shared" si="4"/>
        <v>Grand146</v>
      </c>
      <c r="AA571" s="18" t="str">
        <f t="shared" si="5"/>
        <v>GrandConcealed Stop Cock 15mm</v>
      </c>
      <c r="AB571" s="60">
        <f t="shared" si="6"/>
        <v>512</v>
      </c>
      <c r="AC571" s="34">
        <v>146.0</v>
      </c>
      <c r="AD571" s="89" t="s">
        <v>663</v>
      </c>
      <c r="AE571" s="18"/>
    </row>
    <row r="572">
      <c r="A572" s="5" t="s">
        <v>20</v>
      </c>
      <c r="B572" s="8" t="s">
        <v>110</v>
      </c>
      <c r="C572" s="21" t="s">
        <v>1604</v>
      </c>
      <c r="D572" s="21" t="s">
        <v>690</v>
      </c>
      <c r="E572" s="53">
        <f t="array" ref="E572:F572">VLOOKUP(C572,'NEW PTMT'!$B$4:$E1832,{3,4},0)</f>
        <v>482</v>
      </c>
      <c r="F572" s="30">
        <v>522.0</v>
      </c>
      <c r="G572" s="30">
        <v>64.0</v>
      </c>
      <c r="H572" s="18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17"/>
      <c r="Z572" s="6" t="str">
        <f t="shared" si="4"/>
        <v>Grand148</v>
      </c>
      <c r="AA572" s="18" t="str">
        <f t="shared" si="5"/>
        <v>GrandConcealed Stop Cock 20mm</v>
      </c>
      <c r="AB572" s="60">
        <f t="shared" si="6"/>
        <v>522</v>
      </c>
      <c r="AC572" s="34">
        <v>148.0</v>
      </c>
      <c r="AD572" s="89" t="s">
        <v>690</v>
      </c>
      <c r="AE572" s="18"/>
    </row>
    <row r="573">
      <c r="A573" s="5" t="s">
        <v>20</v>
      </c>
      <c r="B573" s="8" t="s">
        <v>110</v>
      </c>
      <c r="C573" s="21" t="s">
        <v>1606</v>
      </c>
      <c r="D573" s="21" t="s">
        <v>1350</v>
      </c>
      <c r="E573" s="53">
        <f t="array" ref="E573:F573">VLOOKUP(C573,'NEW PTMT'!$B$4:$E1832,{3,4},0)</f>
        <v>762</v>
      </c>
      <c r="F573" s="30">
        <v>824.0</v>
      </c>
      <c r="G573" s="30">
        <v>30.0</v>
      </c>
      <c r="H573" s="18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17"/>
      <c r="Z573" s="6" t="str">
        <f t="shared" si="4"/>
        <v>Grand147</v>
      </c>
      <c r="AA573" s="18" t="str">
        <f t="shared" si="5"/>
        <v>GrandPillar Cock Swan Neck (T/M) with Flange</v>
      </c>
      <c r="AB573" s="60">
        <f t="shared" si="6"/>
        <v>824</v>
      </c>
      <c r="AC573" s="34">
        <v>147.0</v>
      </c>
      <c r="AD573" s="57" t="s">
        <v>616</v>
      </c>
      <c r="AE573" s="18"/>
    </row>
    <row r="574">
      <c r="A574" s="5" t="s">
        <v>20</v>
      </c>
      <c r="B574" s="8" t="s">
        <v>110</v>
      </c>
      <c r="C574" s="21" t="s">
        <v>1607</v>
      </c>
      <c r="D574" s="21" t="s">
        <v>601</v>
      </c>
      <c r="E574" s="53">
        <f t="array" ref="E574:F574">VLOOKUP(C574,'NEW PTMT'!$B$4:$E1832,{3,4},0)</f>
        <v>806.208</v>
      </c>
      <c r="F574" s="30">
        <v>872.0</v>
      </c>
      <c r="G574" s="30">
        <v>30.0</v>
      </c>
      <c r="H574" s="18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17"/>
      <c r="Z574" s="6" t="str">
        <f t="shared" si="4"/>
        <v>Grand147-Q</v>
      </c>
      <c r="AA574" s="18" t="str">
        <f t="shared" si="5"/>
        <v>GrandPillar Cock Swan Neck (T/M) Square Spout with Flange</v>
      </c>
      <c r="AB574" s="60">
        <f t="shared" si="6"/>
        <v>872</v>
      </c>
      <c r="AC574" s="34" t="s">
        <v>737</v>
      </c>
      <c r="AD574" s="57" t="s">
        <v>703</v>
      </c>
      <c r="AE574" s="18"/>
    </row>
    <row r="575">
      <c r="A575" s="5" t="s">
        <v>20</v>
      </c>
      <c r="B575" s="8" t="s">
        <v>110</v>
      </c>
      <c r="C575" s="21" t="s">
        <v>1608</v>
      </c>
      <c r="D575" s="21" t="s">
        <v>1395</v>
      </c>
      <c r="E575" s="53">
        <f t="array" ref="E575:F575">VLOOKUP(C575,'NEW PTMT'!$B$4:$E1832,{3,4},0)</f>
        <v>497.76</v>
      </c>
      <c r="F575" s="30">
        <v>538.0</v>
      </c>
      <c r="G575" s="30">
        <v>66.0</v>
      </c>
      <c r="H575" s="18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17"/>
      <c r="Z575" s="6" t="str">
        <f t="shared" si="4"/>
        <v>Grand149</v>
      </c>
      <c r="AA575" s="18" t="str">
        <f t="shared" si="5"/>
        <v>GrandWashing Machine Tap with Flange</v>
      </c>
      <c r="AB575" s="60">
        <f t="shared" si="6"/>
        <v>538</v>
      </c>
      <c r="AC575" s="61">
        <v>149.0</v>
      </c>
      <c r="AD575" s="62" t="s">
        <v>731</v>
      </c>
      <c r="AE575" s="18"/>
    </row>
    <row r="576">
      <c r="A576" s="5" t="s">
        <v>20</v>
      </c>
      <c r="B576" s="8" t="s">
        <v>110</v>
      </c>
      <c r="C576" s="21" t="s">
        <v>1609</v>
      </c>
      <c r="D576" s="21" t="s">
        <v>712</v>
      </c>
      <c r="E576" s="53">
        <f t="array" ref="E576:F576">VLOOKUP(C576,'NEW PTMT'!$B$4:$E1832,{3,4},0)</f>
        <v>1862</v>
      </c>
      <c r="F576" s="30">
        <v>2012.0</v>
      </c>
      <c r="G576" s="30">
        <v>14.0</v>
      </c>
      <c r="H576" s="18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17"/>
      <c r="Z576" s="6" t="str">
        <f t="shared" si="4"/>
        <v>Grand150</v>
      </c>
      <c r="AA576" s="18" t="str">
        <f t="shared" si="5"/>
        <v>GrandCenter Hole Basin Mixer</v>
      </c>
      <c r="AB576" s="60">
        <f t="shared" si="6"/>
        <v>2012</v>
      </c>
      <c r="AC576" s="34">
        <v>150.0</v>
      </c>
      <c r="AD576" s="15" t="s">
        <v>650</v>
      </c>
      <c r="AE576" s="18"/>
    </row>
    <row r="577">
      <c r="A577" s="5" t="s">
        <v>20</v>
      </c>
      <c r="B577" s="8" t="s">
        <v>114</v>
      </c>
      <c r="C577" s="21">
        <v>1231.0</v>
      </c>
      <c r="D577" s="21" t="s">
        <v>1611</v>
      </c>
      <c r="E577" s="53">
        <f t="array" ref="E577:F577">VLOOKUP(C577,'NEW PTMT'!$B$4:$E1832,{3,4},0)</f>
        <v>311.8752</v>
      </c>
      <c r="F577" s="30">
        <v>338.0</v>
      </c>
      <c r="G577" s="30">
        <v>60.0</v>
      </c>
      <c r="H577" s="18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17"/>
      <c r="Z577" s="6" t="str">
        <f t="shared" si="4"/>
        <v>Roman123</v>
      </c>
      <c r="AA577" s="18" t="str">
        <f t="shared" si="5"/>
        <v>RomanBib Cock Fancy with Flange</v>
      </c>
      <c r="AB577" s="60">
        <f t="shared" si="6"/>
        <v>338</v>
      </c>
      <c r="AC577" s="34">
        <v>123.0</v>
      </c>
      <c r="AD577" s="15" t="s">
        <v>333</v>
      </c>
      <c r="AE577" s="18"/>
    </row>
    <row r="578">
      <c r="A578" s="5" t="s">
        <v>20</v>
      </c>
      <c r="B578" s="8" t="s">
        <v>114</v>
      </c>
      <c r="C578" s="21" t="s">
        <v>1612</v>
      </c>
      <c r="D578" s="21" t="s">
        <v>1613</v>
      </c>
      <c r="E578" s="53">
        <f t="array" ref="E578:F578">VLOOKUP(C578,'NEW PTMT'!$B$4:$E1832,{3,4},0)</f>
        <v>332</v>
      </c>
      <c r="F578" s="30">
        <v>358.0</v>
      </c>
      <c r="G578" s="30">
        <v>46.0</v>
      </c>
      <c r="H578" s="18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17"/>
      <c r="Z578" s="6" t="str">
        <f t="shared" si="4"/>
        <v>Roman123-F</v>
      </c>
      <c r="AA578" s="18" t="str">
        <f t="shared" si="5"/>
        <v>RomanBib Cock Fancy (Foam Flow) with Flange</v>
      </c>
      <c r="AB578" s="60">
        <f t="shared" si="6"/>
        <v>358</v>
      </c>
      <c r="AC578" s="34" t="s">
        <v>471</v>
      </c>
      <c r="AD578" s="15" t="s">
        <v>437</v>
      </c>
      <c r="AE578" s="18"/>
    </row>
    <row r="579">
      <c r="A579" s="5" t="s">
        <v>20</v>
      </c>
      <c r="B579" s="8" t="s">
        <v>114</v>
      </c>
      <c r="C579" s="21" t="s">
        <v>1614</v>
      </c>
      <c r="D579" s="21" t="s">
        <v>1615</v>
      </c>
      <c r="E579" s="53">
        <f t="array" ref="E579:F579">VLOOKUP(C579,'NEW PTMT'!$B$4:$E1832,{3,4},0)</f>
        <v>372</v>
      </c>
      <c r="F579" s="30">
        <v>402.0</v>
      </c>
      <c r="G579" s="30">
        <v>60.0</v>
      </c>
      <c r="H579" s="18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17"/>
      <c r="Z579" s="6" t="str">
        <f t="shared" si="4"/>
        <v>Roman123-N</v>
      </c>
      <c r="AA579" s="18" t="str">
        <f t="shared" si="5"/>
        <v>RomanBib Cock Fancy with New Flange &amp; Nipple</v>
      </c>
      <c r="AB579" s="60">
        <f t="shared" si="6"/>
        <v>402</v>
      </c>
      <c r="AC579" s="34" t="s">
        <v>573</v>
      </c>
      <c r="AD579" s="15" t="s">
        <v>500</v>
      </c>
      <c r="AE579" s="18"/>
    </row>
    <row r="580">
      <c r="A580" s="5" t="s">
        <v>20</v>
      </c>
      <c r="B580" s="8" t="s">
        <v>114</v>
      </c>
      <c r="C580" s="21">
        <v>1241.0</v>
      </c>
      <c r="D580" s="21" t="s">
        <v>1616</v>
      </c>
      <c r="E580" s="53">
        <f t="array" ref="E580:F580">VLOOKUP(C580,'NEW PTMT'!$B$4:$E1832,{3,4},0)</f>
        <v>377.6448</v>
      </c>
      <c r="F580" s="30">
        <v>408.0</v>
      </c>
      <c r="G580" s="30">
        <v>46.0</v>
      </c>
      <c r="H580" s="18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17"/>
      <c r="Z580" s="6" t="str">
        <f t="shared" si="4"/>
        <v>Roman124</v>
      </c>
      <c r="AA580" s="18" t="str">
        <f t="shared" si="5"/>
        <v>RomanBib Cock Long Body with Flange</v>
      </c>
      <c r="AB580" s="60">
        <f t="shared" si="6"/>
        <v>408</v>
      </c>
      <c r="AC580" s="34">
        <v>124.0</v>
      </c>
      <c r="AD580" s="15" t="s">
        <v>358</v>
      </c>
      <c r="AE580" s="18"/>
    </row>
    <row r="581">
      <c r="A581" s="5" t="s">
        <v>20</v>
      </c>
      <c r="B581" s="8" t="s">
        <v>114</v>
      </c>
      <c r="C581" s="21" t="s">
        <v>1617</v>
      </c>
      <c r="D581" s="21" t="s">
        <v>1618</v>
      </c>
      <c r="E581" s="53">
        <f t="array" ref="E581:F581">VLOOKUP(C581,'NEW PTMT'!$B$4:$E1832,{3,4},0)</f>
        <v>395.76</v>
      </c>
      <c r="F581" s="30">
        <v>428.0</v>
      </c>
      <c r="G581" s="30">
        <v>46.0</v>
      </c>
      <c r="H581" s="18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17"/>
      <c r="Z581" s="6" t="str">
        <f t="shared" si="4"/>
        <v>Roman124-F</v>
      </c>
      <c r="AA581" s="18" t="str">
        <f t="shared" si="5"/>
        <v>RomanBib Cock Long Body (Foam Flow) with Flange</v>
      </c>
      <c r="AB581" s="60">
        <f t="shared" si="6"/>
        <v>428</v>
      </c>
      <c r="AC581" s="34" t="s">
        <v>698</v>
      </c>
      <c r="AD581" s="15" t="s">
        <v>520</v>
      </c>
      <c r="AE581" s="18"/>
    </row>
    <row r="582">
      <c r="A582" s="5" t="s">
        <v>20</v>
      </c>
      <c r="B582" s="8" t="s">
        <v>114</v>
      </c>
      <c r="C582" s="21">
        <v>1291.0</v>
      </c>
      <c r="D582" s="21" t="s">
        <v>1619</v>
      </c>
      <c r="E582" s="53">
        <f t="array" ref="E582:F582">VLOOKUP(C582,'NEW PTMT'!$B$4:$E1832,{3,4},0)</f>
        <v>684</v>
      </c>
      <c r="F582" s="30">
        <v>738.0</v>
      </c>
      <c r="G582" s="30">
        <v>24.0</v>
      </c>
      <c r="H582" s="18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17"/>
      <c r="Z582" s="6" t="str">
        <f t="shared" si="4"/>
        <v>Roman129</v>
      </c>
      <c r="AA582" s="18" t="str">
        <f t="shared" si="5"/>
        <v>Roman2 Way Bib Cock with Flange</v>
      </c>
      <c r="AB582" s="60">
        <f t="shared" si="6"/>
        <v>738</v>
      </c>
      <c r="AC582" s="34">
        <v>129.0</v>
      </c>
      <c r="AD582" s="15" t="s">
        <v>378</v>
      </c>
      <c r="AE582" s="18"/>
    </row>
    <row r="583">
      <c r="A583" s="5" t="s">
        <v>20</v>
      </c>
      <c r="B583" s="8" t="s">
        <v>114</v>
      </c>
      <c r="C583" s="21">
        <v>1311.0</v>
      </c>
      <c r="D583" s="21" t="s">
        <v>1620</v>
      </c>
      <c r="E583" s="53">
        <f t="array" ref="E583:F583">VLOOKUP(C583,'NEW PTMT'!$B$4:$E1832,{3,4},0)</f>
        <v>485.8464</v>
      </c>
      <c r="F583" s="30">
        <v>526.0</v>
      </c>
      <c r="G583" s="12">
        <v>30.0</v>
      </c>
      <c r="H583" s="18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17"/>
      <c r="Z583" s="6" t="str">
        <f t="shared" si="4"/>
        <v>Roman131</v>
      </c>
      <c r="AA583" s="18" t="str">
        <f t="shared" si="5"/>
        <v>RomanPillar Cock Fancy (R.H.) with Flange</v>
      </c>
      <c r="AB583" s="60">
        <f t="shared" si="6"/>
        <v>526</v>
      </c>
      <c r="AC583" s="34">
        <v>131.0</v>
      </c>
      <c r="AD583" s="15" t="s">
        <v>699</v>
      </c>
      <c r="AE583" s="18"/>
    </row>
    <row r="584">
      <c r="A584" s="5" t="s">
        <v>20</v>
      </c>
      <c r="B584" s="8" t="s">
        <v>114</v>
      </c>
      <c r="C584" s="21" t="s">
        <v>1621</v>
      </c>
      <c r="D584" s="21" t="s">
        <v>1622</v>
      </c>
      <c r="E584" s="53">
        <f t="array" ref="E584:F584">VLOOKUP(C584,'NEW PTMT'!$B$4:$E1832,{3,4},0)</f>
        <v>476</v>
      </c>
      <c r="F584" s="30">
        <v>514.0</v>
      </c>
      <c r="G584" s="12">
        <v>30.0</v>
      </c>
      <c r="H584" s="18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17"/>
      <c r="Z584" s="6" t="str">
        <f t="shared" si="4"/>
        <v>Roman1311</v>
      </c>
      <c r="AA584" s="18" t="str">
        <f t="shared" si="5"/>
        <v>RomanPillar Cock (Foam Flow) with Flange</v>
      </c>
      <c r="AB584" s="60">
        <f t="shared" si="6"/>
        <v>514</v>
      </c>
      <c r="AC584" s="61">
        <v>1311.0</v>
      </c>
      <c r="AD584" s="15" t="s">
        <v>682</v>
      </c>
      <c r="AE584" s="18"/>
    </row>
    <row r="585">
      <c r="A585" s="5" t="s">
        <v>20</v>
      </c>
      <c r="B585" s="8" t="s">
        <v>114</v>
      </c>
      <c r="C585" s="21">
        <v>1321.0</v>
      </c>
      <c r="D585" s="21" t="s">
        <v>1623</v>
      </c>
      <c r="E585" s="53">
        <f t="array" ref="E585:F585">VLOOKUP(C585,'NEW PTMT'!$B$4:$E1832,{3,4},0)</f>
        <v>806.208</v>
      </c>
      <c r="F585" s="30">
        <v>872.0</v>
      </c>
      <c r="G585" s="30">
        <v>13.0</v>
      </c>
      <c r="H585" s="18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17"/>
      <c r="Z585" s="6" t="str">
        <f t="shared" si="4"/>
        <v>Roman132</v>
      </c>
      <c r="AA585" s="18" t="str">
        <f t="shared" si="5"/>
        <v>RomanSink Cock (W/M) with Flange</v>
      </c>
      <c r="AB585" s="60">
        <f t="shared" si="6"/>
        <v>872</v>
      </c>
      <c r="AC585" s="34">
        <v>132.0</v>
      </c>
      <c r="AD585" s="57" t="s">
        <v>436</v>
      </c>
      <c r="AE585" s="18"/>
    </row>
    <row r="586">
      <c r="A586" s="5" t="s">
        <v>20</v>
      </c>
      <c r="B586" s="8" t="s">
        <v>114</v>
      </c>
      <c r="C586" s="21">
        <v>1323.0</v>
      </c>
      <c r="D586" s="21" t="s">
        <v>1624</v>
      </c>
      <c r="E586" s="53">
        <f t="array" ref="E586:F586">VLOOKUP(C586,'NEW PTMT'!$B$4:$E1832,{3,4},0)</f>
        <v>806.208</v>
      </c>
      <c r="F586" s="30">
        <v>872.0</v>
      </c>
      <c r="G586" s="30">
        <v>30.0</v>
      </c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62"/>
      <c r="Z586" s="18" t="str">
        <f t="shared" si="4"/>
        <v>Roman132</v>
      </c>
      <c r="AA586" s="18" t="str">
        <f t="shared" si="5"/>
        <v>RomanSink Cock (W/M) with Flange</v>
      </c>
      <c r="AB586" s="60">
        <f t="shared" si="6"/>
        <v>872</v>
      </c>
      <c r="AC586" s="34">
        <v>132.0</v>
      </c>
      <c r="AD586" s="57" t="s">
        <v>436</v>
      </c>
      <c r="AE586" s="18"/>
    </row>
    <row r="587">
      <c r="A587" s="5" t="s">
        <v>20</v>
      </c>
      <c r="B587" s="8" t="s">
        <v>114</v>
      </c>
      <c r="C587" s="21">
        <v>1332.0</v>
      </c>
      <c r="D587" s="21" t="s">
        <v>1625</v>
      </c>
      <c r="E587" s="53">
        <f t="array" ref="E587:F587">VLOOKUP(C587,'NEW PTMT'!$B$4:$E1832,{3,4},0)</f>
        <v>828.24</v>
      </c>
      <c r="F587" s="30">
        <v>894.0</v>
      </c>
      <c r="G587" s="30">
        <v>13.0</v>
      </c>
      <c r="H587" s="18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17"/>
      <c r="Z587" s="6" t="str">
        <f t="shared" si="4"/>
        <v>Roman133</v>
      </c>
      <c r="AA587" s="18" t="str">
        <f t="shared" si="5"/>
        <v>RomanSink Cock Long Spout (T/M) with Flange</v>
      </c>
      <c r="AB587" s="60">
        <f t="shared" si="6"/>
        <v>894</v>
      </c>
      <c r="AC587" s="34">
        <v>133.0</v>
      </c>
      <c r="AD587" s="57" t="s">
        <v>480</v>
      </c>
      <c r="AE587" s="18"/>
    </row>
    <row r="588">
      <c r="A588" s="5" t="s">
        <v>20</v>
      </c>
      <c r="B588" s="8" t="s">
        <v>114</v>
      </c>
      <c r="C588" s="21">
        <v>1341.0</v>
      </c>
      <c r="D588" s="21" t="s">
        <v>1626</v>
      </c>
      <c r="E588" s="53">
        <f t="array" ref="E588:F588">VLOOKUP(C588,'NEW PTMT'!$B$4:$E1832,{3,4},0)</f>
        <v>1627.92</v>
      </c>
      <c r="F588" s="30">
        <v>1758.0</v>
      </c>
      <c r="G588" s="30">
        <v>13.0</v>
      </c>
      <c r="H588" s="18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17"/>
      <c r="Z588" s="6" t="str">
        <f t="shared" si="4"/>
        <v>Roman134</v>
      </c>
      <c r="AA588" s="18" t="str">
        <f t="shared" si="5"/>
        <v>RomanSink Mixer with Flange</v>
      </c>
      <c r="AB588" s="60">
        <f t="shared" si="6"/>
        <v>1758</v>
      </c>
      <c r="AC588" s="34">
        <v>134.0</v>
      </c>
      <c r="AD588" s="15" t="s">
        <v>499</v>
      </c>
      <c r="AE588" s="18"/>
    </row>
    <row r="589">
      <c r="A589" s="5" t="s">
        <v>20</v>
      </c>
      <c r="B589" s="8" t="s">
        <v>114</v>
      </c>
      <c r="C589" s="21">
        <v>1351.0</v>
      </c>
      <c r="D589" s="21" t="s">
        <v>1627</v>
      </c>
      <c r="E589" s="53">
        <f t="array" ref="E589:F589">VLOOKUP(C589,'NEW PTMT'!$B$4:$E1832,{3,4},0)</f>
        <v>1627.92</v>
      </c>
      <c r="F589" s="30">
        <v>1758.0</v>
      </c>
      <c r="G589" s="30">
        <v>13.0</v>
      </c>
      <c r="H589" s="18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17"/>
      <c r="Z589" s="6" t="str">
        <f t="shared" si="4"/>
        <v>Roman135</v>
      </c>
      <c r="AA589" s="18" t="str">
        <f t="shared" si="5"/>
        <v>RomanWall Mixer with Flange</v>
      </c>
      <c r="AB589" s="60">
        <f t="shared" si="6"/>
        <v>1758</v>
      </c>
      <c r="AC589" s="34">
        <v>135.0</v>
      </c>
      <c r="AD589" s="15" t="s">
        <v>519</v>
      </c>
      <c r="AE589" s="18"/>
    </row>
    <row r="590">
      <c r="A590" s="5" t="s">
        <v>20</v>
      </c>
      <c r="B590" s="8" t="s">
        <v>114</v>
      </c>
      <c r="C590" s="8">
        <v>1374.0</v>
      </c>
      <c r="D590" s="8" t="s">
        <v>523</v>
      </c>
      <c r="E590" s="53">
        <f t="array" ref="E590:F590">VLOOKUP(C590,'NEW PTMT'!$B$4:$E1832,{3,4},0)</f>
        <v>2239.92</v>
      </c>
      <c r="F590" s="30">
        <v>2418.0</v>
      </c>
      <c r="G590" s="30"/>
      <c r="H590" s="18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17"/>
      <c r="Z590" s="6" t="str">
        <f t="shared" si="4"/>
        <v>Roman1374</v>
      </c>
      <c r="AA590" s="18" t="str">
        <f t="shared" si="5"/>
        <v>Roman2 in 1 Telephonic Wall Mixer</v>
      </c>
      <c r="AB590" s="60">
        <f t="shared" si="6"/>
        <v>2418</v>
      </c>
      <c r="AC590" s="64" t="s">
        <v>539</v>
      </c>
      <c r="AD590" s="57" t="s">
        <v>540</v>
      </c>
      <c r="AE590" s="18"/>
    </row>
    <row r="591">
      <c r="A591" s="5" t="s">
        <v>20</v>
      </c>
      <c r="B591" s="8" t="s">
        <v>114</v>
      </c>
      <c r="C591" s="21">
        <v>1375.0</v>
      </c>
      <c r="D591" s="21" t="s">
        <v>1628</v>
      </c>
      <c r="E591" s="53">
        <f t="array" ref="E591:F591">VLOOKUP(C591,'NEW PTMT'!$B$4:$E1832,{3,4},0)</f>
        <v>1933.92</v>
      </c>
      <c r="F591" s="30">
        <v>2088.0</v>
      </c>
      <c r="G591" s="30">
        <v>6.0</v>
      </c>
      <c r="H591" s="18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17"/>
      <c r="Z591" s="6" t="str">
        <f t="shared" si="4"/>
        <v>Roman1375</v>
      </c>
      <c r="AA591" s="18" t="str">
        <f t="shared" si="5"/>
        <v>RomanWall Mixer L Bend with Flange</v>
      </c>
      <c r="AB591" s="60">
        <f t="shared" si="6"/>
        <v>2088</v>
      </c>
      <c r="AC591" s="64" t="s">
        <v>560</v>
      </c>
      <c r="AD591" s="57" t="s">
        <v>561</v>
      </c>
      <c r="AE591" s="18"/>
    </row>
    <row r="592">
      <c r="A592" s="5" t="s">
        <v>20</v>
      </c>
      <c r="B592" s="8" t="s">
        <v>114</v>
      </c>
      <c r="C592" s="21">
        <v>1411.0</v>
      </c>
      <c r="D592" s="21" t="s">
        <v>1629</v>
      </c>
      <c r="E592" s="53">
        <f t="array" ref="E592:F592">VLOOKUP(C592,'NEW PTMT'!$B$4:$E1832,{3,4},0)</f>
        <v>295.8</v>
      </c>
      <c r="F592" s="30">
        <v>318.0</v>
      </c>
      <c r="G592" s="30">
        <v>64.0</v>
      </c>
      <c r="H592" s="18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17"/>
      <c r="Z592" s="6" t="str">
        <f t="shared" si="4"/>
        <v>Roman141</v>
      </c>
      <c r="AA592" s="18" t="str">
        <f t="shared" si="5"/>
        <v>RomanStop Cock 15mm (M/T)</v>
      </c>
      <c r="AB592" s="60">
        <f t="shared" si="6"/>
        <v>318</v>
      </c>
      <c r="AC592" s="34">
        <v>141.0</v>
      </c>
      <c r="AD592" s="15" t="s">
        <v>719</v>
      </c>
      <c r="AE592" s="18"/>
    </row>
    <row r="593">
      <c r="A593" s="5" t="s">
        <v>20</v>
      </c>
      <c r="B593" s="8" t="s">
        <v>114</v>
      </c>
      <c r="C593" s="21">
        <v>1421.0</v>
      </c>
      <c r="D593" s="21" t="s">
        <v>1630</v>
      </c>
      <c r="E593" s="53">
        <f t="array" ref="E593:F593">VLOOKUP(C593,'NEW PTMT'!$B$4:$E1832,{3,4},0)</f>
        <v>311.8752</v>
      </c>
      <c r="F593" s="30">
        <v>338.0</v>
      </c>
      <c r="G593" s="30">
        <v>64.0</v>
      </c>
      <c r="H593" s="18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17"/>
      <c r="Z593" s="6" t="str">
        <f t="shared" si="4"/>
        <v>Roman142</v>
      </c>
      <c r="AA593" s="18" t="str">
        <f t="shared" si="5"/>
        <v>RomanStop Cock 15mm (F/T)</v>
      </c>
      <c r="AB593" s="60">
        <f t="shared" si="6"/>
        <v>338</v>
      </c>
      <c r="AC593" s="34">
        <v>142.0</v>
      </c>
      <c r="AD593" s="15" t="s">
        <v>717</v>
      </c>
      <c r="AE593" s="18"/>
    </row>
    <row r="594">
      <c r="A594" s="5" t="s">
        <v>20</v>
      </c>
      <c r="B594" s="8" t="s">
        <v>114</v>
      </c>
      <c r="C594" s="21">
        <v>1431.0</v>
      </c>
      <c r="D594" s="21" t="s">
        <v>1631</v>
      </c>
      <c r="E594" s="53">
        <f t="array" ref="E594:F594">VLOOKUP(C594,'NEW PTMT'!$B$4:$E1832,{3,4},0)</f>
        <v>328</v>
      </c>
      <c r="F594" s="30">
        <v>354.0</v>
      </c>
      <c r="G594" s="30">
        <v>64.0</v>
      </c>
      <c r="H594" s="18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17"/>
      <c r="Z594" s="6" t="str">
        <f t="shared" si="4"/>
        <v>Roman143</v>
      </c>
      <c r="AA594" s="18" t="str">
        <f t="shared" si="5"/>
        <v>RomanStop Cock 20mm (F/T)</v>
      </c>
      <c r="AB594" s="60">
        <f t="shared" si="6"/>
        <v>354</v>
      </c>
      <c r="AC594" s="34">
        <v>143.0</v>
      </c>
      <c r="AD594" s="15" t="s">
        <v>723</v>
      </c>
      <c r="AE594" s="18"/>
    </row>
    <row r="595">
      <c r="A595" s="5" t="s">
        <v>20</v>
      </c>
      <c r="B595" s="8" t="s">
        <v>114</v>
      </c>
      <c r="C595" s="21">
        <v>1441.0</v>
      </c>
      <c r="D595" s="21" t="s">
        <v>1632</v>
      </c>
      <c r="E595" s="53">
        <f t="array" ref="E595:F595">VLOOKUP(C595,'NEW PTMT'!$B$4:$E1832,{3,4},0)</f>
        <v>293.76</v>
      </c>
      <c r="F595" s="30">
        <v>318.0</v>
      </c>
      <c r="G595" s="30">
        <v>90.0</v>
      </c>
      <c r="H595" s="18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17"/>
      <c r="Z595" s="6" t="str">
        <f t="shared" si="4"/>
        <v>Roman144</v>
      </c>
      <c r="AA595" s="18" t="str">
        <f t="shared" si="5"/>
        <v>RomanAngle Cock with Flange</v>
      </c>
      <c r="AB595" s="60">
        <f t="shared" si="6"/>
        <v>318</v>
      </c>
      <c r="AC595" s="34">
        <v>144.0</v>
      </c>
      <c r="AD595" s="15" t="s">
        <v>395</v>
      </c>
      <c r="AE595" s="18"/>
    </row>
    <row r="596">
      <c r="A596" s="5" t="s">
        <v>20</v>
      </c>
      <c r="B596" s="8" t="s">
        <v>114</v>
      </c>
      <c r="C596" s="21">
        <v>1451.0</v>
      </c>
      <c r="D596" s="21" t="s">
        <v>1633</v>
      </c>
      <c r="E596" s="53">
        <f t="array" ref="E596:F596">VLOOKUP(C596,'NEW PTMT'!$B$4:$E1832,{3,4},0)</f>
        <v>594.048</v>
      </c>
      <c r="F596" s="30">
        <v>642.0</v>
      </c>
      <c r="G596" s="30">
        <v>35.0</v>
      </c>
      <c r="H596" s="18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17"/>
      <c r="Z596" s="6" t="str">
        <f t="shared" si="4"/>
        <v>Roman145</v>
      </c>
      <c r="AA596" s="18" t="str">
        <f t="shared" si="5"/>
        <v>Roman2 Way Angle Cock with Flange</v>
      </c>
      <c r="AB596" s="60">
        <f t="shared" si="6"/>
        <v>642</v>
      </c>
      <c r="AC596" s="34">
        <v>145.0</v>
      </c>
      <c r="AD596" s="15" t="s">
        <v>359</v>
      </c>
      <c r="AE596" s="18"/>
    </row>
    <row r="597">
      <c r="A597" s="5" t="s">
        <v>20</v>
      </c>
      <c r="B597" s="8" t="s">
        <v>114</v>
      </c>
      <c r="C597" s="21">
        <v>1461.0</v>
      </c>
      <c r="D597" s="21" t="s">
        <v>1634</v>
      </c>
      <c r="E597" s="53">
        <f t="array" ref="E597:F597">VLOOKUP(C597,'NEW PTMT'!$B$4:$E1832,{3,4},0)</f>
        <v>491.64</v>
      </c>
      <c r="F597" s="30">
        <v>532.0</v>
      </c>
      <c r="G597" s="30">
        <v>64.0</v>
      </c>
      <c r="H597" s="18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17"/>
      <c r="Z597" s="6" t="str">
        <f t="shared" si="4"/>
        <v>Roman146</v>
      </c>
      <c r="AA597" s="18" t="str">
        <f t="shared" si="5"/>
        <v>RomanConcealed Stop Cock 15mm</v>
      </c>
      <c r="AB597" s="60">
        <f t="shared" si="6"/>
        <v>532</v>
      </c>
      <c r="AC597" s="34">
        <v>146.0</v>
      </c>
      <c r="AD597" s="15" t="s">
        <v>663</v>
      </c>
      <c r="AE597" s="18"/>
    </row>
    <row r="598">
      <c r="A598" s="5" t="s">
        <v>20</v>
      </c>
      <c r="B598" s="8" t="s">
        <v>114</v>
      </c>
      <c r="C598" s="21">
        <v>1481.0</v>
      </c>
      <c r="D598" s="21" t="s">
        <v>1635</v>
      </c>
      <c r="E598" s="53">
        <f t="array" ref="E598:F598">VLOOKUP(C598,'NEW PTMT'!$B$4:$E1832,{3,4},0)</f>
        <v>505.92</v>
      </c>
      <c r="F598" s="30">
        <v>546.0</v>
      </c>
      <c r="G598" s="30">
        <v>64.0</v>
      </c>
      <c r="H598" s="18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17"/>
      <c r="Z598" s="6" t="str">
        <f t="shared" si="4"/>
        <v>Roman148</v>
      </c>
      <c r="AA598" s="18" t="str">
        <f t="shared" si="5"/>
        <v>RomanConcealed Stop Cock 20mm</v>
      </c>
      <c r="AB598" s="60">
        <f t="shared" si="6"/>
        <v>546</v>
      </c>
      <c r="AC598" s="34">
        <v>148.0</v>
      </c>
      <c r="AD598" s="15" t="s">
        <v>690</v>
      </c>
      <c r="AE598" s="18"/>
    </row>
    <row r="599">
      <c r="A599" s="5" t="s">
        <v>20</v>
      </c>
      <c r="B599" s="8" t="s">
        <v>114</v>
      </c>
      <c r="C599" s="21">
        <v>1471.0</v>
      </c>
      <c r="D599" s="21" t="s">
        <v>1636</v>
      </c>
      <c r="E599" s="53">
        <f t="array" ref="E599:F599">VLOOKUP(C599,'NEW PTMT'!$B$4:$E1832,{3,4},0)</f>
        <v>786</v>
      </c>
      <c r="F599" s="30">
        <v>848.0</v>
      </c>
      <c r="G599" s="30">
        <v>30.0</v>
      </c>
      <c r="H599" s="18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17"/>
      <c r="Z599" s="6" t="str">
        <f t="shared" si="4"/>
        <v>Roman147</v>
      </c>
      <c r="AA599" s="18" t="str">
        <f t="shared" si="5"/>
        <v>RomanPillar Cock Swan Neck (T/M) with Flange</v>
      </c>
      <c r="AB599" s="60">
        <f t="shared" si="6"/>
        <v>848</v>
      </c>
      <c r="AC599" s="34">
        <v>147.0</v>
      </c>
      <c r="AD599" s="15" t="s">
        <v>616</v>
      </c>
      <c r="AE599" s="18"/>
    </row>
    <row r="600">
      <c r="A600" s="5" t="s">
        <v>20</v>
      </c>
      <c r="B600" s="8" t="s">
        <v>114</v>
      </c>
      <c r="C600" s="21" t="s">
        <v>1637</v>
      </c>
      <c r="D600" s="21" t="s">
        <v>1638</v>
      </c>
      <c r="E600" s="53">
        <f t="array" ref="E600:F600">VLOOKUP(C600,'NEW PTMT'!$B$4:$E1832,{3,4},0)</f>
        <v>828.24</v>
      </c>
      <c r="F600" s="30">
        <v>894.0</v>
      </c>
      <c r="G600" s="30">
        <v>30.0</v>
      </c>
      <c r="H600" s="18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17"/>
      <c r="Z600" s="6" t="str">
        <f t="shared" si="4"/>
        <v>Roman147-Q</v>
      </c>
      <c r="AA600" s="18" t="str">
        <f t="shared" si="5"/>
        <v>RomanPillar Cock Swan Neck (T/M) Square Spout with Flange</v>
      </c>
      <c r="AB600" s="60">
        <f t="shared" si="6"/>
        <v>894</v>
      </c>
      <c r="AC600" s="34" t="s">
        <v>737</v>
      </c>
      <c r="AD600" s="15" t="s">
        <v>703</v>
      </c>
      <c r="AE600" s="18"/>
    </row>
    <row r="601">
      <c r="A601" s="5" t="s">
        <v>20</v>
      </c>
      <c r="B601" s="8" t="s">
        <v>114</v>
      </c>
      <c r="C601" s="21">
        <v>1491.0</v>
      </c>
      <c r="D601" s="21" t="s">
        <v>1639</v>
      </c>
      <c r="E601" s="53">
        <f t="array" ref="E601:F601">VLOOKUP(C601,'NEW PTMT'!$B$4:$E1832,{3,4},0)</f>
        <v>517.6704</v>
      </c>
      <c r="F601" s="30">
        <v>560.0</v>
      </c>
      <c r="G601" s="30">
        <v>30.0</v>
      </c>
      <c r="H601" s="18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17"/>
      <c r="Z601" s="6" t="str">
        <f t="shared" si="4"/>
        <v>Roman149</v>
      </c>
      <c r="AA601" s="18" t="str">
        <f t="shared" si="5"/>
        <v>RomanWashing Machine Tap with Flange</v>
      </c>
      <c r="AB601" s="60">
        <f t="shared" si="6"/>
        <v>560</v>
      </c>
      <c r="AC601" s="61">
        <v>149.0</v>
      </c>
      <c r="AD601" s="62" t="s">
        <v>731</v>
      </c>
      <c r="AE601" s="18"/>
    </row>
    <row r="602">
      <c r="A602" s="5" t="s">
        <v>20</v>
      </c>
      <c r="B602" s="8" t="s">
        <v>114</v>
      </c>
      <c r="C602" s="21">
        <v>1501.0</v>
      </c>
      <c r="D602" s="21" t="s">
        <v>1640</v>
      </c>
      <c r="E602" s="53">
        <f t="array" ref="E602:F602">VLOOKUP(C602,'NEW PTMT'!$B$4:$E1832,{3,4},0)</f>
        <v>1958.2368</v>
      </c>
      <c r="F602" s="30">
        <v>2116.0</v>
      </c>
      <c r="G602" s="30">
        <v>14.0</v>
      </c>
      <c r="H602" s="18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17"/>
      <c r="Z602" s="6" t="str">
        <f t="shared" si="4"/>
        <v>Roman150</v>
      </c>
      <c r="AA602" s="18" t="str">
        <f t="shared" si="5"/>
        <v>RomanCenter Hole Basin Mixer</v>
      </c>
      <c r="AB602" s="60">
        <f t="shared" si="6"/>
        <v>2116</v>
      </c>
      <c r="AC602" s="34">
        <v>150.0</v>
      </c>
      <c r="AD602" s="15" t="s">
        <v>650</v>
      </c>
      <c r="AE602" s="18"/>
    </row>
    <row r="603">
      <c r="A603" s="5" t="s">
        <v>20</v>
      </c>
      <c r="B603" s="8" t="s">
        <v>1641</v>
      </c>
      <c r="C603" s="21">
        <v>101.0</v>
      </c>
      <c r="D603" s="21" t="s">
        <v>1642</v>
      </c>
      <c r="E603" s="53">
        <f t="array" ref="E603:F603">VLOOKUP(C603,'NEW PTMT'!$B$4:$E1832,{3,4},0)</f>
        <v>112.2</v>
      </c>
      <c r="F603" s="30">
        <v>122.0</v>
      </c>
      <c r="G603" s="30">
        <v>108.0</v>
      </c>
      <c r="H603" s="18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17"/>
      <c r="Z603" s="6"/>
      <c r="AA603" s="18"/>
      <c r="AB603" s="33"/>
      <c r="AC603" s="34"/>
      <c r="AD603" s="18"/>
      <c r="AE603" s="18"/>
    </row>
    <row r="604">
      <c r="A604" s="5" t="s">
        <v>20</v>
      </c>
      <c r="B604" s="8" t="s">
        <v>1641</v>
      </c>
      <c r="C604" s="21">
        <v>102.0</v>
      </c>
      <c r="D604" s="21" t="s">
        <v>1643</v>
      </c>
      <c r="E604" s="53">
        <f t="array" ref="E604:F604">VLOOKUP(C604,'NEW PTMT'!$B$4:$E1832,{3,4},0)</f>
        <v>132</v>
      </c>
      <c r="F604" s="30">
        <v>144.0</v>
      </c>
      <c r="G604" s="30">
        <v>70.0</v>
      </c>
      <c r="H604" s="18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17"/>
      <c r="Z604" s="6"/>
      <c r="AA604" s="18"/>
      <c r="AB604" s="33"/>
      <c r="AC604" s="34"/>
      <c r="AD604" s="18"/>
      <c r="AE604" s="18"/>
    </row>
    <row r="605">
      <c r="A605" s="5" t="s">
        <v>20</v>
      </c>
      <c r="B605" s="8" t="s">
        <v>1641</v>
      </c>
      <c r="C605" s="21">
        <v>103.0</v>
      </c>
      <c r="D605" s="21" t="s">
        <v>1644</v>
      </c>
      <c r="E605" s="53">
        <f t="array" ref="E605:F605">VLOOKUP(C605,'NEW PTMT'!$B$4:$E1832,{3,4},0)</f>
        <v>112.2</v>
      </c>
      <c r="F605" s="30">
        <v>122.0</v>
      </c>
      <c r="G605" s="30">
        <v>108.0</v>
      </c>
      <c r="H605" s="18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17"/>
      <c r="Z605" s="6"/>
      <c r="AA605" s="18"/>
      <c r="AB605" s="33"/>
      <c r="AC605" s="34"/>
      <c r="AD605" s="18"/>
      <c r="AE605" s="18"/>
    </row>
    <row r="606">
      <c r="A606" s="5" t="s">
        <v>20</v>
      </c>
      <c r="B606" s="8" t="s">
        <v>1641</v>
      </c>
      <c r="C606" s="21">
        <v>104.0</v>
      </c>
      <c r="D606" s="21" t="s">
        <v>1645</v>
      </c>
      <c r="E606" s="53">
        <f t="array" ref="E606:F606">VLOOKUP(C606,'NEW PTMT'!$B$4:$E1832,{3,4},0)</f>
        <v>120.36</v>
      </c>
      <c r="F606" s="30">
        <v>130.0</v>
      </c>
      <c r="G606" s="30">
        <v>108.0</v>
      </c>
      <c r="H606" s="18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17"/>
      <c r="Z606" s="6"/>
      <c r="AA606" s="18"/>
      <c r="AB606" s="33"/>
      <c r="AC606" s="34"/>
      <c r="AD606" s="18"/>
      <c r="AE606" s="18"/>
    </row>
    <row r="607">
      <c r="A607" s="5" t="s">
        <v>20</v>
      </c>
      <c r="B607" s="8" t="s">
        <v>1641</v>
      </c>
      <c r="C607" s="21">
        <v>105.0</v>
      </c>
      <c r="D607" s="21" t="s">
        <v>1646</v>
      </c>
      <c r="E607" s="53">
        <f t="array" ref="E607:F607">VLOOKUP(C607,'NEW PTMT'!$B$4:$E1832,{3,4},0)</f>
        <v>598</v>
      </c>
      <c r="F607" s="30">
        <v>646.0</v>
      </c>
      <c r="G607" s="30">
        <v>32.0</v>
      </c>
      <c r="H607" s="18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17"/>
      <c r="Z607" s="6"/>
      <c r="AA607" s="18"/>
      <c r="AB607" s="33"/>
      <c r="AC607" s="34"/>
      <c r="AD607" s="18"/>
      <c r="AE607" s="18"/>
    </row>
    <row r="608">
      <c r="A608" s="5" t="s">
        <v>20</v>
      </c>
      <c r="B608" s="8" t="s">
        <v>1641</v>
      </c>
      <c r="C608" s="21">
        <v>106.0</v>
      </c>
      <c r="D608" s="21" t="s">
        <v>1647</v>
      </c>
      <c r="E608" s="53">
        <f t="array" ref="E608:F608">VLOOKUP(C608,'NEW PTMT'!$B$4:$E1832,{3,4},0)</f>
        <v>609.96</v>
      </c>
      <c r="F608" s="30">
        <v>660.0</v>
      </c>
      <c r="G608" s="30">
        <v>32.0</v>
      </c>
      <c r="H608" s="18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17"/>
      <c r="Z608" s="6"/>
      <c r="AA608" s="18"/>
      <c r="AB608" s="33"/>
      <c r="AC608" s="34"/>
      <c r="AD608" s="18"/>
      <c r="AE608" s="18"/>
    </row>
    <row r="609">
      <c r="A609" s="5" t="s">
        <v>20</v>
      </c>
      <c r="B609" s="8" t="s">
        <v>1641</v>
      </c>
      <c r="C609" s="21">
        <v>107.0</v>
      </c>
      <c r="D609" s="21" t="s">
        <v>1648</v>
      </c>
      <c r="E609" s="53">
        <f t="array" ref="E609:F609">VLOOKUP(C609,'NEW PTMT'!$B$4:$E1832,{3,4},0)</f>
        <v>387.6</v>
      </c>
      <c r="F609" s="30">
        <v>418.0</v>
      </c>
      <c r="G609" s="30">
        <v>15.0</v>
      </c>
      <c r="H609" s="18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17"/>
      <c r="Z609" s="6"/>
      <c r="AA609" s="18"/>
      <c r="AB609" s="33"/>
      <c r="AC609" s="34"/>
      <c r="AD609" s="18"/>
      <c r="AE609" s="18"/>
    </row>
    <row r="610">
      <c r="A610" s="5" t="s">
        <v>20</v>
      </c>
      <c r="B610" s="8" t="s">
        <v>1641</v>
      </c>
      <c r="C610" s="21">
        <v>110.0</v>
      </c>
      <c r="D610" s="21" t="s">
        <v>1649</v>
      </c>
      <c r="E610" s="53">
        <f t="array" ref="E610:F610">VLOOKUP(C610,'NEW PTMT'!$B$4:$E1832,{3,4},0)</f>
        <v>62</v>
      </c>
      <c r="F610" s="30">
        <v>68.0</v>
      </c>
      <c r="G610" s="30">
        <v>124.0</v>
      </c>
      <c r="H610" s="18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17"/>
      <c r="Z610" s="6"/>
      <c r="AA610" s="18"/>
      <c r="AB610" s="33"/>
      <c r="AC610" s="34"/>
      <c r="AD610" s="18"/>
      <c r="AE610" s="18"/>
    </row>
    <row r="611">
      <c r="A611" s="5" t="s">
        <v>20</v>
      </c>
      <c r="B611" s="8" t="s">
        <v>1641</v>
      </c>
      <c r="C611" s="21">
        <v>111.0</v>
      </c>
      <c r="D611" s="21" t="s">
        <v>1650</v>
      </c>
      <c r="E611" s="53">
        <f t="array" ref="E611:F611">VLOOKUP(C611,'NEW PTMT'!$B$4:$E1832,{3,4},0)</f>
        <v>64</v>
      </c>
      <c r="F611" s="30">
        <v>70.0</v>
      </c>
      <c r="G611" s="30">
        <v>330.0</v>
      </c>
      <c r="H611" s="18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17"/>
      <c r="Z611" s="6"/>
      <c r="AA611" s="18"/>
      <c r="AB611" s="33"/>
      <c r="AC611" s="34"/>
      <c r="AD611" s="18"/>
      <c r="AE611" s="18"/>
    </row>
    <row r="612">
      <c r="A612" s="5" t="s">
        <v>20</v>
      </c>
      <c r="B612" s="8" t="s">
        <v>1641</v>
      </c>
      <c r="C612" s="21">
        <v>1111.0</v>
      </c>
      <c r="D612" s="21" t="s">
        <v>1651</v>
      </c>
      <c r="E612" s="53">
        <f t="array" ref="E612:F612">VLOOKUP(C612,'NEW PTMT'!$B$4:$E1832,{3,4},0)</f>
        <v>56</v>
      </c>
      <c r="F612" s="30">
        <v>58.0</v>
      </c>
      <c r="G612" s="30">
        <v>330.0</v>
      </c>
      <c r="H612" s="18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17"/>
      <c r="Z612" s="6"/>
      <c r="AA612" s="18"/>
      <c r="AB612" s="33"/>
      <c r="AC612" s="34"/>
      <c r="AD612" s="18"/>
      <c r="AE612" s="18"/>
    </row>
    <row r="613">
      <c r="A613" s="5" t="s">
        <v>20</v>
      </c>
      <c r="B613" s="8" t="s">
        <v>1641</v>
      </c>
      <c r="C613" s="21">
        <v>112.0</v>
      </c>
      <c r="D613" s="21" t="s">
        <v>1652</v>
      </c>
      <c r="E613" s="53">
        <f t="array" ref="E613:F613">VLOOKUP(C613,'NEW PTMT'!$B$4:$E1832,{3,4},0)</f>
        <v>95.88</v>
      </c>
      <c r="F613" s="30">
        <v>104.0</v>
      </c>
      <c r="G613" s="30">
        <v>168.0</v>
      </c>
      <c r="H613" s="18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17"/>
      <c r="Z613" s="6"/>
      <c r="AA613" s="18"/>
      <c r="AB613" s="33"/>
      <c r="AC613" s="34"/>
      <c r="AD613" s="18"/>
      <c r="AE613" s="18"/>
    </row>
    <row r="614">
      <c r="A614" s="5" t="s">
        <v>20</v>
      </c>
      <c r="B614" s="8" t="s">
        <v>1641</v>
      </c>
      <c r="C614" s="21">
        <v>113.0</v>
      </c>
      <c r="D614" s="21" t="s">
        <v>1653</v>
      </c>
      <c r="E614" s="53">
        <f t="array" ref="E614:F614">VLOOKUP(C614,'NEW PTMT'!$B$4:$E1832,{3,4},0)</f>
        <v>95.88</v>
      </c>
      <c r="F614" s="30">
        <v>104.0</v>
      </c>
      <c r="G614" s="30">
        <v>168.0</v>
      </c>
      <c r="H614" s="18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17"/>
      <c r="Z614" s="6"/>
      <c r="AA614" s="18"/>
      <c r="AB614" s="33"/>
      <c r="AC614" s="34"/>
      <c r="AD614" s="18"/>
      <c r="AE614" s="18"/>
    </row>
    <row r="615">
      <c r="A615" s="5" t="s">
        <v>20</v>
      </c>
      <c r="B615" s="8" t="s">
        <v>1641</v>
      </c>
      <c r="C615" s="21">
        <v>114.0</v>
      </c>
      <c r="D615" s="21" t="s">
        <v>1654</v>
      </c>
      <c r="E615" s="53">
        <f t="array" ref="E615:F615">VLOOKUP(C615,'NEW PTMT'!$B$4:$E1832,{3,4},0)</f>
        <v>118.32</v>
      </c>
      <c r="F615" s="30">
        <v>128.0</v>
      </c>
      <c r="G615" s="30">
        <v>153.0</v>
      </c>
      <c r="H615" s="18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17"/>
      <c r="Z615" s="6"/>
      <c r="AA615" s="18"/>
      <c r="AB615" s="33"/>
      <c r="AC615" s="34"/>
      <c r="AD615" s="18"/>
      <c r="AE615" s="18"/>
    </row>
    <row r="616">
      <c r="A616" s="5" t="s">
        <v>20</v>
      </c>
      <c r="B616" s="8" t="s">
        <v>1641</v>
      </c>
      <c r="C616" s="21">
        <v>115.0</v>
      </c>
      <c r="D616" s="21" t="s">
        <v>1655</v>
      </c>
      <c r="E616" s="53">
        <f t="array" ref="E616:F616">VLOOKUP(C616,'NEW PTMT'!$B$4:$E1832,{3,4},0)</f>
        <v>178</v>
      </c>
      <c r="F616" s="30">
        <v>192.0</v>
      </c>
      <c r="G616" s="30">
        <v>51.0</v>
      </c>
      <c r="H616" s="18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17"/>
      <c r="Z616" s="6"/>
      <c r="AA616" s="18"/>
      <c r="AB616" s="33"/>
      <c r="AC616" s="34"/>
      <c r="AD616" s="18"/>
      <c r="AE616" s="18"/>
    </row>
    <row r="617">
      <c r="A617" s="5" t="s">
        <v>20</v>
      </c>
      <c r="B617" s="8" t="s">
        <v>1641</v>
      </c>
      <c r="C617" s="21">
        <v>116.0</v>
      </c>
      <c r="D617" s="21" t="s">
        <v>1656</v>
      </c>
      <c r="E617" s="53">
        <f t="array" ref="E617:F617">VLOOKUP(C617,'NEW PTMT'!$B$4:$E1832,{3,4},0)</f>
        <v>178</v>
      </c>
      <c r="F617" s="30">
        <v>192.0</v>
      </c>
      <c r="G617" s="30">
        <v>51.0</v>
      </c>
      <c r="H617" s="18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17"/>
      <c r="Z617" s="6"/>
      <c r="AA617" s="18"/>
      <c r="AB617" s="33"/>
      <c r="AC617" s="34"/>
      <c r="AD617" s="18"/>
      <c r="AE617" s="18"/>
    </row>
    <row r="618">
      <c r="A618" s="5" t="s">
        <v>20</v>
      </c>
      <c r="B618" s="8" t="s">
        <v>1641</v>
      </c>
      <c r="C618" s="21">
        <v>117.0</v>
      </c>
      <c r="D618" s="21" t="s">
        <v>1657</v>
      </c>
      <c r="E618" s="53">
        <f t="array" ref="E618:F618">VLOOKUP(C618,'NEW PTMT'!$B$4:$E1832,{3,4},0)</f>
        <v>102</v>
      </c>
      <c r="F618" s="30">
        <v>110.0</v>
      </c>
      <c r="G618" s="30">
        <v>64.0</v>
      </c>
      <c r="H618" s="18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17"/>
      <c r="Z618" s="6"/>
      <c r="AA618" s="18"/>
      <c r="AB618" s="33"/>
      <c r="AC618" s="34"/>
      <c r="AD618" s="18"/>
      <c r="AE618" s="18"/>
    </row>
    <row r="619">
      <c r="A619" s="5" t="s">
        <v>20</v>
      </c>
      <c r="B619" s="8" t="s">
        <v>1641</v>
      </c>
      <c r="C619" s="21">
        <v>118.0</v>
      </c>
      <c r="D619" s="21" t="s">
        <v>1658</v>
      </c>
      <c r="E619" s="53">
        <f t="array" ref="E619:F619">VLOOKUP(C619,'NEW PTMT'!$B$4:$E1832,{3,4},0)</f>
        <v>138</v>
      </c>
      <c r="F619" s="30">
        <v>148.0</v>
      </c>
      <c r="G619" s="30">
        <v>153.0</v>
      </c>
      <c r="H619" s="18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17"/>
      <c r="Z619" s="6"/>
      <c r="AA619" s="18"/>
      <c r="AB619" s="33"/>
      <c r="AC619" s="34"/>
      <c r="AD619" s="18"/>
      <c r="AE619" s="18"/>
    </row>
    <row r="620">
      <c r="A620" s="5" t="s">
        <v>20</v>
      </c>
      <c r="B620" s="8" t="s">
        <v>1641</v>
      </c>
      <c r="C620" s="21">
        <v>119.0</v>
      </c>
      <c r="D620" s="21" t="s">
        <v>1659</v>
      </c>
      <c r="E620" s="53">
        <f t="array" ref="E620:F620">VLOOKUP(C620,'NEW PTMT'!$B$4:$E1832,{3,4},0)</f>
        <v>254</v>
      </c>
      <c r="F620" s="30">
        <v>274.0</v>
      </c>
      <c r="G620" s="30">
        <v>23.0</v>
      </c>
      <c r="H620" s="18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17"/>
      <c r="Z620" s="6"/>
      <c r="AA620" s="18"/>
      <c r="AB620" s="33"/>
      <c r="AC620" s="34"/>
      <c r="AD620" s="18"/>
      <c r="AE620" s="18"/>
    </row>
    <row r="621">
      <c r="A621" s="5" t="s">
        <v>20</v>
      </c>
      <c r="B621" s="8" t="s">
        <v>1641</v>
      </c>
      <c r="C621" s="21" t="s">
        <v>1660</v>
      </c>
      <c r="D621" s="21" t="s">
        <v>1661</v>
      </c>
      <c r="E621" s="53">
        <f t="array" ref="E621:F621">VLOOKUP(C621,'NEW PTMT'!$B$4:$E1832,{3,4},0)</f>
        <v>254</v>
      </c>
      <c r="F621" s="30">
        <v>274.0</v>
      </c>
      <c r="G621" s="30">
        <v>23.0</v>
      </c>
      <c r="H621" s="18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17"/>
      <c r="Z621" s="6"/>
      <c r="AA621" s="18"/>
      <c r="AB621" s="33"/>
      <c r="AC621" s="34"/>
      <c r="AD621" s="18"/>
      <c r="AE621" s="18"/>
    </row>
    <row r="622">
      <c r="A622" s="5" t="s">
        <v>20</v>
      </c>
      <c r="B622" s="8" t="s">
        <v>1641</v>
      </c>
      <c r="C622" s="21">
        <v>1191.0</v>
      </c>
      <c r="D622" s="21" t="s">
        <v>1662</v>
      </c>
      <c r="E622" s="53">
        <f t="array" ref="E622:F622">VLOOKUP(C622,'NEW PTMT'!$B$4:$E1832,{3,4},0)</f>
        <v>254</v>
      </c>
      <c r="F622" s="30">
        <v>274.0</v>
      </c>
      <c r="G622" s="30">
        <v>29.0</v>
      </c>
      <c r="H622" s="18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17"/>
      <c r="Z622" s="6"/>
      <c r="AA622" s="18"/>
      <c r="AB622" s="33"/>
      <c r="AC622" s="34"/>
      <c r="AD622" s="18"/>
      <c r="AE622" s="18"/>
    </row>
    <row r="623">
      <c r="A623" s="5" t="s">
        <v>20</v>
      </c>
      <c r="B623" s="8" t="s">
        <v>1541</v>
      </c>
      <c r="C623" s="21">
        <v>181.0</v>
      </c>
      <c r="D623" s="21" t="s">
        <v>1663</v>
      </c>
      <c r="E623" s="53">
        <f t="array" ref="E623:F623">VLOOKUP(C623,'NEW PTMT'!$B$4:$E1832,{3,4},0)</f>
        <v>218</v>
      </c>
      <c r="F623" s="30">
        <v>236.0</v>
      </c>
      <c r="G623" s="30">
        <v>108.0</v>
      </c>
      <c r="H623" s="18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17"/>
      <c r="Z623" s="6"/>
      <c r="AA623" s="18"/>
      <c r="AB623" s="33"/>
      <c r="AC623" s="34"/>
      <c r="AD623" s="18"/>
      <c r="AE623" s="18"/>
    </row>
    <row r="624">
      <c r="A624" s="5" t="s">
        <v>20</v>
      </c>
      <c r="B624" s="8" t="s">
        <v>1541</v>
      </c>
      <c r="C624" s="21">
        <v>1813.0</v>
      </c>
      <c r="D624" s="21" t="s">
        <v>1664</v>
      </c>
      <c r="E624" s="53">
        <f t="array" ref="E624:F624">VLOOKUP(C624,'NEW PTMT'!$B$4:$E1832,{3,4},0)</f>
        <v>291.72</v>
      </c>
      <c r="F624" s="30">
        <v>316.0</v>
      </c>
      <c r="G624" s="30">
        <v>42.0</v>
      </c>
      <c r="H624" s="18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17"/>
      <c r="Z624" s="6"/>
      <c r="AA624" s="18"/>
      <c r="AB624" s="33"/>
      <c r="AC624" s="34"/>
      <c r="AD624" s="18"/>
      <c r="AE624" s="18"/>
    </row>
    <row r="625">
      <c r="A625" s="5" t="s">
        <v>20</v>
      </c>
      <c r="B625" s="8" t="s">
        <v>1541</v>
      </c>
      <c r="C625" s="21">
        <v>1816.0</v>
      </c>
      <c r="D625" s="21" t="s">
        <v>1665</v>
      </c>
      <c r="E625" s="53">
        <f t="array" ref="E625:F625">VLOOKUP(C625,'NEW PTMT'!$B$4:$E1832,{3,4},0)</f>
        <v>566</v>
      </c>
      <c r="F625" s="30">
        <v>612.0</v>
      </c>
      <c r="G625" s="30">
        <v>8.0</v>
      </c>
      <c r="H625" s="18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17"/>
      <c r="Z625" s="6"/>
      <c r="AA625" s="18"/>
      <c r="AB625" s="33"/>
      <c r="AC625" s="34"/>
      <c r="AD625" s="18"/>
      <c r="AE625" s="18"/>
    </row>
    <row r="626">
      <c r="A626" s="5" t="s">
        <v>20</v>
      </c>
      <c r="B626" s="8" t="s">
        <v>1541</v>
      </c>
      <c r="C626" s="21">
        <v>1811.0</v>
      </c>
      <c r="D626" s="21" t="s">
        <v>1666</v>
      </c>
      <c r="E626" s="53">
        <f t="array" ref="E626:F626">VLOOKUP(C626,'NEW PTMT'!$B$4:$E1832,{3,4},0)</f>
        <v>303.96</v>
      </c>
      <c r="F626" s="30">
        <v>328.0</v>
      </c>
      <c r="G626" s="30">
        <v>38.0</v>
      </c>
      <c r="H626" s="18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17"/>
      <c r="Z626" s="6"/>
      <c r="AA626" s="18"/>
      <c r="AB626" s="33"/>
      <c r="AC626" s="34"/>
      <c r="AD626" s="18"/>
      <c r="AE626" s="18"/>
    </row>
    <row r="627">
      <c r="A627" s="5" t="s">
        <v>20</v>
      </c>
      <c r="B627" s="8" t="s">
        <v>1541</v>
      </c>
      <c r="C627" s="21">
        <v>1814.0</v>
      </c>
      <c r="D627" s="21" t="s">
        <v>1667</v>
      </c>
      <c r="E627" s="53">
        <f t="array" ref="E627:F627">VLOOKUP(C627,'NEW PTMT'!$B$4:$E1832,{3,4},0)</f>
        <v>303.96</v>
      </c>
      <c r="F627" s="30">
        <v>328.0</v>
      </c>
      <c r="G627" s="30">
        <v>42.0</v>
      </c>
      <c r="H627" s="18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17"/>
      <c r="Z627" s="6"/>
      <c r="AA627" s="18"/>
      <c r="AB627" s="33"/>
      <c r="AC627" s="34"/>
      <c r="AD627" s="18"/>
      <c r="AE627" s="18"/>
    </row>
    <row r="628">
      <c r="A628" s="5" t="s">
        <v>20</v>
      </c>
      <c r="B628" s="8" t="s">
        <v>1541</v>
      </c>
      <c r="C628" s="21">
        <v>1815.0</v>
      </c>
      <c r="D628" s="21" t="s">
        <v>1668</v>
      </c>
      <c r="E628" s="53">
        <f t="array" ref="E628:F628">VLOOKUP(C628,'NEW PTMT'!$B$4:$E1832,{3,4},0)</f>
        <v>338</v>
      </c>
      <c r="F628" s="30">
        <v>366.0</v>
      </c>
      <c r="G628" s="30">
        <v>42.0</v>
      </c>
      <c r="H628" s="18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17"/>
      <c r="Z628" s="6"/>
      <c r="AA628" s="18"/>
      <c r="AB628" s="33"/>
      <c r="AC628" s="34"/>
      <c r="AD628" s="18"/>
      <c r="AE628" s="18"/>
    </row>
    <row r="629">
      <c r="A629" s="5" t="s">
        <v>20</v>
      </c>
      <c r="B629" s="8" t="s">
        <v>1541</v>
      </c>
      <c r="C629" s="21">
        <v>1817.0</v>
      </c>
      <c r="D629" s="21" t="s">
        <v>1669</v>
      </c>
      <c r="E629" s="53">
        <f t="array" ref="E629:F629">VLOOKUP(C629,'NEW PTMT'!$B$4:$E1832,{3,4},0)</f>
        <v>338</v>
      </c>
      <c r="F629" s="30">
        <v>366.0</v>
      </c>
      <c r="G629" s="30">
        <v>42.0</v>
      </c>
      <c r="H629" s="18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17"/>
      <c r="Z629" s="6"/>
      <c r="AA629" s="18"/>
      <c r="AB629" s="33"/>
      <c r="AC629" s="34"/>
      <c r="AD629" s="18"/>
      <c r="AE629" s="18"/>
    </row>
    <row r="630">
      <c r="A630" s="5" t="s">
        <v>20</v>
      </c>
      <c r="B630" s="8" t="s">
        <v>1541</v>
      </c>
      <c r="C630" s="21">
        <v>1821.0</v>
      </c>
      <c r="D630" s="21" t="s">
        <v>1670</v>
      </c>
      <c r="E630" s="53">
        <f t="array" ref="E630:F630">VLOOKUP(C630,'NEW PTMT'!$B$4:$E1832,{3,4},0)</f>
        <v>497.76</v>
      </c>
      <c r="F630" s="30">
        <v>538.0</v>
      </c>
      <c r="G630" s="30">
        <v>8.0</v>
      </c>
      <c r="H630" s="18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17"/>
      <c r="Z630" s="6"/>
      <c r="AA630" s="18"/>
      <c r="AB630" s="33"/>
      <c r="AC630" s="34"/>
      <c r="AD630" s="18"/>
      <c r="AE630" s="18"/>
    </row>
    <row r="631">
      <c r="A631" s="5" t="s">
        <v>20</v>
      </c>
      <c r="B631" s="8" t="s">
        <v>1541</v>
      </c>
      <c r="C631" s="21">
        <v>183.0</v>
      </c>
      <c r="D631" s="21" t="s">
        <v>1671</v>
      </c>
      <c r="E631" s="53">
        <f t="array" ref="E631:F631">VLOOKUP(C631,'NEW PTMT'!$B$4:$E1832,{3,4},0)</f>
        <v>507.96</v>
      </c>
      <c r="F631" s="30">
        <v>548.0</v>
      </c>
      <c r="G631" s="30">
        <v>14.0</v>
      </c>
      <c r="H631" s="18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17"/>
      <c r="Z631" s="6"/>
      <c r="AA631" s="18"/>
      <c r="AB631" s="33"/>
      <c r="AC631" s="34"/>
      <c r="AD631" s="18"/>
      <c r="AE631" s="18"/>
    </row>
    <row r="632">
      <c r="A632" s="5" t="s">
        <v>20</v>
      </c>
      <c r="B632" s="8" t="s">
        <v>1541</v>
      </c>
      <c r="C632" s="21">
        <v>1831.0</v>
      </c>
      <c r="D632" s="21" t="s">
        <v>1672</v>
      </c>
      <c r="E632" s="53">
        <f t="array" ref="E632:F632">VLOOKUP(C632,'NEW PTMT'!$B$4:$E1832,{3,4},0)</f>
        <v>436</v>
      </c>
      <c r="F632" s="30">
        <v>472.0</v>
      </c>
      <c r="G632" s="30">
        <v>14.0</v>
      </c>
      <c r="H632" s="18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17"/>
      <c r="Z632" s="6"/>
      <c r="AA632" s="18"/>
      <c r="AB632" s="33"/>
      <c r="AC632" s="34"/>
      <c r="AD632" s="18"/>
      <c r="AE632" s="18"/>
    </row>
    <row r="633">
      <c r="A633" s="5" t="s">
        <v>20</v>
      </c>
      <c r="B633" s="8" t="s">
        <v>1541</v>
      </c>
      <c r="C633" s="21">
        <v>184.0</v>
      </c>
      <c r="D633" s="21" t="s">
        <v>3178</v>
      </c>
      <c r="E633" s="53">
        <f t="array" ref="E633:F633">VLOOKUP(C633,'NEW PTMT'!$B$4:$E1832,{3,4},0)</f>
        <v>164</v>
      </c>
      <c r="F633" s="30">
        <v>178.0</v>
      </c>
      <c r="G633" s="30">
        <v>124.0</v>
      </c>
      <c r="H633" s="18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17"/>
      <c r="Z633" s="6"/>
      <c r="AA633" s="18"/>
      <c r="AB633" s="33"/>
      <c r="AC633" s="34"/>
      <c r="AD633" s="18"/>
      <c r="AE633" s="18"/>
    </row>
    <row r="634">
      <c r="A634" s="5" t="s">
        <v>20</v>
      </c>
      <c r="B634" s="8" t="s">
        <v>1541</v>
      </c>
      <c r="C634" s="21">
        <v>1841.0</v>
      </c>
      <c r="D634" s="21" t="s">
        <v>1674</v>
      </c>
      <c r="E634" s="53">
        <f t="array" ref="E634:F634">VLOOKUP(C634,'NEW PTMT'!$B$4:$E1832,{3,4},0)</f>
        <v>185.64</v>
      </c>
      <c r="F634" s="30">
        <v>198.0</v>
      </c>
      <c r="G634" s="30">
        <v>124.0</v>
      </c>
      <c r="H634" s="18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17"/>
      <c r="Z634" s="6"/>
      <c r="AA634" s="18"/>
      <c r="AB634" s="33"/>
      <c r="AC634" s="34"/>
      <c r="AD634" s="18"/>
      <c r="AE634" s="18"/>
    </row>
    <row r="635">
      <c r="A635" s="5" t="s">
        <v>20</v>
      </c>
      <c r="B635" s="8" t="s">
        <v>1541</v>
      </c>
      <c r="C635" s="21">
        <v>1842.0</v>
      </c>
      <c r="D635" s="21" t="s">
        <v>1675</v>
      </c>
      <c r="E635" s="53">
        <f t="array" ref="E635:F635">VLOOKUP(C635,'NEW PTMT'!$B$4:$E1832,{3,4},0)</f>
        <v>226</v>
      </c>
      <c r="F635" s="30">
        <v>244.0</v>
      </c>
      <c r="G635" s="30">
        <v>96.0</v>
      </c>
      <c r="H635" s="18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17"/>
      <c r="Z635" s="6"/>
      <c r="AA635" s="18"/>
      <c r="AB635" s="33"/>
      <c r="AC635" s="34"/>
      <c r="AD635" s="18"/>
      <c r="AE635" s="18"/>
    </row>
    <row r="636">
      <c r="A636" s="5" t="s">
        <v>20</v>
      </c>
      <c r="B636" s="8" t="s">
        <v>1541</v>
      </c>
      <c r="C636" s="21">
        <v>190.0</v>
      </c>
      <c r="D636" s="21" t="s">
        <v>1676</v>
      </c>
      <c r="E636" s="53">
        <f t="array" ref="E636:F636">VLOOKUP(C636,'NEW PTMT'!$B$4:$E1832,{3,4},0)</f>
        <v>442</v>
      </c>
      <c r="F636" s="30">
        <v>478.0</v>
      </c>
      <c r="G636" s="30">
        <v>28.0</v>
      </c>
      <c r="H636" s="18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17"/>
      <c r="Z636" s="6"/>
      <c r="AA636" s="18"/>
      <c r="AB636" s="33"/>
      <c r="AC636" s="34"/>
      <c r="AD636" s="18"/>
      <c r="AE636" s="18"/>
    </row>
    <row r="637">
      <c r="A637" s="5" t="s">
        <v>20</v>
      </c>
      <c r="B637" s="8" t="s">
        <v>1541</v>
      </c>
      <c r="C637" s="21">
        <v>191.0</v>
      </c>
      <c r="D637" s="21" t="s">
        <v>1677</v>
      </c>
      <c r="E637" s="53">
        <f t="array" ref="E637:F637">VLOOKUP(C637,'NEW PTMT'!$B$4:$E1832,{3,4},0)</f>
        <v>632.2368</v>
      </c>
      <c r="F637" s="30">
        <v>684.0</v>
      </c>
      <c r="G637" s="30">
        <v>45.0</v>
      </c>
      <c r="H637" s="18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17"/>
      <c r="Z637" s="6"/>
      <c r="AA637" s="18"/>
      <c r="AB637" s="33"/>
      <c r="AC637" s="34"/>
      <c r="AD637" s="18"/>
      <c r="AE637" s="18"/>
    </row>
    <row r="638">
      <c r="A638" s="5" t="s">
        <v>20</v>
      </c>
      <c r="B638" s="8" t="s">
        <v>1541</v>
      </c>
      <c r="C638" s="21">
        <v>192.0</v>
      </c>
      <c r="D638" s="21" t="s">
        <v>1678</v>
      </c>
      <c r="E638" s="53">
        <f t="array" ref="E638:F638">VLOOKUP(C638,'NEW PTMT'!$B$4:$E1832,{3,4},0)</f>
        <v>422.1984</v>
      </c>
      <c r="F638" s="30">
        <v>456.0</v>
      </c>
      <c r="G638" s="30">
        <v>27.0</v>
      </c>
      <c r="H638" s="18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17"/>
      <c r="Z638" s="6"/>
      <c r="AA638" s="18"/>
      <c r="AB638" s="33"/>
      <c r="AC638" s="34"/>
      <c r="AD638" s="18"/>
      <c r="AE638" s="18"/>
    </row>
    <row r="639">
      <c r="A639" s="5" t="s">
        <v>20</v>
      </c>
      <c r="B639" s="8" t="s">
        <v>1541</v>
      </c>
      <c r="C639" s="21">
        <v>194.0</v>
      </c>
      <c r="D639" s="21" t="s">
        <v>1679</v>
      </c>
      <c r="E639" s="53">
        <f t="array" ref="E639:F639">VLOOKUP(C639,'NEW PTMT'!$B$4:$E1832,{3,4},0)</f>
        <v>307.632</v>
      </c>
      <c r="F639" s="30">
        <v>332.0</v>
      </c>
      <c r="G639" s="30">
        <v>28.0</v>
      </c>
      <c r="H639" s="18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17"/>
      <c r="Z639" s="6"/>
      <c r="AA639" s="18"/>
      <c r="AB639" s="33"/>
      <c r="AC639" s="34"/>
      <c r="AD639" s="18"/>
      <c r="AE639" s="18"/>
    </row>
    <row r="640">
      <c r="A640" s="5" t="s">
        <v>20</v>
      </c>
      <c r="B640" s="8" t="s">
        <v>1541</v>
      </c>
      <c r="C640" s="21">
        <v>195.0</v>
      </c>
      <c r="D640" s="21" t="s">
        <v>1680</v>
      </c>
      <c r="E640" s="53">
        <f t="array" ref="E640:F640">VLOOKUP(C640,'NEW PTMT'!$B$4:$E1832,{3,4},0)</f>
        <v>198</v>
      </c>
      <c r="F640" s="30">
        <v>214.0</v>
      </c>
      <c r="G640" s="30">
        <v>38.0</v>
      </c>
      <c r="H640" s="18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17"/>
      <c r="Z640" s="6"/>
      <c r="AA640" s="18"/>
      <c r="AB640" s="33"/>
      <c r="AC640" s="34"/>
      <c r="AD640" s="18"/>
      <c r="AE640" s="18"/>
    </row>
    <row r="641">
      <c r="A641" s="5" t="s">
        <v>20</v>
      </c>
      <c r="B641" s="8" t="s">
        <v>1541</v>
      </c>
      <c r="C641" s="21">
        <v>1951.0</v>
      </c>
      <c r="D641" s="21" t="s">
        <v>1681</v>
      </c>
      <c r="E641" s="53">
        <f t="array" ref="E641:F641">VLOOKUP(C641,'NEW PTMT'!$B$4:$E1832,{3,4},0)</f>
        <v>195.84</v>
      </c>
      <c r="F641" s="30">
        <v>212.0</v>
      </c>
      <c r="G641" s="30">
        <v>52.0</v>
      </c>
      <c r="H641" s="18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17"/>
      <c r="Z641" s="6"/>
      <c r="AA641" s="18"/>
      <c r="AB641" s="33"/>
      <c r="AC641" s="34"/>
      <c r="AD641" s="18"/>
      <c r="AE641" s="18"/>
    </row>
    <row r="642">
      <c r="A642" s="5" t="s">
        <v>20</v>
      </c>
      <c r="B642" s="8" t="s">
        <v>1541</v>
      </c>
      <c r="C642" s="21">
        <v>196.0</v>
      </c>
      <c r="D642" s="21" t="s">
        <v>1682</v>
      </c>
      <c r="E642" s="53">
        <f t="array" ref="E642:F642">VLOOKUP(C642,'NEW PTMT'!$B$4:$E1832,{3,4},0)</f>
        <v>264</v>
      </c>
      <c r="F642" s="30">
        <v>286.0</v>
      </c>
      <c r="G642" s="30">
        <v>26.0</v>
      </c>
      <c r="H642" s="18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17"/>
      <c r="Z642" s="6"/>
      <c r="AA642" s="18"/>
      <c r="AB642" s="33"/>
      <c r="AC642" s="34"/>
      <c r="AD642" s="18"/>
      <c r="AE642" s="18"/>
    </row>
    <row r="643">
      <c r="A643" s="5" t="s">
        <v>20</v>
      </c>
      <c r="B643" s="8" t="s">
        <v>1541</v>
      </c>
      <c r="C643" s="21">
        <v>1961.0</v>
      </c>
      <c r="D643" s="21" t="s">
        <v>1683</v>
      </c>
      <c r="E643" s="53">
        <f t="array" ref="E643:F643">VLOOKUP(C643,'NEW PTMT'!$B$4:$E1832,{3,4},0)</f>
        <v>264</v>
      </c>
      <c r="F643" s="30">
        <v>286.0</v>
      </c>
      <c r="G643" s="30">
        <v>27.0</v>
      </c>
      <c r="H643" s="18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17"/>
      <c r="Z643" s="6"/>
      <c r="AA643" s="18"/>
      <c r="AB643" s="33"/>
      <c r="AC643" s="34"/>
      <c r="AD643" s="18"/>
      <c r="AE643" s="18"/>
    </row>
    <row r="644">
      <c r="A644" s="5" t="s">
        <v>20</v>
      </c>
      <c r="B644" s="8" t="s">
        <v>1541</v>
      </c>
      <c r="C644" s="21">
        <v>197.0</v>
      </c>
      <c r="D644" s="21" t="s">
        <v>1684</v>
      </c>
      <c r="E644" s="53">
        <f t="array" ref="E644:F644">VLOOKUP(C644,'NEW PTMT'!$B$4:$E1832,{3,4},0)</f>
        <v>226</v>
      </c>
      <c r="F644" s="30">
        <v>244.0</v>
      </c>
      <c r="G644" s="30">
        <v>32.0</v>
      </c>
      <c r="H644" s="18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17"/>
      <c r="Z644" s="6"/>
      <c r="AA644" s="18"/>
      <c r="AB644" s="33"/>
      <c r="AC644" s="34"/>
      <c r="AD644" s="18"/>
      <c r="AE644" s="18"/>
    </row>
    <row r="645">
      <c r="A645" s="5" t="s">
        <v>20</v>
      </c>
      <c r="B645" s="8" t="s">
        <v>1541</v>
      </c>
      <c r="C645" s="21">
        <v>198.0</v>
      </c>
      <c r="D645" s="21" t="s">
        <v>1685</v>
      </c>
      <c r="E645" s="53">
        <f t="array" ref="E645:F645">VLOOKUP(C645,'NEW PTMT'!$B$4:$E1832,{3,4},0)</f>
        <v>264</v>
      </c>
      <c r="F645" s="30">
        <v>286.0</v>
      </c>
      <c r="G645" s="30">
        <v>28.0</v>
      </c>
      <c r="H645" s="18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17"/>
      <c r="Z645" s="6"/>
      <c r="AA645" s="18"/>
      <c r="AB645" s="33"/>
      <c r="AC645" s="34"/>
      <c r="AD645" s="18"/>
      <c r="AE645" s="18"/>
    </row>
    <row r="646">
      <c r="A646" s="5" t="s">
        <v>20</v>
      </c>
      <c r="B646" s="8" t="s">
        <v>1541</v>
      </c>
      <c r="C646" s="21">
        <v>199.0</v>
      </c>
      <c r="D646" s="21" t="s">
        <v>1686</v>
      </c>
      <c r="E646" s="53">
        <f t="array" ref="E646:F646">VLOOKUP(C646,'NEW PTMT'!$B$4:$E1832,{3,4},0)</f>
        <v>436</v>
      </c>
      <c r="F646" s="30">
        <v>472.0</v>
      </c>
      <c r="G646" s="30">
        <v>50.0</v>
      </c>
      <c r="H646" s="18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17"/>
      <c r="Z646" s="6"/>
      <c r="AA646" s="18"/>
      <c r="AB646" s="33"/>
      <c r="AC646" s="34"/>
      <c r="AD646" s="18"/>
      <c r="AE646" s="18"/>
    </row>
    <row r="647">
      <c r="A647" s="5" t="s">
        <v>20</v>
      </c>
      <c r="B647" s="8" t="s">
        <v>1541</v>
      </c>
      <c r="C647" s="21">
        <v>200.0</v>
      </c>
      <c r="D647" s="21" t="s">
        <v>1687</v>
      </c>
      <c r="E647" s="53">
        <f t="array" ref="E647:F647">VLOOKUP(C647,'NEW PTMT'!$B$4:$E1832,{3,4},0)</f>
        <v>507.96</v>
      </c>
      <c r="F647" s="30">
        <v>548.0</v>
      </c>
      <c r="G647" s="30">
        <v>30.0</v>
      </c>
      <c r="H647" s="18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17"/>
      <c r="Z647" s="6"/>
      <c r="AA647" s="18"/>
      <c r="AB647" s="33"/>
      <c r="AC647" s="34"/>
      <c r="AD647" s="18"/>
      <c r="AE647" s="18"/>
    </row>
    <row r="648">
      <c r="A648" s="5" t="s">
        <v>20</v>
      </c>
      <c r="B648" s="8" t="s">
        <v>1541</v>
      </c>
      <c r="C648" s="21">
        <v>575.0</v>
      </c>
      <c r="D648" s="21" t="s">
        <v>1688</v>
      </c>
      <c r="E648" s="53">
        <f t="array" ref="E648:F648">VLOOKUP(C648,'NEW PTMT'!$B$4:$E1832,{3,4},0)</f>
        <v>167.6064</v>
      </c>
      <c r="F648" s="30">
        <v>182.0</v>
      </c>
      <c r="G648" s="30">
        <v>70.0</v>
      </c>
      <c r="H648" s="18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17"/>
      <c r="Z648" s="6"/>
      <c r="AA648" s="18"/>
      <c r="AB648" s="33"/>
      <c r="AC648" s="34"/>
      <c r="AD648" s="18"/>
      <c r="AE648" s="18"/>
    </row>
    <row r="649">
      <c r="A649" s="5" t="s">
        <v>20</v>
      </c>
      <c r="B649" s="8" t="s">
        <v>1541</v>
      </c>
      <c r="C649" s="21">
        <v>552.0</v>
      </c>
      <c r="D649" s="21" t="s">
        <v>1689</v>
      </c>
      <c r="E649" s="53">
        <f t="array" ref="E649:F649">VLOOKUP(C649,'NEW PTMT'!$B$4:$E1832,{3,4},0)</f>
        <v>1266</v>
      </c>
      <c r="F649" s="30">
        <v>1368.0</v>
      </c>
      <c r="G649" s="30">
        <v>10.0</v>
      </c>
      <c r="H649" s="18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17"/>
      <c r="Z649" s="6"/>
      <c r="AA649" s="18"/>
      <c r="AB649" s="33"/>
      <c r="AC649" s="34"/>
      <c r="AD649" s="18"/>
      <c r="AE649" s="18"/>
    </row>
    <row r="650">
      <c r="A650" s="5" t="s">
        <v>20</v>
      </c>
      <c r="B650" s="8" t="s">
        <v>1541</v>
      </c>
      <c r="C650" s="21">
        <v>126.0</v>
      </c>
      <c r="D650" s="21" t="s">
        <v>1690</v>
      </c>
      <c r="E650" s="53">
        <f t="array" ref="E650:F650">VLOOKUP(C650,'NEW PTMT'!$B$4:$E1832,{3,4},0)</f>
        <v>14.28</v>
      </c>
      <c r="F650" s="30">
        <v>15.0</v>
      </c>
      <c r="G650" s="30">
        <v>1000.0</v>
      </c>
      <c r="H650" s="18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17"/>
      <c r="Z650" s="6"/>
      <c r="AA650" s="18"/>
      <c r="AB650" s="33"/>
      <c r="AC650" s="34"/>
      <c r="AD650" s="18"/>
      <c r="AE650" s="18"/>
    </row>
    <row r="651">
      <c r="A651" s="5" t="s">
        <v>20</v>
      </c>
      <c r="B651" s="8" t="s">
        <v>1541</v>
      </c>
      <c r="C651" s="21" t="s">
        <v>1691</v>
      </c>
      <c r="D651" s="21" t="s">
        <v>1692</v>
      </c>
      <c r="E651" s="53">
        <f t="array" ref="E651:F651">VLOOKUP(C651,'NEW PTMT'!$B$4:$E1832,{3,4},0)</f>
        <v>16.32</v>
      </c>
      <c r="F651" s="30">
        <v>18.0</v>
      </c>
      <c r="G651" s="30">
        <v>1000.0</v>
      </c>
      <c r="H651" s="18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17"/>
      <c r="Z651" s="6"/>
      <c r="AA651" s="18"/>
      <c r="AB651" s="33"/>
      <c r="AC651" s="34"/>
      <c r="AD651" s="18"/>
      <c r="AE651" s="18"/>
    </row>
    <row r="652">
      <c r="A652" s="5" t="s">
        <v>20</v>
      </c>
      <c r="B652" s="8" t="s">
        <v>1541</v>
      </c>
      <c r="C652" s="21" t="s">
        <v>1693</v>
      </c>
      <c r="D652" s="21" t="s">
        <v>1694</v>
      </c>
      <c r="E652" s="53">
        <f t="array" ref="E652:F652">VLOOKUP(C652,'NEW PTMT'!$B$4:$E1832,{3,4},0)</f>
        <v>632.2368</v>
      </c>
      <c r="F652" s="30">
        <v>684.0</v>
      </c>
      <c r="G652" s="30">
        <v>50.0</v>
      </c>
      <c r="H652" s="18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17"/>
      <c r="Z652" s="6"/>
      <c r="AA652" s="18"/>
      <c r="AB652" s="33"/>
      <c r="AC652" s="34"/>
      <c r="AD652" s="18"/>
      <c r="AE652" s="18"/>
    </row>
    <row r="653">
      <c r="A653" s="5" t="s">
        <v>20</v>
      </c>
      <c r="B653" s="8" t="s">
        <v>1541</v>
      </c>
      <c r="C653" s="21" t="s">
        <v>1695</v>
      </c>
      <c r="D653" s="21" t="s">
        <v>1696</v>
      </c>
      <c r="E653" s="53">
        <f t="array" ref="E653:F653">VLOOKUP(C653,'NEW PTMT'!$B$4:$E1832,{3,4},0)</f>
        <v>632.2368</v>
      </c>
      <c r="F653" s="30">
        <v>684.0</v>
      </c>
      <c r="G653" s="30">
        <v>50.0</v>
      </c>
      <c r="H653" s="18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17"/>
      <c r="Z653" s="6"/>
      <c r="AA653" s="18"/>
      <c r="AB653" s="33"/>
      <c r="AC653" s="34"/>
      <c r="AD653" s="18"/>
      <c r="AE653" s="18"/>
    </row>
    <row r="654">
      <c r="A654" s="5" t="s">
        <v>20</v>
      </c>
      <c r="B654" s="8" t="s">
        <v>1541</v>
      </c>
      <c r="C654" s="8">
        <v>1178.0</v>
      </c>
      <c r="D654" s="8" t="s">
        <v>1542</v>
      </c>
      <c r="E654" s="53">
        <f t="array" ref="E654:F654">VLOOKUP(C654,'NEW PTMT'!$B$4:$E1832,{3,4},0)</f>
        <v>418.2</v>
      </c>
      <c r="F654" s="30">
        <v>452.0</v>
      </c>
      <c r="G654" s="30"/>
      <c r="H654" s="18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17"/>
      <c r="Z654" s="6"/>
      <c r="AA654" s="18"/>
      <c r="AB654" s="33"/>
      <c r="AC654" s="34"/>
      <c r="AD654" s="18"/>
      <c r="AE654" s="18"/>
    </row>
    <row r="655">
      <c r="A655" s="5" t="s">
        <v>20</v>
      </c>
      <c r="B655" s="8" t="s">
        <v>1541</v>
      </c>
      <c r="C655" s="8">
        <v>1180.0</v>
      </c>
      <c r="D655" s="8" t="s">
        <v>1544</v>
      </c>
      <c r="E655" s="53">
        <f t="array" ref="E655:F655">VLOOKUP(C655,'NEW PTMT'!$B$4:$E1832,{3,4},0)</f>
        <v>387.6</v>
      </c>
      <c r="F655" s="30">
        <v>418.0</v>
      </c>
      <c r="G655" s="30"/>
      <c r="H655" s="18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17"/>
      <c r="Z655" s="6"/>
      <c r="AA655" s="18"/>
      <c r="AB655" s="33"/>
      <c r="AC655" s="34"/>
      <c r="AD655" s="18"/>
      <c r="AE655" s="18"/>
    </row>
    <row r="656">
      <c r="A656" s="5" t="s">
        <v>20</v>
      </c>
      <c r="B656" s="8" t="s">
        <v>3432</v>
      </c>
      <c r="C656" s="21" t="s">
        <v>1697</v>
      </c>
      <c r="D656" s="21" t="s">
        <v>1698</v>
      </c>
      <c r="E656" s="53">
        <f t="array" ref="E656:F656">VLOOKUP(C656,'NEW PTMT'!$B$4:$E1832,{3,4},0)</f>
        <v>375.5232</v>
      </c>
      <c r="F656" s="30">
        <v>406.0</v>
      </c>
      <c r="G656" s="30">
        <v>40.0</v>
      </c>
      <c r="H656" s="18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17"/>
      <c r="Z656" s="6"/>
      <c r="AA656" s="18"/>
      <c r="AB656" s="33"/>
      <c r="AC656" s="34"/>
      <c r="AD656" s="18"/>
      <c r="AE656" s="18"/>
    </row>
    <row r="657">
      <c r="A657" s="5" t="s">
        <v>20</v>
      </c>
      <c r="B657" s="8" t="s">
        <v>3432</v>
      </c>
      <c r="C657" s="21" t="s">
        <v>1699</v>
      </c>
      <c r="D657" s="21" t="s">
        <v>1700</v>
      </c>
      <c r="E657" s="53">
        <f t="array" ref="E657:F657">VLOOKUP(C657,'NEW PTMT'!$B$4:$E1832,{3,4},0)</f>
        <v>468</v>
      </c>
      <c r="F657" s="30">
        <v>506.0</v>
      </c>
      <c r="G657" s="30">
        <v>30.0</v>
      </c>
      <c r="H657" s="18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17"/>
      <c r="Z657" s="6"/>
      <c r="AA657" s="18"/>
      <c r="AB657" s="33"/>
      <c r="AC657" s="34"/>
      <c r="AD657" s="18"/>
      <c r="AE657" s="18"/>
    </row>
    <row r="658">
      <c r="A658" s="5" t="s">
        <v>20</v>
      </c>
      <c r="B658" s="8" t="s">
        <v>3432</v>
      </c>
      <c r="C658" s="21" t="s">
        <v>1701</v>
      </c>
      <c r="D658" s="21" t="s">
        <v>1702</v>
      </c>
      <c r="E658" s="53">
        <f t="array" ref="E658:F658">VLOOKUP(C658,'NEW PTMT'!$B$4:$E1832,{3,4},0)</f>
        <v>483.7248</v>
      </c>
      <c r="F658" s="30">
        <v>522.0</v>
      </c>
      <c r="G658" s="30">
        <v>30.0</v>
      </c>
      <c r="H658" s="18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17"/>
      <c r="Z658" s="6"/>
      <c r="AA658" s="18"/>
      <c r="AB658" s="33"/>
      <c r="AC658" s="34"/>
      <c r="AD658" s="18"/>
      <c r="AE658" s="18"/>
    </row>
    <row r="659">
      <c r="A659" s="5" t="s">
        <v>20</v>
      </c>
      <c r="B659" s="8" t="s">
        <v>3432</v>
      </c>
      <c r="C659" s="21" t="s">
        <v>1703</v>
      </c>
      <c r="D659" s="21" t="s">
        <v>1704</v>
      </c>
      <c r="E659" s="53">
        <f t="array" ref="E659:F659">VLOOKUP(C659,'NEW PTMT'!$B$4:$E1832,{3,4},0)</f>
        <v>517.6704</v>
      </c>
      <c r="F659" s="30">
        <v>558.0</v>
      </c>
      <c r="G659" s="30">
        <v>30.0</v>
      </c>
      <c r="H659" s="18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17"/>
      <c r="Z659" s="6"/>
      <c r="AA659" s="18"/>
      <c r="AB659" s="33"/>
      <c r="AC659" s="34"/>
      <c r="AD659" s="18"/>
      <c r="AE659" s="18"/>
    </row>
    <row r="660">
      <c r="A660" s="5" t="s">
        <v>20</v>
      </c>
      <c r="B660" s="8" t="s">
        <v>3432</v>
      </c>
      <c r="C660" s="21" t="s">
        <v>1705</v>
      </c>
      <c r="D660" s="21" t="s">
        <v>1706</v>
      </c>
      <c r="E660" s="53">
        <f t="array" ref="E660:F660">VLOOKUP(C660,'NEW PTMT'!$B$4:$E1832,{3,4},0)</f>
        <v>711.96</v>
      </c>
      <c r="F660" s="30">
        <v>768.0</v>
      </c>
      <c r="G660" s="30">
        <v>24.0</v>
      </c>
      <c r="H660" s="18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17"/>
      <c r="Z660" s="6"/>
      <c r="AA660" s="18"/>
      <c r="AB660" s="33"/>
      <c r="AC660" s="34"/>
      <c r="AD660" s="18"/>
      <c r="AE660" s="18"/>
    </row>
    <row r="661">
      <c r="A661" s="5" t="s">
        <v>20</v>
      </c>
      <c r="B661" s="8" t="s">
        <v>3432</v>
      </c>
      <c r="C661" s="21" t="s">
        <v>1707</v>
      </c>
      <c r="D661" s="21" t="s">
        <v>1708</v>
      </c>
      <c r="E661" s="53">
        <f t="array" ref="E661:F661">VLOOKUP(C661,'NEW PTMT'!$B$4:$E1832,{3,4},0)</f>
        <v>446</v>
      </c>
      <c r="F661" s="30">
        <v>482.0</v>
      </c>
      <c r="G661" s="30">
        <v>30.0</v>
      </c>
      <c r="H661" s="18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17"/>
      <c r="Z661" s="6"/>
      <c r="AA661" s="18"/>
      <c r="AB661" s="33"/>
      <c r="AC661" s="34"/>
      <c r="AD661" s="18"/>
      <c r="AE661" s="18"/>
    </row>
    <row r="662">
      <c r="A662" s="5" t="s">
        <v>20</v>
      </c>
      <c r="B662" s="8" t="s">
        <v>3432</v>
      </c>
      <c r="C662" s="21" t="s">
        <v>1709</v>
      </c>
      <c r="D662" s="21" t="s">
        <v>1710</v>
      </c>
      <c r="E662" s="53">
        <f t="array" ref="E662:F662">VLOOKUP(C662,'NEW PTMT'!$B$4:$E1832,{3,4},0)</f>
        <v>458</v>
      </c>
      <c r="F662" s="30">
        <v>496.0</v>
      </c>
      <c r="G662" s="30">
        <v>30.0</v>
      </c>
      <c r="H662" s="18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17"/>
      <c r="Z662" s="6"/>
      <c r="AA662" s="18"/>
      <c r="AB662" s="33"/>
      <c r="AC662" s="34"/>
      <c r="AD662" s="18"/>
      <c r="AE662" s="18"/>
    </row>
    <row r="663">
      <c r="A663" s="5" t="s">
        <v>20</v>
      </c>
      <c r="B663" s="8" t="s">
        <v>3432</v>
      </c>
      <c r="C663" s="21" t="s">
        <v>1711</v>
      </c>
      <c r="D663" s="21" t="s">
        <v>1712</v>
      </c>
      <c r="E663" s="53">
        <f t="array" ref="E663:F663">VLOOKUP(C663,'NEW PTMT'!$B$4:$E1832,{3,4},0)</f>
        <v>481.6032</v>
      </c>
      <c r="F663" s="30">
        <v>522.0</v>
      </c>
      <c r="G663" s="30">
        <v>30.0</v>
      </c>
      <c r="H663" s="18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17"/>
      <c r="Z663" s="6"/>
      <c r="AA663" s="18"/>
      <c r="AB663" s="33"/>
      <c r="AC663" s="34"/>
      <c r="AD663" s="18"/>
      <c r="AE663" s="18"/>
    </row>
    <row r="664">
      <c r="A664" s="5" t="s">
        <v>20</v>
      </c>
      <c r="B664" s="8" t="s">
        <v>3432</v>
      </c>
      <c r="C664" s="21" t="s">
        <v>1713</v>
      </c>
      <c r="D664" s="21" t="s">
        <v>1714</v>
      </c>
      <c r="E664" s="53">
        <f t="array" ref="E664:F664">VLOOKUP(C664,'NEW PTMT'!$B$4:$E1832,{3,4},0)</f>
        <v>481.6032</v>
      </c>
      <c r="F664" s="30">
        <v>522.0</v>
      </c>
      <c r="G664" s="30">
        <v>30.0</v>
      </c>
      <c r="H664" s="18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17"/>
      <c r="Z664" s="6"/>
      <c r="AA664" s="18"/>
      <c r="AB664" s="33"/>
      <c r="AC664" s="34"/>
      <c r="AD664" s="18"/>
      <c r="AE664" s="18"/>
    </row>
    <row r="665">
      <c r="A665" s="5" t="s">
        <v>20</v>
      </c>
      <c r="B665" s="8" t="s">
        <v>3432</v>
      </c>
      <c r="C665" s="21" t="s">
        <v>1715</v>
      </c>
      <c r="D665" s="21" t="s">
        <v>1716</v>
      </c>
      <c r="E665" s="53">
        <f t="array" ref="E665:F665">VLOOKUP(C665,'NEW PTMT'!$B$4:$E1832,{3,4},0)</f>
        <v>458</v>
      </c>
      <c r="F665" s="30">
        <v>496.0</v>
      </c>
      <c r="G665" s="30">
        <v>30.0</v>
      </c>
      <c r="H665" s="18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17"/>
      <c r="Z665" s="6"/>
      <c r="AA665" s="18"/>
      <c r="AB665" s="33"/>
      <c r="AC665" s="34"/>
      <c r="AD665" s="18"/>
      <c r="AE665" s="18"/>
    </row>
    <row r="666">
      <c r="A666" s="5" t="s">
        <v>20</v>
      </c>
      <c r="B666" s="8" t="s">
        <v>3432</v>
      </c>
      <c r="C666" s="8">
        <v>1179.0</v>
      </c>
      <c r="D666" s="8" t="s">
        <v>1547</v>
      </c>
      <c r="E666" s="53" t="str">
        <f t="array" ref="E666:F666">VLOOKUP(C666,'NEW PTMT'!$B$4:$E1832,{3,4},0)</f>
        <v>#N/A</v>
      </c>
      <c r="F666" s="30" t="e">
        <v>#N/A</v>
      </c>
      <c r="G666" s="30"/>
      <c r="H666" s="18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17"/>
      <c r="Z666" s="6"/>
      <c r="AA666" s="18"/>
      <c r="AB666" s="33"/>
      <c r="AC666" s="34"/>
      <c r="AD666" s="18"/>
      <c r="AE666" s="18"/>
    </row>
    <row r="667">
      <c r="A667" s="5" t="s">
        <v>20</v>
      </c>
      <c r="B667" s="8" t="s">
        <v>3432</v>
      </c>
      <c r="C667" s="8">
        <v>1181.0</v>
      </c>
      <c r="D667" s="8" t="s">
        <v>1549</v>
      </c>
      <c r="E667" s="53" t="str">
        <f t="array" ref="E667:F667">VLOOKUP(C667,'NEW PTMT'!$B$4:$E1832,{3,4},0)</f>
        <v>#N/A</v>
      </c>
      <c r="F667" s="30" t="e">
        <v>#N/A</v>
      </c>
      <c r="G667" s="30"/>
      <c r="H667" s="18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17"/>
      <c r="Z667" s="6"/>
      <c r="AA667" s="18"/>
      <c r="AB667" s="33"/>
      <c r="AC667" s="34"/>
      <c r="AD667" s="18"/>
      <c r="AE667" s="18"/>
    </row>
    <row r="668">
      <c r="A668" s="5" t="s">
        <v>20</v>
      </c>
      <c r="B668" s="8" t="s">
        <v>1724</v>
      </c>
      <c r="C668" s="21">
        <v>571.0</v>
      </c>
      <c r="D668" s="21" t="s">
        <v>1725</v>
      </c>
      <c r="E668" s="53">
        <f t="array" ref="E668:F668">VLOOKUP(C668,'NEW PTMT'!$B$4:$E1832,{3,4},0)</f>
        <v>811.92</v>
      </c>
      <c r="F668" s="30">
        <v>878.0</v>
      </c>
      <c r="G668" s="59">
        <v>38.0</v>
      </c>
      <c r="H668" s="18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17"/>
      <c r="Z668" s="6"/>
      <c r="AA668" s="18"/>
      <c r="AB668" s="33"/>
      <c r="AC668" s="34"/>
      <c r="AD668" s="18"/>
      <c r="AE668" s="18"/>
    </row>
    <row r="669">
      <c r="A669" s="5" t="s">
        <v>20</v>
      </c>
      <c r="B669" s="8" t="s">
        <v>1724</v>
      </c>
      <c r="C669" s="21">
        <v>572.0</v>
      </c>
      <c r="D669" s="21" t="s">
        <v>1726</v>
      </c>
      <c r="E669" s="53">
        <f t="array" ref="E669:F669">VLOOKUP(C669,'NEW PTMT'!$B$4:$E1832,{3,4},0)</f>
        <v>811.92</v>
      </c>
      <c r="F669" s="30">
        <v>878.0</v>
      </c>
      <c r="G669" s="59">
        <v>38.0</v>
      </c>
      <c r="H669" s="18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17"/>
      <c r="Z669" s="6"/>
      <c r="AA669" s="18"/>
      <c r="AB669" s="33"/>
      <c r="AC669" s="34"/>
      <c r="AD669" s="18"/>
      <c r="AE669" s="18"/>
    </row>
    <row r="670">
      <c r="A670" s="5" t="s">
        <v>20</v>
      </c>
      <c r="B670" s="8" t="s">
        <v>1727</v>
      </c>
      <c r="C670" s="21">
        <v>187.0</v>
      </c>
      <c r="D670" s="21" t="s">
        <v>1728</v>
      </c>
      <c r="E670" s="53">
        <f t="array" ref="E670:F670">VLOOKUP(C670,'NEW PTMT'!$B$4:$E1832,{3,4},0)</f>
        <v>582</v>
      </c>
      <c r="F670" s="30">
        <v>628.0</v>
      </c>
      <c r="G670" s="30">
        <v>22.0</v>
      </c>
      <c r="H670" s="18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17"/>
      <c r="Z670" s="6"/>
      <c r="AA670" s="18"/>
      <c r="AB670" s="33"/>
      <c r="AC670" s="34"/>
      <c r="AD670" s="18"/>
      <c r="AE670" s="18"/>
    </row>
    <row r="671">
      <c r="A671" s="5" t="s">
        <v>20</v>
      </c>
      <c r="B671" s="8" t="s">
        <v>1727</v>
      </c>
      <c r="C671" s="21">
        <v>1871.0</v>
      </c>
      <c r="D671" s="21" t="s">
        <v>1729</v>
      </c>
      <c r="E671" s="53">
        <f t="array" ref="E671:F671">VLOOKUP(C671,'NEW PTMT'!$B$4:$E1832,{3,4},0)</f>
        <v>598</v>
      </c>
      <c r="F671" s="30">
        <v>646.0</v>
      </c>
      <c r="G671" s="30">
        <v>22.0</v>
      </c>
      <c r="H671" s="18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17"/>
      <c r="Z671" s="6"/>
      <c r="AA671" s="18"/>
      <c r="AB671" s="33"/>
      <c r="AC671" s="34"/>
      <c r="AD671" s="18"/>
      <c r="AE671" s="18"/>
    </row>
    <row r="672">
      <c r="A672" s="5" t="s">
        <v>20</v>
      </c>
      <c r="B672" s="8" t="s">
        <v>1727</v>
      </c>
      <c r="C672" s="21">
        <v>188.0</v>
      </c>
      <c r="D672" s="21" t="s">
        <v>1730</v>
      </c>
      <c r="E672" s="53">
        <f t="array" ref="E672:F672">VLOOKUP(C672,'NEW PTMT'!$B$4:$E1832,{3,4},0)</f>
        <v>652</v>
      </c>
      <c r="F672" s="30">
        <v>704.0</v>
      </c>
      <c r="G672" s="30">
        <v>22.0</v>
      </c>
      <c r="H672" s="18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17"/>
      <c r="Z672" s="6"/>
      <c r="AA672" s="18"/>
      <c r="AB672" s="33"/>
      <c r="AC672" s="34"/>
      <c r="AD672" s="18"/>
      <c r="AE672" s="18"/>
    </row>
    <row r="673">
      <c r="A673" s="5" t="s">
        <v>20</v>
      </c>
      <c r="B673" s="8" t="s">
        <v>1727</v>
      </c>
      <c r="C673" s="21">
        <v>1881.0</v>
      </c>
      <c r="D673" s="21" t="s">
        <v>1730</v>
      </c>
      <c r="E673" s="53">
        <f t="array" ref="E673:F673">VLOOKUP(C673,'NEW PTMT'!$B$4:$E1832,{3,4},0)</f>
        <v>672</v>
      </c>
      <c r="F673" s="30">
        <v>726.0</v>
      </c>
      <c r="G673" s="30">
        <v>22.0</v>
      </c>
      <c r="H673" s="18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17"/>
      <c r="Z673" s="6"/>
      <c r="AA673" s="18"/>
      <c r="AB673" s="33"/>
      <c r="AC673" s="34"/>
      <c r="AD673" s="18"/>
      <c r="AE673" s="18"/>
    </row>
    <row r="674">
      <c r="A674" s="5" t="s">
        <v>20</v>
      </c>
      <c r="B674" s="8" t="s">
        <v>1727</v>
      </c>
      <c r="C674" s="21">
        <v>189.0</v>
      </c>
      <c r="D674" s="21" t="s">
        <v>1731</v>
      </c>
      <c r="E674" s="53">
        <f t="array" ref="E674:F674">VLOOKUP(C674,'NEW PTMT'!$B$4:$E1832,{3,4},0)</f>
        <v>356</v>
      </c>
      <c r="F674" s="30">
        <v>384.0</v>
      </c>
      <c r="G674" s="30">
        <v>55.0</v>
      </c>
      <c r="H674" s="18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17"/>
      <c r="Z674" s="6"/>
      <c r="AA674" s="18"/>
      <c r="AB674" s="33"/>
      <c r="AC674" s="34"/>
      <c r="AD674" s="18"/>
      <c r="AE674" s="18"/>
    </row>
    <row r="675">
      <c r="A675" s="5" t="s">
        <v>20</v>
      </c>
      <c r="B675" s="8" t="s">
        <v>1727</v>
      </c>
      <c r="C675" s="21">
        <v>1891.0</v>
      </c>
      <c r="D675" s="21" t="s">
        <v>1731</v>
      </c>
      <c r="E675" s="53">
        <f t="array" ref="E675:F675">VLOOKUP(C675,'NEW PTMT'!$B$4:$E1832,{3,4},0)</f>
        <v>376</v>
      </c>
      <c r="F675" s="30">
        <v>406.0</v>
      </c>
      <c r="G675" s="30">
        <v>48.0</v>
      </c>
      <c r="H675" s="18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17"/>
      <c r="Z675" s="6"/>
      <c r="AA675" s="18"/>
      <c r="AB675" s="33"/>
      <c r="AC675" s="34"/>
      <c r="AD675" s="18"/>
      <c r="AE675" s="18"/>
    </row>
    <row r="676">
      <c r="A676" s="5" t="s">
        <v>20</v>
      </c>
      <c r="B676" s="8" t="s">
        <v>1727</v>
      </c>
      <c r="C676" s="21">
        <v>521.0</v>
      </c>
      <c r="D676" s="21" t="s">
        <v>1732</v>
      </c>
      <c r="E676" s="53">
        <f t="array" ref="E676:F676">VLOOKUP(C676,'NEW PTMT'!$B$4:$E1832,{3,4},0)</f>
        <v>313.9968</v>
      </c>
      <c r="F676" s="30">
        <v>338.0</v>
      </c>
      <c r="G676" s="30">
        <v>26.0</v>
      </c>
      <c r="H676" s="18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17"/>
      <c r="Z676" s="6"/>
      <c r="AA676" s="18"/>
      <c r="AB676" s="33"/>
      <c r="AC676" s="34"/>
      <c r="AD676" s="18"/>
      <c r="AE676" s="18"/>
    </row>
    <row r="677">
      <c r="A677" s="5" t="s">
        <v>20</v>
      </c>
      <c r="B677" s="8" t="s">
        <v>1727</v>
      </c>
      <c r="C677" s="21">
        <v>522.0</v>
      </c>
      <c r="D677" s="21" t="s">
        <v>1733</v>
      </c>
      <c r="E677" s="53">
        <f t="array" ref="E677:F677">VLOOKUP(C677,'NEW PTMT'!$B$4:$E1832,{3,4},0)</f>
        <v>350</v>
      </c>
      <c r="F677" s="30">
        <v>378.0</v>
      </c>
      <c r="G677" s="30">
        <v>24.0</v>
      </c>
      <c r="H677" s="18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17"/>
      <c r="Z677" s="6"/>
      <c r="AA677" s="18"/>
      <c r="AB677" s="33"/>
      <c r="AC677" s="34"/>
      <c r="AD677" s="18"/>
      <c r="AE677" s="18"/>
    </row>
    <row r="678">
      <c r="A678" s="5" t="s">
        <v>20</v>
      </c>
      <c r="B678" s="8" t="s">
        <v>1727</v>
      </c>
      <c r="C678" s="21">
        <v>5211.0</v>
      </c>
      <c r="D678" s="21" t="s">
        <v>1734</v>
      </c>
      <c r="E678" s="53">
        <f t="array" ref="E678:F678">VLOOKUP(C678,'NEW PTMT'!$B$4:$E1832,{3,4},0)</f>
        <v>313.9968</v>
      </c>
      <c r="F678" s="30">
        <v>338.0</v>
      </c>
      <c r="G678" s="30">
        <v>26.0</v>
      </c>
      <c r="H678" s="18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17"/>
      <c r="Z678" s="6"/>
      <c r="AA678" s="18"/>
      <c r="AB678" s="33"/>
      <c r="AC678" s="34"/>
      <c r="AD678" s="18"/>
      <c r="AE678" s="18"/>
    </row>
    <row r="679">
      <c r="A679" s="5" t="s">
        <v>20</v>
      </c>
      <c r="B679" s="8" t="s">
        <v>1727</v>
      </c>
      <c r="C679" s="21">
        <v>5221.0</v>
      </c>
      <c r="D679" s="21" t="s">
        <v>1735</v>
      </c>
      <c r="E679" s="53">
        <f t="array" ref="E679:F679">VLOOKUP(C679,'NEW PTMT'!$B$4:$E1832,{3,4},0)</f>
        <v>350</v>
      </c>
      <c r="F679" s="30">
        <v>378.0</v>
      </c>
      <c r="G679" s="30">
        <v>24.0</v>
      </c>
      <c r="H679" s="18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17"/>
      <c r="Z679" s="6"/>
      <c r="AA679" s="18"/>
      <c r="AB679" s="33"/>
      <c r="AC679" s="34"/>
      <c r="AD679" s="18"/>
      <c r="AE679" s="18"/>
    </row>
    <row r="680">
      <c r="A680" s="5" t="s">
        <v>20</v>
      </c>
      <c r="B680" s="8" t="s">
        <v>1727</v>
      </c>
      <c r="C680" s="21" t="s">
        <v>1736</v>
      </c>
      <c r="D680" s="21" t="s">
        <v>1737</v>
      </c>
      <c r="E680" s="53">
        <f t="array" ref="E680:F680">VLOOKUP(C680,'NEW PTMT'!$B$4:$E1832,{3,4},0)</f>
        <v>578</v>
      </c>
      <c r="F680" s="30">
        <v>624.0</v>
      </c>
      <c r="G680" s="30">
        <v>22.0</v>
      </c>
      <c r="H680" s="18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17"/>
      <c r="Z680" s="6"/>
      <c r="AA680" s="18"/>
      <c r="AB680" s="33"/>
      <c r="AC680" s="34"/>
      <c r="AD680" s="18"/>
      <c r="AE680" s="18"/>
    </row>
    <row r="681">
      <c r="A681" s="5" t="s">
        <v>20</v>
      </c>
      <c r="B681" s="8" t="s">
        <v>1727</v>
      </c>
      <c r="C681" s="21" t="s">
        <v>1738</v>
      </c>
      <c r="D681" s="21" t="s">
        <v>1739</v>
      </c>
      <c r="E681" s="53">
        <f t="array" ref="E681:F681">VLOOKUP(C681,'NEW PTMT'!$B$4:$E1832,{3,4},0)</f>
        <v>676</v>
      </c>
      <c r="F681" s="30">
        <v>728.0</v>
      </c>
      <c r="G681" s="30">
        <v>22.0</v>
      </c>
      <c r="H681" s="18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17"/>
      <c r="Z681" s="6"/>
      <c r="AA681" s="18"/>
      <c r="AB681" s="33"/>
      <c r="AC681" s="34"/>
      <c r="AD681" s="18"/>
      <c r="AE681" s="18"/>
    </row>
    <row r="682">
      <c r="A682" s="5" t="s">
        <v>20</v>
      </c>
      <c r="B682" s="8" t="s">
        <v>1727</v>
      </c>
      <c r="C682" s="21">
        <v>180.0</v>
      </c>
      <c r="D682" s="21" t="s">
        <v>1731</v>
      </c>
      <c r="E682" s="53">
        <f t="array" ref="E682:F682">VLOOKUP(C682,'NEW PTMT'!$B$4:$E1832,{3,4},0)</f>
        <v>370</v>
      </c>
      <c r="F682" s="30">
        <v>398.0</v>
      </c>
      <c r="G682" s="30">
        <v>55.0</v>
      </c>
      <c r="H682" s="18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17"/>
      <c r="Z682" s="6"/>
      <c r="AA682" s="18"/>
      <c r="AB682" s="33"/>
      <c r="AC682" s="34"/>
      <c r="AD682" s="18"/>
      <c r="AE682" s="18"/>
    </row>
    <row r="683">
      <c r="A683" s="5" t="s">
        <v>20</v>
      </c>
      <c r="B683" s="8" t="s">
        <v>1727</v>
      </c>
      <c r="C683" s="21" t="s">
        <v>1740</v>
      </c>
      <c r="D683" s="21" t="s">
        <v>1741</v>
      </c>
      <c r="E683" s="53">
        <f t="array" ref="E683:F683">VLOOKUP(C683,'NEW PTMT'!$B$4:$E1832,{3,4},0)</f>
        <v>448</v>
      </c>
      <c r="F683" s="30">
        <v>484.0</v>
      </c>
      <c r="G683" s="59">
        <v>29.0</v>
      </c>
      <c r="H683" s="18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17"/>
      <c r="Z683" s="6"/>
      <c r="AA683" s="18"/>
      <c r="AB683" s="33"/>
      <c r="AC683" s="34"/>
      <c r="AD683" s="18"/>
      <c r="AE683" s="18"/>
    </row>
    <row r="684">
      <c r="A684" s="5" t="s">
        <v>20</v>
      </c>
      <c r="B684" s="8" t="s">
        <v>1727</v>
      </c>
      <c r="C684" s="21" t="s">
        <v>1742</v>
      </c>
      <c r="D684" s="21" t="s">
        <v>1743</v>
      </c>
      <c r="E684" s="53">
        <f t="array" ref="E684:F684">VLOOKUP(C684,'NEW PTMT'!$B$4:$E1832,{3,4},0)</f>
        <v>542</v>
      </c>
      <c r="F684" s="30">
        <v>586.0</v>
      </c>
      <c r="G684" s="59">
        <v>29.0</v>
      </c>
      <c r="H684" s="18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17"/>
      <c r="Z684" s="6"/>
      <c r="AA684" s="18"/>
      <c r="AB684" s="33"/>
      <c r="AC684" s="34"/>
      <c r="AD684" s="18"/>
      <c r="AE684" s="18"/>
    </row>
    <row r="685">
      <c r="A685" s="5" t="s">
        <v>20</v>
      </c>
      <c r="B685" s="8" t="s">
        <v>1727</v>
      </c>
      <c r="C685" s="21" t="s">
        <v>1744</v>
      </c>
      <c r="D685" s="21" t="s">
        <v>1745</v>
      </c>
      <c r="E685" s="53">
        <f t="array" ref="E685:F685">VLOOKUP(C685,'NEW PTMT'!$B$4:$E1832,{3,4},0)</f>
        <v>22.44</v>
      </c>
      <c r="F685" s="30">
        <v>24.0</v>
      </c>
      <c r="G685" s="30">
        <v>1000.0</v>
      </c>
      <c r="H685" s="18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17"/>
      <c r="Z685" s="6"/>
      <c r="AA685" s="18"/>
      <c r="AB685" s="33"/>
      <c r="AC685" s="34"/>
      <c r="AD685" s="18"/>
      <c r="AE685" s="18"/>
    </row>
    <row r="686">
      <c r="A686" s="5" t="s">
        <v>20</v>
      </c>
      <c r="B686" s="8" t="s">
        <v>1727</v>
      </c>
      <c r="C686" s="21" t="s">
        <v>1746</v>
      </c>
      <c r="D686" s="21" t="s">
        <v>1747</v>
      </c>
      <c r="E686" s="53">
        <f t="array" ref="E686:F686">VLOOKUP(C686,'NEW PTMT'!$B$4:$E1832,{3,4},0)</f>
        <v>28</v>
      </c>
      <c r="F686" s="30">
        <v>30.0</v>
      </c>
      <c r="G686" s="30">
        <v>1000.0</v>
      </c>
      <c r="H686" s="18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17"/>
      <c r="Z686" s="6"/>
      <c r="AA686" s="18"/>
      <c r="AB686" s="33"/>
      <c r="AC686" s="34"/>
      <c r="AD686" s="18"/>
      <c r="AE686" s="18"/>
    </row>
    <row r="687">
      <c r="A687" s="5" t="s">
        <v>20</v>
      </c>
      <c r="B687" s="8" t="s">
        <v>1748</v>
      </c>
      <c r="C687" s="21">
        <v>201.0</v>
      </c>
      <c r="D687" s="21" t="s">
        <v>1749</v>
      </c>
      <c r="E687" s="53">
        <f t="array" ref="E687:F687">VLOOKUP(C687,'NEW PTMT'!$B$4:$E1832,{3,4},0)</f>
        <v>62</v>
      </c>
      <c r="F687" s="30">
        <v>68.0</v>
      </c>
      <c r="G687" s="30">
        <v>264.0</v>
      </c>
      <c r="H687" s="18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17"/>
      <c r="Z687" s="6"/>
      <c r="AA687" s="18"/>
      <c r="AB687" s="33"/>
      <c r="AC687" s="34"/>
      <c r="AD687" s="18"/>
      <c r="AE687" s="18"/>
    </row>
    <row r="688">
      <c r="A688" s="5" t="s">
        <v>20</v>
      </c>
      <c r="B688" s="8" t="s">
        <v>1748</v>
      </c>
      <c r="C688" s="21">
        <v>202.0</v>
      </c>
      <c r="D688" s="21" t="s">
        <v>1750</v>
      </c>
      <c r="E688" s="53">
        <f t="array" ref="E688:F688">VLOOKUP(C688,'NEW PTMT'!$B$4:$E1832,{3,4},0)</f>
        <v>68</v>
      </c>
      <c r="F688" s="30">
        <v>74.0</v>
      </c>
      <c r="G688" s="30">
        <v>192.0</v>
      </c>
      <c r="H688" s="18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17"/>
      <c r="Z688" s="6"/>
      <c r="AA688" s="18"/>
      <c r="AB688" s="33"/>
      <c r="AC688" s="34"/>
      <c r="AD688" s="18"/>
      <c r="AE688" s="18"/>
    </row>
    <row r="689">
      <c r="A689" s="5" t="s">
        <v>20</v>
      </c>
      <c r="B689" s="8" t="s">
        <v>1748</v>
      </c>
      <c r="C689" s="21">
        <v>221.0</v>
      </c>
      <c r="D689" s="21" t="s">
        <v>1751</v>
      </c>
      <c r="E689" s="53">
        <f t="array" ref="E689:F689">VLOOKUP(C689,'NEW PTMT'!$B$4:$E1832,{3,4},0)</f>
        <v>94</v>
      </c>
      <c r="F689" s="30">
        <v>102.0</v>
      </c>
      <c r="G689" s="30">
        <v>600.0</v>
      </c>
      <c r="H689" s="18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17"/>
      <c r="Z689" s="6"/>
      <c r="AA689" s="18"/>
      <c r="AB689" s="33"/>
      <c r="AC689" s="34"/>
      <c r="AD689" s="18"/>
      <c r="AE689" s="18"/>
    </row>
    <row r="690">
      <c r="A690" s="5" t="s">
        <v>20</v>
      </c>
      <c r="B690" s="8" t="s">
        <v>1748</v>
      </c>
      <c r="C690" s="21">
        <v>222.0</v>
      </c>
      <c r="D690" s="21" t="s">
        <v>1752</v>
      </c>
      <c r="E690" s="53">
        <f t="array" ref="E690:F690">VLOOKUP(C690,'NEW PTMT'!$B$4:$E1832,{3,4},0)</f>
        <v>122</v>
      </c>
      <c r="F690" s="30">
        <v>132.0</v>
      </c>
      <c r="G690" s="30">
        <v>416.0</v>
      </c>
      <c r="H690" s="18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17"/>
      <c r="Z690" s="6"/>
      <c r="AA690" s="18"/>
      <c r="AB690" s="33"/>
      <c r="AC690" s="34"/>
      <c r="AD690" s="18"/>
      <c r="AE690" s="18"/>
    </row>
    <row r="691">
      <c r="A691" s="5" t="s">
        <v>20</v>
      </c>
      <c r="B691" s="8" t="s">
        <v>1748</v>
      </c>
      <c r="C691" s="21">
        <v>225.0</v>
      </c>
      <c r="D691" s="21" t="s">
        <v>1753</v>
      </c>
      <c r="E691" s="53">
        <f t="array" ref="E691:F691">VLOOKUP(C691,'NEW PTMT'!$B$4:$E1832,{3,4},0)</f>
        <v>94</v>
      </c>
      <c r="F691" s="30">
        <v>102.0</v>
      </c>
      <c r="G691" s="30">
        <v>600.0</v>
      </c>
      <c r="H691" s="18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17"/>
      <c r="Z691" s="6"/>
      <c r="AA691" s="18"/>
      <c r="AB691" s="33"/>
      <c r="AC691" s="34"/>
      <c r="AD691" s="18"/>
      <c r="AE691" s="18"/>
    </row>
    <row r="692">
      <c r="A692" s="5" t="s">
        <v>20</v>
      </c>
      <c r="B692" s="8" t="s">
        <v>1748</v>
      </c>
      <c r="C692" s="21">
        <v>231.0</v>
      </c>
      <c r="D692" s="21" t="s">
        <v>1754</v>
      </c>
      <c r="E692" s="53">
        <f t="array" ref="E692:F692">VLOOKUP(C692,'NEW PTMT'!$B$4:$E1832,{3,4},0)</f>
        <v>97.5936</v>
      </c>
      <c r="F692" s="30">
        <v>106.0</v>
      </c>
      <c r="G692" s="30">
        <v>248.0</v>
      </c>
      <c r="H692" s="18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17"/>
      <c r="Z692" s="6"/>
      <c r="AA692" s="18"/>
      <c r="AB692" s="33"/>
      <c r="AC692" s="34"/>
      <c r="AD692" s="18"/>
      <c r="AE692" s="18"/>
    </row>
    <row r="693">
      <c r="A693" s="5" t="s">
        <v>20</v>
      </c>
      <c r="B693" s="8" t="s">
        <v>1748</v>
      </c>
      <c r="C693" s="21">
        <v>232.0</v>
      </c>
      <c r="D693" s="21" t="s">
        <v>1755</v>
      </c>
      <c r="E693" s="53">
        <f t="array" ref="E693:F693">VLOOKUP(C693,'NEW PTMT'!$B$4:$E1832,{3,4},0)</f>
        <v>124.44</v>
      </c>
      <c r="F693" s="30">
        <v>134.0</v>
      </c>
      <c r="G693" s="30">
        <v>160.0</v>
      </c>
      <c r="H693" s="18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17"/>
      <c r="Z693" s="6"/>
      <c r="AA693" s="18"/>
      <c r="AB693" s="33"/>
      <c r="AC693" s="34"/>
      <c r="AD693" s="18"/>
      <c r="AE693" s="18"/>
    </row>
    <row r="694">
      <c r="A694" s="5" t="s">
        <v>20</v>
      </c>
      <c r="B694" s="8" t="s">
        <v>1748</v>
      </c>
      <c r="C694" s="21">
        <v>233.0</v>
      </c>
      <c r="D694" s="21" t="s">
        <v>1756</v>
      </c>
      <c r="E694" s="53">
        <f t="array" ref="E694:F694">VLOOKUP(C694,'NEW PTMT'!$B$4:$E1832,{3,4},0)</f>
        <v>156</v>
      </c>
      <c r="F694" s="30">
        <v>168.0</v>
      </c>
      <c r="G694" s="30">
        <v>112.0</v>
      </c>
      <c r="H694" s="18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17"/>
      <c r="Z694" s="6"/>
      <c r="AA694" s="18"/>
      <c r="AB694" s="33"/>
      <c r="AC694" s="34"/>
      <c r="AD694" s="18"/>
      <c r="AE694" s="18"/>
    </row>
    <row r="695">
      <c r="A695" s="5" t="s">
        <v>20</v>
      </c>
      <c r="B695" s="8" t="s">
        <v>1757</v>
      </c>
      <c r="C695" s="21">
        <v>331.0</v>
      </c>
      <c r="D695" s="21" t="s">
        <v>1758</v>
      </c>
      <c r="E695" s="53">
        <f t="array" ref="E695:F695">VLOOKUP(C695,'NEW PTMT'!$B$4:$E1832,{3,4},0)</f>
        <v>81.6</v>
      </c>
      <c r="F695" s="30">
        <v>88.0</v>
      </c>
      <c r="G695" s="30">
        <v>312.0</v>
      </c>
      <c r="H695" s="18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17"/>
      <c r="Z695" s="6"/>
      <c r="AA695" s="18"/>
      <c r="AB695" s="33"/>
      <c r="AC695" s="34"/>
      <c r="AD695" s="18"/>
      <c r="AE695" s="18"/>
    </row>
    <row r="696">
      <c r="A696" s="5" t="s">
        <v>20</v>
      </c>
      <c r="B696" s="8" t="s">
        <v>1757</v>
      </c>
      <c r="C696" s="21">
        <v>332.0</v>
      </c>
      <c r="D696" s="21" t="s">
        <v>1759</v>
      </c>
      <c r="E696" s="53">
        <f t="array" ref="E696:F696">VLOOKUP(C696,'NEW PTMT'!$B$4:$E1832,{3,4},0)</f>
        <v>112.4448</v>
      </c>
      <c r="F696" s="30">
        <v>122.0</v>
      </c>
      <c r="G696" s="30">
        <v>204.0</v>
      </c>
      <c r="H696" s="18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17"/>
      <c r="Z696" s="6"/>
      <c r="AA696" s="18"/>
      <c r="AB696" s="33"/>
      <c r="AC696" s="34"/>
      <c r="AD696" s="18"/>
      <c r="AE696" s="18"/>
    </row>
    <row r="697">
      <c r="A697" s="5" t="s">
        <v>20</v>
      </c>
      <c r="B697" s="8" t="s">
        <v>1757</v>
      </c>
      <c r="C697" s="21">
        <v>333.0</v>
      </c>
      <c r="D697" s="21" t="s">
        <v>1760</v>
      </c>
      <c r="E697" s="53">
        <f t="array" ref="E697:F697">VLOOKUP(C697,'NEW PTMT'!$B$4:$E1832,{3,4},0)</f>
        <v>152</v>
      </c>
      <c r="F697" s="30">
        <v>164.0</v>
      </c>
      <c r="G697" s="30">
        <v>84.0</v>
      </c>
      <c r="H697" s="18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17"/>
      <c r="Z697" s="6"/>
      <c r="AA697" s="18"/>
      <c r="AB697" s="33"/>
      <c r="AC697" s="34"/>
      <c r="AD697" s="18"/>
      <c r="AE697" s="18"/>
    </row>
    <row r="698">
      <c r="A698" s="5" t="s">
        <v>20</v>
      </c>
      <c r="B698" s="8" t="s">
        <v>1757</v>
      </c>
      <c r="C698" s="21">
        <v>334.0</v>
      </c>
      <c r="D698" s="21" t="s">
        <v>1761</v>
      </c>
      <c r="E698" s="53">
        <f t="array" ref="E698:F698">VLOOKUP(C698,'NEW PTMT'!$B$4:$E1832,{3,4},0)</f>
        <v>208.08</v>
      </c>
      <c r="F698" s="30">
        <v>226.0</v>
      </c>
      <c r="G698" s="30">
        <v>104.0</v>
      </c>
      <c r="H698" s="18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17"/>
      <c r="Z698" s="6"/>
      <c r="AA698" s="18"/>
      <c r="AB698" s="33"/>
      <c r="AC698" s="34"/>
      <c r="AD698" s="18"/>
      <c r="AE698" s="18"/>
    </row>
    <row r="699">
      <c r="A699" s="5" t="s">
        <v>20</v>
      </c>
      <c r="B699" s="8" t="s">
        <v>1757</v>
      </c>
      <c r="C699" s="21">
        <v>335.0</v>
      </c>
      <c r="D699" s="21" t="s">
        <v>1762</v>
      </c>
      <c r="E699" s="53">
        <f t="array" ref="E699:F699">VLOOKUP(C699,'NEW PTMT'!$B$4:$E1832,{3,4},0)</f>
        <v>272</v>
      </c>
      <c r="F699" s="30">
        <v>294.0</v>
      </c>
      <c r="G699" s="30">
        <v>64.0</v>
      </c>
      <c r="H699" s="18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17"/>
      <c r="Z699" s="6"/>
      <c r="AA699" s="18"/>
      <c r="AB699" s="33"/>
      <c r="AC699" s="34"/>
      <c r="AD699" s="18"/>
      <c r="AE699" s="18"/>
    </row>
    <row r="700">
      <c r="A700" s="5" t="s">
        <v>20</v>
      </c>
      <c r="B700" s="8" t="s">
        <v>1757</v>
      </c>
      <c r="C700" s="21">
        <v>336.0</v>
      </c>
      <c r="D700" s="21" t="s">
        <v>1763</v>
      </c>
      <c r="E700" s="53">
        <f t="array" ref="E700:F700">VLOOKUP(C700,'NEW PTMT'!$B$4:$E1832,{3,4},0)</f>
        <v>352</v>
      </c>
      <c r="F700" s="30">
        <v>382.0</v>
      </c>
      <c r="G700" s="30">
        <v>30.0</v>
      </c>
      <c r="H700" s="18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17"/>
      <c r="Z700" s="6"/>
      <c r="AA700" s="18"/>
      <c r="AB700" s="33"/>
      <c r="AC700" s="34"/>
      <c r="AD700" s="18"/>
      <c r="AE700" s="18"/>
    </row>
    <row r="701">
      <c r="A701" s="5" t="s">
        <v>20</v>
      </c>
      <c r="B701" s="8" t="s">
        <v>1757</v>
      </c>
      <c r="C701" s="21">
        <v>128.0</v>
      </c>
      <c r="D701" s="21" t="s">
        <v>1764</v>
      </c>
      <c r="E701" s="53">
        <f t="array" ref="E701:F701">VLOOKUP(C701,'NEW PTMT'!$B$4:$E1832,{3,4},0)</f>
        <v>61.5264</v>
      </c>
      <c r="F701" s="30">
        <v>66.0</v>
      </c>
      <c r="G701" s="30">
        <v>320.0</v>
      </c>
      <c r="H701" s="18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17"/>
      <c r="Z701" s="6"/>
      <c r="AA701" s="18"/>
      <c r="AB701" s="33"/>
      <c r="AC701" s="34"/>
      <c r="AD701" s="18"/>
      <c r="AE701" s="18"/>
    </row>
    <row r="702">
      <c r="A702" s="5" t="s">
        <v>20</v>
      </c>
      <c r="B702" s="8" t="s">
        <v>1757</v>
      </c>
      <c r="C702" s="21">
        <v>337.0</v>
      </c>
      <c r="D702" s="21" t="s">
        <v>1765</v>
      </c>
      <c r="E702" s="53">
        <f t="array" ref="E702:F702">VLOOKUP(C702,'NEW PTMT'!$B$4:$E1832,{3,4},0)</f>
        <v>58</v>
      </c>
      <c r="F702" s="30">
        <v>62.0</v>
      </c>
      <c r="G702" s="30">
        <v>800.0</v>
      </c>
      <c r="H702" s="18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17"/>
      <c r="Z702" s="6"/>
      <c r="AA702" s="18"/>
      <c r="AB702" s="33"/>
      <c r="AC702" s="34"/>
      <c r="AD702" s="18"/>
      <c r="AE702" s="18"/>
    </row>
    <row r="703">
      <c r="A703" s="5" t="s">
        <v>20</v>
      </c>
      <c r="B703" s="8" t="s">
        <v>1757</v>
      </c>
      <c r="C703" s="21" t="s">
        <v>1766</v>
      </c>
      <c r="D703" s="21" t="s">
        <v>1767</v>
      </c>
      <c r="E703" s="53">
        <f t="array" ref="E703:F703">VLOOKUP(C703,'NEW PTMT'!$B$4:$E1832,{3,4},0)</f>
        <v>9.4</v>
      </c>
      <c r="F703" s="30">
        <v>10.5</v>
      </c>
      <c r="G703" s="30">
        <v>550.0</v>
      </c>
      <c r="H703" s="18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17"/>
      <c r="Z703" s="6"/>
      <c r="AA703" s="18"/>
      <c r="AB703" s="33"/>
      <c r="AC703" s="34"/>
      <c r="AD703" s="18"/>
      <c r="AE703" s="18"/>
    </row>
    <row r="704">
      <c r="A704" s="5" t="s">
        <v>20</v>
      </c>
      <c r="B704" s="8" t="s">
        <v>1768</v>
      </c>
      <c r="C704" s="21" t="s">
        <v>1769</v>
      </c>
      <c r="D704" s="21" t="s">
        <v>1770</v>
      </c>
      <c r="E704" s="53">
        <f t="array" ref="E704:F704">VLOOKUP(C704,'NEW PTMT'!$B$4:$E1832,{3,4},0)</f>
        <v>1368</v>
      </c>
      <c r="F704" s="30">
        <v>1460.0</v>
      </c>
      <c r="G704" s="30">
        <v>24.0</v>
      </c>
      <c r="H704" s="18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17"/>
      <c r="Z704" s="6"/>
      <c r="AA704" s="18"/>
      <c r="AB704" s="33"/>
      <c r="AC704" s="34"/>
      <c r="AD704" s="18"/>
      <c r="AE704" s="18"/>
    </row>
    <row r="705">
      <c r="A705" s="5" t="s">
        <v>20</v>
      </c>
      <c r="B705" s="8" t="s">
        <v>1768</v>
      </c>
      <c r="C705" s="21" t="s">
        <v>1771</v>
      </c>
      <c r="D705" s="21" t="s">
        <v>1772</v>
      </c>
      <c r="E705" s="53">
        <f t="array" ref="E705:F705">VLOOKUP(C705,'NEW PTMT'!$B$4:$E1832,{3,4},0)</f>
        <v>1572</v>
      </c>
      <c r="F705" s="30">
        <v>1690.0</v>
      </c>
      <c r="G705" s="30">
        <v>24.0</v>
      </c>
      <c r="H705" s="18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17"/>
      <c r="Z705" s="6"/>
      <c r="AA705" s="18"/>
      <c r="AB705" s="33"/>
      <c r="AC705" s="34"/>
      <c r="AD705" s="18"/>
      <c r="AE705" s="18"/>
    </row>
    <row r="706">
      <c r="A706" s="5" t="s">
        <v>20</v>
      </c>
      <c r="B706" s="8" t="s">
        <v>1768</v>
      </c>
      <c r="C706" s="21" t="s">
        <v>1773</v>
      </c>
      <c r="D706" s="21" t="s">
        <v>1774</v>
      </c>
      <c r="E706" s="53">
        <f t="array" ref="E706:F706">VLOOKUP(C706,'NEW PTMT'!$B$4:$E1832,{3,4},0)</f>
        <v>1776</v>
      </c>
      <c r="F706" s="30">
        <v>1890.0</v>
      </c>
      <c r="G706" s="30">
        <v>6.0</v>
      </c>
      <c r="H706" s="18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17"/>
      <c r="Z706" s="6"/>
      <c r="AA706" s="18"/>
      <c r="AB706" s="33"/>
      <c r="AC706" s="34"/>
      <c r="AD706" s="18"/>
      <c r="AE706" s="18"/>
    </row>
    <row r="707">
      <c r="A707" s="5" t="s">
        <v>20</v>
      </c>
      <c r="B707" s="8" t="s">
        <v>1768</v>
      </c>
      <c r="C707" s="21" t="s">
        <v>1775</v>
      </c>
      <c r="D707" s="21" t="s">
        <v>1776</v>
      </c>
      <c r="E707" s="53">
        <f t="array" ref="E707:F707">VLOOKUP(C707,'NEW PTMT'!$B$4:$E1832,{3,4},0)</f>
        <v>1917.6</v>
      </c>
      <c r="F707" s="30">
        <v>2060.0</v>
      </c>
      <c r="G707" s="30">
        <v>6.0</v>
      </c>
      <c r="H707" s="18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17"/>
      <c r="Z707" s="6"/>
      <c r="AA707" s="18"/>
      <c r="AB707" s="33"/>
      <c r="AC707" s="34"/>
      <c r="AD707" s="18"/>
      <c r="AE707" s="18"/>
    </row>
    <row r="708">
      <c r="A708" s="5" t="s">
        <v>20</v>
      </c>
      <c r="B708" s="8" t="s">
        <v>1768</v>
      </c>
      <c r="C708" s="21" t="s">
        <v>1777</v>
      </c>
      <c r="D708" s="21" t="s">
        <v>1778</v>
      </c>
      <c r="E708" s="53">
        <f t="array" ref="E708:F708">VLOOKUP(C708,'NEW PTMT'!$B$4:$E1832,{3,4},0)</f>
        <v>2532</v>
      </c>
      <c r="F708" s="30">
        <v>2660.0</v>
      </c>
      <c r="G708" s="30">
        <v>4.0</v>
      </c>
      <c r="H708" s="18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17"/>
      <c r="Z708" s="6"/>
      <c r="AA708" s="18"/>
      <c r="AB708" s="33"/>
      <c r="AC708" s="34"/>
      <c r="AD708" s="18"/>
      <c r="AE708" s="18"/>
    </row>
    <row r="709">
      <c r="A709" s="5" t="s">
        <v>20</v>
      </c>
      <c r="B709" s="8" t="s">
        <v>1768</v>
      </c>
      <c r="C709" s="21" t="s">
        <v>1779</v>
      </c>
      <c r="D709" s="21" t="s">
        <v>1780</v>
      </c>
      <c r="E709" s="53">
        <f t="array" ref="E709:F709">VLOOKUP(C709,'NEW PTMT'!$B$4:$E1832,{3,4},0)</f>
        <v>3039.6</v>
      </c>
      <c r="F709" s="30">
        <v>3280.0</v>
      </c>
      <c r="G709" s="30">
        <v>4.0</v>
      </c>
      <c r="H709" s="18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17"/>
      <c r="Z709" s="6"/>
      <c r="AA709" s="18"/>
      <c r="AB709" s="33"/>
      <c r="AC709" s="34"/>
      <c r="AD709" s="18"/>
      <c r="AE709" s="18"/>
    </row>
    <row r="710">
      <c r="A710" s="5" t="s">
        <v>20</v>
      </c>
      <c r="B710" s="8" t="s">
        <v>1768</v>
      </c>
      <c r="C710" s="21" t="s">
        <v>1781</v>
      </c>
      <c r="D710" s="21" t="s">
        <v>1782</v>
      </c>
      <c r="E710" s="53">
        <f t="array" ref="E710:F710">VLOOKUP(C710,'NEW PTMT'!$B$4:$E1832,{3,4},0)</f>
        <v>1062</v>
      </c>
      <c r="F710" s="30">
        <v>1140.0</v>
      </c>
      <c r="G710" s="30">
        <v>24.0</v>
      </c>
      <c r="H710" s="18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17"/>
      <c r="Z710" s="6"/>
      <c r="AA710" s="18"/>
      <c r="AB710" s="33"/>
      <c r="AC710" s="34"/>
      <c r="AD710" s="18"/>
      <c r="AE710" s="18"/>
    </row>
    <row r="711">
      <c r="A711" s="5" t="s">
        <v>20</v>
      </c>
      <c r="B711" s="8" t="s">
        <v>1534</v>
      </c>
      <c r="C711" s="21">
        <v>551.0</v>
      </c>
      <c r="D711" s="21" t="s">
        <v>1784</v>
      </c>
      <c r="E711" s="53">
        <f t="array" ref="E711:F711">VLOOKUP(C711,'NEW PTMT'!$B$4:$E1832,{3,4},0)</f>
        <v>3060</v>
      </c>
      <c r="F711" s="30">
        <v>3280.0</v>
      </c>
      <c r="G711" s="30">
        <v>6.0</v>
      </c>
      <c r="H711" s="18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17"/>
      <c r="Z711" s="6"/>
      <c r="AA711" s="18"/>
      <c r="AB711" s="33"/>
      <c r="AC711" s="34"/>
      <c r="AD711" s="18"/>
      <c r="AE711" s="18"/>
    </row>
    <row r="712">
      <c r="A712" s="5" t="s">
        <v>20</v>
      </c>
      <c r="B712" s="8" t="s">
        <v>1534</v>
      </c>
      <c r="C712" s="21" t="s">
        <v>1785</v>
      </c>
      <c r="D712" s="21" t="s">
        <v>1786</v>
      </c>
      <c r="E712" s="53">
        <f t="array" ref="E712:F712">VLOOKUP(C712,'NEW PTMT'!$B$4:$E1832,{3,4},0)</f>
        <v>2740</v>
      </c>
      <c r="F712" s="30">
        <v>2960.0</v>
      </c>
      <c r="G712" s="30">
        <v>6.0</v>
      </c>
      <c r="H712" s="18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17"/>
      <c r="Z712" s="6"/>
      <c r="AA712" s="18"/>
      <c r="AB712" s="33"/>
      <c r="AC712" s="34"/>
      <c r="AD712" s="18"/>
      <c r="AE712" s="18"/>
    </row>
    <row r="713">
      <c r="A713" s="5" t="s">
        <v>20</v>
      </c>
      <c r="B713" s="8" t="s">
        <v>1534</v>
      </c>
      <c r="C713" s="21">
        <v>553.0</v>
      </c>
      <c r="D713" s="21" t="s">
        <v>1787</v>
      </c>
      <c r="E713" s="53">
        <f t="array" ref="E713:F713">VLOOKUP(C713,'NEW PTMT'!$B$4:$E1832,{3,4},0)</f>
        <v>2310</v>
      </c>
      <c r="F713" s="30">
        <v>2490.0</v>
      </c>
      <c r="G713" s="30">
        <v>5.0</v>
      </c>
      <c r="H713" s="18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17"/>
      <c r="Z713" s="6"/>
      <c r="AA713" s="18"/>
      <c r="AB713" s="33"/>
      <c r="AC713" s="34"/>
      <c r="AD713" s="18"/>
      <c r="AE713" s="18"/>
    </row>
    <row r="714">
      <c r="A714" s="5" t="s">
        <v>20</v>
      </c>
      <c r="B714" s="8" t="s">
        <v>1534</v>
      </c>
      <c r="C714" s="21" t="s">
        <v>1788</v>
      </c>
      <c r="D714" s="21" t="s">
        <v>1789</v>
      </c>
      <c r="E714" s="53">
        <f t="array" ref="E714:F714">VLOOKUP(C714,'NEW PTMT'!$B$4:$E1832,{3,4},0)</f>
        <v>1670</v>
      </c>
      <c r="F714" s="30">
        <v>1790.0</v>
      </c>
      <c r="G714" s="30">
        <v>5.0</v>
      </c>
      <c r="H714" s="18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17"/>
      <c r="Z714" s="6"/>
      <c r="AA714" s="18"/>
      <c r="AB714" s="33"/>
      <c r="AC714" s="34"/>
      <c r="AD714" s="18"/>
      <c r="AE714" s="18"/>
    </row>
    <row r="715">
      <c r="A715" s="5" t="s">
        <v>20</v>
      </c>
      <c r="B715" s="8" t="s">
        <v>1534</v>
      </c>
      <c r="C715" s="21">
        <v>554.0</v>
      </c>
      <c r="D715" s="21" t="s">
        <v>1790</v>
      </c>
      <c r="E715" s="53">
        <f t="array" ref="E715:F715">VLOOKUP(C715,'NEW PTMT'!$B$4:$E1832,{3,4},0)</f>
        <v>3860</v>
      </c>
      <c r="F715" s="30">
        <v>4160.0</v>
      </c>
      <c r="G715" s="30">
        <v>4.0</v>
      </c>
      <c r="H715" s="18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17"/>
      <c r="Z715" s="6"/>
      <c r="AA715" s="18"/>
      <c r="AB715" s="33"/>
      <c r="AC715" s="34"/>
      <c r="AD715" s="18"/>
      <c r="AE715" s="18"/>
    </row>
    <row r="716">
      <c r="A716" s="5" t="s">
        <v>20</v>
      </c>
      <c r="B716" s="8" t="s">
        <v>1534</v>
      </c>
      <c r="C716" s="21">
        <v>555.0</v>
      </c>
      <c r="D716" s="21" t="s">
        <v>1791</v>
      </c>
      <c r="E716" s="53">
        <f t="array" ref="E716:F716">VLOOKUP(C716,'NEW PTMT'!$B$4:$E1832,{3,4},0)</f>
        <v>4670</v>
      </c>
      <c r="F716" s="30">
        <v>4980.0</v>
      </c>
      <c r="G716" s="30">
        <v>3.0</v>
      </c>
      <c r="H716" s="18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17"/>
      <c r="Z716" s="6"/>
      <c r="AA716" s="18"/>
      <c r="AB716" s="33"/>
      <c r="AC716" s="34"/>
      <c r="AD716" s="18"/>
      <c r="AE716" s="18"/>
    </row>
    <row r="717">
      <c r="A717" s="5" t="s">
        <v>20</v>
      </c>
      <c r="B717" s="8" t="s">
        <v>1534</v>
      </c>
      <c r="C717" s="21" t="s">
        <v>1792</v>
      </c>
      <c r="D717" s="21" t="s">
        <v>1793</v>
      </c>
      <c r="E717" s="53">
        <f t="array" ref="E717:F717">VLOOKUP(C717,'NEW PTMT'!$B$4:$E1832,{3,4},0)</f>
        <v>3920</v>
      </c>
      <c r="F717" s="30">
        <v>4240.0</v>
      </c>
      <c r="G717" s="30">
        <v>3.0</v>
      </c>
      <c r="H717" s="18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17"/>
      <c r="Z717" s="6"/>
      <c r="AA717" s="18"/>
      <c r="AB717" s="33"/>
      <c r="AC717" s="34"/>
      <c r="AD717" s="18"/>
      <c r="AE717" s="18"/>
    </row>
    <row r="718">
      <c r="A718" s="5" t="s">
        <v>20</v>
      </c>
      <c r="B718" s="8" t="s">
        <v>1534</v>
      </c>
      <c r="C718" s="21">
        <v>556.0</v>
      </c>
      <c r="D718" s="21" t="s">
        <v>1794</v>
      </c>
      <c r="E718" s="53">
        <f t="array" ref="E718:F718">VLOOKUP(C718,'NEW PTMT'!$B$4:$E1832,{3,4},0)</f>
        <v>3460</v>
      </c>
      <c r="F718" s="30">
        <v>3740.0</v>
      </c>
      <c r="G718" s="30">
        <v>4.0</v>
      </c>
      <c r="H718" s="18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17"/>
      <c r="Z718" s="6"/>
      <c r="AA718" s="18"/>
      <c r="AB718" s="33"/>
      <c r="AC718" s="34"/>
      <c r="AD718" s="18"/>
      <c r="AE718" s="18"/>
    </row>
    <row r="719">
      <c r="A719" s="5" t="s">
        <v>20</v>
      </c>
      <c r="B719" s="8" t="s">
        <v>1534</v>
      </c>
      <c r="C719" s="21">
        <v>557.0</v>
      </c>
      <c r="D719" s="21" t="s">
        <v>1795</v>
      </c>
      <c r="E719" s="53">
        <f t="array" ref="E719:F719">VLOOKUP(C719,'NEW PTMT'!$B$4:$E1832,{3,4},0)</f>
        <v>3360</v>
      </c>
      <c r="F719" s="30">
        <v>3620.0</v>
      </c>
      <c r="G719" s="30">
        <v>4.0</v>
      </c>
      <c r="H719" s="18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17"/>
      <c r="Z719" s="6"/>
      <c r="AA719" s="18"/>
      <c r="AB719" s="33"/>
      <c r="AC719" s="34"/>
      <c r="AD719" s="18"/>
      <c r="AE719" s="18"/>
    </row>
    <row r="720">
      <c r="A720" s="5" t="s">
        <v>20</v>
      </c>
      <c r="B720" s="8" t="s">
        <v>1534</v>
      </c>
      <c r="C720" s="21" t="s">
        <v>1796</v>
      </c>
      <c r="D720" s="21" t="s">
        <v>1797</v>
      </c>
      <c r="E720" s="53">
        <f t="array" ref="E720:F720">VLOOKUP(C720,'NEW PTMT'!$B$4:$E1832,{3,4},0)</f>
        <v>3049.8</v>
      </c>
      <c r="F720" s="30">
        <v>3280.0</v>
      </c>
      <c r="G720" s="30">
        <v>4.0</v>
      </c>
      <c r="H720" s="18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17"/>
      <c r="Z720" s="6"/>
      <c r="AA720" s="18"/>
      <c r="AB720" s="33"/>
      <c r="AC720" s="34"/>
      <c r="AD720" s="18"/>
      <c r="AE720" s="18"/>
    </row>
    <row r="721">
      <c r="A721" s="5" t="s">
        <v>20</v>
      </c>
      <c r="B721" s="8" t="s">
        <v>1534</v>
      </c>
      <c r="C721" s="21">
        <v>661.0</v>
      </c>
      <c r="D721" s="21" t="s">
        <v>1798</v>
      </c>
      <c r="E721" s="53">
        <f t="array" ref="E721:F721">VLOOKUP(C721,'NEW PTMT'!$B$4:$E1832,{3,4},0)</f>
        <v>1420</v>
      </c>
      <c r="F721" s="30">
        <v>1540.0</v>
      </c>
      <c r="G721" s="30">
        <v>4.0</v>
      </c>
      <c r="H721" s="18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17"/>
      <c r="Z721" s="6"/>
      <c r="AA721" s="18"/>
      <c r="AB721" s="33"/>
      <c r="AC721" s="34"/>
      <c r="AD721" s="18"/>
      <c r="AE721" s="18"/>
    </row>
    <row r="722">
      <c r="A722" s="5" t="s">
        <v>20</v>
      </c>
      <c r="B722" s="8" t="s">
        <v>1534</v>
      </c>
      <c r="C722" s="21">
        <v>662.0</v>
      </c>
      <c r="D722" s="21" t="s">
        <v>1799</v>
      </c>
      <c r="E722" s="53">
        <f t="array" ref="E722:F722">VLOOKUP(C722,'NEW PTMT'!$B$4:$E1832,{3,4},0)</f>
        <v>1140</v>
      </c>
      <c r="F722" s="30">
        <v>1230.0</v>
      </c>
      <c r="G722" s="30">
        <v>4.0</v>
      </c>
      <c r="H722" s="18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17"/>
      <c r="Z722" s="6"/>
      <c r="AA722" s="18"/>
      <c r="AB722" s="33"/>
      <c r="AC722" s="34"/>
      <c r="AD722" s="18"/>
      <c r="AE722" s="18"/>
    </row>
    <row r="723">
      <c r="A723" s="5" t="s">
        <v>20</v>
      </c>
      <c r="B723" s="8" t="s">
        <v>1534</v>
      </c>
      <c r="C723" s="21">
        <v>663.0</v>
      </c>
      <c r="D723" s="21" t="s">
        <v>1800</v>
      </c>
      <c r="E723" s="53">
        <f t="array" ref="E723:F723">VLOOKUP(C723,'NEW PTMT'!$B$4:$E1832,{3,4},0)</f>
        <v>830</v>
      </c>
      <c r="F723" s="30">
        <v>890.0</v>
      </c>
      <c r="G723" s="30">
        <v>8.0</v>
      </c>
      <c r="H723" s="18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17"/>
      <c r="Z723" s="6"/>
      <c r="AA723" s="18"/>
      <c r="AB723" s="33"/>
      <c r="AC723" s="34"/>
      <c r="AD723" s="18"/>
      <c r="AE723" s="18"/>
    </row>
    <row r="724">
      <c r="A724" s="5" t="s">
        <v>20</v>
      </c>
      <c r="B724" s="8" t="s">
        <v>1534</v>
      </c>
      <c r="C724" s="21" t="s">
        <v>1801</v>
      </c>
      <c r="D724" s="21" t="s">
        <v>1802</v>
      </c>
      <c r="E724" s="53">
        <f t="array" ref="E724:F724">VLOOKUP(C724,'NEW PTMT'!$B$4:$E1832,{3,4},0)</f>
        <v>1100</v>
      </c>
      <c r="F724" s="30">
        <v>1180.0</v>
      </c>
      <c r="G724" s="30">
        <v>8.0</v>
      </c>
      <c r="H724" s="18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17"/>
      <c r="Z724" s="6"/>
      <c r="AA724" s="18"/>
      <c r="AB724" s="33"/>
      <c r="AC724" s="34"/>
      <c r="AD724" s="18"/>
      <c r="AE724" s="18"/>
    </row>
    <row r="725">
      <c r="A725" s="5" t="s">
        <v>20</v>
      </c>
      <c r="B725" s="8" t="s">
        <v>1534</v>
      </c>
      <c r="C725" s="21">
        <v>665.0</v>
      </c>
      <c r="D725" s="21" t="s">
        <v>1803</v>
      </c>
      <c r="E725" s="53">
        <f t="array" ref="E725:F725">VLOOKUP(C725,'NEW PTMT'!$B$4:$E1832,{3,4},0)</f>
        <v>1560</v>
      </c>
      <c r="F725" s="30">
        <v>1680.0</v>
      </c>
      <c r="G725" s="30">
        <v>3.0</v>
      </c>
      <c r="H725" s="18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17"/>
      <c r="Z725" s="6"/>
      <c r="AA725" s="18"/>
      <c r="AB725" s="33"/>
      <c r="AC725" s="34"/>
      <c r="AD725" s="18"/>
      <c r="AE725" s="18"/>
    </row>
    <row r="726">
      <c r="A726" s="5" t="s">
        <v>20</v>
      </c>
      <c r="B726" s="8" t="s">
        <v>1534</v>
      </c>
      <c r="C726" s="21">
        <v>666.0</v>
      </c>
      <c r="D726" s="21" t="s">
        <v>1804</v>
      </c>
      <c r="E726" s="53">
        <f t="array" ref="E726:F726">VLOOKUP(C726,'NEW PTMT'!$B$4:$E1832,{3,4},0)</f>
        <v>1850</v>
      </c>
      <c r="F726" s="30">
        <v>1980.0</v>
      </c>
      <c r="G726" s="30">
        <v>3.0</v>
      </c>
      <c r="H726" s="18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17"/>
      <c r="Z726" s="6"/>
      <c r="AA726" s="18"/>
      <c r="AB726" s="33"/>
      <c r="AC726" s="34"/>
      <c r="AD726" s="18"/>
      <c r="AE726" s="18"/>
    </row>
    <row r="727">
      <c r="A727" s="5" t="s">
        <v>20</v>
      </c>
      <c r="B727" s="8" t="s">
        <v>1534</v>
      </c>
      <c r="C727" s="21">
        <v>667.0</v>
      </c>
      <c r="D727" s="21" t="s">
        <v>1805</v>
      </c>
      <c r="E727" s="53">
        <f t="array" ref="E727:F727">VLOOKUP(C727,'NEW PTMT'!$B$4:$E1832,{3,4},0)</f>
        <v>2110</v>
      </c>
      <c r="F727" s="30">
        <v>2270.0</v>
      </c>
      <c r="G727" s="30">
        <v>6.0</v>
      </c>
      <c r="H727" s="18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17"/>
      <c r="Z727" s="6"/>
      <c r="AA727" s="18"/>
      <c r="AB727" s="33"/>
      <c r="AC727" s="34"/>
      <c r="AD727" s="18"/>
      <c r="AE727" s="18"/>
    </row>
    <row r="728">
      <c r="A728" s="5" t="s">
        <v>20</v>
      </c>
      <c r="B728" s="8" t="s">
        <v>1534</v>
      </c>
      <c r="C728" s="8" t="s">
        <v>1536</v>
      </c>
      <c r="D728" s="8" t="s">
        <v>1537</v>
      </c>
      <c r="E728" s="53">
        <f t="array" ref="E728:F728">VLOOKUP(C728,'NEW PTMT'!$B$4:$E1832,{3,4},0)</f>
        <v>1920</v>
      </c>
      <c r="F728" s="30">
        <v>2080.0</v>
      </c>
      <c r="G728" s="30"/>
      <c r="H728" s="18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17"/>
      <c r="Z728" s="6"/>
      <c r="AA728" s="18"/>
      <c r="AB728" s="33"/>
      <c r="AC728" s="34"/>
      <c r="AD728" s="18"/>
      <c r="AE728" s="18"/>
    </row>
    <row r="729">
      <c r="A729" s="5" t="s">
        <v>20</v>
      </c>
      <c r="B729" s="8" t="s">
        <v>1528</v>
      </c>
      <c r="C729" s="21" t="s">
        <v>1806</v>
      </c>
      <c r="D729" s="21" t="s">
        <v>1807</v>
      </c>
      <c r="E729" s="53">
        <f t="array" ref="E729:F729">VLOOKUP(C729,'NEW PTMT'!$B$4:$E1832,{3,4},0)</f>
        <v>303.96</v>
      </c>
      <c r="F729" s="30">
        <v>316.0</v>
      </c>
      <c r="G729" s="30">
        <v>100.0</v>
      </c>
      <c r="H729" s="18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17"/>
      <c r="Z729" s="6"/>
      <c r="AA729" s="18"/>
      <c r="AB729" s="33"/>
      <c r="AC729" s="34"/>
      <c r="AD729" s="18"/>
      <c r="AE729" s="18"/>
    </row>
    <row r="730">
      <c r="A730" s="5" t="s">
        <v>20</v>
      </c>
      <c r="B730" s="8" t="s">
        <v>1528</v>
      </c>
      <c r="C730" s="21">
        <v>151.0</v>
      </c>
      <c r="D730" s="21" t="s">
        <v>1808</v>
      </c>
      <c r="E730" s="53">
        <f t="array" ref="E730:F730">VLOOKUP(C730,'NEW PTMT'!$B$4:$E1832,{3,4},0)</f>
        <v>318.24</v>
      </c>
      <c r="F730" s="30">
        <v>336.0</v>
      </c>
      <c r="G730" s="30">
        <v>70.0</v>
      </c>
      <c r="H730" s="18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17"/>
      <c r="Z730" s="6"/>
      <c r="AA730" s="18"/>
      <c r="AB730" s="33"/>
      <c r="AC730" s="34"/>
      <c r="AD730" s="18"/>
      <c r="AE730" s="18"/>
    </row>
    <row r="731">
      <c r="A731" s="5" t="s">
        <v>20</v>
      </c>
      <c r="B731" s="8" t="s">
        <v>1528</v>
      </c>
      <c r="C731" s="21">
        <v>152.0</v>
      </c>
      <c r="D731" s="21" t="s">
        <v>1809</v>
      </c>
      <c r="E731" s="53">
        <f t="array" ref="E731:F731">VLOOKUP(C731,'NEW PTMT'!$B$4:$E1832,{3,4},0)</f>
        <v>476</v>
      </c>
      <c r="F731" s="30">
        <v>496.0</v>
      </c>
      <c r="G731" s="30">
        <v>66.0</v>
      </c>
      <c r="H731" s="18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17"/>
      <c r="Z731" s="6"/>
      <c r="AA731" s="18"/>
      <c r="AB731" s="33"/>
      <c r="AC731" s="34"/>
      <c r="AD731" s="18"/>
      <c r="AE731" s="18"/>
    </row>
    <row r="732">
      <c r="A732" s="5" t="s">
        <v>20</v>
      </c>
      <c r="B732" s="8" t="s">
        <v>1528</v>
      </c>
      <c r="C732" s="8" t="s">
        <v>1530</v>
      </c>
      <c r="D732" s="8" t="s">
        <v>1531</v>
      </c>
      <c r="E732" s="53">
        <f t="array" ref="E732:F732">VLOOKUP(C732,'NEW PTMT'!$B$4:$E1832,{3,4},0)</f>
        <v>668.1</v>
      </c>
      <c r="F732" s="30">
        <v>668.0</v>
      </c>
      <c r="G732" s="30"/>
      <c r="H732" s="18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17"/>
      <c r="Z732" s="6"/>
      <c r="AA732" s="18"/>
      <c r="AB732" s="33"/>
      <c r="AC732" s="34"/>
      <c r="AD732" s="18"/>
      <c r="AE732" s="18"/>
    </row>
    <row r="733">
      <c r="A733" s="5" t="s">
        <v>20</v>
      </c>
      <c r="B733" s="8" t="s">
        <v>1528</v>
      </c>
      <c r="C733" s="21">
        <v>153.0</v>
      </c>
      <c r="D733" s="21" t="s">
        <v>1810</v>
      </c>
      <c r="E733" s="53">
        <f t="array" ref="E733:F733">VLOOKUP(C733,'NEW PTMT'!$B$4:$E1832,{3,4},0)</f>
        <v>806.208</v>
      </c>
      <c r="F733" s="30">
        <v>846.0</v>
      </c>
      <c r="G733" s="30">
        <v>75.0</v>
      </c>
      <c r="H733" s="18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17"/>
      <c r="Z733" s="6"/>
      <c r="AA733" s="18"/>
      <c r="AB733" s="33"/>
      <c r="AC733" s="34"/>
      <c r="AD733" s="18"/>
      <c r="AE733" s="18"/>
    </row>
    <row r="734">
      <c r="A734" s="5" t="s">
        <v>20</v>
      </c>
      <c r="B734" s="8" t="s">
        <v>1528</v>
      </c>
      <c r="C734" s="21">
        <v>154.0</v>
      </c>
      <c r="D734" s="21" t="s">
        <v>1811</v>
      </c>
      <c r="E734" s="53">
        <f t="array" ref="E734:F734">VLOOKUP(C734,'NEW PTMT'!$B$4:$E1832,{3,4},0)</f>
        <v>980</v>
      </c>
      <c r="F734" s="30">
        <v>1040.0</v>
      </c>
      <c r="G734" s="30">
        <v>75.0</v>
      </c>
      <c r="H734" s="18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17"/>
      <c r="Z734" s="6"/>
      <c r="AA734" s="18"/>
      <c r="AB734" s="33"/>
      <c r="AC734" s="34"/>
      <c r="AD734" s="18"/>
      <c r="AE734" s="18"/>
    </row>
    <row r="735">
      <c r="A735" s="5" t="s">
        <v>20</v>
      </c>
      <c r="B735" s="8" t="s">
        <v>1528</v>
      </c>
      <c r="C735" s="21">
        <v>155.0</v>
      </c>
      <c r="D735" s="21" t="s">
        <v>1812</v>
      </c>
      <c r="E735" s="53">
        <f t="array" ref="E735:F735">VLOOKUP(C735,'NEW PTMT'!$B$4:$E1832,{3,4},0)</f>
        <v>1448.4</v>
      </c>
      <c r="F735" s="30">
        <v>1540.0</v>
      </c>
      <c r="G735" s="30">
        <v>50.0</v>
      </c>
      <c r="H735" s="18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17"/>
      <c r="Z735" s="6"/>
      <c r="AA735" s="18"/>
      <c r="AB735" s="33"/>
      <c r="AC735" s="34"/>
      <c r="AD735" s="18"/>
      <c r="AE735" s="18"/>
    </row>
    <row r="736">
      <c r="A736" s="5" t="s">
        <v>20</v>
      </c>
      <c r="B736" s="8" t="s">
        <v>1528</v>
      </c>
      <c r="C736" s="21">
        <v>156.0</v>
      </c>
      <c r="D736" s="21" t="s">
        <v>1813</v>
      </c>
      <c r="E736" s="53">
        <f t="array" ref="E736:F736">VLOOKUP(C736,'NEW PTMT'!$B$4:$E1832,{3,4},0)</f>
        <v>2110</v>
      </c>
      <c r="F736" s="30">
        <v>2260.0</v>
      </c>
      <c r="G736" s="30">
        <v>25.0</v>
      </c>
      <c r="H736" s="18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17"/>
      <c r="Z736" s="6"/>
      <c r="AA736" s="18"/>
      <c r="AB736" s="33"/>
      <c r="AC736" s="34"/>
      <c r="AD736" s="18"/>
      <c r="AE736" s="18"/>
    </row>
    <row r="737">
      <c r="A737" s="5" t="s">
        <v>20</v>
      </c>
      <c r="B737" s="8" t="s">
        <v>1528</v>
      </c>
      <c r="C737" s="21">
        <v>161.0</v>
      </c>
      <c r="D737" s="21" t="s">
        <v>1814</v>
      </c>
      <c r="E737" s="53">
        <f t="array" ref="E737:F737">VLOOKUP(C737,'NEW PTMT'!$B$4:$E1832,{3,4},0)</f>
        <v>195.84</v>
      </c>
      <c r="F737" s="30">
        <v>196.0</v>
      </c>
      <c r="G737" s="30">
        <v>121.0</v>
      </c>
      <c r="H737" s="18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17"/>
      <c r="Z737" s="6"/>
      <c r="AA737" s="18"/>
      <c r="AB737" s="33"/>
      <c r="AC737" s="34"/>
      <c r="AD737" s="18"/>
      <c r="AE737" s="18"/>
    </row>
    <row r="738">
      <c r="A738" s="5" t="s">
        <v>20</v>
      </c>
      <c r="B738" s="8" t="s">
        <v>1528</v>
      </c>
      <c r="C738" s="21">
        <v>162.0</v>
      </c>
      <c r="D738" s="21" t="s">
        <v>1815</v>
      </c>
      <c r="E738" s="53">
        <f t="array" ref="E738:F738">VLOOKUP(C738,'NEW PTMT'!$B$4:$E1832,{3,4},0)</f>
        <v>297.84</v>
      </c>
      <c r="F738" s="30">
        <v>322.0</v>
      </c>
      <c r="G738" s="30">
        <v>78.0</v>
      </c>
      <c r="H738" s="18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17"/>
      <c r="Z738" s="6"/>
      <c r="AA738" s="18"/>
      <c r="AB738" s="33"/>
      <c r="AC738" s="34"/>
      <c r="AD738" s="18"/>
      <c r="AE738" s="18"/>
    </row>
    <row r="739">
      <c r="A739" s="5" t="s">
        <v>20</v>
      </c>
      <c r="B739" s="8" t="s">
        <v>1528</v>
      </c>
      <c r="C739" s="21">
        <v>163.0</v>
      </c>
      <c r="D739" s="21" t="s">
        <v>1816</v>
      </c>
      <c r="E739" s="53">
        <f t="array" ref="E739:F739">VLOOKUP(C739,'NEW PTMT'!$B$4:$E1832,{3,4},0)</f>
        <v>448</v>
      </c>
      <c r="F739" s="30">
        <v>484.0</v>
      </c>
      <c r="G739" s="30">
        <v>47.0</v>
      </c>
      <c r="H739" s="18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17"/>
      <c r="Z739" s="6"/>
      <c r="AA739" s="18"/>
      <c r="AB739" s="33"/>
      <c r="AC739" s="34"/>
      <c r="AD739" s="18"/>
      <c r="AE739" s="18"/>
    </row>
    <row r="740">
      <c r="A740" s="5" t="s">
        <v>20</v>
      </c>
      <c r="B740" s="8" t="s">
        <v>1528</v>
      </c>
      <c r="C740" s="21">
        <v>164.0</v>
      </c>
      <c r="D740" s="21" t="s">
        <v>1817</v>
      </c>
      <c r="E740" s="53">
        <f t="array" ref="E740:F740">VLOOKUP(C740,'NEW PTMT'!$B$4:$E1832,{3,4},0)</f>
        <v>594.048</v>
      </c>
      <c r="F740" s="30">
        <v>642.0</v>
      </c>
      <c r="G740" s="30">
        <v>30.0</v>
      </c>
      <c r="H740" s="18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17"/>
      <c r="Z740" s="6"/>
      <c r="AA740" s="18"/>
      <c r="AB740" s="33"/>
      <c r="AC740" s="34"/>
      <c r="AD740" s="18"/>
      <c r="AE740" s="18"/>
    </row>
    <row r="741">
      <c r="A741" s="5" t="s">
        <v>20</v>
      </c>
      <c r="B741" s="8" t="s">
        <v>1528</v>
      </c>
      <c r="C741" s="21">
        <v>165.0</v>
      </c>
      <c r="D741" s="21" t="s">
        <v>1818</v>
      </c>
      <c r="E741" s="53">
        <f t="array" ref="E741:F741">VLOOKUP(C741,'NEW PTMT'!$B$4:$E1832,{3,4},0)</f>
        <v>828.24</v>
      </c>
      <c r="F741" s="30">
        <v>894.0</v>
      </c>
      <c r="G741" s="30">
        <v>30.0</v>
      </c>
      <c r="H741" s="18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17"/>
      <c r="Z741" s="6"/>
      <c r="AA741" s="18"/>
      <c r="AB741" s="33"/>
      <c r="AC741" s="34"/>
      <c r="AD741" s="18"/>
      <c r="AE741" s="18"/>
    </row>
    <row r="742">
      <c r="A742" s="5" t="s">
        <v>20</v>
      </c>
      <c r="B742" s="8" t="s">
        <v>1528</v>
      </c>
      <c r="C742" s="21">
        <v>166.0</v>
      </c>
      <c r="D742" s="21" t="s">
        <v>1819</v>
      </c>
      <c r="E742" s="53">
        <f t="array" ref="E742:F742">VLOOKUP(C742,'NEW PTMT'!$B$4:$E1832,{3,4},0)</f>
        <v>1213.5552</v>
      </c>
      <c r="F742" s="30">
        <v>1312.0</v>
      </c>
      <c r="G742" s="30">
        <v>17.0</v>
      </c>
      <c r="H742" s="18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17"/>
      <c r="Z742" s="6"/>
      <c r="AA742" s="18"/>
      <c r="AB742" s="33"/>
      <c r="AC742" s="34"/>
      <c r="AD742" s="18"/>
      <c r="AE742" s="18"/>
    </row>
    <row r="743">
      <c r="A743" s="5" t="s">
        <v>20</v>
      </c>
      <c r="B743" s="8" t="s">
        <v>1528</v>
      </c>
      <c r="C743" s="21">
        <v>167.0</v>
      </c>
      <c r="D743" s="21" t="s">
        <v>1820</v>
      </c>
      <c r="E743" s="53">
        <f t="array" ref="E743:F743">VLOOKUP(C743,'NEW PTMT'!$B$4:$E1832,{3,4},0)</f>
        <v>81.6</v>
      </c>
      <c r="F743" s="30">
        <v>88.0</v>
      </c>
      <c r="G743" s="30">
        <v>1000.0</v>
      </c>
      <c r="H743" s="18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17"/>
      <c r="Z743" s="6"/>
      <c r="AA743" s="18"/>
      <c r="AB743" s="33"/>
      <c r="AC743" s="34"/>
      <c r="AD743" s="18"/>
      <c r="AE743" s="18"/>
    </row>
    <row r="744">
      <c r="A744" s="5" t="s">
        <v>20</v>
      </c>
      <c r="B744" s="8" t="s">
        <v>1528</v>
      </c>
      <c r="C744" s="21">
        <v>168.0</v>
      </c>
      <c r="D744" s="21" t="s">
        <v>1821</v>
      </c>
      <c r="E744" s="53">
        <f t="array" ref="E744:F744">VLOOKUP(C744,'NEW PTMT'!$B$4:$E1832,{3,4},0)</f>
        <v>103.9584</v>
      </c>
      <c r="F744" s="30">
        <v>112.0</v>
      </c>
      <c r="G744" s="30">
        <v>1000.0</v>
      </c>
      <c r="H744" s="18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17"/>
      <c r="Z744" s="6"/>
      <c r="AA744" s="18"/>
      <c r="AB744" s="33"/>
      <c r="AC744" s="34"/>
      <c r="AD744" s="18"/>
      <c r="AE744" s="18"/>
    </row>
    <row r="745">
      <c r="A745" s="5" t="s">
        <v>20</v>
      </c>
      <c r="B745" s="8" t="s">
        <v>1528</v>
      </c>
      <c r="C745" s="21">
        <v>169.0</v>
      </c>
      <c r="D745" s="21" t="s">
        <v>1822</v>
      </c>
      <c r="E745" s="53">
        <f t="array" ref="E745:F745">VLOOKUP(C745,'NEW PTMT'!$B$4:$E1832,{3,4},0)</f>
        <v>246</v>
      </c>
      <c r="F745" s="30">
        <v>266.0</v>
      </c>
      <c r="G745" s="30">
        <v>400.0</v>
      </c>
      <c r="H745" s="18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17"/>
      <c r="Z745" s="6"/>
      <c r="AA745" s="18"/>
      <c r="AB745" s="33"/>
      <c r="AC745" s="34"/>
      <c r="AD745" s="18"/>
      <c r="AE745" s="18"/>
    </row>
    <row r="746">
      <c r="A746" s="5" t="s">
        <v>20</v>
      </c>
      <c r="B746" s="8" t="s">
        <v>1528</v>
      </c>
      <c r="C746" s="21">
        <v>170.0</v>
      </c>
      <c r="D746" s="21" t="s">
        <v>1823</v>
      </c>
      <c r="E746" s="53">
        <f t="array" ref="E746:F746">VLOOKUP(C746,'NEW PTMT'!$B$4:$E1832,{3,4},0)</f>
        <v>281.52</v>
      </c>
      <c r="F746" s="30">
        <v>304.0</v>
      </c>
      <c r="G746" s="30">
        <v>200.0</v>
      </c>
      <c r="H746" s="18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17"/>
      <c r="Z746" s="6"/>
      <c r="AA746" s="18"/>
      <c r="AB746" s="33"/>
      <c r="AC746" s="34"/>
      <c r="AD746" s="18"/>
      <c r="AE746" s="18"/>
    </row>
    <row r="747">
      <c r="A747" s="5" t="s">
        <v>20</v>
      </c>
      <c r="B747" s="8" t="s">
        <v>1528</v>
      </c>
      <c r="C747" s="21">
        <v>171.0</v>
      </c>
      <c r="D747" s="21" t="s">
        <v>1824</v>
      </c>
      <c r="E747" s="53">
        <f t="array" ref="E747:F747">VLOOKUP(C747,'NEW PTMT'!$B$4:$E1832,{3,4},0)</f>
        <v>340</v>
      </c>
      <c r="F747" s="30">
        <v>368.0</v>
      </c>
      <c r="G747" s="30">
        <v>200.0</v>
      </c>
      <c r="H747" s="18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17"/>
      <c r="Z747" s="6"/>
      <c r="AA747" s="18"/>
      <c r="AB747" s="33"/>
      <c r="AC747" s="34"/>
      <c r="AD747" s="18"/>
      <c r="AE747" s="18"/>
    </row>
    <row r="748">
      <c r="A748" s="5" t="s">
        <v>20</v>
      </c>
      <c r="B748" s="8" t="s">
        <v>1528</v>
      </c>
      <c r="C748" s="21">
        <v>172.0</v>
      </c>
      <c r="D748" s="21" t="s">
        <v>1825</v>
      </c>
      <c r="E748" s="53">
        <f t="array" ref="E748:F748">VLOOKUP(C748,'NEW PTMT'!$B$4:$E1832,{3,4},0)</f>
        <v>572</v>
      </c>
      <c r="F748" s="30">
        <v>618.0</v>
      </c>
      <c r="G748" s="30">
        <v>150.0</v>
      </c>
      <c r="H748" s="18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17"/>
      <c r="Z748" s="6"/>
      <c r="AA748" s="18"/>
      <c r="AB748" s="33"/>
      <c r="AC748" s="34"/>
      <c r="AD748" s="18"/>
      <c r="AE748" s="18"/>
    </row>
    <row r="749">
      <c r="A749" s="5" t="s">
        <v>20</v>
      </c>
      <c r="B749" s="8" t="s">
        <v>1528</v>
      </c>
      <c r="C749" s="21">
        <v>173.0</v>
      </c>
      <c r="D749" s="21" t="s">
        <v>1826</v>
      </c>
      <c r="E749" s="53">
        <f t="array" ref="E749:F749">VLOOKUP(C749,'NEW PTMT'!$B$4:$E1832,{3,4},0)</f>
        <v>77.52</v>
      </c>
      <c r="F749" s="30">
        <v>84.0</v>
      </c>
      <c r="G749" s="30">
        <v>300.0</v>
      </c>
      <c r="H749" s="18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17"/>
      <c r="Z749" s="6"/>
      <c r="AA749" s="18"/>
      <c r="AB749" s="33"/>
      <c r="AC749" s="34"/>
      <c r="AD749" s="18"/>
      <c r="AE749" s="18"/>
    </row>
    <row r="750">
      <c r="A750" s="5" t="s">
        <v>20</v>
      </c>
      <c r="B750" s="8" t="s">
        <v>1528</v>
      </c>
      <c r="C750" s="21">
        <v>174.0</v>
      </c>
      <c r="D750" s="21" t="s">
        <v>1827</v>
      </c>
      <c r="E750" s="53">
        <f t="array" ref="E750:F750">VLOOKUP(C750,'NEW PTMT'!$B$4:$E1832,{3,4},0)</f>
        <v>110.16</v>
      </c>
      <c r="F750" s="30">
        <v>118.0</v>
      </c>
      <c r="G750" s="30">
        <v>225.0</v>
      </c>
      <c r="H750" s="18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17"/>
      <c r="Z750" s="6"/>
      <c r="AA750" s="18"/>
      <c r="AB750" s="33"/>
      <c r="AC750" s="34"/>
      <c r="AD750" s="18"/>
      <c r="AE750" s="18"/>
    </row>
    <row r="751">
      <c r="A751" s="5" t="s">
        <v>20</v>
      </c>
      <c r="B751" s="8" t="s">
        <v>1528</v>
      </c>
      <c r="C751" s="21">
        <v>175.0</v>
      </c>
      <c r="D751" s="21" t="s">
        <v>1828</v>
      </c>
      <c r="E751" s="53">
        <f t="array" ref="E751:F751">VLOOKUP(C751,'NEW PTMT'!$B$4:$E1832,{3,4},0)</f>
        <v>214.2</v>
      </c>
      <c r="F751" s="30">
        <v>232.0</v>
      </c>
      <c r="G751" s="30">
        <v>75.0</v>
      </c>
      <c r="H751" s="18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17"/>
      <c r="Z751" s="6"/>
      <c r="AA751" s="18"/>
      <c r="AB751" s="33"/>
      <c r="AC751" s="34"/>
      <c r="AD751" s="18"/>
      <c r="AE751" s="18"/>
    </row>
    <row r="752">
      <c r="A752" s="5" t="s">
        <v>20</v>
      </c>
      <c r="B752" s="8" t="s">
        <v>1528</v>
      </c>
      <c r="C752" s="21">
        <v>177.0</v>
      </c>
      <c r="D752" s="21" t="s">
        <v>1829</v>
      </c>
      <c r="E752" s="53">
        <f t="array" ref="E752:F752">VLOOKUP(C752,'NEW PTMT'!$B$4:$E1832,{3,4},0)</f>
        <v>316.2</v>
      </c>
      <c r="F752" s="30">
        <v>342.0</v>
      </c>
      <c r="G752" s="30">
        <v>50.0</v>
      </c>
      <c r="H752" s="18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17"/>
      <c r="Z752" s="6"/>
      <c r="AA752" s="18"/>
      <c r="AB752" s="33"/>
      <c r="AC752" s="34"/>
      <c r="AD752" s="18"/>
      <c r="AE752" s="18"/>
    </row>
    <row r="753">
      <c r="A753" s="5" t="s">
        <v>20</v>
      </c>
      <c r="B753" s="8" t="s">
        <v>1528</v>
      </c>
      <c r="C753" s="21">
        <v>178.0</v>
      </c>
      <c r="D753" s="21" t="s">
        <v>1830</v>
      </c>
      <c r="E753" s="53">
        <f t="array" ref="E753:F753">VLOOKUP(C753,'NEW PTMT'!$B$4:$E1832,{3,4},0)</f>
        <v>468</v>
      </c>
      <c r="F753" s="30">
        <v>506.0</v>
      </c>
      <c r="G753" s="30">
        <v>25.0</v>
      </c>
      <c r="H753" s="18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17"/>
      <c r="Z753" s="6"/>
      <c r="AA753" s="18"/>
      <c r="AB753" s="33"/>
      <c r="AC753" s="34"/>
      <c r="AD753" s="18"/>
      <c r="AE753" s="18"/>
    </row>
    <row r="754">
      <c r="A754" s="5" t="s">
        <v>20</v>
      </c>
      <c r="B754" s="8" t="s">
        <v>1831</v>
      </c>
      <c r="C754" s="21" t="s">
        <v>1833</v>
      </c>
      <c r="D754" s="21" t="s">
        <v>1808</v>
      </c>
      <c r="E754" s="53">
        <f t="array" ref="E754:F754">VLOOKUP(C754,'NEW PTMT'!$B$4:$E1832,{3,4},0)</f>
        <v>1448.4</v>
      </c>
      <c r="F754" s="30">
        <v>1588.0</v>
      </c>
      <c r="G754" s="30">
        <v>30.0</v>
      </c>
      <c r="H754" s="18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17"/>
      <c r="Z754" s="6"/>
      <c r="AA754" s="18"/>
      <c r="AB754" s="33"/>
      <c r="AC754" s="34"/>
      <c r="AD754" s="18"/>
      <c r="AE754" s="18"/>
    </row>
    <row r="755">
      <c r="A755" s="5" t="s">
        <v>20</v>
      </c>
      <c r="B755" s="8" t="s">
        <v>1831</v>
      </c>
      <c r="C755" s="21" t="s">
        <v>1834</v>
      </c>
      <c r="D755" s="21" t="s">
        <v>1809</v>
      </c>
      <c r="E755" s="53">
        <f t="array" ref="E755:F755">VLOOKUP(C755,'NEW PTMT'!$B$4:$E1832,{3,4},0)</f>
        <v>1898</v>
      </c>
      <c r="F755" s="30">
        <v>2188.0</v>
      </c>
      <c r="G755" s="30">
        <v>30.0</v>
      </c>
      <c r="H755" s="18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17"/>
      <c r="Z755" s="6"/>
      <c r="AA755" s="18"/>
      <c r="AB755" s="33"/>
      <c r="AC755" s="34"/>
      <c r="AD755" s="18"/>
      <c r="AE755" s="18"/>
    </row>
    <row r="756">
      <c r="A756" s="5" t="s">
        <v>20</v>
      </c>
      <c r="B756" s="8" t="s">
        <v>1831</v>
      </c>
      <c r="C756" s="21" t="s">
        <v>1835</v>
      </c>
      <c r="D756" s="21" t="s">
        <v>1810</v>
      </c>
      <c r="E756" s="53">
        <f t="array" ref="E756:F756">VLOOKUP(C756,'NEW PTMT'!$B$4:$E1832,{3,4},0)</f>
        <v>2796</v>
      </c>
      <c r="F756" s="30">
        <v>3688.0</v>
      </c>
      <c r="G756" s="30">
        <v>10.0</v>
      </c>
      <c r="H756" s="18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17"/>
      <c r="Z756" s="6"/>
      <c r="AA756" s="18"/>
      <c r="AB756" s="33"/>
      <c r="AC756" s="34"/>
      <c r="AD756" s="18"/>
      <c r="AE756" s="18"/>
    </row>
    <row r="757">
      <c r="A757" s="5" t="s">
        <v>20</v>
      </c>
      <c r="B757" s="8" t="s">
        <v>1831</v>
      </c>
      <c r="C757" s="21" t="s">
        <v>1836</v>
      </c>
      <c r="D757" s="21" t="s">
        <v>1812</v>
      </c>
      <c r="E757" s="53">
        <f t="array" ref="E757:F757">VLOOKUP(C757,'NEW PTMT'!$B$4:$E1832,{3,4},0)</f>
        <v>5222.4</v>
      </c>
      <c r="F757" s="30">
        <v>5438.0</v>
      </c>
      <c r="G757" s="30">
        <v>10.0</v>
      </c>
      <c r="H757" s="18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17"/>
      <c r="Z757" s="6"/>
      <c r="AA757" s="18"/>
      <c r="AB757" s="33"/>
      <c r="AC757" s="34"/>
      <c r="AD757" s="18"/>
      <c r="AE757" s="18"/>
    </row>
    <row r="758">
      <c r="A758" s="5" t="s">
        <v>20</v>
      </c>
      <c r="B758" s="8" t="s">
        <v>1831</v>
      </c>
      <c r="C758" s="21" t="s">
        <v>1837</v>
      </c>
      <c r="D758" s="21" t="s">
        <v>1838</v>
      </c>
      <c r="E758" s="53">
        <f t="array" ref="E758:F758">VLOOKUP(C758,'NEW PTMT'!$B$4:$E1832,{3,4},0)</f>
        <v>1296</v>
      </c>
      <c r="F758" s="30">
        <v>1348.0</v>
      </c>
      <c r="G758" s="30">
        <v>40.0</v>
      </c>
      <c r="H758" s="18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17"/>
      <c r="Z758" s="6"/>
      <c r="AA758" s="18"/>
      <c r="AB758" s="33"/>
      <c r="AC758" s="34"/>
      <c r="AD758" s="18"/>
      <c r="AE758" s="18"/>
    </row>
    <row r="759">
      <c r="A759" s="5" t="s">
        <v>20</v>
      </c>
      <c r="B759" s="8" t="s">
        <v>1831</v>
      </c>
      <c r="C759" s="21" t="s">
        <v>1839</v>
      </c>
      <c r="D759" s="21" t="s">
        <v>1840</v>
      </c>
      <c r="E759" s="53">
        <f t="array" ref="E759:F759">VLOOKUP(C759,'NEW PTMT'!$B$4:$E1832,{3,4},0)</f>
        <v>1856.4</v>
      </c>
      <c r="F759" s="30">
        <v>1888.0</v>
      </c>
      <c r="G759" s="30">
        <v>40.0</v>
      </c>
      <c r="H759" s="18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17"/>
      <c r="Z759" s="6"/>
      <c r="AA759" s="18"/>
      <c r="AB759" s="33"/>
      <c r="AC759" s="34"/>
      <c r="AD759" s="18"/>
      <c r="AE759" s="18"/>
    </row>
    <row r="760">
      <c r="A760" s="5" t="s">
        <v>20</v>
      </c>
      <c r="B760" s="8" t="s">
        <v>1831</v>
      </c>
      <c r="C760" s="21" t="s">
        <v>1841</v>
      </c>
      <c r="D760" s="21" t="s">
        <v>1842</v>
      </c>
      <c r="E760" s="53">
        <f t="array" ref="E760:F760">VLOOKUP(C760,'NEW PTMT'!$B$4:$E1832,{3,4},0)</f>
        <v>3100</v>
      </c>
      <c r="F760" s="30">
        <v>3128.0</v>
      </c>
      <c r="G760" s="30">
        <v>40.0</v>
      </c>
      <c r="H760" s="18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17"/>
      <c r="Z760" s="6"/>
      <c r="AA760" s="18"/>
      <c r="AB760" s="33"/>
      <c r="AC760" s="34"/>
      <c r="AD760" s="18"/>
      <c r="AE760" s="18"/>
    </row>
    <row r="761">
      <c r="A761" s="5" t="s">
        <v>20</v>
      </c>
      <c r="B761" s="8" t="s">
        <v>1831</v>
      </c>
      <c r="C761" s="21" t="s">
        <v>1843</v>
      </c>
      <c r="D761" s="21" t="s">
        <v>1844</v>
      </c>
      <c r="E761" s="53">
        <f t="array" ref="E761:F761">VLOOKUP(C761,'NEW PTMT'!$B$4:$E1832,{3,4},0)</f>
        <v>4273.8</v>
      </c>
      <c r="F761" s="30">
        <v>4480.0</v>
      </c>
      <c r="G761" s="30">
        <v>40.0</v>
      </c>
      <c r="H761" s="18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17"/>
      <c r="Z761" s="6"/>
      <c r="AA761" s="18"/>
      <c r="AB761" s="33"/>
      <c r="AC761" s="34"/>
      <c r="AD761" s="18"/>
      <c r="AE761" s="18"/>
    </row>
    <row r="762">
      <c r="A762" s="5" t="s">
        <v>20</v>
      </c>
      <c r="B762" s="8" t="s">
        <v>1831</v>
      </c>
      <c r="C762" s="21" t="s">
        <v>1845</v>
      </c>
      <c r="D762" s="21" t="s">
        <v>1846</v>
      </c>
      <c r="E762" s="53">
        <f t="array" ref="E762:F762">VLOOKUP(C762,'NEW PTMT'!$B$4:$E1832,{3,4},0)</f>
        <v>292</v>
      </c>
      <c r="F762" s="30">
        <v>316.0</v>
      </c>
      <c r="G762" s="30">
        <v>70.0</v>
      </c>
      <c r="H762" s="18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17"/>
      <c r="Z762" s="6"/>
      <c r="AA762" s="18"/>
      <c r="AB762" s="33"/>
      <c r="AC762" s="34"/>
      <c r="AD762" s="18"/>
      <c r="AE762" s="18"/>
    </row>
    <row r="763">
      <c r="A763" s="5" t="s">
        <v>20</v>
      </c>
      <c r="B763" s="8" t="s">
        <v>1831</v>
      </c>
      <c r="C763" s="21" t="s">
        <v>1847</v>
      </c>
      <c r="D763" s="21" t="s">
        <v>1848</v>
      </c>
      <c r="E763" s="53">
        <f t="array" ref="E763:F763">VLOOKUP(C763,'NEW PTMT'!$B$4:$E1832,{3,4},0)</f>
        <v>326.4</v>
      </c>
      <c r="F763" s="30">
        <v>354.0</v>
      </c>
      <c r="G763" s="30">
        <v>70.0</v>
      </c>
      <c r="H763" s="18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17"/>
      <c r="Z763" s="6"/>
      <c r="AA763" s="18"/>
      <c r="AB763" s="33"/>
      <c r="AC763" s="34"/>
      <c r="AD763" s="18"/>
      <c r="AE763" s="18"/>
    </row>
    <row r="764">
      <c r="A764" s="5" t="s">
        <v>20</v>
      </c>
      <c r="B764" s="8" t="s">
        <v>1831</v>
      </c>
      <c r="C764" s="21" t="s">
        <v>1849</v>
      </c>
      <c r="D764" s="21" t="s">
        <v>1850</v>
      </c>
      <c r="E764" s="53">
        <f t="array" ref="E764:F764">VLOOKUP(C764,'NEW PTMT'!$B$4:$E1832,{3,4},0)</f>
        <v>466</v>
      </c>
      <c r="F764" s="30">
        <v>504.0</v>
      </c>
      <c r="G764" s="30">
        <v>70.0</v>
      </c>
      <c r="H764" s="18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17"/>
      <c r="Z764" s="6"/>
      <c r="AA764" s="18"/>
      <c r="AB764" s="33"/>
      <c r="AC764" s="34"/>
      <c r="AD764" s="18"/>
      <c r="AE764" s="18"/>
    </row>
    <row r="765">
      <c r="A765" s="5" t="s">
        <v>20</v>
      </c>
      <c r="B765" s="8" t="s">
        <v>1831</v>
      </c>
      <c r="C765" s="21" t="s">
        <v>1851</v>
      </c>
      <c r="D765" s="21" t="s">
        <v>1852</v>
      </c>
      <c r="E765" s="53">
        <f t="array" ref="E765:F765">VLOOKUP(C765,'NEW PTMT'!$B$4:$E1832,{3,4},0)</f>
        <v>638</v>
      </c>
      <c r="F765" s="30">
        <v>688.0</v>
      </c>
      <c r="G765" s="30">
        <v>50.0</v>
      </c>
      <c r="H765" s="18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17"/>
      <c r="Z765" s="6"/>
      <c r="AA765" s="18"/>
      <c r="AB765" s="33"/>
      <c r="AC765" s="34"/>
      <c r="AD765" s="18"/>
      <c r="AE765" s="18"/>
    </row>
    <row r="766">
      <c r="A766" s="5" t="s">
        <v>20</v>
      </c>
      <c r="B766" s="8" t="s">
        <v>1831</v>
      </c>
      <c r="C766" s="21" t="s">
        <v>1853</v>
      </c>
      <c r="D766" s="21" t="s">
        <v>1826</v>
      </c>
      <c r="E766" s="53">
        <f t="array" ref="E766:F766">VLOOKUP(C766,'NEW PTMT'!$B$4:$E1832,{3,4},0)</f>
        <v>91.8</v>
      </c>
      <c r="F766" s="30">
        <v>98.0</v>
      </c>
      <c r="G766" s="30"/>
      <c r="H766" s="18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17"/>
      <c r="Z766" s="6"/>
      <c r="AA766" s="18"/>
      <c r="AB766" s="33"/>
      <c r="AC766" s="34"/>
      <c r="AD766" s="18"/>
      <c r="AE766" s="18"/>
    </row>
    <row r="767">
      <c r="A767" s="5" t="s">
        <v>20</v>
      </c>
      <c r="B767" s="8" t="s">
        <v>1831</v>
      </c>
      <c r="C767" s="21" t="s">
        <v>1854</v>
      </c>
      <c r="D767" s="21" t="s">
        <v>1827</v>
      </c>
      <c r="E767" s="53">
        <f t="array" ref="E767:F767">VLOOKUP(C767,'NEW PTMT'!$B$4:$E1832,{3,4},0)</f>
        <v>128.3568</v>
      </c>
      <c r="F767" s="30">
        <v>138.0</v>
      </c>
      <c r="G767" s="30"/>
      <c r="H767" s="18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17"/>
      <c r="Z767" s="6"/>
      <c r="AA767" s="18"/>
      <c r="AB767" s="33"/>
      <c r="AC767" s="34"/>
      <c r="AD767" s="18"/>
      <c r="AE767" s="18"/>
    </row>
    <row r="768">
      <c r="A768" s="5" t="s">
        <v>20</v>
      </c>
      <c r="B768" s="8" t="s">
        <v>1831</v>
      </c>
      <c r="C768" s="21" t="s">
        <v>1855</v>
      </c>
      <c r="D768" s="21" t="s">
        <v>1828</v>
      </c>
      <c r="E768" s="53">
        <f t="array" ref="E768:F768">VLOOKUP(C768,'NEW PTMT'!$B$4:$E1832,{3,4},0)</f>
        <v>248</v>
      </c>
      <c r="F768" s="30">
        <v>268.0</v>
      </c>
      <c r="G768" s="30"/>
      <c r="H768" s="18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17"/>
      <c r="Z768" s="6"/>
      <c r="AA768" s="18"/>
      <c r="AB768" s="33"/>
      <c r="AC768" s="34"/>
      <c r="AD768" s="18"/>
      <c r="AE768" s="18"/>
    </row>
    <row r="769">
      <c r="A769" s="5" t="s">
        <v>20</v>
      </c>
      <c r="B769" s="8" t="s">
        <v>1831</v>
      </c>
      <c r="C769" s="21" t="s">
        <v>1856</v>
      </c>
      <c r="D769" s="21" t="s">
        <v>1857</v>
      </c>
      <c r="E769" s="53">
        <f t="array" ref="E769:F769">VLOOKUP(C769,'NEW PTMT'!$B$4:$E1832,{3,4},0)</f>
        <v>374</v>
      </c>
      <c r="F769" s="30">
        <v>404.0</v>
      </c>
      <c r="G769" s="30"/>
      <c r="H769" s="18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17"/>
      <c r="Z769" s="6"/>
      <c r="AA769" s="18"/>
      <c r="AB769" s="33"/>
      <c r="AC769" s="34"/>
      <c r="AD769" s="18"/>
      <c r="AE769" s="18"/>
    </row>
    <row r="770">
      <c r="A770" s="5" t="s">
        <v>20</v>
      </c>
      <c r="B770" s="8" t="s">
        <v>1858</v>
      </c>
      <c r="C770" s="21" t="s">
        <v>1859</v>
      </c>
      <c r="D770" s="21" t="s">
        <v>1860</v>
      </c>
      <c r="E770" s="53">
        <f t="array" ref="E770:F770">VLOOKUP(C770,'NEW PTMT'!$B$4:$E1832,{3,4},0)</f>
        <v>34</v>
      </c>
      <c r="F770" s="30">
        <v>34.0</v>
      </c>
      <c r="G770" s="30">
        <v>2000.0</v>
      </c>
      <c r="H770" s="18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17"/>
      <c r="Z770" s="6"/>
      <c r="AA770" s="18"/>
      <c r="AB770" s="33"/>
      <c r="AC770" s="34"/>
      <c r="AD770" s="18"/>
      <c r="AE770" s="18"/>
    </row>
    <row r="771">
      <c r="A771" s="5" t="s">
        <v>20</v>
      </c>
      <c r="B771" s="8" t="s">
        <v>1858</v>
      </c>
      <c r="C771" s="21" t="s">
        <v>1861</v>
      </c>
      <c r="D771" s="21" t="s">
        <v>1862</v>
      </c>
      <c r="E771" s="53">
        <f t="array" ref="E771:F771">VLOOKUP(C771,'NEW PTMT'!$B$4:$E1832,{3,4},0)</f>
        <v>38</v>
      </c>
      <c r="F771" s="30">
        <v>38.0</v>
      </c>
      <c r="G771" s="30">
        <v>2000.0</v>
      </c>
      <c r="H771" s="18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17"/>
      <c r="Z771" s="6"/>
      <c r="AA771" s="18"/>
      <c r="AB771" s="33"/>
      <c r="AC771" s="34"/>
      <c r="AD771" s="18"/>
      <c r="AE771" s="18"/>
    </row>
    <row r="772">
      <c r="A772" s="5" t="s">
        <v>20</v>
      </c>
      <c r="B772" s="8" t="s">
        <v>1858</v>
      </c>
      <c r="C772" s="21" t="s">
        <v>1863</v>
      </c>
      <c r="D772" s="21" t="s">
        <v>1860</v>
      </c>
      <c r="E772" s="53">
        <f t="array" ref="E772:F772">VLOOKUP(C772,'NEW PTMT'!$B$4:$E1832,{3,4},0)</f>
        <v>26</v>
      </c>
      <c r="F772" s="30">
        <v>26.0</v>
      </c>
      <c r="G772" s="30">
        <v>2400.0</v>
      </c>
      <c r="H772" s="18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17"/>
      <c r="Z772" s="6"/>
      <c r="AA772" s="18"/>
      <c r="AB772" s="33"/>
      <c r="AC772" s="34"/>
      <c r="AD772" s="18"/>
      <c r="AE772" s="18"/>
    </row>
    <row r="773">
      <c r="A773" s="5" t="s">
        <v>20</v>
      </c>
      <c r="B773" s="8" t="s">
        <v>1864</v>
      </c>
      <c r="C773" s="21">
        <v>321.0</v>
      </c>
      <c r="D773" s="21" t="s">
        <v>1865</v>
      </c>
      <c r="E773" s="53">
        <f t="array" ref="E773:F773">VLOOKUP(C773,'NEW PTMT'!$B$4:$E1832,{3,4},0)</f>
        <v>85.68</v>
      </c>
      <c r="F773" s="30">
        <v>92.0</v>
      </c>
      <c r="G773" s="30">
        <v>100.0</v>
      </c>
      <c r="H773" s="18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17"/>
      <c r="Z773" s="6"/>
      <c r="AA773" s="18"/>
      <c r="AB773" s="33"/>
      <c r="AC773" s="34"/>
      <c r="AD773" s="18"/>
      <c r="AE773" s="18"/>
    </row>
    <row r="774">
      <c r="A774" s="5" t="s">
        <v>20</v>
      </c>
      <c r="B774" s="8" t="s">
        <v>1864</v>
      </c>
      <c r="C774" s="21">
        <v>322.0</v>
      </c>
      <c r="D774" s="21" t="s">
        <v>1866</v>
      </c>
      <c r="E774" s="53">
        <f t="array" ref="E774:F774">VLOOKUP(C774,'NEW PTMT'!$B$4:$E1832,{3,4},0)</f>
        <v>91.8</v>
      </c>
      <c r="F774" s="30">
        <v>98.0</v>
      </c>
      <c r="G774" s="30">
        <v>100.0</v>
      </c>
      <c r="H774" s="18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17"/>
      <c r="Z774" s="6"/>
      <c r="AA774" s="18"/>
      <c r="AB774" s="33"/>
      <c r="AC774" s="34"/>
      <c r="AD774" s="18"/>
      <c r="AE774" s="18"/>
    </row>
    <row r="775">
      <c r="A775" s="5" t="s">
        <v>20</v>
      </c>
      <c r="B775" s="8" t="s">
        <v>1864</v>
      </c>
      <c r="C775" s="21">
        <v>323.0</v>
      </c>
      <c r="D775" s="21" t="s">
        <v>1867</v>
      </c>
      <c r="E775" s="53">
        <f t="array" ref="E775:F775">VLOOKUP(C775,'NEW PTMT'!$B$4:$E1832,{3,4},0)</f>
        <v>104.04</v>
      </c>
      <c r="F775" s="30">
        <v>112.0</v>
      </c>
      <c r="G775" s="30">
        <v>100.0</v>
      </c>
      <c r="H775" s="18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17"/>
      <c r="Z775" s="6"/>
      <c r="AA775" s="18"/>
      <c r="AB775" s="33"/>
      <c r="AC775" s="34"/>
      <c r="AD775" s="18"/>
      <c r="AE775" s="18"/>
    </row>
    <row r="776">
      <c r="A776" s="5" t="s">
        <v>20</v>
      </c>
      <c r="B776" s="8" t="s">
        <v>1864</v>
      </c>
      <c r="C776" s="21">
        <v>324.0</v>
      </c>
      <c r="D776" s="21" t="s">
        <v>1868</v>
      </c>
      <c r="E776" s="53">
        <f t="array" ref="E776:F776">VLOOKUP(C776,'NEW PTMT'!$B$4:$E1832,{3,4},0)</f>
        <v>124.44</v>
      </c>
      <c r="F776" s="30">
        <v>134.0</v>
      </c>
      <c r="G776" s="30">
        <v>100.0</v>
      </c>
      <c r="H776" s="18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17"/>
      <c r="Z776" s="6"/>
      <c r="AA776" s="18"/>
      <c r="AB776" s="33"/>
      <c r="AC776" s="34"/>
      <c r="AD776" s="18"/>
      <c r="AE776" s="18"/>
    </row>
    <row r="777">
      <c r="A777" s="5" t="s">
        <v>20</v>
      </c>
      <c r="B777" s="8" t="s">
        <v>1864</v>
      </c>
      <c r="C777" s="21">
        <v>325.0</v>
      </c>
      <c r="D777" s="21" t="s">
        <v>1869</v>
      </c>
      <c r="E777" s="53">
        <f t="array" ref="E777:F777">VLOOKUP(C777,'NEW PTMT'!$B$4:$E1832,{3,4},0)</f>
        <v>148</v>
      </c>
      <c r="F777" s="30">
        <v>158.0</v>
      </c>
      <c r="G777" s="30">
        <v>300.0</v>
      </c>
      <c r="H777" s="18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17"/>
      <c r="Z777" s="6"/>
      <c r="AA777" s="18"/>
      <c r="AB777" s="33"/>
      <c r="AC777" s="34"/>
      <c r="AD777" s="18"/>
      <c r="AE777" s="18"/>
    </row>
    <row r="778">
      <c r="A778" s="5" t="s">
        <v>20</v>
      </c>
      <c r="B778" s="8" t="s">
        <v>1864</v>
      </c>
      <c r="C778" s="21">
        <v>326.0</v>
      </c>
      <c r="D778" s="21" t="s">
        <v>1870</v>
      </c>
      <c r="E778" s="53">
        <f t="array" ref="E778:F778">VLOOKUP(C778,'NEW PTMT'!$B$4:$E1832,{3,4},0)</f>
        <v>179.52</v>
      </c>
      <c r="F778" s="30">
        <v>194.0</v>
      </c>
      <c r="G778" s="30">
        <v>300.0</v>
      </c>
      <c r="H778" s="18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17"/>
      <c r="Z778" s="6"/>
      <c r="AA778" s="18"/>
      <c r="AB778" s="33"/>
      <c r="AC778" s="34"/>
      <c r="AD778" s="18"/>
      <c r="AE778" s="18"/>
    </row>
    <row r="779">
      <c r="A779" s="5" t="s">
        <v>20</v>
      </c>
      <c r="B779" s="8" t="s">
        <v>1864</v>
      </c>
      <c r="C779" s="21" t="s">
        <v>1871</v>
      </c>
      <c r="D779" s="21" t="s">
        <v>1872</v>
      </c>
      <c r="E779" s="53">
        <f t="array" ref="E779:F779">VLOOKUP(C779,'NEW PTMT'!$B$4:$E1832,{3,4},0)</f>
        <v>185.64</v>
      </c>
      <c r="F779" s="30">
        <v>198.0</v>
      </c>
      <c r="G779" s="30">
        <v>200.0</v>
      </c>
      <c r="H779" s="18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17"/>
      <c r="Z779" s="6"/>
      <c r="AA779" s="18"/>
      <c r="AB779" s="33"/>
      <c r="AC779" s="34"/>
      <c r="AD779" s="18"/>
      <c r="AE779" s="18"/>
    </row>
    <row r="780">
      <c r="A780" s="5" t="s">
        <v>20</v>
      </c>
      <c r="B780" s="8" t="s">
        <v>1864</v>
      </c>
      <c r="C780" s="21">
        <v>348.0</v>
      </c>
      <c r="D780" s="21" t="s">
        <v>1873</v>
      </c>
      <c r="E780" s="53">
        <f t="array" ref="E780:F780">VLOOKUP(C780,'NEW PTMT'!$B$4:$E1832,{3,4},0)</f>
        <v>201.552</v>
      </c>
      <c r="F780" s="30">
        <v>218.0</v>
      </c>
      <c r="G780" s="30">
        <v>200.0</v>
      </c>
      <c r="H780" s="18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17"/>
      <c r="Z780" s="6"/>
      <c r="AA780" s="18"/>
      <c r="AB780" s="33"/>
      <c r="AC780" s="34"/>
      <c r="AD780" s="18"/>
      <c r="AE780" s="18"/>
    </row>
    <row r="781">
      <c r="A781" s="5" t="s">
        <v>20</v>
      </c>
      <c r="B781" s="8" t="s">
        <v>1864</v>
      </c>
      <c r="C781" s="21">
        <v>350.0</v>
      </c>
      <c r="D781" s="21" t="s">
        <v>1874</v>
      </c>
      <c r="E781" s="53">
        <f t="array" ref="E781:F781">VLOOKUP(C781,'NEW PTMT'!$B$4:$E1832,{3,4},0)</f>
        <v>224</v>
      </c>
      <c r="F781" s="30">
        <v>242.0</v>
      </c>
      <c r="G781" s="30">
        <v>200.0</v>
      </c>
      <c r="H781" s="18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17"/>
      <c r="Z781" s="6"/>
      <c r="AA781" s="18"/>
      <c r="AB781" s="33"/>
      <c r="AC781" s="34"/>
      <c r="AD781" s="18"/>
      <c r="AE781" s="18"/>
    </row>
    <row r="782">
      <c r="A782" s="5" t="s">
        <v>20</v>
      </c>
      <c r="B782" s="8" t="s">
        <v>1864</v>
      </c>
      <c r="C782" s="21" t="s">
        <v>1875</v>
      </c>
      <c r="D782" s="21" t="s">
        <v>1876</v>
      </c>
      <c r="E782" s="53">
        <f t="array" ref="E782:F782">VLOOKUP(C782,'NEW PTMT'!$B$4:$E1832,{3,4},0)</f>
        <v>124.44</v>
      </c>
      <c r="F782" s="30">
        <v>134.0</v>
      </c>
      <c r="G782" s="30">
        <v>100.0</v>
      </c>
      <c r="H782" s="18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17"/>
      <c r="Z782" s="6"/>
      <c r="AA782" s="18"/>
      <c r="AB782" s="33"/>
      <c r="AC782" s="34"/>
      <c r="AD782" s="18"/>
      <c r="AE782" s="18"/>
    </row>
    <row r="783">
      <c r="A783" s="5" t="s">
        <v>20</v>
      </c>
      <c r="B783" s="8" t="s">
        <v>1864</v>
      </c>
      <c r="C783" s="21" t="s">
        <v>1877</v>
      </c>
      <c r="D783" s="21" t="s">
        <v>1878</v>
      </c>
      <c r="E783" s="53">
        <f t="array" ref="E783:F783">VLOOKUP(C783,'NEW PTMT'!$B$4:$E1832,{3,4},0)</f>
        <v>148</v>
      </c>
      <c r="F783" s="30">
        <v>158.0</v>
      </c>
      <c r="G783" s="30">
        <v>100.0</v>
      </c>
      <c r="H783" s="18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17"/>
      <c r="Z783" s="6"/>
      <c r="AA783" s="18"/>
      <c r="AB783" s="33"/>
      <c r="AC783" s="34"/>
      <c r="AD783" s="18"/>
      <c r="AE783" s="18"/>
    </row>
    <row r="784">
      <c r="A784" s="5" t="s">
        <v>20</v>
      </c>
      <c r="B784" s="8" t="s">
        <v>1864</v>
      </c>
      <c r="C784" s="21" t="s">
        <v>1879</v>
      </c>
      <c r="D784" s="21" t="s">
        <v>1880</v>
      </c>
      <c r="E784" s="53">
        <f t="array" ref="E784:F784">VLOOKUP(C784,'NEW PTMT'!$B$4:$E1832,{3,4},0)</f>
        <v>176</v>
      </c>
      <c r="F784" s="30">
        <v>188.0</v>
      </c>
      <c r="G784" s="30">
        <v>300.0</v>
      </c>
      <c r="H784" s="18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17"/>
      <c r="Z784" s="6"/>
      <c r="AA784" s="18"/>
      <c r="AB784" s="33"/>
      <c r="AC784" s="34"/>
      <c r="AD784" s="18"/>
      <c r="AE784" s="18"/>
    </row>
    <row r="785">
      <c r="A785" s="5" t="s">
        <v>20</v>
      </c>
      <c r="B785" s="8" t="s">
        <v>1864</v>
      </c>
      <c r="C785" s="21" t="s">
        <v>1881</v>
      </c>
      <c r="D785" s="21" t="s">
        <v>1882</v>
      </c>
      <c r="E785" s="53">
        <f t="array" ref="E785:F785">VLOOKUP(C785,'NEW PTMT'!$B$4:$E1832,{3,4},0)</f>
        <v>207.9168</v>
      </c>
      <c r="F785" s="30">
        <v>224.0</v>
      </c>
      <c r="G785" s="30">
        <v>300.0</v>
      </c>
      <c r="H785" s="18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17"/>
      <c r="Z785" s="6"/>
      <c r="AA785" s="18"/>
      <c r="AB785" s="33"/>
      <c r="AC785" s="34"/>
      <c r="AD785" s="18"/>
      <c r="AE785" s="18"/>
    </row>
    <row r="786">
      <c r="A786" s="5" t="s">
        <v>20</v>
      </c>
      <c r="B786" s="8" t="s">
        <v>1883</v>
      </c>
      <c r="C786" s="8" t="s">
        <v>1884</v>
      </c>
      <c r="D786" s="8" t="s">
        <v>1885</v>
      </c>
      <c r="E786" s="53">
        <f t="array" ref="E786:F786">VLOOKUP(C786,'NEW PTMT'!$B$4:$E1832,{3,4},0)</f>
        <v>89.76</v>
      </c>
      <c r="F786" s="30">
        <v>96.0</v>
      </c>
      <c r="G786" s="30"/>
      <c r="H786" s="18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17"/>
      <c r="Z786" s="6"/>
      <c r="AA786" s="18"/>
      <c r="AB786" s="33"/>
      <c r="AC786" s="34"/>
      <c r="AD786" s="18"/>
      <c r="AE786" s="18"/>
    </row>
    <row r="787">
      <c r="A787" s="5" t="s">
        <v>20</v>
      </c>
      <c r="B787" s="8" t="s">
        <v>1883</v>
      </c>
      <c r="C787" s="8" t="s">
        <v>1886</v>
      </c>
      <c r="D787" s="8" t="s">
        <v>1887</v>
      </c>
      <c r="E787" s="53">
        <f t="array" ref="E787:F787">VLOOKUP(C787,'NEW PTMT'!$B$4:$E1832,{3,4},0)</f>
        <v>104.04</v>
      </c>
      <c r="F787" s="30">
        <v>112.0</v>
      </c>
      <c r="G787" s="30"/>
      <c r="H787" s="18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17"/>
      <c r="Z787" s="6"/>
      <c r="AA787" s="18"/>
      <c r="AB787" s="33"/>
      <c r="AC787" s="34"/>
      <c r="AD787" s="18"/>
      <c r="AE787" s="18"/>
    </row>
    <row r="788">
      <c r="A788" s="5" t="s">
        <v>20</v>
      </c>
      <c r="B788" s="8" t="s">
        <v>1883</v>
      </c>
      <c r="C788" s="8" t="s">
        <v>1888</v>
      </c>
      <c r="D788" s="8" t="s">
        <v>1889</v>
      </c>
      <c r="E788" s="53">
        <f t="array" ref="E788:F788">VLOOKUP(C788,'NEW PTMT'!$B$4:$E1832,{3,4},0)</f>
        <v>124.44</v>
      </c>
      <c r="F788" s="30">
        <v>134.0</v>
      </c>
      <c r="G788" s="30"/>
      <c r="H788" s="18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17"/>
      <c r="Z788" s="6"/>
      <c r="AA788" s="18"/>
      <c r="AB788" s="33"/>
      <c r="AC788" s="34"/>
      <c r="AD788" s="18"/>
      <c r="AE788" s="18"/>
    </row>
    <row r="789">
      <c r="A789" s="5" t="s">
        <v>20</v>
      </c>
      <c r="B789" s="8" t="s">
        <v>1883</v>
      </c>
      <c r="C789" s="8" t="s">
        <v>1890</v>
      </c>
      <c r="D789" s="8" t="s">
        <v>1891</v>
      </c>
      <c r="E789" s="53">
        <f t="array" ref="E789:F789">VLOOKUP(C789,'NEW PTMT'!$B$4:$E1832,{3,4},0)</f>
        <v>148</v>
      </c>
      <c r="F789" s="30">
        <v>158.0</v>
      </c>
      <c r="G789" s="30"/>
      <c r="H789" s="18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17"/>
      <c r="Z789" s="6"/>
      <c r="AA789" s="18"/>
      <c r="AB789" s="33"/>
      <c r="AC789" s="34"/>
      <c r="AD789" s="18"/>
      <c r="AE789" s="18"/>
    </row>
    <row r="790">
      <c r="A790" s="5" t="s">
        <v>20</v>
      </c>
      <c r="B790" s="8" t="s">
        <v>1883</v>
      </c>
      <c r="C790" s="8" t="s">
        <v>1892</v>
      </c>
      <c r="D790" s="8" t="s">
        <v>1893</v>
      </c>
      <c r="E790" s="53">
        <f t="array" ref="E790:F790">VLOOKUP(C790,'NEW PTMT'!$B$4:$E1832,{3,4},0)</f>
        <v>179.52</v>
      </c>
      <c r="F790" s="30">
        <v>194.0</v>
      </c>
      <c r="G790" s="30"/>
      <c r="H790" s="18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17"/>
      <c r="Z790" s="6"/>
      <c r="AA790" s="18"/>
      <c r="AB790" s="33"/>
      <c r="AC790" s="34"/>
      <c r="AD790" s="18"/>
      <c r="AE790" s="18"/>
    </row>
    <row r="791">
      <c r="A791" s="5" t="s">
        <v>20</v>
      </c>
      <c r="B791" s="8" t="s">
        <v>1883</v>
      </c>
      <c r="C791" s="8" t="s">
        <v>1894</v>
      </c>
      <c r="D791" s="8" t="s">
        <v>1895</v>
      </c>
      <c r="E791" s="53">
        <f t="array" ref="E791:F791">VLOOKUP(C791,'NEW PTMT'!$B$4:$E1832,{3,4},0)</f>
        <v>201.552</v>
      </c>
      <c r="F791" s="30">
        <v>218.0</v>
      </c>
      <c r="G791" s="30"/>
      <c r="H791" s="18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17"/>
      <c r="Z791" s="6"/>
      <c r="AA791" s="18"/>
      <c r="AB791" s="33"/>
      <c r="AC791" s="34"/>
      <c r="AD791" s="18"/>
      <c r="AE791" s="18"/>
    </row>
    <row r="792">
      <c r="A792" s="5" t="s">
        <v>20</v>
      </c>
      <c r="B792" s="8" t="s">
        <v>1896</v>
      </c>
      <c r="C792" s="21">
        <v>327.0</v>
      </c>
      <c r="D792" s="21" t="s">
        <v>1897</v>
      </c>
      <c r="E792" s="53">
        <f t="array" ref="E792:F792">VLOOKUP(C792,'NEW PTMT'!$B$4:$E1832,{3,4},0)</f>
        <v>77.52</v>
      </c>
      <c r="F792" s="30">
        <v>82.0</v>
      </c>
      <c r="G792" s="30">
        <v>110.0</v>
      </c>
      <c r="H792" s="18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17"/>
      <c r="Z792" s="6"/>
      <c r="AA792" s="18"/>
      <c r="AB792" s="33"/>
      <c r="AC792" s="34"/>
      <c r="AD792" s="18"/>
      <c r="AE792" s="18"/>
    </row>
    <row r="793">
      <c r="A793" s="5" t="s">
        <v>20</v>
      </c>
      <c r="B793" s="8" t="s">
        <v>1896</v>
      </c>
      <c r="C793" s="21">
        <v>328.0</v>
      </c>
      <c r="D793" s="21" t="s">
        <v>1898</v>
      </c>
      <c r="E793" s="53">
        <f t="array" ref="E793:F793">VLOOKUP(C793,'NEW PTMT'!$B$4:$E1832,{3,4},0)</f>
        <v>83.64</v>
      </c>
      <c r="F793" s="30">
        <v>88.0</v>
      </c>
      <c r="G793" s="30">
        <v>110.0</v>
      </c>
      <c r="H793" s="18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17"/>
      <c r="Z793" s="6"/>
      <c r="AA793" s="18"/>
      <c r="AB793" s="33"/>
      <c r="AC793" s="34"/>
      <c r="AD793" s="18"/>
      <c r="AE793" s="18"/>
    </row>
    <row r="794">
      <c r="A794" s="5" t="s">
        <v>20</v>
      </c>
      <c r="B794" s="8" t="s">
        <v>1896</v>
      </c>
      <c r="C794" s="21">
        <v>329.0</v>
      </c>
      <c r="D794" s="21" t="s">
        <v>1899</v>
      </c>
      <c r="E794" s="53">
        <f t="array" ref="E794:F794">VLOOKUP(C794,'NEW PTMT'!$B$4:$E1832,{3,4},0)</f>
        <v>97.5936</v>
      </c>
      <c r="F794" s="30">
        <v>104.0</v>
      </c>
      <c r="G794" s="30">
        <v>150.0</v>
      </c>
      <c r="H794" s="18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17"/>
      <c r="Z794" s="6"/>
      <c r="AA794" s="18"/>
      <c r="AB794" s="33"/>
      <c r="AC794" s="34"/>
      <c r="AD794" s="18"/>
      <c r="AE794" s="18"/>
    </row>
    <row r="795">
      <c r="A795" s="5" t="s">
        <v>20</v>
      </c>
      <c r="B795" s="8" t="s">
        <v>1896</v>
      </c>
      <c r="C795" s="21">
        <v>330.0</v>
      </c>
      <c r="D795" s="21" t="s">
        <v>1900</v>
      </c>
      <c r="E795" s="53">
        <f t="array" ref="E795:F795">VLOOKUP(C795,'NEW PTMT'!$B$4:$E1832,{3,4},0)</f>
        <v>106.08</v>
      </c>
      <c r="F795" s="30">
        <v>112.0</v>
      </c>
      <c r="G795" s="30">
        <v>150.0</v>
      </c>
      <c r="H795" s="18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17"/>
      <c r="Z795" s="6"/>
      <c r="AA795" s="18"/>
      <c r="AB795" s="33"/>
      <c r="AC795" s="34"/>
      <c r="AD795" s="18"/>
      <c r="AE795" s="18"/>
    </row>
    <row r="796">
      <c r="A796" s="5" t="s">
        <v>20</v>
      </c>
      <c r="B796" s="8" t="s">
        <v>1896</v>
      </c>
      <c r="C796" s="21">
        <v>3271.0</v>
      </c>
      <c r="D796" s="21" t="s">
        <v>1901</v>
      </c>
      <c r="E796" s="53">
        <f t="array" ref="E796:F796">VLOOKUP(C796,'NEW PTMT'!$B$4:$E1832,{3,4},0)</f>
        <v>132</v>
      </c>
      <c r="F796" s="30">
        <v>142.0</v>
      </c>
      <c r="G796" s="30">
        <v>150.0</v>
      </c>
      <c r="H796" s="18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17"/>
      <c r="Z796" s="6"/>
      <c r="AA796" s="18"/>
      <c r="AB796" s="33"/>
      <c r="AC796" s="34"/>
      <c r="AD796" s="18"/>
      <c r="AE796" s="18"/>
    </row>
    <row r="797">
      <c r="A797" s="5" t="s">
        <v>20</v>
      </c>
      <c r="B797" s="8" t="s">
        <v>1896</v>
      </c>
      <c r="C797" s="21">
        <v>3281.0</v>
      </c>
      <c r="D797" s="21" t="s">
        <v>1902</v>
      </c>
      <c r="E797" s="53">
        <f t="array" ref="E797:F797">VLOOKUP(C797,'NEW PTMT'!$B$4:$E1832,{3,4},0)</f>
        <v>138</v>
      </c>
      <c r="F797" s="30">
        <v>148.0</v>
      </c>
      <c r="G797" s="30">
        <v>150.0</v>
      </c>
      <c r="H797" s="18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17"/>
      <c r="Z797" s="6"/>
      <c r="AA797" s="18"/>
      <c r="AB797" s="33"/>
      <c r="AC797" s="34"/>
      <c r="AD797" s="18"/>
      <c r="AE797" s="18"/>
    </row>
    <row r="798">
      <c r="A798" s="5" t="s">
        <v>20</v>
      </c>
      <c r="B798" s="8" t="s">
        <v>1896</v>
      </c>
      <c r="C798" s="21">
        <v>3451.0</v>
      </c>
      <c r="D798" s="21" t="s">
        <v>1903</v>
      </c>
      <c r="E798" s="53">
        <f t="array" ref="E798:F798">VLOOKUP(C798,'NEW PTMT'!$B$4:$E1832,{3,4},0)</f>
        <v>91.8</v>
      </c>
      <c r="F798" s="30">
        <v>98.0</v>
      </c>
      <c r="G798" s="30">
        <v>150.0</v>
      </c>
      <c r="H798" s="18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17"/>
      <c r="Z798" s="6"/>
      <c r="AA798" s="18"/>
      <c r="AB798" s="33"/>
      <c r="AC798" s="34"/>
      <c r="AD798" s="18"/>
      <c r="AE798" s="18"/>
    </row>
    <row r="799">
      <c r="A799" s="5" t="s">
        <v>20</v>
      </c>
      <c r="B799" s="8" t="s">
        <v>1896</v>
      </c>
      <c r="C799" s="21">
        <v>3461.0</v>
      </c>
      <c r="D799" s="21" t="s">
        <v>1904</v>
      </c>
      <c r="E799" s="53">
        <f t="array" ref="E799:F799">VLOOKUP(C799,'NEW PTMT'!$B$4:$E1832,{3,4},0)</f>
        <v>106.08</v>
      </c>
      <c r="F799" s="30">
        <v>116.0</v>
      </c>
      <c r="G799" s="30">
        <v>150.0</v>
      </c>
      <c r="H799" s="18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17"/>
      <c r="Z799" s="6"/>
      <c r="AA799" s="18"/>
      <c r="AB799" s="33"/>
      <c r="AC799" s="34"/>
      <c r="AD799" s="18"/>
      <c r="AE799" s="18"/>
    </row>
    <row r="800">
      <c r="A800" s="5" t="s">
        <v>20</v>
      </c>
      <c r="B800" s="8" t="s">
        <v>1896</v>
      </c>
      <c r="C800" s="21">
        <v>345.0</v>
      </c>
      <c r="D800" s="21" t="s">
        <v>1905</v>
      </c>
      <c r="E800" s="53">
        <f t="array" ref="E800:F800">VLOOKUP(C800,'NEW PTMT'!$B$4:$E1832,{3,4},0)</f>
        <v>152</v>
      </c>
      <c r="F800" s="30">
        <v>164.0</v>
      </c>
      <c r="G800" s="30">
        <v>100.0</v>
      </c>
      <c r="H800" s="18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17"/>
      <c r="Z800" s="6"/>
      <c r="AA800" s="18"/>
      <c r="AB800" s="33"/>
      <c r="AC800" s="34"/>
      <c r="AD800" s="18"/>
      <c r="AE800" s="18"/>
    </row>
    <row r="801">
      <c r="A801" s="5" t="s">
        <v>20</v>
      </c>
      <c r="B801" s="8" t="s">
        <v>1896</v>
      </c>
      <c r="C801" s="21" t="s">
        <v>1906</v>
      </c>
      <c r="D801" s="21" t="s">
        <v>1907</v>
      </c>
      <c r="E801" s="53">
        <f t="array" ref="E801:F801">VLOOKUP(C801,'NEW PTMT'!$B$4:$E1832,{3,4},0)</f>
        <v>601.8</v>
      </c>
      <c r="F801" s="30">
        <v>648.0</v>
      </c>
      <c r="G801" s="30">
        <v>12.0</v>
      </c>
      <c r="H801" s="18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17"/>
      <c r="Z801" s="6"/>
      <c r="AA801" s="18"/>
      <c r="AB801" s="33"/>
      <c r="AC801" s="34"/>
      <c r="AD801" s="18"/>
      <c r="AE801" s="18"/>
    </row>
    <row r="802">
      <c r="A802" s="5" t="s">
        <v>20</v>
      </c>
      <c r="B802" s="8" t="s">
        <v>1896</v>
      </c>
      <c r="C802" s="21" t="s">
        <v>1908</v>
      </c>
      <c r="D802" s="21" t="s">
        <v>1909</v>
      </c>
      <c r="E802" s="53">
        <f t="array" ref="E802:F802">VLOOKUP(C802,'NEW PTMT'!$B$4:$E1832,{3,4},0)</f>
        <v>844</v>
      </c>
      <c r="F802" s="30">
        <v>912.0</v>
      </c>
      <c r="G802" s="30">
        <v>12.0</v>
      </c>
      <c r="H802" s="18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17"/>
      <c r="Z802" s="6"/>
      <c r="AA802" s="18"/>
      <c r="AB802" s="33"/>
      <c r="AC802" s="34"/>
      <c r="AD802" s="18"/>
      <c r="AE802" s="18"/>
    </row>
    <row r="803">
      <c r="A803" s="5" t="s">
        <v>20</v>
      </c>
      <c r="B803" s="8" t="s">
        <v>1910</v>
      </c>
      <c r="C803" s="21">
        <v>341.0</v>
      </c>
      <c r="D803" s="21" t="s">
        <v>1911</v>
      </c>
      <c r="E803" s="53">
        <f t="array" ref="E803:F803">VLOOKUP(C803,'NEW PTMT'!$B$4:$E1832,{3,4},0)</f>
        <v>89.76</v>
      </c>
      <c r="F803" s="30">
        <v>98.0</v>
      </c>
      <c r="G803" s="30">
        <v>150.0</v>
      </c>
      <c r="H803" s="18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17"/>
      <c r="Z803" s="6"/>
      <c r="AA803" s="18"/>
      <c r="AB803" s="33"/>
      <c r="AC803" s="34"/>
      <c r="AD803" s="18"/>
      <c r="AE803" s="18"/>
    </row>
    <row r="804">
      <c r="A804" s="5" t="s">
        <v>20</v>
      </c>
      <c r="B804" s="8" t="s">
        <v>1910</v>
      </c>
      <c r="C804" s="21">
        <v>343.0</v>
      </c>
      <c r="D804" s="21" t="s">
        <v>1912</v>
      </c>
      <c r="E804" s="53">
        <f t="array" ref="E804:F804">VLOOKUP(C804,'NEW PTMT'!$B$4:$E1832,{3,4},0)</f>
        <v>169.728</v>
      </c>
      <c r="F804" s="30">
        <v>184.0</v>
      </c>
      <c r="G804" s="30">
        <v>110.0</v>
      </c>
      <c r="H804" s="18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17"/>
      <c r="Z804" s="6"/>
      <c r="AA804" s="18"/>
      <c r="AB804" s="33"/>
      <c r="AC804" s="34"/>
      <c r="AD804" s="18"/>
      <c r="AE804" s="18"/>
    </row>
    <row r="805">
      <c r="A805" s="5" t="s">
        <v>20</v>
      </c>
      <c r="B805" s="8" t="s">
        <v>1910</v>
      </c>
      <c r="C805" s="21">
        <v>342.0</v>
      </c>
      <c r="D805" s="21" t="s">
        <v>1913</v>
      </c>
      <c r="E805" s="53">
        <f t="array" ref="E805:F805">VLOOKUP(C805,'NEW PTMT'!$B$4:$E1832,{3,4},0)</f>
        <v>138</v>
      </c>
      <c r="F805" s="30">
        <v>148.0</v>
      </c>
      <c r="G805" s="30">
        <v>100.0</v>
      </c>
      <c r="H805" s="18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17"/>
      <c r="Z805" s="6"/>
      <c r="AA805" s="18"/>
      <c r="AB805" s="33"/>
      <c r="AC805" s="34"/>
      <c r="AD805" s="18"/>
      <c r="AE805" s="18"/>
    </row>
    <row r="806">
      <c r="A806" s="5" t="s">
        <v>20</v>
      </c>
      <c r="B806" s="8" t="s">
        <v>1910</v>
      </c>
      <c r="C806" s="21">
        <v>344.0</v>
      </c>
      <c r="D806" s="21" t="s">
        <v>1914</v>
      </c>
      <c r="E806" s="53">
        <f t="array" ref="E806:F806">VLOOKUP(C806,'NEW PTMT'!$B$4:$E1832,{3,4},0)</f>
        <v>252.4704</v>
      </c>
      <c r="F806" s="30">
        <v>274.0</v>
      </c>
      <c r="G806" s="30">
        <v>50.0</v>
      </c>
      <c r="H806" s="18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17"/>
      <c r="Z806" s="6"/>
      <c r="AA806" s="18"/>
      <c r="AB806" s="33"/>
      <c r="AC806" s="34"/>
      <c r="AD806" s="18"/>
      <c r="AE806" s="18"/>
    </row>
    <row r="807">
      <c r="A807" s="5" t="s">
        <v>20</v>
      </c>
      <c r="B807" s="8" t="s">
        <v>1910</v>
      </c>
      <c r="C807" s="21">
        <v>360.0</v>
      </c>
      <c r="D807" s="21" t="s">
        <v>1915</v>
      </c>
      <c r="E807" s="53">
        <f t="array" ref="E807:F807">VLOOKUP(C807,'NEW PTMT'!$B$4:$E1832,{3,4},0)</f>
        <v>387.6</v>
      </c>
      <c r="F807" s="30">
        <v>418.0</v>
      </c>
      <c r="G807" s="30">
        <v>50.0</v>
      </c>
      <c r="H807" s="18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17"/>
      <c r="Z807" s="6"/>
      <c r="AA807" s="18"/>
      <c r="AB807" s="33"/>
      <c r="AC807" s="34"/>
      <c r="AD807" s="18"/>
      <c r="AE807" s="18"/>
    </row>
    <row r="808">
      <c r="A808" s="5" t="s">
        <v>20</v>
      </c>
      <c r="B808" s="8" t="s">
        <v>1910</v>
      </c>
      <c r="C808" s="21">
        <v>361.0</v>
      </c>
      <c r="D808" s="21" t="s">
        <v>1916</v>
      </c>
      <c r="E808" s="53">
        <f t="array" ref="E808:F808">VLOOKUP(C808,'NEW PTMT'!$B$4:$E1832,{3,4},0)</f>
        <v>468</v>
      </c>
      <c r="F808" s="30">
        <v>506.0</v>
      </c>
      <c r="G808" s="30">
        <v>50.0</v>
      </c>
      <c r="H808" s="18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17"/>
      <c r="Z808" s="6"/>
      <c r="AA808" s="18"/>
      <c r="AB808" s="33"/>
      <c r="AC808" s="34"/>
      <c r="AD808" s="18"/>
      <c r="AE808" s="18"/>
    </row>
    <row r="809">
      <c r="A809" s="5" t="s">
        <v>20</v>
      </c>
      <c r="B809" s="8" t="s">
        <v>1910</v>
      </c>
      <c r="C809" s="21">
        <v>362.0</v>
      </c>
      <c r="D809" s="21" t="s">
        <v>1917</v>
      </c>
      <c r="E809" s="53">
        <f t="array" ref="E809:F809">VLOOKUP(C809,'NEW PTMT'!$B$4:$E1832,{3,4},0)</f>
        <v>591.6</v>
      </c>
      <c r="F809" s="30">
        <v>638.0</v>
      </c>
      <c r="G809" s="30">
        <v>50.0</v>
      </c>
      <c r="H809" s="18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17"/>
      <c r="Z809" s="6"/>
      <c r="AA809" s="18"/>
      <c r="AB809" s="33"/>
      <c r="AC809" s="34"/>
      <c r="AD809" s="18"/>
      <c r="AE809" s="18"/>
    </row>
    <row r="810">
      <c r="A810" s="5" t="s">
        <v>20</v>
      </c>
      <c r="B810" s="8" t="s">
        <v>1918</v>
      </c>
      <c r="C810" s="21">
        <v>3272.0</v>
      </c>
      <c r="D810" s="21" t="s">
        <v>1919</v>
      </c>
      <c r="E810" s="53">
        <f t="array" ref="E810:F810">VLOOKUP(C810,'NEW PTMT'!$B$4:$E1832,{3,4},0)</f>
        <v>77.52</v>
      </c>
      <c r="F810" s="30">
        <v>84.0</v>
      </c>
      <c r="G810" s="30">
        <v>100.0</v>
      </c>
      <c r="H810" s="18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17"/>
      <c r="Z810" s="6"/>
      <c r="AA810" s="18"/>
      <c r="AB810" s="33"/>
      <c r="AC810" s="34"/>
      <c r="AD810" s="18"/>
      <c r="AE810" s="18"/>
    </row>
    <row r="811">
      <c r="A811" s="5" t="s">
        <v>20</v>
      </c>
      <c r="B811" s="8" t="s">
        <v>1918</v>
      </c>
      <c r="C811" s="21" t="s">
        <v>1920</v>
      </c>
      <c r="D811" s="21" t="s">
        <v>1919</v>
      </c>
      <c r="E811" s="53">
        <f t="array" ref="E811:F811">VLOOKUP(C811,'NEW PTMT'!$B$4:$E1832,{3,4},0)</f>
        <v>68</v>
      </c>
      <c r="F811" s="30">
        <v>74.0</v>
      </c>
      <c r="G811" s="30">
        <v>100.0</v>
      </c>
      <c r="H811" s="18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17"/>
      <c r="Z811" s="6"/>
      <c r="AA811" s="18"/>
      <c r="AB811" s="33"/>
      <c r="AC811" s="34"/>
      <c r="AD811" s="18"/>
      <c r="AE811" s="18"/>
    </row>
    <row r="812">
      <c r="A812" s="5" t="s">
        <v>20</v>
      </c>
      <c r="B812" s="8" t="s">
        <v>1918</v>
      </c>
      <c r="C812" s="21">
        <v>3274.0</v>
      </c>
      <c r="D812" s="21" t="s">
        <v>1921</v>
      </c>
      <c r="E812" s="53">
        <f t="array" ref="E812:F812">VLOOKUP(C812,'NEW PTMT'!$B$4:$E1832,{3,4},0)</f>
        <v>89.76</v>
      </c>
      <c r="F812" s="30">
        <v>98.0</v>
      </c>
      <c r="G812" s="30">
        <v>100.0</v>
      </c>
      <c r="H812" s="18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17"/>
      <c r="Z812" s="6"/>
      <c r="AA812" s="18"/>
      <c r="AB812" s="33"/>
      <c r="AC812" s="34"/>
      <c r="AD812" s="18"/>
      <c r="AE812" s="18"/>
    </row>
    <row r="813">
      <c r="A813" s="5" t="s">
        <v>20</v>
      </c>
      <c r="B813" s="8" t="s">
        <v>1918</v>
      </c>
      <c r="C813" s="21" t="s">
        <v>1922</v>
      </c>
      <c r="D813" s="21" t="s">
        <v>1921</v>
      </c>
      <c r="E813" s="53">
        <f t="array" ref="E813:F813">VLOOKUP(C813,'NEW PTMT'!$B$4:$E1832,{3,4},0)</f>
        <v>83.64</v>
      </c>
      <c r="F813" s="30">
        <v>90.0</v>
      </c>
      <c r="G813" s="30">
        <v>100.0</v>
      </c>
      <c r="H813" s="18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17"/>
      <c r="Z813" s="6"/>
      <c r="AA813" s="18"/>
      <c r="AB813" s="33"/>
      <c r="AC813" s="34"/>
      <c r="AD813" s="18"/>
      <c r="AE813" s="18"/>
    </row>
    <row r="814">
      <c r="A814" s="5" t="s">
        <v>20</v>
      </c>
      <c r="B814" s="8" t="s">
        <v>1918</v>
      </c>
      <c r="C814" s="21">
        <v>3273.0</v>
      </c>
      <c r="D814" s="21" t="s">
        <v>1923</v>
      </c>
      <c r="E814" s="53">
        <f t="array" ref="E814:F814">VLOOKUP(C814,'NEW PTMT'!$B$4:$E1832,{3,4},0)</f>
        <v>89.76</v>
      </c>
      <c r="F814" s="30">
        <v>98.0</v>
      </c>
      <c r="G814" s="30">
        <v>100.0</v>
      </c>
      <c r="H814" s="18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17"/>
      <c r="Z814" s="6"/>
      <c r="AA814" s="18"/>
      <c r="AB814" s="33"/>
      <c r="AC814" s="34"/>
      <c r="AD814" s="18"/>
      <c r="AE814" s="18"/>
    </row>
    <row r="815">
      <c r="A815" s="5" t="s">
        <v>20</v>
      </c>
      <c r="B815" s="8" t="s">
        <v>1918</v>
      </c>
      <c r="C815" s="21">
        <v>3275.0</v>
      </c>
      <c r="D815" s="21" t="s">
        <v>1921</v>
      </c>
      <c r="E815" s="53">
        <f t="array" ref="E815:F815">VLOOKUP(C815,'NEW PTMT'!$B$4:$E1832,{3,4},0)</f>
        <v>103.9584</v>
      </c>
      <c r="F815" s="30">
        <v>112.0</v>
      </c>
      <c r="G815" s="30">
        <v>100.0</v>
      </c>
      <c r="H815" s="18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17"/>
      <c r="Z815" s="6"/>
      <c r="AA815" s="18"/>
      <c r="AB815" s="33"/>
      <c r="AC815" s="34"/>
      <c r="AD815" s="18"/>
      <c r="AE815" s="18"/>
    </row>
    <row r="816">
      <c r="A816" s="5" t="s">
        <v>20</v>
      </c>
      <c r="B816" s="8" t="s">
        <v>1918</v>
      </c>
      <c r="C816" s="21">
        <v>3276.0</v>
      </c>
      <c r="D816" s="21" t="s">
        <v>1924</v>
      </c>
      <c r="E816" s="53">
        <f t="array" ref="E816:F816">VLOOKUP(C816,'NEW PTMT'!$B$4:$E1832,{3,4},0)</f>
        <v>110.3232</v>
      </c>
      <c r="F816" s="30">
        <v>118.0</v>
      </c>
      <c r="G816" s="30">
        <v>100.0</v>
      </c>
      <c r="H816" s="18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17"/>
      <c r="Z816" s="6"/>
      <c r="AA816" s="18"/>
      <c r="AB816" s="33"/>
      <c r="AC816" s="34"/>
      <c r="AD816" s="18"/>
      <c r="AE816" s="18"/>
    </row>
    <row r="817">
      <c r="A817" s="5" t="s">
        <v>20</v>
      </c>
      <c r="B817" s="8" t="s">
        <v>1918</v>
      </c>
      <c r="C817" s="21" t="s">
        <v>1925</v>
      </c>
      <c r="D817" s="21" t="s">
        <v>1926</v>
      </c>
      <c r="E817" s="53">
        <f t="array" ref="E817:F817">VLOOKUP(C817,'NEW PTMT'!$B$4:$E1832,{3,4},0)</f>
        <v>77.52</v>
      </c>
      <c r="F817" s="30">
        <v>84.0</v>
      </c>
      <c r="G817" s="30">
        <v>100.0</v>
      </c>
      <c r="H817" s="18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17"/>
      <c r="Z817" s="6"/>
      <c r="AA817" s="18"/>
      <c r="AB817" s="33"/>
      <c r="AC817" s="34"/>
      <c r="AD817" s="18"/>
      <c r="AE817" s="18"/>
    </row>
    <row r="818">
      <c r="A818" s="5" t="s">
        <v>20</v>
      </c>
      <c r="B818" s="8" t="s">
        <v>1918</v>
      </c>
      <c r="C818" s="21" t="s">
        <v>1927</v>
      </c>
      <c r="D818" s="21" t="s">
        <v>1926</v>
      </c>
      <c r="E818" s="53">
        <f t="array" ref="E818:F818">VLOOKUP(C818,'NEW PTMT'!$B$4:$E1832,{3,4},0)</f>
        <v>65.7696</v>
      </c>
      <c r="F818" s="30">
        <v>72.0</v>
      </c>
      <c r="G818" s="30">
        <v>100.0</v>
      </c>
      <c r="H818" s="18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17"/>
      <c r="Z818" s="6"/>
      <c r="AA818" s="18"/>
      <c r="AB818" s="33"/>
      <c r="AC818" s="34"/>
      <c r="AD818" s="18"/>
      <c r="AE818" s="18"/>
    </row>
    <row r="819">
      <c r="A819" s="5" t="s">
        <v>20</v>
      </c>
      <c r="B819" s="8" t="s">
        <v>1918</v>
      </c>
      <c r="C819" s="21" t="s">
        <v>1928</v>
      </c>
      <c r="D819" s="21" t="s">
        <v>1929</v>
      </c>
      <c r="E819" s="53">
        <f t="array" ref="E819:F819">VLOOKUP(C819,'NEW PTMT'!$B$4:$E1832,{3,4},0)</f>
        <v>94</v>
      </c>
      <c r="F819" s="30">
        <v>102.0</v>
      </c>
      <c r="G819" s="30">
        <v>100.0</v>
      </c>
      <c r="H819" s="18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17"/>
      <c r="Z819" s="6"/>
      <c r="AA819" s="18"/>
      <c r="AB819" s="33"/>
      <c r="AC819" s="34"/>
      <c r="AD819" s="18"/>
      <c r="AE819" s="18"/>
    </row>
    <row r="820">
      <c r="A820" s="5" t="s">
        <v>20</v>
      </c>
      <c r="B820" s="8" t="s">
        <v>1918</v>
      </c>
      <c r="C820" s="21" t="s">
        <v>1930</v>
      </c>
      <c r="D820" s="21" t="s">
        <v>1929</v>
      </c>
      <c r="E820" s="53">
        <f t="array" ref="E820:F820">VLOOKUP(C820,'NEW PTMT'!$B$4:$E1832,{3,4},0)</f>
        <v>85.68</v>
      </c>
      <c r="F820" s="30">
        <v>94.0</v>
      </c>
      <c r="G820" s="30">
        <v>100.0</v>
      </c>
      <c r="H820" s="18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17"/>
      <c r="Z820" s="6"/>
      <c r="AA820" s="18"/>
      <c r="AB820" s="33"/>
      <c r="AC820" s="34"/>
      <c r="AD820" s="18"/>
      <c r="AE820" s="18"/>
    </row>
    <row r="821">
      <c r="A821" s="5" t="s">
        <v>20</v>
      </c>
      <c r="B821" s="8" t="s">
        <v>1918</v>
      </c>
      <c r="C821" s="21" t="s">
        <v>1931</v>
      </c>
      <c r="D821" s="21" t="s">
        <v>1929</v>
      </c>
      <c r="E821" s="53">
        <f t="array" ref="E821:F821">VLOOKUP(C821,'NEW PTMT'!$B$4:$E1832,{3,4},0)</f>
        <v>110.3232</v>
      </c>
      <c r="F821" s="30">
        <v>118.0</v>
      </c>
      <c r="G821" s="30">
        <v>100.0</v>
      </c>
      <c r="H821" s="18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17"/>
      <c r="Z821" s="6"/>
      <c r="AA821" s="18"/>
      <c r="AB821" s="33"/>
      <c r="AC821" s="34"/>
      <c r="AD821" s="18"/>
      <c r="AE821" s="18"/>
    </row>
    <row r="822">
      <c r="A822" s="5" t="s">
        <v>20</v>
      </c>
      <c r="B822" s="8" t="s">
        <v>1918</v>
      </c>
      <c r="C822" s="21">
        <v>3727.0</v>
      </c>
      <c r="D822" s="21" t="s">
        <v>1932</v>
      </c>
      <c r="E822" s="53">
        <f t="array" ref="E822:F822">VLOOKUP(C822,'NEW PTMT'!$B$4:$E1832,{3,4},0)</f>
        <v>201.552</v>
      </c>
      <c r="F822" s="30">
        <v>218.0</v>
      </c>
      <c r="G822" s="30">
        <v>12.0</v>
      </c>
      <c r="H822" s="18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17"/>
      <c r="Z822" s="6"/>
      <c r="AA822" s="18"/>
      <c r="AB822" s="33"/>
      <c r="AC822" s="34"/>
      <c r="AD822" s="18"/>
      <c r="AE822" s="18"/>
    </row>
    <row r="823">
      <c r="A823" s="5" t="s">
        <v>20</v>
      </c>
      <c r="B823" s="8" t="s">
        <v>1958</v>
      </c>
      <c r="C823" s="21">
        <v>501.0</v>
      </c>
      <c r="D823" s="21" t="s">
        <v>1960</v>
      </c>
      <c r="E823" s="53">
        <f t="array" ref="E823:F823">VLOOKUP(C823,'NEW CISTERN &amp; SEAT COVER'!$B$4:$E1832,{3,4},0)</f>
        <v>1650</v>
      </c>
      <c r="F823" s="30">
        <v>1780.0</v>
      </c>
      <c r="G823" s="30">
        <v>10.0</v>
      </c>
      <c r="H823" s="18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17"/>
      <c r="Z823" s="6"/>
      <c r="AA823" s="18"/>
      <c r="AB823" s="33"/>
      <c r="AC823" s="34"/>
      <c r="AD823" s="18"/>
      <c r="AE823" s="18"/>
    </row>
    <row r="824">
      <c r="A824" s="5" t="s">
        <v>20</v>
      </c>
      <c r="B824" s="8" t="s">
        <v>1958</v>
      </c>
      <c r="C824" s="21" t="s">
        <v>1968</v>
      </c>
      <c r="D824" s="21" t="s">
        <v>1969</v>
      </c>
      <c r="E824" s="53">
        <f t="array" ref="E824:F824">VLOOKUP(C824,'NEW CISTERN &amp; SEAT COVER'!$B$4:$E1832,{3,4},0)</f>
        <v>1670</v>
      </c>
      <c r="F824" s="30">
        <v>1790.0</v>
      </c>
      <c r="G824" s="30">
        <v>10.0</v>
      </c>
      <c r="H824" s="18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17"/>
      <c r="Z824" s="6"/>
      <c r="AA824" s="18"/>
      <c r="AB824" s="33"/>
      <c r="AC824" s="34"/>
      <c r="AD824" s="18"/>
      <c r="AE824" s="18"/>
    </row>
    <row r="825">
      <c r="A825" s="5" t="s">
        <v>20</v>
      </c>
      <c r="B825" s="8" t="s">
        <v>1958</v>
      </c>
      <c r="C825" s="21">
        <v>502.0</v>
      </c>
      <c r="D825" s="21" t="s">
        <v>1970</v>
      </c>
      <c r="E825" s="53">
        <f t="array" ref="E825:F825">VLOOKUP(C825,'NEW CISTERN &amp; SEAT COVER'!$B$4:$E1832,{3,4},0)</f>
        <v>1920</v>
      </c>
      <c r="F825" s="30">
        <v>2070.0</v>
      </c>
      <c r="G825" s="30">
        <v>10.0</v>
      </c>
      <c r="H825" s="18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17"/>
      <c r="Z825" s="6"/>
      <c r="AA825" s="18"/>
      <c r="AB825" s="33"/>
      <c r="AC825" s="34"/>
      <c r="AD825" s="18"/>
      <c r="AE825" s="18"/>
    </row>
    <row r="826">
      <c r="A826" s="5" t="s">
        <v>20</v>
      </c>
      <c r="B826" s="8" t="s">
        <v>1958</v>
      </c>
      <c r="C826" s="21">
        <v>503.0</v>
      </c>
      <c r="D826" s="21" t="s">
        <v>1971</v>
      </c>
      <c r="E826" s="53">
        <f t="array" ref="E826:F826">VLOOKUP(C826,'NEW CISTERN &amp; SEAT COVER'!$B$4:$E1832,{3,4},0)</f>
        <v>1610</v>
      </c>
      <c r="F826" s="30">
        <v>1740.0</v>
      </c>
      <c r="G826" s="30">
        <v>10.0</v>
      </c>
      <c r="H826" s="18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17"/>
      <c r="Z826" s="6"/>
      <c r="AA826" s="18"/>
      <c r="AB826" s="33"/>
      <c r="AC826" s="34"/>
      <c r="AD826" s="18"/>
      <c r="AE826" s="18"/>
    </row>
    <row r="827">
      <c r="A827" s="5" t="s">
        <v>20</v>
      </c>
      <c r="B827" s="8" t="s">
        <v>1958</v>
      </c>
      <c r="C827" s="21">
        <v>504.0</v>
      </c>
      <c r="D827" s="21" t="s">
        <v>1973</v>
      </c>
      <c r="E827" s="53">
        <f t="array" ref="E827:F827">VLOOKUP(C827,'NEW CISTERN &amp; SEAT COVER'!$B$4:$E1832,{3,4},0)</f>
        <v>1870</v>
      </c>
      <c r="F827" s="30">
        <v>2020.0</v>
      </c>
      <c r="G827" s="30">
        <v>10.0</v>
      </c>
      <c r="H827" s="18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17"/>
      <c r="Z827" s="6"/>
      <c r="AA827" s="18"/>
      <c r="AB827" s="33"/>
      <c r="AC827" s="34"/>
      <c r="AD827" s="18"/>
      <c r="AE827" s="18"/>
    </row>
    <row r="828">
      <c r="A828" s="5" t="s">
        <v>20</v>
      </c>
      <c r="B828" s="8" t="s">
        <v>1958</v>
      </c>
      <c r="C828" s="21">
        <v>506.0</v>
      </c>
      <c r="D828" s="21" t="s">
        <v>1975</v>
      </c>
      <c r="E828" s="53">
        <f t="array" ref="E828:F828">VLOOKUP(C828,'NEW CISTERN &amp; SEAT COVER'!$B$4:$E1832,{3,4},0)</f>
        <v>1930</v>
      </c>
      <c r="F828" s="30">
        <v>2090.0</v>
      </c>
      <c r="G828" s="30">
        <v>10.0</v>
      </c>
      <c r="H828" s="18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17"/>
      <c r="Z828" s="6"/>
      <c r="AA828" s="18"/>
      <c r="AB828" s="33"/>
      <c r="AC828" s="34"/>
      <c r="AD828" s="57"/>
      <c r="AE828" s="18"/>
    </row>
    <row r="829">
      <c r="A829" s="5" t="s">
        <v>20</v>
      </c>
      <c r="B829" s="8" t="s">
        <v>1958</v>
      </c>
      <c r="C829" s="21">
        <v>507.0</v>
      </c>
      <c r="D829" s="21" t="s">
        <v>1976</v>
      </c>
      <c r="E829" s="53">
        <f t="array" ref="E829:F829">VLOOKUP(C829,'NEW CISTERN &amp; SEAT COVER'!$B$4:$E1832,{3,4},0)</f>
        <v>1509.6</v>
      </c>
      <c r="F829" s="30">
        <v>1630.0</v>
      </c>
      <c r="G829" s="30">
        <v>10.0</v>
      </c>
      <c r="H829" s="18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17"/>
      <c r="Z829" s="6"/>
      <c r="AA829" s="18"/>
      <c r="AB829" s="33"/>
      <c r="AC829" s="34"/>
      <c r="AD829" s="18"/>
      <c r="AE829" s="18"/>
    </row>
    <row r="830">
      <c r="A830" s="5" t="s">
        <v>20</v>
      </c>
      <c r="B830" s="8" t="s">
        <v>1958</v>
      </c>
      <c r="C830" s="21">
        <v>508.0</v>
      </c>
      <c r="D830" s="21" t="s">
        <v>1978</v>
      </c>
      <c r="E830" s="53">
        <f t="array" ref="E830:F830">VLOOKUP(C830,'NEW CISTERN &amp; SEAT COVER'!$B$4:$E1832,{3,4},0)</f>
        <v>1880</v>
      </c>
      <c r="F830" s="30">
        <v>2030.0</v>
      </c>
      <c r="G830" s="30">
        <v>10.0</v>
      </c>
      <c r="H830" s="18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17"/>
      <c r="Z830" s="6"/>
      <c r="AA830" s="18"/>
      <c r="AB830" s="33"/>
      <c r="AC830" s="34"/>
      <c r="AD830" s="18"/>
      <c r="AE830" s="18"/>
    </row>
    <row r="831">
      <c r="A831" s="5" t="s">
        <v>20</v>
      </c>
      <c r="B831" s="8" t="s">
        <v>1958</v>
      </c>
      <c r="C831" s="21">
        <v>701.0</v>
      </c>
      <c r="D831" s="21" t="s">
        <v>1980</v>
      </c>
      <c r="E831" s="53">
        <f t="array" ref="E831:F831">VLOOKUP(C831,'NEW CISTERN &amp; SEAT COVER'!$B$4:$E1832,{3,4},0)</f>
        <v>1450</v>
      </c>
      <c r="F831" s="30">
        <v>1570.0</v>
      </c>
      <c r="G831" s="30">
        <v>10.0</v>
      </c>
      <c r="H831" s="18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17"/>
      <c r="Z831" s="6"/>
      <c r="AA831" s="18"/>
      <c r="AB831" s="33"/>
      <c r="AC831" s="34"/>
      <c r="AD831" s="18"/>
      <c r="AE831" s="18"/>
    </row>
    <row r="832">
      <c r="A832" s="5" t="s">
        <v>20</v>
      </c>
      <c r="B832" s="8" t="s">
        <v>1958</v>
      </c>
      <c r="C832" s="21">
        <v>702.0</v>
      </c>
      <c r="D832" s="21" t="s">
        <v>1981</v>
      </c>
      <c r="E832" s="53">
        <f t="array" ref="E832:F832">VLOOKUP(C832,'NEW CISTERN &amp; SEAT COVER'!$B$4:$E1832,{3,4},0)</f>
        <v>1420</v>
      </c>
      <c r="F832" s="30">
        <v>1540.0</v>
      </c>
      <c r="G832" s="30">
        <v>10.0</v>
      </c>
      <c r="H832" s="18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17"/>
      <c r="Z832" s="6"/>
      <c r="AA832" s="18"/>
      <c r="AB832" s="33"/>
      <c r="AC832" s="34"/>
      <c r="AD832" s="18"/>
      <c r="AE832" s="18"/>
    </row>
    <row r="833">
      <c r="A833" s="5" t="s">
        <v>20</v>
      </c>
      <c r="B833" s="8" t="s">
        <v>1958</v>
      </c>
      <c r="C833" s="21">
        <v>703.0</v>
      </c>
      <c r="D833" s="21" t="s">
        <v>1982</v>
      </c>
      <c r="E833" s="53">
        <f t="array" ref="E833:F833">VLOOKUP(C833,'NEW CISTERN &amp; SEAT COVER'!$B$4:$E1832,{3,4},0)</f>
        <v>1870</v>
      </c>
      <c r="F833" s="30">
        <v>2020.0</v>
      </c>
      <c r="G833" s="30">
        <v>10.0</v>
      </c>
      <c r="H833" s="18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17"/>
      <c r="Z833" s="6"/>
      <c r="AA833" s="18"/>
      <c r="AB833" s="33"/>
      <c r="AC833" s="34"/>
      <c r="AD833" s="18"/>
      <c r="AE833" s="18"/>
    </row>
    <row r="834">
      <c r="A834" s="5" t="s">
        <v>20</v>
      </c>
      <c r="B834" s="8" t="s">
        <v>1958</v>
      </c>
      <c r="C834" s="21">
        <v>704.0</v>
      </c>
      <c r="D834" s="21" t="s">
        <v>1985</v>
      </c>
      <c r="E834" s="53">
        <f t="array" ref="E834:F834">VLOOKUP(C834,'NEW CISTERN &amp; SEAT COVER'!$B$4:$E1832,{3,4},0)</f>
        <v>1390</v>
      </c>
      <c r="F834" s="30">
        <v>1490.0</v>
      </c>
      <c r="G834" s="30">
        <v>10.0</v>
      </c>
      <c r="H834" s="18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17"/>
      <c r="Z834" s="6"/>
      <c r="AA834" s="18"/>
      <c r="AB834" s="33"/>
      <c r="AC834" s="34"/>
      <c r="AD834" s="18"/>
      <c r="AE834" s="18"/>
    </row>
    <row r="835">
      <c r="A835" s="5" t="s">
        <v>20</v>
      </c>
      <c r="B835" s="8" t="s">
        <v>1958</v>
      </c>
      <c r="C835" s="21">
        <v>705.0</v>
      </c>
      <c r="D835" s="21" t="s">
        <v>1986</v>
      </c>
      <c r="E835" s="53">
        <f t="array" ref="E835:F835">VLOOKUP(C835,'NEW CISTERN &amp; SEAT COVER'!$B$4:$E1832,{3,4},0)</f>
        <v>1930</v>
      </c>
      <c r="F835" s="30">
        <v>2090.0</v>
      </c>
      <c r="G835" s="30">
        <v>10.0</v>
      </c>
      <c r="H835" s="18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17"/>
      <c r="Z835" s="6"/>
      <c r="AA835" s="18"/>
      <c r="AB835" s="33"/>
      <c r="AC835" s="34"/>
      <c r="AD835" s="18"/>
      <c r="AE835" s="18"/>
    </row>
    <row r="836">
      <c r="A836" s="5" t="s">
        <v>20</v>
      </c>
      <c r="B836" s="8" t="s">
        <v>1958</v>
      </c>
      <c r="C836" s="21">
        <v>706.0</v>
      </c>
      <c r="D836" s="21" t="s">
        <v>1987</v>
      </c>
      <c r="E836" s="53">
        <f t="array" ref="E836:F836">VLOOKUP(C836,'NEW CISTERN &amp; SEAT COVER'!$B$4:$E1832,{3,4},0)</f>
        <v>1590</v>
      </c>
      <c r="F836" s="30">
        <v>1720.0</v>
      </c>
      <c r="G836" s="30">
        <v>10.0</v>
      </c>
      <c r="H836" s="18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17"/>
      <c r="Z836" s="6"/>
      <c r="AA836" s="18"/>
      <c r="AB836" s="33"/>
      <c r="AC836" s="34"/>
      <c r="AD836" s="18"/>
      <c r="AE836" s="18"/>
    </row>
    <row r="837">
      <c r="A837" s="5" t="s">
        <v>20</v>
      </c>
      <c r="B837" s="8" t="s">
        <v>1958</v>
      </c>
      <c r="C837" s="21">
        <v>708.0</v>
      </c>
      <c r="D837" s="21" t="s">
        <v>1989</v>
      </c>
      <c r="E837" s="53">
        <f t="array" ref="E837:F837">VLOOKUP(C837,'NEW CISTERN &amp; SEAT COVER'!$B$4:$E1832,{3,4},0)</f>
        <v>1590</v>
      </c>
      <c r="F837" s="30">
        <v>1720.0</v>
      </c>
      <c r="G837" s="30">
        <v>10.0</v>
      </c>
      <c r="H837" s="18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17"/>
      <c r="Z837" s="6"/>
      <c r="AA837" s="18"/>
      <c r="AB837" s="33"/>
      <c r="AC837" s="34"/>
      <c r="AD837" s="18"/>
      <c r="AE837" s="18"/>
    </row>
    <row r="838">
      <c r="A838" s="5" t="s">
        <v>20</v>
      </c>
      <c r="B838" s="8" t="s">
        <v>1958</v>
      </c>
      <c r="C838" s="21" t="s">
        <v>1990</v>
      </c>
      <c r="D838" s="21" t="s">
        <v>1991</v>
      </c>
      <c r="E838" s="53">
        <f t="array" ref="E838:F838">VLOOKUP(C838,'NEW CISTERN &amp; SEAT COVER'!$B$4:$E1832,{3,4},0)</f>
        <v>1710</v>
      </c>
      <c r="F838" s="30">
        <v>1850.0</v>
      </c>
      <c r="G838" s="30">
        <v>10.0</v>
      </c>
      <c r="H838" s="18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17"/>
      <c r="Z838" s="6"/>
      <c r="AA838" s="18"/>
      <c r="AB838" s="33"/>
      <c r="AC838" s="34"/>
      <c r="AD838" s="18"/>
      <c r="AE838" s="18"/>
    </row>
    <row r="839">
      <c r="A839" s="5" t="s">
        <v>20</v>
      </c>
      <c r="B839" s="8" t="s">
        <v>1958</v>
      </c>
      <c r="C839" s="21" t="s">
        <v>1993</v>
      </c>
      <c r="D839" s="21" t="s">
        <v>1994</v>
      </c>
      <c r="E839" s="53">
        <f t="array" ref="E839:F839">VLOOKUP(C839,'NEW CISTERN &amp; SEAT COVER'!$B$4:$E1832,{3,4},0)</f>
        <v>1710</v>
      </c>
      <c r="F839" s="30">
        <v>1850.0</v>
      </c>
      <c r="G839" s="30">
        <v>10.0</v>
      </c>
      <c r="H839" s="18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17"/>
      <c r="Z839" s="6"/>
      <c r="AA839" s="18"/>
      <c r="AB839" s="33"/>
      <c r="AC839" s="34"/>
      <c r="AD839" s="18"/>
      <c r="AE839" s="18"/>
    </row>
    <row r="840">
      <c r="A840" s="5" t="s">
        <v>20</v>
      </c>
      <c r="B840" s="8" t="s">
        <v>1958</v>
      </c>
      <c r="C840" s="21" t="s">
        <v>1996</v>
      </c>
      <c r="D840" s="21" t="s">
        <v>1997</v>
      </c>
      <c r="E840" s="53">
        <f t="array" ref="E840:F840">VLOOKUP(C840,'NEW CISTERN &amp; SEAT COVER'!$B$4:$E1832,{3,4},0)</f>
        <v>1490</v>
      </c>
      <c r="F840" s="30">
        <v>1590.0</v>
      </c>
      <c r="G840" s="30">
        <v>10.0</v>
      </c>
      <c r="H840" s="18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17"/>
      <c r="Z840" s="6"/>
      <c r="AA840" s="18"/>
      <c r="AB840" s="33"/>
      <c r="AC840" s="34"/>
      <c r="AD840" s="18"/>
      <c r="AE840" s="18"/>
    </row>
    <row r="841">
      <c r="A841" s="5" t="s">
        <v>20</v>
      </c>
      <c r="B841" s="8" t="s">
        <v>3505</v>
      </c>
      <c r="C841" s="21">
        <v>723.0</v>
      </c>
      <c r="D841" s="21" t="s">
        <v>2002</v>
      </c>
      <c r="E841" s="53">
        <f t="array" ref="E841:F841">VLOOKUP(C841,'NEW CISTERN &amp; SEAT COVER'!$B$4:$E1832,{3,4},0)</f>
        <v>960</v>
      </c>
      <c r="F841" s="30">
        <v>1040.0</v>
      </c>
      <c r="G841" s="30">
        <v>20.0</v>
      </c>
      <c r="H841" s="18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17"/>
      <c r="Z841" s="6"/>
      <c r="AA841" s="18"/>
      <c r="AB841" s="33"/>
      <c r="AC841" s="34"/>
      <c r="AD841" s="18"/>
      <c r="AE841" s="18"/>
    </row>
    <row r="842">
      <c r="A842" s="5" t="s">
        <v>20</v>
      </c>
      <c r="B842" s="8" t="s">
        <v>3505</v>
      </c>
      <c r="C842" s="21">
        <v>724.0</v>
      </c>
      <c r="D842" s="21" t="s">
        <v>2004</v>
      </c>
      <c r="E842" s="53">
        <f t="array" ref="E842:F842">VLOOKUP(C842,'NEW CISTERN &amp; SEAT COVER'!$B$4:$E1832,{3,4},0)</f>
        <v>960</v>
      </c>
      <c r="F842" s="30">
        <v>1040.0</v>
      </c>
      <c r="G842" s="30">
        <v>20.0</v>
      </c>
      <c r="H842" s="18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17"/>
      <c r="Z842" s="6"/>
      <c r="AA842" s="18"/>
      <c r="AB842" s="33"/>
      <c r="AC842" s="34"/>
      <c r="AD842" s="57"/>
      <c r="AE842" s="18"/>
    </row>
    <row r="843">
      <c r="A843" s="5" t="s">
        <v>20</v>
      </c>
      <c r="B843" s="8" t="s">
        <v>3505</v>
      </c>
      <c r="C843" s="21">
        <v>725.0</v>
      </c>
      <c r="D843" s="21" t="s">
        <v>2006</v>
      </c>
      <c r="E843" s="53">
        <f t="array" ref="E843:F843">VLOOKUP(C843,'NEW CISTERN &amp; SEAT COVER'!$B$4:$E1832,{3,4},0)</f>
        <v>960</v>
      </c>
      <c r="F843" s="30">
        <v>1040.0</v>
      </c>
      <c r="G843" s="30">
        <v>20.0</v>
      </c>
      <c r="H843" s="18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17"/>
      <c r="Z843" s="6"/>
      <c r="AA843" s="18"/>
      <c r="AB843" s="33"/>
      <c r="AC843" s="34"/>
      <c r="AD843" s="18"/>
      <c r="AE843" s="18"/>
    </row>
    <row r="844">
      <c r="A844" s="5" t="s">
        <v>20</v>
      </c>
      <c r="B844" s="8" t="s">
        <v>3505</v>
      </c>
      <c r="C844" s="21">
        <v>722.0</v>
      </c>
      <c r="D844" s="21" t="s">
        <v>2007</v>
      </c>
      <c r="E844" s="53">
        <f t="array" ref="E844:F844">VLOOKUP(C844,'NEW CISTERN &amp; SEAT COVER'!$B$4:$E1832,{3,4},0)</f>
        <v>960</v>
      </c>
      <c r="F844" s="30">
        <v>1040.0</v>
      </c>
      <c r="G844" s="30">
        <v>20.0</v>
      </c>
      <c r="H844" s="18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17"/>
      <c r="Z844" s="6"/>
      <c r="AA844" s="18"/>
      <c r="AB844" s="33"/>
      <c r="AC844" s="34"/>
      <c r="AD844" s="18"/>
      <c r="AE844" s="18"/>
    </row>
    <row r="845">
      <c r="A845" s="5" t="s">
        <v>20</v>
      </c>
      <c r="B845" s="8" t="s">
        <v>2009</v>
      </c>
      <c r="C845" s="21">
        <v>511.0</v>
      </c>
      <c r="D845" s="21" t="s">
        <v>2011</v>
      </c>
      <c r="E845" s="53">
        <f t="array" ref="E845:F845">VLOOKUP(C845,'NEW CISTERN &amp; SEAT COVER'!$B$4:$E1832,{3,4},0)</f>
        <v>674</v>
      </c>
      <c r="F845" s="30">
        <v>728.0</v>
      </c>
      <c r="G845" s="30">
        <v>15.0</v>
      </c>
      <c r="H845" s="18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17"/>
      <c r="Z845" s="6"/>
      <c r="AA845" s="18"/>
      <c r="AB845" s="33"/>
      <c r="AC845" s="34"/>
      <c r="AD845" s="18"/>
      <c r="AE845" s="18"/>
    </row>
    <row r="846">
      <c r="A846" s="5" t="s">
        <v>20</v>
      </c>
      <c r="B846" s="8" t="s">
        <v>2009</v>
      </c>
      <c r="C846" s="21">
        <v>512.0</v>
      </c>
      <c r="D846" s="21" t="s">
        <v>2013</v>
      </c>
      <c r="E846" s="53">
        <f t="array" ref="E846:F846">VLOOKUP(C846,'NEW CISTERN &amp; SEAT COVER'!$B$4:$E1832,{3,4},0)</f>
        <v>832.32</v>
      </c>
      <c r="F846" s="30">
        <v>898.0</v>
      </c>
      <c r="G846" s="30">
        <v>12.0</v>
      </c>
      <c r="H846" s="18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17"/>
      <c r="Z846" s="6"/>
      <c r="AA846" s="18"/>
      <c r="AB846" s="33"/>
      <c r="AC846" s="34"/>
      <c r="AD846" s="18"/>
      <c r="AE846" s="18"/>
    </row>
    <row r="847">
      <c r="A847" s="5" t="s">
        <v>20</v>
      </c>
      <c r="B847" s="8" t="s">
        <v>2009</v>
      </c>
      <c r="C847" s="21">
        <v>513.0</v>
      </c>
      <c r="D847" s="21" t="s">
        <v>14</v>
      </c>
      <c r="E847" s="53">
        <f t="array" ref="E847:F847">VLOOKUP(C847,'NEW CISTERN &amp; SEAT COVER'!$B$4:$E1832,{3,4},0)</f>
        <v>731.952</v>
      </c>
      <c r="F847" s="30">
        <v>792.0</v>
      </c>
      <c r="G847" s="30">
        <v>20.0</v>
      </c>
      <c r="H847" s="18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17"/>
      <c r="Z847" s="6"/>
      <c r="AA847" s="18"/>
      <c r="AB847" s="33"/>
      <c r="AC847" s="34"/>
      <c r="AD847" s="18"/>
      <c r="AE847" s="18"/>
    </row>
    <row r="848">
      <c r="A848" s="5" t="s">
        <v>20</v>
      </c>
      <c r="B848" s="8" t="s">
        <v>2009</v>
      </c>
      <c r="C848" s="21">
        <v>514.0</v>
      </c>
      <c r="D848" s="21" t="s">
        <v>2015</v>
      </c>
      <c r="E848" s="53">
        <f t="array" ref="E848:F848">VLOOKUP(C848,'NEW CISTERN &amp; SEAT COVER'!$B$4:$E1832,{3,4},0)</f>
        <v>860</v>
      </c>
      <c r="F848" s="30">
        <v>930.0</v>
      </c>
      <c r="G848" s="30">
        <v>12.0</v>
      </c>
      <c r="H848" s="18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17"/>
      <c r="Z848" s="6"/>
      <c r="AA848" s="18"/>
      <c r="AB848" s="33"/>
      <c r="AC848" s="34"/>
      <c r="AD848" s="18"/>
      <c r="AE848" s="18"/>
    </row>
    <row r="849">
      <c r="A849" s="5" t="s">
        <v>20</v>
      </c>
      <c r="B849" s="8" t="s">
        <v>2009</v>
      </c>
      <c r="C849" s="21" t="s">
        <v>2017</v>
      </c>
      <c r="D849" s="21" t="s">
        <v>2018</v>
      </c>
      <c r="E849" s="53">
        <f t="array" ref="E849:F849">VLOOKUP(C849,'NEW CISTERN &amp; SEAT COVER'!$B$4:$E1832,{3,4},0)</f>
        <v>907.8</v>
      </c>
      <c r="F849" s="30">
        <v>980.0</v>
      </c>
      <c r="G849" s="30">
        <v>12.0</v>
      </c>
      <c r="H849" s="18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17"/>
      <c r="Z849" s="6"/>
      <c r="AA849" s="18"/>
      <c r="AB849" s="33"/>
      <c r="AC849" s="34"/>
      <c r="AD849" s="18"/>
      <c r="AE849" s="18"/>
    </row>
    <row r="850">
      <c r="A850" s="5" t="s">
        <v>20</v>
      </c>
      <c r="B850" s="8" t="s">
        <v>2009</v>
      </c>
      <c r="C850" s="21">
        <v>515.0</v>
      </c>
      <c r="D850" s="21" t="s">
        <v>2019</v>
      </c>
      <c r="E850" s="53">
        <f t="array" ref="E850:F850">VLOOKUP(C850,'NEW CISTERN &amp; SEAT COVER'!$B$4:$E1832,{3,4},0)</f>
        <v>868</v>
      </c>
      <c r="F850" s="30">
        <v>938.0</v>
      </c>
      <c r="G850" s="30">
        <v>15.0</v>
      </c>
      <c r="H850" s="18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17"/>
      <c r="Z850" s="6"/>
      <c r="AA850" s="18"/>
      <c r="AB850" s="33"/>
      <c r="AC850" s="34"/>
      <c r="AD850" s="18"/>
      <c r="AE850" s="18"/>
    </row>
    <row r="851">
      <c r="A851" s="5" t="s">
        <v>20</v>
      </c>
      <c r="B851" s="8" t="s">
        <v>2009</v>
      </c>
      <c r="C851" s="21">
        <v>516.0</v>
      </c>
      <c r="D851" s="21" t="s">
        <v>2021</v>
      </c>
      <c r="E851" s="53">
        <f t="array" ref="E851:F851">VLOOKUP(C851,'NEW CISTERN &amp; SEAT COVER'!$B$4:$E1832,{3,4},0)</f>
        <v>786</v>
      </c>
      <c r="F851" s="30">
        <v>848.0</v>
      </c>
      <c r="G851" s="30">
        <v>20.0</v>
      </c>
      <c r="H851" s="18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17"/>
      <c r="Z851" s="6"/>
      <c r="AA851" s="18"/>
      <c r="AB851" s="33"/>
      <c r="AC851" s="34"/>
      <c r="AD851" s="18"/>
      <c r="AE851" s="18"/>
    </row>
    <row r="852">
      <c r="A852" s="5" t="s">
        <v>20</v>
      </c>
      <c r="B852" s="8" t="s">
        <v>2009</v>
      </c>
      <c r="C852" s="21" t="s">
        <v>2023</v>
      </c>
      <c r="D852" s="21" t="s">
        <v>2024</v>
      </c>
      <c r="E852" s="53">
        <f t="array" ref="E852:F852">VLOOKUP(C852,'NEW CISTERN &amp; SEAT COVER'!$B$4:$E1832,{3,4},0)</f>
        <v>786</v>
      </c>
      <c r="F852" s="30">
        <v>848.0</v>
      </c>
      <c r="G852" s="30">
        <v>20.0</v>
      </c>
      <c r="H852" s="18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17"/>
      <c r="Z852" s="6"/>
      <c r="AA852" s="18"/>
      <c r="AB852" s="33"/>
      <c r="AC852" s="34"/>
      <c r="AD852" s="18"/>
      <c r="AE852" s="18"/>
    </row>
    <row r="853">
      <c r="A853" s="5" t="s">
        <v>20</v>
      </c>
      <c r="B853" s="8" t="s">
        <v>2009</v>
      </c>
      <c r="C853" s="21">
        <v>517.0</v>
      </c>
      <c r="D853" s="21" t="s">
        <v>2025</v>
      </c>
      <c r="E853" s="53">
        <f t="array" ref="E853:F853">VLOOKUP(C853,'NEW CISTERN &amp; SEAT COVER'!$B$4:$E1832,{3,4},0)</f>
        <v>933.504</v>
      </c>
      <c r="F853" s="30">
        <v>998.0</v>
      </c>
      <c r="G853" s="30">
        <v>15.0</v>
      </c>
      <c r="H853" s="18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17"/>
      <c r="Z853" s="6"/>
      <c r="AA853" s="18"/>
      <c r="AB853" s="33"/>
      <c r="AC853" s="34"/>
      <c r="AD853" s="18"/>
      <c r="AE853" s="18"/>
    </row>
    <row r="854">
      <c r="A854" s="5" t="s">
        <v>20</v>
      </c>
      <c r="B854" s="8" t="s">
        <v>2009</v>
      </c>
      <c r="C854" s="21">
        <v>721.0</v>
      </c>
      <c r="D854" s="21" t="s">
        <v>2027</v>
      </c>
      <c r="E854" s="53">
        <f t="array" ref="E854:F854">VLOOKUP(C854,'NEW CISTERN &amp; SEAT COVER'!$B$4:$E1832,{3,4},0)</f>
        <v>622.2</v>
      </c>
      <c r="F854" s="30">
        <v>672.0</v>
      </c>
      <c r="G854" s="30">
        <v>20.0</v>
      </c>
      <c r="H854" s="18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17"/>
      <c r="Z854" s="6"/>
      <c r="AA854" s="18"/>
      <c r="AB854" s="33"/>
      <c r="AC854" s="34"/>
      <c r="AD854" s="18"/>
      <c r="AE854" s="18"/>
    </row>
    <row r="855">
      <c r="A855" s="5" t="s">
        <v>20</v>
      </c>
      <c r="B855" s="8" t="s">
        <v>2009</v>
      </c>
      <c r="C855" s="21">
        <v>518.0</v>
      </c>
      <c r="D855" s="21" t="s">
        <v>2029</v>
      </c>
      <c r="E855" s="53">
        <f t="array" ref="E855:F855">VLOOKUP(C855,'NEW CISTERN &amp; SEAT COVER'!$B$4:$E1832,{3,4},0)</f>
        <v>990</v>
      </c>
      <c r="F855" s="30">
        <v>1068.0</v>
      </c>
      <c r="G855" s="30">
        <v>20.0</v>
      </c>
      <c r="H855" s="18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17"/>
      <c r="Z855" s="6"/>
      <c r="AA855" s="18"/>
      <c r="AB855" s="33"/>
      <c r="AC855" s="34"/>
      <c r="AD855" s="18"/>
      <c r="AE855" s="18"/>
    </row>
    <row r="856">
      <c r="A856" s="5" t="s">
        <v>20</v>
      </c>
      <c r="B856" s="8" t="s">
        <v>2031</v>
      </c>
      <c r="C856" s="21">
        <v>4043.0</v>
      </c>
      <c r="D856" s="21" t="s">
        <v>2033</v>
      </c>
      <c r="E856" s="53">
        <f t="array" ref="E856:F856">VLOOKUP(C856,'NEW CISTERN &amp; SEAT COVER'!$B$4:$E1832,{3,4},0)</f>
        <v>4290</v>
      </c>
      <c r="F856" s="30">
        <v>4630.0</v>
      </c>
      <c r="G856" s="30"/>
      <c r="H856" s="18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17"/>
      <c r="Z856" s="6"/>
      <c r="AA856" s="18"/>
      <c r="AB856" s="33"/>
      <c r="AC856" s="34"/>
      <c r="AD856" s="57"/>
      <c r="AE856" s="18"/>
    </row>
    <row r="857">
      <c r="A857" s="5" t="s">
        <v>20</v>
      </c>
      <c r="B857" s="8" t="s">
        <v>2031</v>
      </c>
      <c r="C857" s="21">
        <v>4044.0</v>
      </c>
      <c r="D857" s="21" t="s">
        <v>2035</v>
      </c>
      <c r="E857" s="53">
        <f t="array" ref="E857:F857">VLOOKUP(C857,'NEW CISTERN &amp; SEAT COVER'!$B$4:$E1832,{3,4},0)</f>
        <v>1730</v>
      </c>
      <c r="F857" s="30">
        <v>1870.0</v>
      </c>
      <c r="G857" s="30"/>
      <c r="H857" s="18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17"/>
      <c r="Z857" s="6"/>
      <c r="AA857" s="18"/>
      <c r="AB857" s="33"/>
      <c r="AC857" s="34"/>
      <c r="AD857" s="18"/>
      <c r="AE857" s="18"/>
    </row>
    <row r="858">
      <c r="A858" s="5" t="s">
        <v>20</v>
      </c>
      <c r="B858" s="8" t="s">
        <v>2031</v>
      </c>
      <c r="C858" s="21">
        <v>4045.0</v>
      </c>
      <c r="D858" s="21" t="s">
        <v>2037</v>
      </c>
      <c r="E858" s="53">
        <f t="array" ref="E858:F858">VLOOKUP(C858,'NEW CISTERN &amp; SEAT COVER'!$B$4:$E1832,{3,4},0)</f>
        <v>1730</v>
      </c>
      <c r="F858" s="30">
        <v>1870.0</v>
      </c>
      <c r="G858" s="30"/>
      <c r="H858" s="18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17"/>
      <c r="Z858" s="6"/>
      <c r="AA858" s="18"/>
      <c r="AB858" s="33"/>
      <c r="AC858" s="34"/>
      <c r="AD858" s="18"/>
      <c r="AE858" s="18"/>
    </row>
    <row r="859">
      <c r="A859" s="5" t="s">
        <v>20</v>
      </c>
      <c r="B859" s="8" t="s">
        <v>2040</v>
      </c>
      <c r="C859" s="21" t="s">
        <v>2042</v>
      </c>
      <c r="D859" s="21" t="s">
        <v>2043</v>
      </c>
      <c r="E859" s="53">
        <f t="array" ref="E859:F859">VLOOKUP(C859,'NEW CISTERN &amp; SEAT COVER'!$B$4:$E1832,{3,4},0)</f>
        <v>348</v>
      </c>
      <c r="F859" s="30">
        <v>376.0</v>
      </c>
      <c r="G859" s="30">
        <v>50.0</v>
      </c>
      <c r="H859" s="18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17"/>
      <c r="Z859" s="6"/>
      <c r="AA859" s="18"/>
      <c r="AB859" s="33"/>
      <c r="AC859" s="34"/>
      <c r="AD859" s="18"/>
      <c r="AE859" s="18"/>
    </row>
    <row r="860">
      <c r="A860" s="5" t="s">
        <v>20</v>
      </c>
      <c r="B860" s="8" t="s">
        <v>2040</v>
      </c>
      <c r="C860" s="21" t="s">
        <v>2045</v>
      </c>
      <c r="D860" s="21" t="s">
        <v>2046</v>
      </c>
      <c r="E860" s="53">
        <f t="array" ref="E860:F860">VLOOKUP(C860,'NEW CISTERN &amp; SEAT COVER'!$B$4:$E1832,{3,4},0)</f>
        <v>236</v>
      </c>
      <c r="F860" s="30">
        <v>256.0</v>
      </c>
      <c r="G860" s="30">
        <v>100.0</v>
      </c>
      <c r="H860" s="18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17"/>
      <c r="Z860" s="6"/>
      <c r="AA860" s="18"/>
      <c r="AB860" s="33"/>
      <c r="AC860" s="34"/>
      <c r="AD860" s="18"/>
      <c r="AE860" s="18"/>
    </row>
    <row r="861">
      <c r="A861" s="5" t="s">
        <v>20</v>
      </c>
      <c r="B861" s="8" t="s">
        <v>2040</v>
      </c>
      <c r="C861" s="21" t="s">
        <v>2047</v>
      </c>
      <c r="D861" s="21" t="s">
        <v>2049</v>
      </c>
      <c r="E861" s="53">
        <f t="array" ref="E861:F861">VLOOKUP(C861,'NEW CISTERN &amp; SEAT COVER'!$B$4:$E1832,{3,4},0)</f>
        <v>193.8</v>
      </c>
      <c r="F861" s="30">
        <v>208.0</v>
      </c>
      <c r="G861" s="30">
        <v>100.0</v>
      </c>
      <c r="H861" s="18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17"/>
      <c r="Z861" s="6"/>
      <c r="AA861" s="18"/>
      <c r="AB861" s="33"/>
      <c r="AC861" s="34"/>
      <c r="AD861" s="18"/>
      <c r="AE861" s="18"/>
    </row>
    <row r="862">
      <c r="A862" s="5" t="s">
        <v>20</v>
      </c>
      <c r="B862" s="8" t="s">
        <v>2040</v>
      </c>
      <c r="C862" s="21" t="s">
        <v>2050</v>
      </c>
      <c r="D862" s="21" t="s">
        <v>2051</v>
      </c>
      <c r="E862" s="53">
        <f t="array" ref="E862:F862">VLOOKUP(C862,'NEW CISTERN &amp; SEAT COVER'!$B$4:$E1832,{3,4},0)</f>
        <v>246</v>
      </c>
      <c r="F862" s="30">
        <v>266.0</v>
      </c>
      <c r="G862" s="30">
        <v>100.0</v>
      </c>
      <c r="H862" s="18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17"/>
      <c r="Z862" s="6"/>
      <c r="AA862" s="18"/>
      <c r="AB862" s="33"/>
      <c r="AC862" s="34"/>
      <c r="AD862" s="18"/>
      <c r="AE862" s="18"/>
    </row>
    <row r="863">
      <c r="A863" s="5" t="s">
        <v>20</v>
      </c>
      <c r="B863" s="8" t="s">
        <v>2040</v>
      </c>
      <c r="C863" s="21" t="s">
        <v>2053</v>
      </c>
      <c r="D863" s="21" t="s">
        <v>2054</v>
      </c>
      <c r="E863" s="53">
        <f t="array" ref="E863:F863">VLOOKUP(C863,'NEW CISTERN &amp; SEAT COVER'!$B$4:$E1832,{3,4},0)</f>
        <v>81.6</v>
      </c>
      <c r="F863" s="30">
        <v>88.0</v>
      </c>
      <c r="G863" s="30">
        <v>1000.0</v>
      </c>
      <c r="H863" s="18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17"/>
      <c r="Z863" s="6"/>
      <c r="AA863" s="18"/>
      <c r="AB863" s="33"/>
      <c r="AC863" s="34"/>
      <c r="AD863" s="18"/>
      <c r="AE863" s="18"/>
    </row>
    <row r="864">
      <c r="A864" s="5" t="s">
        <v>20</v>
      </c>
      <c r="B864" s="8" t="s">
        <v>2040</v>
      </c>
      <c r="C864" s="21" t="s">
        <v>2055</v>
      </c>
      <c r="D864" s="21" t="s">
        <v>2056</v>
      </c>
      <c r="E864" s="53">
        <f t="array" ref="E864:F864">VLOOKUP(C864,'NEW CISTERN &amp; SEAT COVER'!$B$4:$E1832,{3,4},0)</f>
        <v>81.6</v>
      </c>
      <c r="F864" s="30">
        <v>88.0</v>
      </c>
      <c r="G864" s="30">
        <v>1000.0</v>
      </c>
      <c r="H864" s="18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17"/>
      <c r="Z864" s="6"/>
      <c r="AA864" s="18"/>
      <c r="AB864" s="33"/>
      <c r="AC864" s="34"/>
      <c r="AD864" s="18"/>
      <c r="AE864" s="18"/>
    </row>
    <row r="865">
      <c r="A865" s="5" t="s">
        <v>20</v>
      </c>
      <c r="B865" s="8" t="s">
        <v>2040</v>
      </c>
      <c r="C865" s="21" t="s">
        <v>2058</v>
      </c>
      <c r="D865" s="21" t="s">
        <v>2059</v>
      </c>
      <c r="E865" s="53">
        <f t="array" ref="E865:F865">VLOOKUP(C865,'NEW CISTERN &amp; SEAT COVER'!$B$4:$E1832,{3,4},0)</f>
        <v>256</v>
      </c>
      <c r="F865" s="30">
        <v>276.0</v>
      </c>
      <c r="G865" s="30">
        <v>50.0</v>
      </c>
      <c r="H865" s="18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17"/>
      <c r="Z865" s="6"/>
      <c r="AA865" s="18"/>
      <c r="AB865" s="33"/>
      <c r="AC865" s="34"/>
      <c r="AD865" s="18"/>
      <c r="AE865" s="18"/>
    </row>
    <row r="866">
      <c r="A866" s="5" t="s">
        <v>20</v>
      </c>
      <c r="B866" s="8" t="s">
        <v>2040</v>
      </c>
      <c r="C866" s="21" t="s">
        <v>2060</v>
      </c>
      <c r="D866" s="21" t="s">
        <v>2059</v>
      </c>
      <c r="E866" s="53">
        <f t="array" ref="E866:F866">VLOOKUP(C866,'NEW CISTERN &amp; SEAT COVER'!$B$4:$E1832,{3,4},0)</f>
        <v>256</v>
      </c>
      <c r="F866" s="30">
        <v>276.0</v>
      </c>
      <c r="G866" s="30">
        <v>50.0</v>
      </c>
      <c r="H866" s="18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17"/>
      <c r="Z866" s="6"/>
      <c r="AA866" s="18"/>
      <c r="AB866" s="33"/>
      <c r="AC866" s="34"/>
      <c r="AD866" s="18"/>
      <c r="AE866" s="18"/>
    </row>
    <row r="867">
      <c r="A867" s="5" t="s">
        <v>20</v>
      </c>
      <c r="B867" s="8" t="s">
        <v>2040</v>
      </c>
      <c r="C867" s="21" t="s">
        <v>2063</v>
      </c>
      <c r="D867" s="21" t="s">
        <v>2064</v>
      </c>
      <c r="E867" s="53">
        <f t="array" ref="E867:F867">VLOOKUP(C867,'NEW CISTERN &amp; SEAT COVER'!$B$4:$E1832,{3,4},0)</f>
        <v>74</v>
      </c>
      <c r="F867" s="30">
        <v>80.0</v>
      </c>
      <c r="G867" s="30">
        <v>50.0</v>
      </c>
      <c r="H867" s="18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17"/>
      <c r="Z867" s="6"/>
      <c r="AA867" s="18"/>
      <c r="AB867" s="33"/>
      <c r="AC867" s="34"/>
      <c r="AD867" s="18"/>
      <c r="AE867" s="18"/>
    </row>
    <row r="868">
      <c r="A868" s="5" t="s">
        <v>20</v>
      </c>
      <c r="B868" s="8" t="s">
        <v>2040</v>
      </c>
      <c r="C868" s="21" t="s">
        <v>2065</v>
      </c>
      <c r="D868" s="21" t="s">
        <v>2066</v>
      </c>
      <c r="E868" s="53">
        <f t="array" ref="E868:F868">VLOOKUP(C868,'NEW CISTERN &amp; SEAT COVER'!$B$4:$E1832,{3,4},0)</f>
        <v>183.6</v>
      </c>
      <c r="F868" s="30">
        <v>198.0</v>
      </c>
      <c r="G868" s="30">
        <v>100.0</v>
      </c>
      <c r="H868" s="18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17"/>
      <c r="Z868" s="6"/>
      <c r="AA868" s="18"/>
      <c r="AB868" s="33"/>
      <c r="AC868" s="34"/>
      <c r="AD868" s="18"/>
      <c r="AE868" s="18"/>
    </row>
    <row r="869">
      <c r="A869" s="5" t="s">
        <v>20</v>
      </c>
      <c r="B869" s="8" t="s">
        <v>2040</v>
      </c>
      <c r="C869" s="21" t="s">
        <v>2067</v>
      </c>
      <c r="D869" s="21" t="s">
        <v>2068</v>
      </c>
      <c r="E869" s="53">
        <f t="array" ref="E869:F869">VLOOKUP(C869,'NEW CISTERN &amp; SEAT COVER'!$B$4:$E1832,{3,4},0)</f>
        <v>756</v>
      </c>
      <c r="F869" s="30">
        <v>816.0</v>
      </c>
      <c r="G869" s="30">
        <v>50.0</v>
      </c>
      <c r="H869" s="18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17"/>
      <c r="Z869" s="6"/>
      <c r="AA869" s="18"/>
      <c r="AB869" s="33"/>
      <c r="AC869" s="34"/>
      <c r="AD869" s="18"/>
      <c r="AE869" s="18"/>
    </row>
    <row r="870">
      <c r="A870" s="5" t="s">
        <v>20</v>
      </c>
      <c r="B870" s="8" t="s">
        <v>2040</v>
      </c>
      <c r="C870" s="21" t="s">
        <v>2069</v>
      </c>
      <c r="D870" s="21" t="s">
        <v>2070</v>
      </c>
      <c r="E870" s="53">
        <f t="array" ref="E870:F870">VLOOKUP(C870,'NEW CISTERN &amp; SEAT COVER'!$B$4:$E1832,{3,4},0)</f>
        <v>1101.6</v>
      </c>
      <c r="F870" s="30">
        <v>1188.0</v>
      </c>
      <c r="G870" s="30">
        <v>50.0</v>
      </c>
      <c r="H870" s="18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17"/>
      <c r="Z870" s="6"/>
      <c r="AA870" s="18"/>
      <c r="AB870" s="33"/>
      <c r="AC870" s="34"/>
      <c r="AD870" s="57"/>
      <c r="AE870" s="18"/>
    </row>
    <row r="871">
      <c r="A871" s="5" t="s">
        <v>20</v>
      </c>
      <c r="B871" s="8" t="s">
        <v>2040</v>
      </c>
      <c r="C871" s="21" t="s">
        <v>2072</v>
      </c>
      <c r="D871" s="21" t="s">
        <v>2073</v>
      </c>
      <c r="E871" s="53">
        <f t="array" ref="E871:F871">VLOOKUP(C871,'NEW CISTERN &amp; SEAT COVER'!$B$4:$E1832,{3,4},0)</f>
        <v>836.4</v>
      </c>
      <c r="F871" s="30">
        <v>902.0</v>
      </c>
      <c r="G871" s="30">
        <v>50.0</v>
      </c>
      <c r="H871" s="18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17"/>
      <c r="Z871" s="6"/>
      <c r="AA871" s="18"/>
      <c r="AB871" s="33"/>
      <c r="AC871" s="34"/>
      <c r="AD871" s="18"/>
      <c r="AE871" s="18"/>
    </row>
    <row r="872">
      <c r="A872" s="5" t="s">
        <v>20</v>
      </c>
      <c r="B872" s="8" t="s">
        <v>2040</v>
      </c>
      <c r="C872" s="21" t="s">
        <v>2075</v>
      </c>
      <c r="D872" s="21" t="s">
        <v>2076</v>
      </c>
      <c r="E872" s="53">
        <f t="array" ref="E872:F872">VLOOKUP(C872,'NEW CISTERN &amp; SEAT COVER'!$B$4:$E1832,{3,4},0)</f>
        <v>1388</v>
      </c>
      <c r="F872" s="30">
        <v>1498.0</v>
      </c>
      <c r="G872" s="30">
        <v>50.0</v>
      </c>
      <c r="H872" s="18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17"/>
      <c r="Z872" s="6"/>
      <c r="AA872" s="18"/>
      <c r="AB872" s="33"/>
      <c r="AC872" s="34"/>
      <c r="AD872" s="18"/>
      <c r="AE872" s="18"/>
    </row>
    <row r="873">
      <c r="A873" s="5" t="s">
        <v>20</v>
      </c>
      <c r="B873" s="8" t="s">
        <v>2040</v>
      </c>
      <c r="C873" s="21" t="s">
        <v>2077</v>
      </c>
      <c r="D873" s="21" t="s">
        <v>2078</v>
      </c>
      <c r="E873" s="53">
        <f t="array" ref="E873:F873">VLOOKUP(C873,'NEW CISTERN &amp; SEAT COVER'!$B$4:$E1832,{3,4},0)</f>
        <v>980</v>
      </c>
      <c r="F873" s="30">
        <v>1058.0</v>
      </c>
      <c r="G873" s="30">
        <v>50.0</v>
      </c>
      <c r="H873" s="18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17"/>
      <c r="Z873" s="6"/>
      <c r="AA873" s="18"/>
      <c r="AB873" s="33"/>
      <c r="AC873" s="34"/>
      <c r="AD873" s="18"/>
      <c r="AE873" s="18"/>
    </row>
    <row r="874">
      <c r="A874" s="5" t="s">
        <v>20</v>
      </c>
      <c r="B874" s="8" t="s">
        <v>3506</v>
      </c>
      <c r="C874" s="21" t="s">
        <v>2083</v>
      </c>
      <c r="D874" s="21" t="s">
        <v>2084</v>
      </c>
      <c r="E874" s="53">
        <f t="array" ref="E874:F874">VLOOKUP(C874,'NEW CISTERN &amp; SEAT COVER'!$B$4:$E1832,{3,4},0)</f>
        <v>61.5264</v>
      </c>
      <c r="F874" s="30">
        <v>66.0</v>
      </c>
      <c r="G874" s="30">
        <v>1000.0</v>
      </c>
      <c r="H874" s="18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17"/>
      <c r="Z874" s="6"/>
      <c r="AA874" s="18"/>
      <c r="AB874" s="33"/>
      <c r="AC874" s="34"/>
      <c r="AD874" s="18"/>
      <c r="AE874" s="18"/>
    </row>
    <row r="875">
      <c r="A875" s="5" t="s">
        <v>20</v>
      </c>
      <c r="B875" s="8" t="s">
        <v>3506</v>
      </c>
      <c r="C875" s="21" t="s">
        <v>2086</v>
      </c>
      <c r="D875" s="21" t="s">
        <v>2087</v>
      </c>
      <c r="E875" s="53">
        <f t="array" ref="E875:F875">VLOOKUP(C875,'NEW CISTERN &amp; SEAT COVER'!$B$4:$E1832,{3,4},0)</f>
        <v>77.52</v>
      </c>
      <c r="F875" s="30">
        <v>84.0</v>
      </c>
      <c r="G875" s="30">
        <v>1000.0</v>
      </c>
      <c r="H875" s="18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17"/>
      <c r="Z875" s="6"/>
      <c r="AA875" s="18"/>
      <c r="AB875" s="33"/>
      <c r="AC875" s="34"/>
      <c r="AD875" s="18"/>
      <c r="AE875" s="18"/>
    </row>
    <row r="876">
      <c r="A876" s="5" t="s">
        <v>20</v>
      </c>
      <c r="B876" s="8" t="s">
        <v>3506</v>
      </c>
      <c r="C876" s="21" t="s">
        <v>2088</v>
      </c>
      <c r="D876" s="21" t="s">
        <v>2089</v>
      </c>
      <c r="E876" s="53">
        <f t="array" ref="E876:F876">VLOOKUP(C876,'NEW CISTERN &amp; SEAT COVER'!$B$4:$E1832,{3,4},0)</f>
        <v>79.56</v>
      </c>
      <c r="F876" s="30">
        <v>86.0</v>
      </c>
      <c r="G876" s="30">
        <v>1000.0</v>
      </c>
      <c r="H876" s="18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17"/>
      <c r="Z876" s="6"/>
      <c r="AA876" s="18"/>
      <c r="AB876" s="33"/>
      <c r="AC876" s="34"/>
      <c r="AD876" s="18"/>
      <c r="AE876" s="18"/>
    </row>
    <row r="877">
      <c r="A877" s="5" t="s">
        <v>20</v>
      </c>
      <c r="B877" s="8" t="s">
        <v>3506</v>
      </c>
      <c r="C877" s="21" t="s">
        <v>2091</v>
      </c>
      <c r="D877" s="21" t="s">
        <v>2092</v>
      </c>
      <c r="E877" s="53">
        <f t="array" ref="E877:F877">VLOOKUP(C877,'NEW CISTERN &amp; SEAT COVER'!$B$4:$E1832,{3,4},0)</f>
        <v>72</v>
      </c>
      <c r="F877" s="30">
        <v>78.0</v>
      </c>
      <c r="G877" s="30">
        <v>1000.0</v>
      </c>
      <c r="H877" s="18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17"/>
      <c r="Z877" s="6"/>
      <c r="AA877" s="18"/>
      <c r="AB877" s="33"/>
      <c r="AC877" s="34"/>
      <c r="AD877" s="18"/>
      <c r="AE877" s="18"/>
    </row>
    <row r="878">
      <c r="A878" s="5" t="s">
        <v>20</v>
      </c>
      <c r="B878" s="8" t="s">
        <v>3506</v>
      </c>
      <c r="C878" s="21" t="s">
        <v>2094</v>
      </c>
      <c r="D878" s="21" t="s">
        <v>2095</v>
      </c>
      <c r="E878" s="53">
        <f t="array" ref="E878:F878">VLOOKUP(C878,'NEW CISTERN &amp; SEAT COVER'!$B$4:$E1832,{3,4},0)</f>
        <v>77.52</v>
      </c>
      <c r="F878" s="30">
        <v>84.0</v>
      </c>
      <c r="G878" s="30">
        <v>1000.0</v>
      </c>
      <c r="H878" s="18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17"/>
      <c r="Z878" s="6"/>
      <c r="AA878" s="18"/>
      <c r="AB878" s="33"/>
      <c r="AC878" s="34"/>
      <c r="AD878" s="18"/>
      <c r="AE878" s="18"/>
    </row>
    <row r="879">
      <c r="A879" s="5" t="s">
        <v>20</v>
      </c>
      <c r="B879" s="8" t="s">
        <v>3506</v>
      </c>
      <c r="C879" s="21">
        <v>300.0</v>
      </c>
      <c r="D879" s="21" t="s">
        <v>2096</v>
      </c>
      <c r="E879" s="53">
        <f t="array" ref="E879:F879">VLOOKUP(C879,'NEW CISTERN &amp; SEAT COVER'!$B$4:$E1832,{3,4},0)</f>
        <v>101.8368</v>
      </c>
      <c r="F879" s="30">
        <v>110.0</v>
      </c>
      <c r="G879" s="30">
        <v>1000.0</v>
      </c>
      <c r="H879" s="18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17"/>
      <c r="Z879" s="6"/>
      <c r="AA879" s="18"/>
      <c r="AB879" s="33"/>
      <c r="AC879" s="34"/>
      <c r="AD879" s="18"/>
      <c r="AE879" s="18"/>
    </row>
    <row r="880">
      <c r="A880" s="5" t="s">
        <v>20</v>
      </c>
      <c r="B880" s="8" t="s">
        <v>3506</v>
      </c>
      <c r="C880" s="21">
        <v>301.0</v>
      </c>
      <c r="D880" s="21" t="s">
        <v>2098</v>
      </c>
      <c r="E880" s="53">
        <f t="array" ref="E880:F880">VLOOKUP(C880,'NEW CISTERN &amp; SEAT COVER'!$B$4:$E1832,{3,4},0)</f>
        <v>48</v>
      </c>
      <c r="F880" s="30">
        <v>52.0</v>
      </c>
      <c r="G880" s="30">
        <v>1000.0</v>
      </c>
      <c r="H880" s="18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17"/>
      <c r="Z880" s="6"/>
      <c r="AA880" s="18"/>
      <c r="AB880" s="33"/>
      <c r="AC880" s="34"/>
      <c r="AD880" s="18"/>
      <c r="AE880" s="18"/>
    </row>
    <row r="881">
      <c r="A881" s="5" t="s">
        <v>20</v>
      </c>
      <c r="B881" s="8" t="s">
        <v>3506</v>
      </c>
      <c r="C881" s="21">
        <v>302.0</v>
      </c>
      <c r="D881" s="21" t="s">
        <v>2099</v>
      </c>
      <c r="E881" s="53">
        <f t="array" ref="E881:F881">VLOOKUP(C881,'NEW CISTERN &amp; SEAT COVER'!$B$4:$E1832,{3,4},0)</f>
        <v>42</v>
      </c>
      <c r="F881" s="30">
        <v>46.0</v>
      </c>
      <c r="G881" s="30">
        <v>1000.0</v>
      </c>
      <c r="H881" s="18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17"/>
      <c r="Z881" s="6"/>
      <c r="AA881" s="18"/>
      <c r="AB881" s="33"/>
      <c r="AC881" s="34"/>
      <c r="AD881" s="18"/>
      <c r="AE881" s="18"/>
    </row>
    <row r="882">
      <c r="A882" s="5" t="s">
        <v>20</v>
      </c>
      <c r="B882" s="8" t="s">
        <v>3506</v>
      </c>
      <c r="C882" s="21">
        <v>311.0</v>
      </c>
      <c r="D882" s="21" t="s">
        <v>2101</v>
      </c>
      <c r="E882" s="53">
        <f t="array" ref="E882:F882">VLOOKUP(C882,'NEW CISTERN &amp; SEAT COVER'!$B$4:$E1832,{3,4},0)</f>
        <v>40.3104</v>
      </c>
      <c r="F882" s="30">
        <v>44.0</v>
      </c>
      <c r="G882" s="30">
        <v>1000.0</v>
      </c>
      <c r="H882" s="18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17"/>
      <c r="Z882" s="6"/>
      <c r="AA882" s="18"/>
      <c r="AB882" s="33"/>
      <c r="AC882" s="34"/>
      <c r="AD882" s="18"/>
      <c r="AE882" s="18"/>
    </row>
    <row r="883">
      <c r="A883" s="5" t="s">
        <v>20</v>
      </c>
      <c r="B883" s="8" t="s">
        <v>3506</v>
      </c>
      <c r="C883" s="21">
        <v>312.0</v>
      </c>
      <c r="D883" s="21" t="s">
        <v>2103</v>
      </c>
      <c r="E883" s="53">
        <f t="array" ref="E883:F883">VLOOKUP(C883,'NEW CISTERN &amp; SEAT COVER'!$B$4:$E1832,{3,4},0)</f>
        <v>58</v>
      </c>
      <c r="F883" s="30">
        <v>62.0</v>
      </c>
      <c r="G883" s="30">
        <v>1000.0</v>
      </c>
      <c r="H883" s="18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17"/>
      <c r="Z883" s="6"/>
      <c r="AA883" s="18"/>
      <c r="AB883" s="33"/>
      <c r="AC883" s="34"/>
      <c r="AD883" s="18"/>
      <c r="AE883" s="18"/>
    </row>
    <row r="884">
      <c r="A884" s="5" t="s">
        <v>20</v>
      </c>
      <c r="B884" s="8" t="s">
        <v>3506</v>
      </c>
      <c r="C884" s="21">
        <v>313.0</v>
      </c>
      <c r="D884" s="21" t="s">
        <v>2104</v>
      </c>
      <c r="E884" s="53">
        <f t="array" ref="E884:F884">VLOOKUP(C884,'NEW CISTERN &amp; SEAT COVER'!$B$4:$E1832,{3,4},0)</f>
        <v>112.4448</v>
      </c>
      <c r="F884" s="30">
        <v>122.0</v>
      </c>
      <c r="G884" s="30">
        <v>1000.0</v>
      </c>
      <c r="H884" s="18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17"/>
      <c r="Z884" s="6"/>
      <c r="AA884" s="18"/>
      <c r="AB884" s="33"/>
      <c r="AC884" s="34"/>
      <c r="AD884" s="57"/>
      <c r="AE884" s="18"/>
    </row>
    <row r="885">
      <c r="A885" s="5" t="s">
        <v>20</v>
      </c>
      <c r="B885" s="8" t="s">
        <v>3506</v>
      </c>
      <c r="C885" s="21">
        <v>314.0</v>
      </c>
      <c r="D885" s="21" t="s">
        <v>2106</v>
      </c>
      <c r="E885" s="53">
        <f t="array" ref="E885:F885">VLOOKUP(C885,'NEW CISTERN &amp; SEAT COVER'!$B$4:$E1832,{3,4},0)</f>
        <v>142</v>
      </c>
      <c r="F885" s="30">
        <v>154.0</v>
      </c>
      <c r="G885" s="30">
        <v>1000.0</v>
      </c>
      <c r="H885" s="18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17"/>
      <c r="Z885" s="6"/>
      <c r="AA885" s="18"/>
      <c r="AB885" s="33"/>
      <c r="AC885" s="34"/>
      <c r="AD885" s="18"/>
      <c r="AE885" s="18"/>
    </row>
    <row r="886">
      <c r="A886" s="5" t="s">
        <v>20</v>
      </c>
      <c r="B886" s="8" t="s">
        <v>3506</v>
      </c>
      <c r="C886" s="21">
        <v>315.0</v>
      </c>
      <c r="D886" s="21" t="s">
        <v>2107</v>
      </c>
      <c r="E886" s="53">
        <f t="array" ref="E886:F886">VLOOKUP(C886,'NEW CISTERN &amp; SEAT COVER'!$B$4:$E1832,{3,4},0)</f>
        <v>169.728</v>
      </c>
      <c r="F886" s="30">
        <v>184.0</v>
      </c>
      <c r="G886" s="30">
        <v>500.0</v>
      </c>
      <c r="H886" s="18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17"/>
      <c r="Z886" s="6"/>
      <c r="AA886" s="18"/>
      <c r="AB886" s="33"/>
      <c r="AC886" s="34"/>
      <c r="AD886" s="18"/>
      <c r="AE886" s="18"/>
    </row>
    <row r="887">
      <c r="A887" s="5" t="s">
        <v>20</v>
      </c>
      <c r="B887" s="8" t="s">
        <v>3506</v>
      </c>
      <c r="C887" s="21">
        <v>316.0</v>
      </c>
      <c r="D887" s="21" t="s">
        <v>2109</v>
      </c>
      <c r="E887" s="53">
        <f t="array" ref="E887:F887">VLOOKUP(C887,'NEW CISTERN &amp; SEAT COVER'!$B$4:$E1832,{3,4},0)</f>
        <v>185.64</v>
      </c>
      <c r="F887" s="30">
        <v>198.0</v>
      </c>
      <c r="G887" s="30">
        <v>500.0</v>
      </c>
      <c r="H887" s="18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17"/>
      <c r="Z887" s="6"/>
      <c r="AA887" s="18"/>
      <c r="AB887" s="33"/>
      <c r="AC887" s="34"/>
      <c r="AD887" s="18"/>
      <c r="AE887" s="18"/>
    </row>
    <row r="888">
      <c r="A888" s="5" t="s">
        <v>3507</v>
      </c>
      <c r="B888" s="8" t="s">
        <v>3508</v>
      </c>
      <c r="C888" s="21" t="str">
        <f t="array" ref="C888:F902">'COLOUR WISE'!B4:E18</f>
        <v>123-NNR</v>
      </c>
      <c r="D888" s="21" t="s">
        <v>417</v>
      </c>
      <c r="E888" s="53">
        <v>315.88</v>
      </c>
      <c r="F888" s="30">
        <v>342.0</v>
      </c>
      <c r="G888" s="418"/>
      <c r="H888" s="18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17"/>
      <c r="Z888" s="6"/>
      <c r="AA888" s="18"/>
      <c r="AB888" s="33"/>
      <c r="AC888" s="34"/>
      <c r="AD888" s="18"/>
      <c r="AE888" s="18"/>
    </row>
    <row r="889">
      <c r="A889" s="5" t="s">
        <v>3507</v>
      </c>
      <c r="B889" s="8" t="s">
        <v>3508</v>
      </c>
      <c r="C889" s="21" t="s">
        <v>1937</v>
      </c>
      <c r="D889" s="21" t="s">
        <v>1938</v>
      </c>
      <c r="E889" s="53">
        <v>383.72</v>
      </c>
      <c r="F889" s="30">
        <v>416.0</v>
      </c>
      <c r="G889" s="418"/>
      <c r="H889" s="18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17"/>
      <c r="Z889" s="6"/>
      <c r="AA889" s="18"/>
      <c r="AB889" s="33"/>
      <c r="AC889" s="34"/>
      <c r="AD889" s="18"/>
      <c r="AE889" s="18"/>
    </row>
    <row r="890">
      <c r="A890" s="5" t="s">
        <v>3507</v>
      </c>
      <c r="B890" s="8" t="s">
        <v>3508</v>
      </c>
      <c r="C890" s="21" t="s">
        <v>1939</v>
      </c>
      <c r="D890" s="21" t="s">
        <v>363</v>
      </c>
      <c r="E890" s="53">
        <v>351.92</v>
      </c>
      <c r="F890" s="30">
        <v>378.0</v>
      </c>
      <c r="G890" s="418"/>
      <c r="H890" s="18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17"/>
      <c r="Z890" s="6"/>
      <c r="AA890" s="18"/>
      <c r="AB890" s="33"/>
      <c r="AC890" s="34"/>
      <c r="AD890" s="18"/>
      <c r="AE890" s="18"/>
    </row>
    <row r="891">
      <c r="A891" s="5" t="s">
        <v>3507</v>
      </c>
      <c r="B891" s="8" t="s">
        <v>3508</v>
      </c>
      <c r="C891" s="21" t="s">
        <v>1940</v>
      </c>
      <c r="D891" s="21" t="s">
        <v>666</v>
      </c>
      <c r="E891" s="53">
        <v>606.32</v>
      </c>
      <c r="F891" s="30">
        <v>654.0</v>
      </c>
      <c r="G891" s="418"/>
      <c r="H891" s="18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17"/>
      <c r="Z891" s="6"/>
      <c r="AA891" s="18"/>
      <c r="AB891" s="33"/>
      <c r="AC891" s="34"/>
      <c r="AD891" s="18"/>
      <c r="AE891" s="18"/>
    </row>
    <row r="892">
      <c r="A892" s="5" t="s">
        <v>3507</v>
      </c>
      <c r="B892" s="8" t="s">
        <v>3508</v>
      </c>
      <c r="C892" s="21" t="s">
        <v>1941</v>
      </c>
      <c r="D892" s="21" t="s">
        <v>682</v>
      </c>
      <c r="E892" s="53">
        <v>457.92</v>
      </c>
      <c r="F892" s="30">
        <v>496.0</v>
      </c>
      <c r="G892" s="418"/>
      <c r="H892" s="18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17"/>
      <c r="Z892" s="6"/>
      <c r="AA892" s="18"/>
      <c r="AB892" s="33"/>
      <c r="AC892" s="34"/>
      <c r="AD892" s="18"/>
      <c r="AE892" s="18"/>
    </row>
    <row r="893">
      <c r="A893" s="5" t="s">
        <v>3507</v>
      </c>
      <c r="B893" s="8" t="s">
        <v>3508</v>
      </c>
      <c r="C893" s="21" t="s">
        <v>1942</v>
      </c>
      <c r="D893" s="21" t="s">
        <v>692</v>
      </c>
      <c r="E893" s="53">
        <v>698.0</v>
      </c>
      <c r="F893" s="30">
        <v>754.0</v>
      </c>
      <c r="G893" s="418"/>
      <c r="H893" s="18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17"/>
      <c r="Z893" s="6"/>
      <c r="AA893" s="18"/>
      <c r="AB893" s="33"/>
      <c r="AC893" s="34"/>
      <c r="AD893" s="18"/>
      <c r="AE893" s="18"/>
    </row>
    <row r="894">
      <c r="A894" s="5" t="s">
        <v>3507</v>
      </c>
      <c r="B894" s="8" t="s">
        <v>3508</v>
      </c>
      <c r="C894" s="21" t="s">
        <v>1943</v>
      </c>
      <c r="D894" s="21" t="s">
        <v>1944</v>
      </c>
      <c r="E894" s="53">
        <v>669.9200000000001</v>
      </c>
      <c r="F894" s="30">
        <v>724.0</v>
      </c>
      <c r="G894" s="418"/>
      <c r="H894" s="18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17"/>
      <c r="Z894" s="6"/>
      <c r="AA894" s="18"/>
      <c r="AB894" s="33"/>
      <c r="AC894" s="34"/>
      <c r="AD894" s="18"/>
      <c r="AE894" s="18"/>
    </row>
    <row r="895">
      <c r="A895" s="5" t="s">
        <v>3507</v>
      </c>
      <c r="B895" s="8" t="s">
        <v>3508</v>
      </c>
      <c r="C895" s="21" t="s">
        <v>1945</v>
      </c>
      <c r="D895" s="21" t="s">
        <v>1946</v>
      </c>
      <c r="E895" s="53">
        <v>739.8867840000001</v>
      </c>
      <c r="F895" s="30">
        <v>798.0</v>
      </c>
      <c r="G895" s="418"/>
      <c r="H895" s="18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17"/>
      <c r="Z895" s="6"/>
      <c r="AA895" s="18"/>
      <c r="AB895" s="33"/>
      <c r="AC895" s="34"/>
      <c r="AD895" s="18"/>
      <c r="AE895" s="18"/>
    </row>
    <row r="896">
      <c r="A896" s="5" t="s">
        <v>3507</v>
      </c>
      <c r="B896" s="8" t="s">
        <v>3508</v>
      </c>
      <c r="C896" s="21" t="s">
        <v>1947</v>
      </c>
      <c r="D896" s="21" t="s">
        <v>913</v>
      </c>
      <c r="E896" s="53">
        <v>1666.3200000000002</v>
      </c>
      <c r="F896" s="30">
        <v>1798.0</v>
      </c>
      <c r="G896" s="418"/>
      <c r="H896" s="18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17"/>
      <c r="Z896" s="6"/>
      <c r="AA896" s="18"/>
      <c r="AB896" s="33"/>
      <c r="AC896" s="34"/>
      <c r="AD896" s="18"/>
      <c r="AE896" s="18"/>
    </row>
    <row r="897">
      <c r="A897" s="5" t="s">
        <v>3507</v>
      </c>
      <c r="B897" s="8" t="s">
        <v>3508</v>
      </c>
      <c r="C897" s="21" t="s">
        <v>1948</v>
      </c>
      <c r="D897" s="21" t="s">
        <v>1949</v>
      </c>
      <c r="E897" s="53">
        <v>1620.0</v>
      </c>
      <c r="F897" s="30">
        <v>1748.0</v>
      </c>
      <c r="G897" s="418"/>
      <c r="H897" s="18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17"/>
      <c r="Z897" s="6"/>
      <c r="AA897" s="18"/>
      <c r="AB897" s="33"/>
      <c r="AC897" s="34"/>
      <c r="AD897" s="18"/>
      <c r="AE897" s="18"/>
    </row>
    <row r="898">
      <c r="A898" s="5" t="s">
        <v>3507</v>
      </c>
      <c r="B898" s="8" t="s">
        <v>3508</v>
      </c>
      <c r="C898" s="21" t="s">
        <v>1085</v>
      </c>
      <c r="D898" s="21" t="s">
        <v>523</v>
      </c>
      <c r="E898" s="53">
        <v>2217.52</v>
      </c>
      <c r="F898" s="30">
        <v>2394.0</v>
      </c>
      <c r="G898" s="418"/>
      <c r="H898" s="18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17"/>
      <c r="Z898" s="6"/>
      <c r="AA898" s="18"/>
      <c r="AB898" s="33"/>
      <c r="AC898" s="34"/>
      <c r="AD898" s="18"/>
      <c r="AE898" s="18"/>
    </row>
    <row r="899">
      <c r="A899" s="5" t="s">
        <v>3507</v>
      </c>
      <c r="B899" s="8" t="s">
        <v>3508</v>
      </c>
      <c r="C899" s="21" t="s">
        <v>1950</v>
      </c>
      <c r="D899" s="21" t="s">
        <v>1124</v>
      </c>
      <c r="E899" s="53">
        <v>1890.0</v>
      </c>
      <c r="F899" s="30">
        <v>2044.0</v>
      </c>
      <c r="G899" s="418"/>
      <c r="H899" s="18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17"/>
      <c r="Z899" s="6"/>
      <c r="AA899" s="18"/>
      <c r="AB899" s="33"/>
      <c r="AC899" s="34"/>
      <c r="AD899" s="18"/>
      <c r="AE899" s="18"/>
    </row>
    <row r="900">
      <c r="A900" s="5" t="s">
        <v>3507</v>
      </c>
      <c r="B900" s="8" t="s">
        <v>3508</v>
      </c>
      <c r="C900" s="21" t="s">
        <v>1951</v>
      </c>
      <c r="D900" s="21" t="s">
        <v>395</v>
      </c>
      <c r="E900" s="53">
        <v>288.32</v>
      </c>
      <c r="F900" s="30">
        <v>312.0</v>
      </c>
      <c r="G900" s="418"/>
      <c r="H900" s="18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17"/>
      <c r="Z900" s="6"/>
      <c r="AA900" s="18"/>
      <c r="AB900" s="33"/>
      <c r="AC900" s="34"/>
      <c r="AD900" s="18"/>
      <c r="AE900" s="18"/>
    </row>
    <row r="901">
      <c r="A901" s="5" t="s">
        <v>3507</v>
      </c>
      <c r="B901" s="8" t="s">
        <v>3508</v>
      </c>
      <c r="C901" s="21" t="s">
        <v>1952</v>
      </c>
      <c r="D901" s="21" t="s">
        <v>1953</v>
      </c>
      <c r="E901" s="53">
        <v>538.4376</v>
      </c>
      <c r="F901" s="30">
        <v>582.0</v>
      </c>
      <c r="G901" s="418"/>
      <c r="H901" s="18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17"/>
      <c r="Z901" s="6"/>
      <c r="AA901" s="18"/>
      <c r="AB901" s="33"/>
      <c r="AC901" s="34"/>
      <c r="AD901" s="18"/>
      <c r="AE901" s="18"/>
    </row>
    <row r="902">
      <c r="A902" s="5" t="s">
        <v>3507</v>
      </c>
      <c r="B902" s="8" t="s">
        <v>3508</v>
      </c>
      <c r="C902" s="21" t="s">
        <v>1954</v>
      </c>
      <c r="D902" s="21" t="s">
        <v>1946</v>
      </c>
      <c r="E902" s="53">
        <v>756.0</v>
      </c>
      <c r="F902" s="30">
        <v>814.0</v>
      </c>
      <c r="G902" s="418"/>
      <c r="H902" s="18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17"/>
      <c r="Z902" s="6"/>
      <c r="AA902" s="18"/>
      <c r="AB902" s="33"/>
      <c r="AC902" s="34"/>
      <c r="AD902" s="18"/>
      <c r="AE902" s="18"/>
    </row>
    <row r="903">
      <c r="A903" s="5" t="s">
        <v>3507</v>
      </c>
      <c r="B903" s="8" t="s">
        <v>3509</v>
      </c>
      <c r="C903" s="21" t="str">
        <f t="array" ref="C903:F917">'COLOUR WISE'!B21:E35</f>
        <v>123-NNG</v>
      </c>
      <c r="D903" s="21" t="s">
        <v>417</v>
      </c>
      <c r="E903" s="53">
        <v>315.88</v>
      </c>
      <c r="F903" s="30">
        <v>342.0</v>
      </c>
      <c r="G903" s="418"/>
      <c r="H903" s="18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17"/>
      <c r="Z903" s="6"/>
      <c r="AA903" s="18"/>
      <c r="AB903" s="33"/>
      <c r="AC903" s="34"/>
      <c r="AD903" s="18"/>
      <c r="AE903" s="18"/>
    </row>
    <row r="904">
      <c r="A904" s="5" t="s">
        <v>3507</v>
      </c>
      <c r="B904" s="8" t="s">
        <v>3509</v>
      </c>
      <c r="C904" s="21" t="s">
        <v>1957</v>
      </c>
      <c r="D904" s="21" t="s">
        <v>1938</v>
      </c>
      <c r="E904" s="53">
        <v>383.72</v>
      </c>
      <c r="F904" s="30">
        <v>416.0</v>
      </c>
      <c r="G904" s="418"/>
      <c r="H904" s="18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17"/>
      <c r="Z904" s="6"/>
      <c r="AA904" s="18"/>
      <c r="AB904" s="33"/>
      <c r="AC904" s="34"/>
      <c r="AD904" s="18"/>
      <c r="AE904" s="18"/>
    </row>
    <row r="905">
      <c r="A905" s="5" t="s">
        <v>3507</v>
      </c>
      <c r="B905" s="8" t="s">
        <v>3509</v>
      </c>
      <c r="C905" s="21" t="s">
        <v>1959</v>
      </c>
      <c r="D905" s="21" t="s">
        <v>363</v>
      </c>
      <c r="E905" s="53">
        <v>351.92</v>
      </c>
      <c r="F905" s="30">
        <v>378.0</v>
      </c>
      <c r="G905" s="418"/>
      <c r="H905" s="18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17"/>
      <c r="Z905" s="6"/>
      <c r="AA905" s="18"/>
      <c r="AB905" s="33"/>
      <c r="AC905" s="34"/>
      <c r="AD905" s="18"/>
      <c r="AE905" s="18"/>
    </row>
    <row r="906">
      <c r="A906" s="5" t="s">
        <v>3507</v>
      </c>
      <c r="B906" s="8" t="s">
        <v>3509</v>
      </c>
      <c r="C906" s="21" t="s">
        <v>1961</v>
      </c>
      <c r="D906" s="21" t="s">
        <v>666</v>
      </c>
      <c r="E906" s="53">
        <v>606.32</v>
      </c>
      <c r="F906" s="30">
        <v>654.0</v>
      </c>
      <c r="G906" s="418"/>
      <c r="H906" s="18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17"/>
      <c r="Z906" s="6"/>
      <c r="AA906" s="18"/>
      <c r="AB906" s="33"/>
      <c r="AC906" s="34"/>
      <c r="AD906" s="18"/>
      <c r="AE906" s="18"/>
    </row>
    <row r="907">
      <c r="A907" s="5" t="s">
        <v>3507</v>
      </c>
      <c r="B907" s="8" t="s">
        <v>3509</v>
      </c>
      <c r="C907" s="21" t="s">
        <v>1962</v>
      </c>
      <c r="D907" s="21" t="s">
        <v>682</v>
      </c>
      <c r="E907" s="53">
        <v>457.92</v>
      </c>
      <c r="F907" s="30">
        <v>496.0</v>
      </c>
      <c r="G907" s="418"/>
      <c r="H907" s="18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17"/>
      <c r="Z907" s="6"/>
      <c r="AA907" s="18"/>
      <c r="AB907" s="33"/>
      <c r="AC907" s="34"/>
      <c r="AD907" s="18"/>
      <c r="AE907" s="18"/>
    </row>
    <row r="908">
      <c r="A908" s="5" t="s">
        <v>3507</v>
      </c>
      <c r="B908" s="8" t="s">
        <v>3509</v>
      </c>
      <c r="C908" s="21" t="s">
        <v>1963</v>
      </c>
      <c r="D908" s="21" t="s">
        <v>692</v>
      </c>
      <c r="E908" s="53">
        <v>698.0</v>
      </c>
      <c r="F908" s="30">
        <v>754.0</v>
      </c>
      <c r="G908" s="418"/>
      <c r="H908" s="18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17"/>
      <c r="Z908" s="6"/>
      <c r="AA908" s="18"/>
      <c r="AB908" s="33"/>
      <c r="AC908" s="34"/>
      <c r="AD908" s="18"/>
      <c r="AE908" s="18"/>
    </row>
    <row r="909">
      <c r="A909" s="5" t="s">
        <v>3507</v>
      </c>
      <c r="B909" s="8" t="s">
        <v>3509</v>
      </c>
      <c r="C909" s="21" t="s">
        <v>1964</v>
      </c>
      <c r="D909" s="21" t="s">
        <v>1944</v>
      </c>
      <c r="E909" s="53">
        <v>669.9200000000001</v>
      </c>
      <c r="F909" s="30">
        <v>724.0</v>
      </c>
      <c r="G909" s="418"/>
      <c r="H909" s="18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17"/>
      <c r="Z909" s="6"/>
      <c r="AA909" s="18"/>
      <c r="AB909" s="33"/>
      <c r="AC909" s="34"/>
      <c r="AD909" s="18"/>
      <c r="AE909" s="18"/>
    </row>
    <row r="910">
      <c r="A910" s="5" t="s">
        <v>3507</v>
      </c>
      <c r="B910" s="8" t="s">
        <v>3509</v>
      </c>
      <c r="C910" s="21" t="s">
        <v>1965</v>
      </c>
      <c r="D910" s="21" t="s">
        <v>1946</v>
      </c>
      <c r="E910" s="53">
        <v>739.8867840000001</v>
      </c>
      <c r="F910" s="30">
        <v>798.0</v>
      </c>
      <c r="G910" s="418"/>
      <c r="H910" s="18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17"/>
      <c r="Z910" s="6"/>
      <c r="AA910" s="18"/>
      <c r="AB910" s="33"/>
      <c r="AC910" s="34"/>
      <c r="AD910" s="18"/>
      <c r="AE910" s="18"/>
    </row>
    <row r="911">
      <c r="A911" s="5" t="s">
        <v>3507</v>
      </c>
      <c r="B911" s="8" t="s">
        <v>3509</v>
      </c>
      <c r="C911" s="21" t="s">
        <v>1966</v>
      </c>
      <c r="D911" s="21" t="s">
        <v>913</v>
      </c>
      <c r="E911" s="53">
        <v>1666.3200000000002</v>
      </c>
      <c r="F911" s="30">
        <v>1798.0</v>
      </c>
      <c r="G911" s="418"/>
      <c r="H911" s="18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17"/>
      <c r="Z911" s="6"/>
      <c r="AA911" s="18"/>
      <c r="AB911" s="33"/>
      <c r="AC911" s="34"/>
      <c r="AD911" s="18"/>
      <c r="AE911" s="18"/>
    </row>
    <row r="912">
      <c r="A912" s="5" t="s">
        <v>3507</v>
      </c>
      <c r="B912" s="8" t="s">
        <v>3509</v>
      </c>
      <c r="C912" s="21" t="s">
        <v>1967</v>
      </c>
      <c r="D912" s="21" t="s">
        <v>1949</v>
      </c>
      <c r="E912" s="53">
        <v>1620.0</v>
      </c>
      <c r="F912" s="30">
        <v>1748.0</v>
      </c>
      <c r="G912" s="418"/>
      <c r="H912" s="18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17"/>
      <c r="Z912" s="6"/>
      <c r="AA912" s="18"/>
      <c r="AB912" s="33"/>
      <c r="AC912" s="34"/>
      <c r="AD912" s="18"/>
      <c r="AE912" s="18"/>
    </row>
    <row r="913">
      <c r="A913" s="5" t="s">
        <v>3507</v>
      </c>
      <c r="B913" s="8" t="s">
        <v>3509</v>
      </c>
      <c r="C913" s="21" t="s">
        <v>1091</v>
      </c>
      <c r="D913" s="21" t="s">
        <v>523</v>
      </c>
      <c r="E913" s="53">
        <v>2217.52</v>
      </c>
      <c r="F913" s="30">
        <v>2394.0</v>
      </c>
      <c r="G913" s="418"/>
      <c r="H913" s="18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17"/>
      <c r="Z913" s="6"/>
      <c r="AA913" s="18"/>
      <c r="AB913" s="33"/>
      <c r="AC913" s="34"/>
      <c r="AD913" s="18"/>
      <c r="AE913" s="18"/>
    </row>
    <row r="914">
      <c r="A914" s="5" t="s">
        <v>3507</v>
      </c>
      <c r="B914" s="8" t="s">
        <v>3509</v>
      </c>
      <c r="C914" s="21" t="s">
        <v>1972</v>
      </c>
      <c r="D914" s="21" t="s">
        <v>1124</v>
      </c>
      <c r="E914" s="53">
        <v>1890.0</v>
      </c>
      <c r="F914" s="30">
        <v>2044.0</v>
      </c>
      <c r="G914" s="418"/>
      <c r="H914" s="18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17"/>
      <c r="Z914" s="6"/>
      <c r="AA914" s="18"/>
      <c r="AB914" s="33"/>
      <c r="AC914" s="34"/>
      <c r="AD914" s="18"/>
      <c r="AE914" s="18"/>
    </row>
    <row r="915">
      <c r="A915" s="5" t="s">
        <v>3507</v>
      </c>
      <c r="B915" s="8" t="s">
        <v>3509</v>
      </c>
      <c r="C915" s="21" t="s">
        <v>1974</v>
      </c>
      <c r="D915" s="21" t="s">
        <v>395</v>
      </c>
      <c r="E915" s="53">
        <v>288.32</v>
      </c>
      <c r="F915" s="30">
        <v>312.0</v>
      </c>
      <c r="G915" s="418"/>
      <c r="H915" s="18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17"/>
      <c r="Z915" s="6"/>
      <c r="AA915" s="18"/>
      <c r="AB915" s="33"/>
      <c r="AC915" s="34"/>
      <c r="AD915" s="18"/>
      <c r="AE915" s="18"/>
    </row>
    <row r="916">
      <c r="A916" s="5" t="s">
        <v>3507</v>
      </c>
      <c r="B916" s="8" t="s">
        <v>3509</v>
      </c>
      <c r="C916" s="21" t="s">
        <v>1977</v>
      </c>
      <c r="D916" s="21" t="s">
        <v>1953</v>
      </c>
      <c r="E916" s="53">
        <v>538.4376</v>
      </c>
      <c r="F916" s="30">
        <v>582.0</v>
      </c>
      <c r="G916" s="418"/>
      <c r="H916" s="18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17"/>
      <c r="Z916" s="6"/>
      <c r="AA916" s="18"/>
      <c r="AB916" s="33"/>
      <c r="AC916" s="34"/>
      <c r="AD916" s="18"/>
      <c r="AE916" s="18"/>
    </row>
    <row r="917">
      <c r="A917" s="5" t="s">
        <v>3507</v>
      </c>
      <c r="B917" s="8" t="s">
        <v>3509</v>
      </c>
      <c r="C917" s="21" t="s">
        <v>1979</v>
      </c>
      <c r="D917" s="21" t="s">
        <v>1946</v>
      </c>
      <c r="E917" s="53">
        <v>756.0</v>
      </c>
      <c r="F917" s="30">
        <v>814.0</v>
      </c>
      <c r="G917" s="418"/>
      <c r="H917" s="18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17"/>
      <c r="Z917" s="6"/>
      <c r="AA917" s="18"/>
      <c r="AB917" s="33"/>
      <c r="AC917" s="34"/>
      <c r="AD917" s="18"/>
      <c r="AE917" s="18"/>
    </row>
    <row r="918">
      <c r="A918" s="5" t="s">
        <v>3507</v>
      </c>
      <c r="B918" s="8" t="s">
        <v>3510</v>
      </c>
      <c r="C918" s="21" t="str">
        <f t="array" ref="C918:F932">'COLOUR WISE'!B38:E52</f>
        <v>123-NNW</v>
      </c>
      <c r="D918" s="21" t="s">
        <v>417</v>
      </c>
      <c r="E918" s="53">
        <v>315.88</v>
      </c>
      <c r="F918" s="30">
        <v>342.0</v>
      </c>
      <c r="G918" s="418"/>
      <c r="H918" s="18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17"/>
      <c r="Z918" s="6"/>
      <c r="AA918" s="18"/>
      <c r="AB918" s="33"/>
      <c r="AC918" s="34"/>
      <c r="AD918" s="18"/>
      <c r="AE918" s="18"/>
    </row>
    <row r="919">
      <c r="A919" s="5" t="s">
        <v>3507</v>
      </c>
      <c r="B919" s="8" t="s">
        <v>3510</v>
      </c>
      <c r="C919" s="21" t="s">
        <v>1988</v>
      </c>
      <c r="D919" s="21" t="s">
        <v>1938</v>
      </c>
      <c r="E919" s="53">
        <v>383.72</v>
      </c>
      <c r="F919" s="30">
        <v>416.0</v>
      </c>
      <c r="G919" s="418"/>
      <c r="H919" s="18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17"/>
      <c r="Z919" s="6"/>
      <c r="AA919" s="18"/>
      <c r="AB919" s="33"/>
      <c r="AC919" s="34"/>
      <c r="AD919" s="18"/>
      <c r="AE919" s="18"/>
    </row>
    <row r="920">
      <c r="A920" s="5" t="s">
        <v>3507</v>
      </c>
      <c r="B920" s="8" t="s">
        <v>3510</v>
      </c>
      <c r="C920" s="21" t="s">
        <v>1992</v>
      </c>
      <c r="D920" s="21" t="s">
        <v>363</v>
      </c>
      <c r="E920" s="53">
        <v>351.92</v>
      </c>
      <c r="F920" s="30">
        <v>378.0</v>
      </c>
      <c r="G920" s="418"/>
      <c r="H920" s="18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17"/>
      <c r="Z920" s="6"/>
      <c r="AA920" s="18"/>
      <c r="AB920" s="33"/>
      <c r="AC920" s="34"/>
      <c r="AD920" s="18"/>
      <c r="AE920" s="18"/>
    </row>
    <row r="921">
      <c r="A921" s="5" t="s">
        <v>3507</v>
      </c>
      <c r="B921" s="8" t="s">
        <v>3510</v>
      </c>
      <c r="C921" s="21" t="s">
        <v>1995</v>
      </c>
      <c r="D921" s="21" t="s">
        <v>666</v>
      </c>
      <c r="E921" s="53">
        <v>606.32</v>
      </c>
      <c r="F921" s="30">
        <v>654.0</v>
      </c>
      <c r="G921" s="418"/>
      <c r="H921" s="18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17"/>
      <c r="Z921" s="6"/>
      <c r="AA921" s="18"/>
      <c r="AB921" s="33"/>
      <c r="AC921" s="34"/>
      <c r="AD921" s="18"/>
      <c r="AE921" s="18"/>
    </row>
    <row r="922">
      <c r="A922" s="5" t="s">
        <v>3507</v>
      </c>
      <c r="B922" s="8" t="s">
        <v>3510</v>
      </c>
      <c r="C922" s="21" t="s">
        <v>1998</v>
      </c>
      <c r="D922" s="21" t="s">
        <v>682</v>
      </c>
      <c r="E922" s="53">
        <v>457.92</v>
      </c>
      <c r="F922" s="30">
        <v>496.0</v>
      </c>
      <c r="G922" s="418"/>
      <c r="H922" s="18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17"/>
      <c r="Z922" s="6"/>
      <c r="AA922" s="18"/>
      <c r="AB922" s="33"/>
      <c r="AC922" s="34"/>
      <c r="AD922" s="18"/>
      <c r="AE922" s="18"/>
    </row>
    <row r="923">
      <c r="A923" s="5" t="s">
        <v>3507</v>
      </c>
      <c r="B923" s="8" t="s">
        <v>3510</v>
      </c>
      <c r="C923" s="21" t="s">
        <v>1999</v>
      </c>
      <c r="D923" s="21" t="s">
        <v>692</v>
      </c>
      <c r="E923" s="53">
        <v>698.0</v>
      </c>
      <c r="F923" s="30">
        <v>754.0</v>
      </c>
      <c r="G923" s="418"/>
      <c r="H923" s="18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17"/>
      <c r="Z923" s="6"/>
      <c r="AA923" s="18"/>
      <c r="AB923" s="33"/>
      <c r="AC923" s="34"/>
      <c r="AD923" s="18"/>
      <c r="AE923" s="18"/>
    </row>
    <row r="924">
      <c r="A924" s="5" t="s">
        <v>3507</v>
      </c>
      <c r="B924" s="8" t="s">
        <v>3510</v>
      </c>
      <c r="C924" s="21" t="s">
        <v>2001</v>
      </c>
      <c r="D924" s="21" t="s">
        <v>1944</v>
      </c>
      <c r="E924" s="53">
        <v>669.9200000000001</v>
      </c>
      <c r="F924" s="30">
        <v>724.0</v>
      </c>
      <c r="G924" s="418"/>
      <c r="H924" s="18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17"/>
      <c r="Z924" s="6"/>
      <c r="AA924" s="18"/>
      <c r="AB924" s="33"/>
      <c r="AC924" s="34"/>
      <c r="AD924" s="18"/>
      <c r="AE924" s="18"/>
    </row>
    <row r="925">
      <c r="A925" s="5" t="s">
        <v>3507</v>
      </c>
      <c r="B925" s="8" t="s">
        <v>3510</v>
      </c>
      <c r="C925" s="21" t="s">
        <v>2003</v>
      </c>
      <c r="D925" s="21" t="s">
        <v>1946</v>
      </c>
      <c r="E925" s="53">
        <v>739.8867840000001</v>
      </c>
      <c r="F925" s="30">
        <v>798.0</v>
      </c>
      <c r="G925" s="418"/>
      <c r="H925" s="18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17"/>
      <c r="Z925" s="6"/>
      <c r="AA925" s="18"/>
      <c r="AB925" s="33"/>
      <c r="AC925" s="34"/>
      <c r="AD925" s="18"/>
      <c r="AE925" s="18"/>
    </row>
    <row r="926">
      <c r="A926" s="5" t="s">
        <v>3507</v>
      </c>
      <c r="B926" s="8" t="s">
        <v>3510</v>
      </c>
      <c r="C926" s="21" t="s">
        <v>2005</v>
      </c>
      <c r="D926" s="21" t="s">
        <v>913</v>
      </c>
      <c r="E926" s="53">
        <v>1666.3200000000002</v>
      </c>
      <c r="F926" s="30">
        <v>1798.0</v>
      </c>
      <c r="G926" s="418"/>
      <c r="H926" s="18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17"/>
      <c r="Z926" s="6"/>
      <c r="AA926" s="18"/>
      <c r="AB926" s="33"/>
      <c r="AC926" s="34"/>
      <c r="AD926" s="18"/>
      <c r="AE926" s="18"/>
    </row>
    <row r="927">
      <c r="A927" s="5" t="s">
        <v>3507</v>
      </c>
      <c r="B927" s="8" t="s">
        <v>3510</v>
      </c>
      <c r="C927" s="21" t="s">
        <v>2008</v>
      </c>
      <c r="D927" s="21" t="s">
        <v>1949</v>
      </c>
      <c r="E927" s="53">
        <v>1620.0</v>
      </c>
      <c r="F927" s="30">
        <v>1748.0</v>
      </c>
      <c r="G927" s="418"/>
      <c r="H927" s="18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17"/>
      <c r="Z927" s="6"/>
      <c r="AA927" s="18"/>
      <c r="AB927" s="33"/>
      <c r="AC927" s="34"/>
      <c r="AD927" s="18"/>
      <c r="AE927" s="18"/>
    </row>
    <row r="928">
      <c r="A928" s="5" t="s">
        <v>3507</v>
      </c>
      <c r="B928" s="8" t="s">
        <v>3510</v>
      </c>
      <c r="C928" s="21" t="s">
        <v>1095</v>
      </c>
      <c r="D928" s="21" t="s">
        <v>523</v>
      </c>
      <c r="E928" s="53">
        <v>2217.52</v>
      </c>
      <c r="F928" s="30">
        <v>2394.0</v>
      </c>
      <c r="G928" s="418"/>
      <c r="H928" s="18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17"/>
      <c r="Z928" s="6"/>
      <c r="AA928" s="18"/>
      <c r="AB928" s="33"/>
      <c r="AC928" s="34"/>
      <c r="AD928" s="18"/>
      <c r="AE928" s="18"/>
    </row>
    <row r="929">
      <c r="A929" s="5" t="s">
        <v>3507</v>
      </c>
      <c r="B929" s="8" t="s">
        <v>3510</v>
      </c>
      <c r="C929" s="21" t="s">
        <v>2010</v>
      </c>
      <c r="D929" s="21" t="s">
        <v>1124</v>
      </c>
      <c r="E929" s="53">
        <v>1890.0</v>
      </c>
      <c r="F929" s="30">
        <v>2044.0</v>
      </c>
      <c r="G929" s="418"/>
      <c r="H929" s="18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17"/>
      <c r="Z929" s="6"/>
      <c r="AA929" s="18"/>
      <c r="AB929" s="33"/>
      <c r="AC929" s="34"/>
      <c r="AD929" s="18"/>
      <c r="AE929" s="18"/>
    </row>
    <row r="930">
      <c r="A930" s="5" t="s">
        <v>3507</v>
      </c>
      <c r="B930" s="8" t="s">
        <v>3510</v>
      </c>
      <c r="C930" s="21" t="s">
        <v>2012</v>
      </c>
      <c r="D930" s="21" t="s">
        <v>395</v>
      </c>
      <c r="E930" s="53">
        <v>288.32</v>
      </c>
      <c r="F930" s="30">
        <v>312.0</v>
      </c>
      <c r="G930" s="418"/>
      <c r="H930" s="18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17"/>
      <c r="Z930" s="6"/>
      <c r="AA930" s="18"/>
      <c r="AB930" s="33"/>
      <c r="AC930" s="34"/>
      <c r="AD930" s="18"/>
      <c r="AE930" s="18"/>
    </row>
    <row r="931">
      <c r="A931" s="5" t="s">
        <v>3507</v>
      </c>
      <c r="B931" s="8" t="s">
        <v>3510</v>
      </c>
      <c r="C931" s="21" t="s">
        <v>2014</v>
      </c>
      <c r="D931" s="21" t="s">
        <v>1953</v>
      </c>
      <c r="E931" s="53">
        <v>538.4376</v>
      </c>
      <c r="F931" s="30">
        <v>582.0</v>
      </c>
      <c r="G931" s="418"/>
      <c r="H931" s="18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17"/>
      <c r="Z931" s="6"/>
      <c r="AA931" s="18"/>
      <c r="AB931" s="33"/>
      <c r="AC931" s="34"/>
      <c r="AD931" s="18"/>
      <c r="AE931" s="18"/>
    </row>
    <row r="932">
      <c r="A932" s="5" t="s">
        <v>3507</v>
      </c>
      <c r="B932" s="8" t="s">
        <v>3510</v>
      </c>
      <c r="C932" s="21" t="s">
        <v>2016</v>
      </c>
      <c r="D932" s="21" t="s">
        <v>1946</v>
      </c>
      <c r="E932" s="53">
        <v>756.0</v>
      </c>
      <c r="F932" s="30">
        <v>814.0</v>
      </c>
      <c r="G932" s="418"/>
      <c r="H932" s="18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17"/>
      <c r="Z932" s="6"/>
      <c r="AA932" s="18"/>
      <c r="AB932" s="33"/>
      <c r="AC932" s="34"/>
      <c r="AD932" s="18"/>
      <c r="AE932" s="18"/>
    </row>
    <row r="933">
      <c r="A933" s="5" t="s">
        <v>3507</v>
      </c>
      <c r="B933" s="8" t="s">
        <v>3511</v>
      </c>
      <c r="C933" s="21" t="str">
        <f t="array" ref="C933:F947">'COLOUR WISE'!B55:E69</f>
        <v>123-NNP</v>
      </c>
      <c r="D933" s="21" t="s">
        <v>417</v>
      </c>
      <c r="E933" s="53">
        <v>315.88</v>
      </c>
      <c r="F933" s="30">
        <v>342.0</v>
      </c>
      <c r="G933" s="418"/>
      <c r="H933" s="18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17"/>
      <c r="Z933" s="6"/>
      <c r="AA933" s="18"/>
      <c r="AB933" s="33"/>
      <c r="AC933" s="34"/>
      <c r="AD933" s="18"/>
      <c r="AE933" s="18"/>
    </row>
    <row r="934">
      <c r="A934" s="5" t="s">
        <v>3507</v>
      </c>
      <c r="B934" s="8" t="s">
        <v>3511</v>
      </c>
      <c r="C934" s="21" t="s">
        <v>2026</v>
      </c>
      <c r="D934" s="21" t="s">
        <v>1938</v>
      </c>
      <c r="E934" s="53">
        <v>383.72</v>
      </c>
      <c r="F934" s="30">
        <v>416.0</v>
      </c>
      <c r="G934" s="418"/>
      <c r="H934" s="18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17"/>
      <c r="Z934" s="6"/>
      <c r="AA934" s="18"/>
      <c r="AB934" s="33"/>
      <c r="AC934" s="34"/>
      <c r="AD934" s="18"/>
      <c r="AE934" s="18"/>
    </row>
    <row r="935">
      <c r="A935" s="5" t="s">
        <v>3507</v>
      </c>
      <c r="B935" s="8" t="s">
        <v>3511</v>
      </c>
      <c r="C935" s="21" t="s">
        <v>2028</v>
      </c>
      <c r="D935" s="21" t="s">
        <v>363</v>
      </c>
      <c r="E935" s="53">
        <v>351.92</v>
      </c>
      <c r="F935" s="30">
        <v>378.0</v>
      </c>
      <c r="G935" s="418"/>
      <c r="H935" s="18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17"/>
      <c r="Z935" s="6"/>
      <c r="AA935" s="18"/>
      <c r="AB935" s="33"/>
      <c r="AC935" s="34"/>
      <c r="AD935" s="18"/>
      <c r="AE935" s="18"/>
    </row>
    <row r="936">
      <c r="A936" s="5" t="s">
        <v>3507</v>
      </c>
      <c r="B936" s="8" t="s">
        <v>3511</v>
      </c>
      <c r="C936" s="21" t="s">
        <v>2030</v>
      </c>
      <c r="D936" s="21" t="s">
        <v>666</v>
      </c>
      <c r="E936" s="53">
        <v>606.32</v>
      </c>
      <c r="F936" s="30">
        <v>654.0</v>
      </c>
      <c r="G936" s="418"/>
      <c r="H936" s="18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17"/>
      <c r="Z936" s="6"/>
      <c r="AA936" s="18"/>
      <c r="AB936" s="33"/>
      <c r="AC936" s="34"/>
      <c r="AD936" s="18"/>
      <c r="AE936" s="18"/>
    </row>
    <row r="937">
      <c r="A937" s="5" t="s">
        <v>3507</v>
      </c>
      <c r="B937" s="8" t="s">
        <v>3511</v>
      </c>
      <c r="C937" s="21" t="s">
        <v>2032</v>
      </c>
      <c r="D937" s="21" t="s">
        <v>682</v>
      </c>
      <c r="E937" s="53">
        <v>457.92</v>
      </c>
      <c r="F937" s="30">
        <v>496.0</v>
      </c>
      <c r="G937" s="418"/>
      <c r="H937" s="18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17"/>
      <c r="Z937" s="6"/>
      <c r="AA937" s="18"/>
      <c r="AB937" s="33"/>
      <c r="AC937" s="34"/>
      <c r="AD937" s="18"/>
      <c r="AE937" s="18"/>
    </row>
    <row r="938">
      <c r="A938" s="5" t="s">
        <v>3507</v>
      </c>
      <c r="B938" s="8" t="s">
        <v>3511</v>
      </c>
      <c r="C938" s="21" t="s">
        <v>2034</v>
      </c>
      <c r="D938" s="21" t="s">
        <v>692</v>
      </c>
      <c r="E938" s="53">
        <v>698.0</v>
      </c>
      <c r="F938" s="30">
        <v>754.0</v>
      </c>
      <c r="G938" s="418"/>
      <c r="H938" s="18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17"/>
      <c r="Z938" s="6"/>
      <c r="AA938" s="18"/>
      <c r="AB938" s="33"/>
      <c r="AC938" s="34"/>
      <c r="AD938" s="18"/>
      <c r="AE938" s="18"/>
    </row>
    <row r="939">
      <c r="A939" s="5" t="s">
        <v>3507</v>
      </c>
      <c r="B939" s="8" t="s">
        <v>3511</v>
      </c>
      <c r="C939" s="21" t="s">
        <v>2036</v>
      </c>
      <c r="D939" s="21" t="s">
        <v>1944</v>
      </c>
      <c r="E939" s="53">
        <v>669.9200000000001</v>
      </c>
      <c r="F939" s="30">
        <v>724.0</v>
      </c>
      <c r="G939" s="418"/>
      <c r="H939" s="18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17"/>
      <c r="Z939" s="6"/>
      <c r="AA939" s="18"/>
      <c r="AB939" s="33"/>
      <c r="AC939" s="34"/>
      <c r="AD939" s="18"/>
      <c r="AE939" s="18"/>
    </row>
    <row r="940">
      <c r="A940" s="5" t="s">
        <v>3507</v>
      </c>
      <c r="B940" s="8" t="s">
        <v>3511</v>
      </c>
      <c r="C940" s="21" t="s">
        <v>2038</v>
      </c>
      <c r="D940" s="21" t="s">
        <v>1946</v>
      </c>
      <c r="E940" s="53">
        <v>739.8867840000001</v>
      </c>
      <c r="F940" s="30">
        <v>798.0</v>
      </c>
      <c r="G940" s="418"/>
      <c r="H940" s="18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17"/>
      <c r="Z940" s="6"/>
      <c r="AA940" s="18"/>
      <c r="AB940" s="33"/>
      <c r="AC940" s="34"/>
      <c r="AD940" s="18"/>
      <c r="AE940" s="18"/>
    </row>
    <row r="941">
      <c r="A941" s="5" t="s">
        <v>3507</v>
      </c>
      <c r="B941" s="8" t="s">
        <v>3511</v>
      </c>
      <c r="C941" s="21" t="s">
        <v>2039</v>
      </c>
      <c r="D941" s="21" t="s">
        <v>913</v>
      </c>
      <c r="E941" s="53">
        <v>1666.3200000000002</v>
      </c>
      <c r="F941" s="30">
        <v>1798.0</v>
      </c>
      <c r="G941" s="418"/>
      <c r="H941" s="18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17"/>
      <c r="Z941" s="6"/>
      <c r="AA941" s="18"/>
      <c r="AB941" s="33"/>
      <c r="AC941" s="34"/>
      <c r="AD941" s="18"/>
      <c r="AE941" s="18"/>
    </row>
    <row r="942">
      <c r="A942" s="5" t="s">
        <v>3507</v>
      </c>
      <c r="B942" s="8" t="s">
        <v>3511</v>
      </c>
      <c r="C942" s="21" t="s">
        <v>2041</v>
      </c>
      <c r="D942" s="21" t="s">
        <v>1949</v>
      </c>
      <c r="E942" s="53">
        <v>1620.0</v>
      </c>
      <c r="F942" s="30">
        <v>1748.0</v>
      </c>
      <c r="G942" s="418"/>
      <c r="H942" s="18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17"/>
      <c r="Z942" s="6"/>
      <c r="AA942" s="18"/>
      <c r="AB942" s="33"/>
      <c r="AC942" s="34"/>
      <c r="AD942" s="18"/>
      <c r="AE942" s="18"/>
    </row>
    <row r="943">
      <c r="A943" s="5" t="s">
        <v>3507</v>
      </c>
      <c r="B943" s="8" t="s">
        <v>3511</v>
      </c>
      <c r="C943" s="21" t="s">
        <v>1088</v>
      </c>
      <c r="D943" s="21" t="s">
        <v>523</v>
      </c>
      <c r="E943" s="53">
        <v>2217.52</v>
      </c>
      <c r="F943" s="30">
        <v>2394.0</v>
      </c>
      <c r="G943" s="418"/>
      <c r="H943" s="18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17"/>
      <c r="Z943" s="6"/>
      <c r="AA943" s="18"/>
      <c r="AB943" s="33"/>
      <c r="AC943" s="34"/>
      <c r="AD943" s="18"/>
      <c r="AE943" s="18"/>
    </row>
    <row r="944">
      <c r="A944" s="5" t="s">
        <v>3507</v>
      </c>
      <c r="B944" s="8" t="s">
        <v>3511</v>
      </c>
      <c r="C944" s="21" t="s">
        <v>2044</v>
      </c>
      <c r="D944" s="21" t="s">
        <v>1124</v>
      </c>
      <c r="E944" s="53">
        <v>1890.0</v>
      </c>
      <c r="F944" s="30">
        <v>2044.0</v>
      </c>
      <c r="G944" s="418"/>
      <c r="H944" s="18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17"/>
      <c r="Z944" s="6"/>
      <c r="AA944" s="18"/>
      <c r="AB944" s="33"/>
      <c r="AC944" s="34"/>
      <c r="AD944" s="18"/>
      <c r="AE944" s="18"/>
    </row>
    <row r="945">
      <c r="A945" s="5" t="s">
        <v>3507</v>
      </c>
      <c r="B945" s="8" t="s">
        <v>3511</v>
      </c>
      <c r="C945" s="21" t="s">
        <v>2048</v>
      </c>
      <c r="D945" s="21" t="s">
        <v>395</v>
      </c>
      <c r="E945" s="53">
        <v>288.32</v>
      </c>
      <c r="F945" s="30">
        <v>312.0</v>
      </c>
      <c r="G945" s="418"/>
      <c r="H945" s="18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17"/>
      <c r="Z945" s="6"/>
      <c r="AA945" s="18"/>
      <c r="AB945" s="33"/>
      <c r="AC945" s="34"/>
      <c r="AD945" s="18"/>
      <c r="AE945" s="18"/>
    </row>
    <row r="946">
      <c r="A946" s="5" t="s">
        <v>3507</v>
      </c>
      <c r="B946" s="8" t="s">
        <v>3511</v>
      </c>
      <c r="C946" s="21" t="s">
        <v>2052</v>
      </c>
      <c r="D946" s="21" t="s">
        <v>1953</v>
      </c>
      <c r="E946" s="53">
        <v>538.4376</v>
      </c>
      <c r="F946" s="30">
        <v>582.0</v>
      </c>
      <c r="G946" s="418"/>
      <c r="H946" s="18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17"/>
      <c r="Z946" s="6"/>
      <c r="AA946" s="18"/>
      <c r="AB946" s="33"/>
      <c r="AC946" s="34"/>
      <c r="AD946" s="18"/>
      <c r="AE946" s="18"/>
    </row>
    <row r="947">
      <c r="A947" s="5" t="s">
        <v>3507</v>
      </c>
      <c r="B947" s="8" t="s">
        <v>3511</v>
      </c>
      <c r="C947" s="21" t="s">
        <v>2057</v>
      </c>
      <c r="D947" s="21" t="s">
        <v>1946</v>
      </c>
      <c r="E947" s="53">
        <v>756.0</v>
      </c>
      <c r="F947" s="30">
        <v>814.0</v>
      </c>
      <c r="G947" s="418"/>
      <c r="H947" s="18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17"/>
      <c r="Z947" s="6"/>
      <c r="AA947" s="18"/>
      <c r="AB947" s="33"/>
      <c r="AC947" s="34"/>
      <c r="AD947" s="18"/>
      <c r="AE947" s="18"/>
    </row>
    <row r="948">
      <c r="A948" s="5" t="s">
        <v>3507</v>
      </c>
      <c r="B948" s="8" t="s">
        <v>3512</v>
      </c>
      <c r="C948" s="21" t="str">
        <f t="array" ref="C948:F962">'COLOUR WISE'!B72:E86</f>
        <v>123-NNB</v>
      </c>
      <c r="D948" s="21" t="s">
        <v>417</v>
      </c>
      <c r="E948" s="53">
        <v>315.88</v>
      </c>
      <c r="F948" s="30">
        <v>342.0</v>
      </c>
      <c r="G948" s="418"/>
      <c r="H948" s="18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17"/>
      <c r="Z948" s="6"/>
      <c r="AA948" s="18"/>
      <c r="AB948" s="33"/>
      <c r="AC948" s="34"/>
      <c r="AD948" s="18"/>
      <c r="AE948" s="18"/>
    </row>
    <row r="949">
      <c r="A949" s="5" t="s">
        <v>3507</v>
      </c>
      <c r="B949" s="8" t="s">
        <v>3512</v>
      </c>
      <c r="C949" s="21" t="s">
        <v>2071</v>
      </c>
      <c r="D949" s="21" t="s">
        <v>1938</v>
      </c>
      <c r="E949" s="53">
        <v>383.72</v>
      </c>
      <c r="F949" s="30">
        <v>416.0</v>
      </c>
      <c r="G949" s="418"/>
      <c r="H949" s="18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17"/>
      <c r="Z949" s="6"/>
      <c r="AA949" s="18"/>
      <c r="AB949" s="33"/>
      <c r="AC949" s="34"/>
      <c r="AD949" s="18"/>
      <c r="AE949" s="18"/>
    </row>
    <row r="950">
      <c r="A950" s="5" t="s">
        <v>3507</v>
      </c>
      <c r="B950" s="8" t="s">
        <v>3512</v>
      </c>
      <c r="C950" s="21" t="s">
        <v>2074</v>
      </c>
      <c r="D950" s="21" t="s">
        <v>363</v>
      </c>
      <c r="E950" s="53">
        <v>351.92</v>
      </c>
      <c r="F950" s="30">
        <v>378.0</v>
      </c>
      <c r="G950" s="418"/>
      <c r="H950" s="18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17"/>
      <c r="Z950" s="6"/>
      <c r="AA950" s="18"/>
      <c r="AB950" s="33"/>
      <c r="AC950" s="34"/>
      <c r="AD950" s="18"/>
      <c r="AE950" s="18"/>
    </row>
    <row r="951">
      <c r="A951" s="5" t="s">
        <v>3507</v>
      </c>
      <c r="B951" s="8" t="s">
        <v>3512</v>
      </c>
      <c r="C951" s="21" t="s">
        <v>2079</v>
      </c>
      <c r="D951" s="21" t="s">
        <v>666</v>
      </c>
      <c r="E951" s="53">
        <v>606.32</v>
      </c>
      <c r="F951" s="30">
        <v>654.0</v>
      </c>
      <c r="G951" s="418"/>
      <c r="H951" s="18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17"/>
      <c r="Z951" s="6"/>
      <c r="AA951" s="18"/>
      <c r="AB951" s="33"/>
      <c r="AC951" s="34"/>
      <c r="AD951" s="18"/>
      <c r="AE951" s="18"/>
    </row>
    <row r="952">
      <c r="A952" s="5" t="s">
        <v>3507</v>
      </c>
      <c r="B952" s="8" t="s">
        <v>3512</v>
      </c>
      <c r="C952" s="21" t="s">
        <v>2080</v>
      </c>
      <c r="D952" s="21" t="s">
        <v>682</v>
      </c>
      <c r="E952" s="53">
        <v>457.92</v>
      </c>
      <c r="F952" s="30">
        <v>496.0</v>
      </c>
      <c r="G952" s="418"/>
      <c r="H952" s="18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17"/>
      <c r="Z952" s="6"/>
      <c r="AA952" s="18"/>
      <c r="AB952" s="33"/>
      <c r="AC952" s="34"/>
      <c r="AD952" s="18"/>
      <c r="AE952" s="18"/>
    </row>
    <row r="953">
      <c r="A953" s="5" t="s">
        <v>3507</v>
      </c>
      <c r="B953" s="8" t="s">
        <v>3512</v>
      </c>
      <c r="C953" s="21" t="s">
        <v>2082</v>
      </c>
      <c r="D953" s="21" t="s">
        <v>692</v>
      </c>
      <c r="E953" s="53">
        <v>698.0</v>
      </c>
      <c r="F953" s="30">
        <v>754.0</v>
      </c>
      <c r="G953" s="418"/>
      <c r="H953" s="18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17"/>
      <c r="Z953" s="6"/>
      <c r="AA953" s="18"/>
      <c r="AB953" s="33"/>
      <c r="AC953" s="34"/>
      <c r="AD953" s="18"/>
      <c r="AE953" s="18"/>
    </row>
    <row r="954">
      <c r="A954" s="5" t="s">
        <v>3507</v>
      </c>
      <c r="B954" s="8" t="s">
        <v>3512</v>
      </c>
      <c r="C954" s="21" t="s">
        <v>2085</v>
      </c>
      <c r="D954" s="21" t="s">
        <v>1944</v>
      </c>
      <c r="E954" s="53">
        <v>669.9200000000001</v>
      </c>
      <c r="F954" s="30">
        <v>724.0</v>
      </c>
      <c r="G954" s="418"/>
      <c r="H954" s="18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17"/>
      <c r="Z954" s="6"/>
      <c r="AA954" s="18"/>
      <c r="AB954" s="33"/>
      <c r="AC954" s="34"/>
      <c r="AD954" s="18"/>
      <c r="AE954" s="18"/>
    </row>
    <row r="955">
      <c r="A955" s="5" t="s">
        <v>3507</v>
      </c>
      <c r="B955" s="8" t="s">
        <v>3512</v>
      </c>
      <c r="C955" s="21" t="s">
        <v>2090</v>
      </c>
      <c r="D955" s="21" t="s">
        <v>1946</v>
      </c>
      <c r="E955" s="53">
        <v>739.8867840000001</v>
      </c>
      <c r="F955" s="30">
        <v>798.0</v>
      </c>
      <c r="G955" s="418"/>
      <c r="H955" s="18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17"/>
      <c r="Z955" s="6"/>
      <c r="AA955" s="18"/>
      <c r="AB955" s="33"/>
      <c r="AC955" s="34"/>
      <c r="AD955" s="18"/>
      <c r="AE955" s="18"/>
    </row>
    <row r="956">
      <c r="A956" s="5" t="s">
        <v>3507</v>
      </c>
      <c r="B956" s="8" t="s">
        <v>3512</v>
      </c>
      <c r="C956" s="21" t="s">
        <v>2093</v>
      </c>
      <c r="D956" s="21" t="s">
        <v>913</v>
      </c>
      <c r="E956" s="53">
        <v>1666.3200000000002</v>
      </c>
      <c r="F956" s="30">
        <v>1798.0</v>
      </c>
      <c r="G956" s="418"/>
      <c r="H956" s="18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17"/>
      <c r="Z956" s="6"/>
      <c r="AA956" s="18"/>
      <c r="AB956" s="33"/>
      <c r="AC956" s="34"/>
      <c r="AD956" s="18"/>
      <c r="AE956" s="18"/>
    </row>
    <row r="957">
      <c r="A957" s="5" t="s">
        <v>3507</v>
      </c>
      <c r="B957" s="8" t="s">
        <v>3512</v>
      </c>
      <c r="C957" s="21" t="s">
        <v>2097</v>
      </c>
      <c r="D957" s="21" t="s">
        <v>1949</v>
      </c>
      <c r="E957" s="53">
        <v>1620.0</v>
      </c>
      <c r="F957" s="30">
        <v>1748.0</v>
      </c>
      <c r="G957" s="418"/>
      <c r="H957" s="18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17"/>
      <c r="Z957" s="6"/>
      <c r="AA957" s="18"/>
      <c r="AB957" s="33"/>
      <c r="AC957" s="34"/>
      <c r="AD957" s="18"/>
      <c r="AE957" s="18"/>
    </row>
    <row r="958">
      <c r="A958" s="5" t="s">
        <v>3507</v>
      </c>
      <c r="B958" s="8" t="s">
        <v>3512</v>
      </c>
      <c r="C958" s="21" t="s">
        <v>1103</v>
      </c>
      <c r="D958" s="21" t="s">
        <v>523</v>
      </c>
      <c r="E958" s="53">
        <v>2217.52</v>
      </c>
      <c r="F958" s="30">
        <v>2394.0</v>
      </c>
      <c r="G958" s="418"/>
      <c r="H958" s="18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17"/>
      <c r="Z958" s="6"/>
      <c r="AA958" s="18"/>
      <c r="AB958" s="33"/>
      <c r="AC958" s="34"/>
      <c r="AD958" s="18"/>
      <c r="AE958" s="18"/>
    </row>
    <row r="959">
      <c r="A959" s="5" t="s">
        <v>3507</v>
      </c>
      <c r="B959" s="8" t="s">
        <v>3512</v>
      </c>
      <c r="C959" s="21" t="s">
        <v>2100</v>
      </c>
      <c r="D959" s="21" t="s">
        <v>1124</v>
      </c>
      <c r="E959" s="53">
        <v>1890.0</v>
      </c>
      <c r="F959" s="30">
        <v>2044.0</v>
      </c>
      <c r="G959" s="418"/>
      <c r="H959" s="18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17"/>
      <c r="Z959" s="6"/>
      <c r="AA959" s="18"/>
      <c r="AB959" s="33"/>
      <c r="AC959" s="34"/>
      <c r="AD959" s="18"/>
      <c r="AE959" s="18"/>
    </row>
    <row r="960">
      <c r="A960" s="5" t="s">
        <v>3507</v>
      </c>
      <c r="B960" s="8" t="s">
        <v>3512</v>
      </c>
      <c r="C960" s="21" t="s">
        <v>2102</v>
      </c>
      <c r="D960" s="21" t="s">
        <v>395</v>
      </c>
      <c r="E960" s="53">
        <v>288.32</v>
      </c>
      <c r="F960" s="30">
        <v>312.0</v>
      </c>
      <c r="G960" s="418"/>
      <c r="H960" s="18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17"/>
      <c r="Z960" s="6"/>
      <c r="AA960" s="18"/>
      <c r="AB960" s="33"/>
      <c r="AC960" s="34"/>
      <c r="AD960" s="18"/>
      <c r="AE960" s="18"/>
    </row>
    <row r="961">
      <c r="A961" s="5" t="s">
        <v>3507</v>
      </c>
      <c r="B961" s="8" t="s">
        <v>3512</v>
      </c>
      <c r="C961" s="21" t="s">
        <v>2105</v>
      </c>
      <c r="D961" s="21" t="s">
        <v>1953</v>
      </c>
      <c r="E961" s="53">
        <v>538.4376</v>
      </c>
      <c r="F961" s="30">
        <v>582.0</v>
      </c>
      <c r="G961" s="418"/>
      <c r="H961" s="18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17"/>
      <c r="Z961" s="6"/>
      <c r="AA961" s="18"/>
      <c r="AB961" s="33"/>
      <c r="AC961" s="34"/>
      <c r="AD961" s="18"/>
      <c r="AE961" s="18"/>
    </row>
    <row r="962">
      <c r="A962" s="5" t="s">
        <v>3507</v>
      </c>
      <c r="B962" s="8" t="s">
        <v>3512</v>
      </c>
      <c r="C962" s="21" t="s">
        <v>2108</v>
      </c>
      <c r="D962" s="21" t="s">
        <v>1946</v>
      </c>
      <c r="E962" s="53">
        <v>756.0</v>
      </c>
      <c r="F962" s="30">
        <v>814.0</v>
      </c>
      <c r="G962" s="418"/>
      <c r="H962" s="18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17"/>
      <c r="Z962" s="6"/>
      <c r="AA962" s="18"/>
      <c r="AB962" s="33"/>
      <c r="AC962" s="34"/>
      <c r="AD962" s="18"/>
      <c r="AE962" s="18"/>
    </row>
    <row r="963">
      <c r="A963" s="5" t="s">
        <v>3507</v>
      </c>
      <c r="B963" s="8" t="s">
        <v>3513</v>
      </c>
      <c r="C963" s="21" t="str">
        <f t="array" ref="C963:F977">'COLOUR WISE'!B89:E103</f>
        <v>123-NNBB</v>
      </c>
      <c r="D963" s="21" t="s">
        <v>417</v>
      </c>
      <c r="E963" s="53">
        <v>315.88</v>
      </c>
      <c r="F963" s="30">
        <v>342.0</v>
      </c>
      <c r="G963" s="418"/>
      <c r="H963" s="18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17"/>
      <c r="Z963" s="6"/>
      <c r="AA963" s="18"/>
      <c r="AB963" s="33"/>
      <c r="AC963" s="34"/>
      <c r="AD963" s="18"/>
      <c r="AE963" s="18"/>
    </row>
    <row r="964">
      <c r="A964" s="5" t="s">
        <v>3507</v>
      </c>
      <c r="B964" s="8" t="s">
        <v>3513</v>
      </c>
      <c r="C964" s="21" t="s">
        <v>2112</v>
      </c>
      <c r="D964" s="21" t="s">
        <v>1938</v>
      </c>
      <c r="E964" s="53">
        <v>383.72</v>
      </c>
      <c r="F964" s="30">
        <v>416.0</v>
      </c>
      <c r="G964" s="418"/>
      <c r="H964" s="18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17"/>
      <c r="Z964" s="6"/>
      <c r="AA964" s="18"/>
      <c r="AB964" s="33"/>
      <c r="AC964" s="34"/>
      <c r="AD964" s="18"/>
      <c r="AE964" s="18"/>
    </row>
    <row r="965">
      <c r="A965" s="5" t="s">
        <v>3507</v>
      </c>
      <c r="B965" s="8" t="s">
        <v>3513</v>
      </c>
      <c r="C965" s="21" t="s">
        <v>2113</v>
      </c>
      <c r="D965" s="21" t="s">
        <v>363</v>
      </c>
      <c r="E965" s="53">
        <v>351.92</v>
      </c>
      <c r="F965" s="30">
        <v>378.0</v>
      </c>
      <c r="G965" s="418"/>
      <c r="H965" s="18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17"/>
      <c r="Z965" s="6"/>
      <c r="AA965" s="18"/>
      <c r="AB965" s="33"/>
      <c r="AC965" s="34"/>
      <c r="AD965" s="18"/>
      <c r="AE965" s="18"/>
    </row>
    <row r="966">
      <c r="A966" s="5" t="s">
        <v>3507</v>
      </c>
      <c r="B966" s="8" t="s">
        <v>3513</v>
      </c>
      <c r="C966" s="21" t="s">
        <v>2114</v>
      </c>
      <c r="D966" s="21" t="s">
        <v>666</v>
      </c>
      <c r="E966" s="53">
        <v>606.32</v>
      </c>
      <c r="F966" s="30">
        <v>654.0</v>
      </c>
      <c r="G966" s="418"/>
      <c r="H966" s="18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17"/>
      <c r="Z966" s="6"/>
      <c r="AA966" s="18"/>
      <c r="AB966" s="33"/>
      <c r="AC966" s="34"/>
      <c r="AD966" s="18"/>
      <c r="AE966" s="18"/>
    </row>
    <row r="967">
      <c r="A967" s="5" t="s">
        <v>3507</v>
      </c>
      <c r="B967" s="8" t="s">
        <v>3513</v>
      </c>
      <c r="C967" s="21" t="s">
        <v>2115</v>
      </c>
      <c r="D967" s="21" t="s">
        <v>682</v>
      </c>
      <c r="E967" s="53">
        <v>457.92</v>
      </c>
      <c r="F967" s="30">
        <v>496.0</v>
      </c>
      <c r="G967" s="418"/>
      <c r="H967" s="18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17"/>
      <c r="Z967" s="6"/>
      <c r="AA967" s="18"/>
      <c r="AB967" s="33"/>
      <c r="AC967" s="34"/>
      <c r="AD967" s="18"/>
      <c r="AE967" s="18"/>
    </row>
    <row r="968">
      <c r="A968" s="5" t="s">
        <v>3507</v>
      </c>
      <c r="B968" s="8" t="s">
        <v>3513</v>
      </c>
      <c r="C968" s="21" t="s">
        <v>2116</v>
      </c>
      <c r="D968" s="21" t="s">
        <v>692</v>
      </c>
      <c r="E968" s="53">
        <v>698.0</v>
      </c>
      <c r="F968" s="30">
        <v>754.0</v>
      </c>
      <c r="G968" s="418"/>
      <c r="H968" s="18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17"/>
      <c r="Z968" s="6"/>
      <c r="AA968" s="18"/>
      <c r="AB968" s="33"/>
      <c r="AC968" s="34"/>
      <c r="AD968" s="18"/>
      <c r="AE968" s="18"/>
    </row>
    <row r="969">
      <c r="A969" s="5" t="s">
        <v>3507</v>
      </c>
      <c r="B969" s="8" t="s">
        <v>3513</v>
      </c>
      <c r="C969" s="21" t="s">
        <v>2117</v>
      </c>
      <c r="D969" s="21" t="s">
        <v>1944</v>
      </c>
      <c r="E969" s="53">
        <v>669.9200000000001</v>
      </c>
      <c r="F969" s="30">
        <v>724.0</v>
      </c>
      <c r="G969" s="418"/>
      <c r="H969" s="18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17"/>
      <c r="Z969" s="6"/>
      <c r="AA969" s="18"/>
      <c r="AB969" s="33"/>
      <c r="AC969" s="34"/>
      <c r="AD969" s="18"/>
      <c r="AE969" s="18"/>
    </row>
    <row r="970">
      <c r="A970" s="5" t="s">
        <v>3507</v>
      </c>
      <c r="B970" s="8" t="s">
        <v>3513</v>
      </c>
      <c r="C970" s="21" t="s">
        <v>2118</v>
      </c>
      <c r="D970" s="21" t="s">
        <v>1946</v>
      </c>
      <c r="E970" s="53">
        <v>739.8867840000001</v>
      </c>
      <c r="F970" s="30">
        <v>798.0</v>
      </c>
      <c r="G970" s="418"/>
      <c r="H970" s="18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17"/>
      <c r="Z970" s="6"/>
      <c r="AA970" s="18"/>
      <c r="AB970" s="33"/>
      <c r="AC970" s="34"/>
      <c r="AD970" s="18"/>
      <c r="AE970" s="18"/>
    </row>
    <row r="971">
      <c r="A971" s="5" t="s">
        <v>3507</v>
      </c>
      <c r="B971" s="8" t="s">
        <v>3513</v>
      </c>
      <c r="C971" s="21" t="s">
        <v>2119</v>
      </c>
      <c r="D971" s="21" t="s">
        <v>913</v>
      </c>
      <c r="E971" s="53">
        <v>1666.3200000000002</v>
      </c>
      <c r="F971" s="30">
        <v>1798.0</v>
      </c>
      <c r="G971" s="418"/>
      <c r="H971" s="18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17"/>
      <c r="Z971" s="6"/>
      <c r="AA971" s="18"/>
      <c r="AB971" s="33"/>
      <c r="AC971" s="34"/>
      <c r="AD971" s="18"/>
      <c r="AE971" s="18"/>
    </row>
    <row r="972">
      <c r="A972" s="5" t="s">
        <v>3507</v>
      </c>
      <c r="B972" s="8" t="s">
        <v>3513</v>
      </c>
      <c r="C972" s="21" t="s">
        <v>2120</v>
      </c>
      <c r="D972" s="21" t="s">
        <v>1949</v>
      </c>
      <c r="E972" s="53">
        <v>1620.0</v>
      </c>
      <c r="F972" s="30">
        <v>1748.0</v>
      </c>
      <c r="G972" s="418"/>
      <c r="H972" s="18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17"/>
      <c r="Z972" s="6"/>
      <c r="AA972" s="18"/>
      <c r="AB972" s="33"/>
      <c r="AC972" s="34"/>
      <c r="AD972" s="18"/>
      <c r="AE972" s="18"/>
    </row>
    <row r="973">
      <c r="A973" s="5" t="s">
        <v>3507</v>
      </c>
      <c r="B973" s="8" t="s">
        <v>3513</v>
      </c>
      <c r="C973" s="21" t="s">
        <v>1099</v>
      </c>
      <c r="D973" s="21" t="s">
        <v>523</v>
      </c>
      <c r="E973" s="53">
        <v>2217.52</v>
      </c>
      <c r="F973" s="30">
        <v>2394.0</v>
      </c>
      <c r="G973" s="418"/>
      <c r="H973" s="18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17"/>
      <c r="Z973" s="6"/>
      <c r="AA973" s="18"/>
      <c r="AB973" s="33"/>
      <c r="AC973" s="34"/>
      <c r="AD973" s="18"/>
      <c r="AE973" s="18"/>
    </row>
    <row r="974">
      <c r="A974" s="5" t="s">
        <v>3507</v>
      </c>
      <c r="B974" s="8" t="s">
        <v>3513</v>
      </c>
      <c r="C974" s="21" t="s">
        <v>2121</v>
      </c>
      <c r="D974" s="21" t="s">
        <v>1124</v>
      </c>
      <c r="E974" s="53">
        <v>1890.0</v>
      </c>
      <c r="F974" s="30">
        <v>2044.0</v>
      </c>
      <c r="G974" s="418"/>
      <c r="H974" s="18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17"/>
      <c r="Z974" s="6"/>
      <c r="AA974" s="18"/>
      <c r="AB974" s="33"/>
      <c r="AC974" s="34"/>
      <c r="AD974" s="18"/>
      <c r="AE974" s="18"/>
    </row>
    <row r="975">
      <c r="A975" s="5" t="s">
        <v>3507</v>
      </c>
      <c r="B975" s="8" t="s">
        <v>3513</v>
      </c>
      <c r="C975" s="21" t="s">
        <v>2122</v>
      </c>
      <c r="D975" s="21" t="s">
        <v>395</v>
      </c>
      <c r="E975" s="53">
        <v>288.32</v>
      </c>
      <c r="F975" s="30">
        <v>312.0</v>
      </c>
      <c r="G975" s="418"/>
      <c r="H975" s="18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17"/>
      <c r="Z975" s="6"/>
      <c r="AA975" s="18"/>
      <c r="AB975" s="33"/>
      <c r="AC975" s="34"/>
      <c r="AD975" s="18"/>
      <c r="AE975" s="18"/>
    </row>
    <row r="976">
      <c r="A976" s="5" t="s">
        <v>3507</v>
      </c>
      <c r="B976" s="8" t="s">
        <v>3513</v>
      </c>
      <c r="C976" s="21" t="s">
        <v>2123</v>
      </c>
      <c r="D976" s="21" t="s">
        <v>1953</v>
      </c>
      <c r="E976" s="53">
        <v>538.4376</v>
      </c>
      <c r="F976" s="30">
        <v>582.0</v>
      </c>
      <c r="G976" s="418"/>
      <c r="H976" s="18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17"/>
      <c r="Z976" s="6"/>
      <c r="AA976" s="18"/>
      <c r="AB976" s="33"/>
      <c r="AC976" s="34"/>
      <c r="AD976" s="18"/>
      <c r="AE976" s="18"/>
    </row>
    <row r="977">
      <c r="A977" s="5" t="s">
        <v>3507</v>
      </c>
      <c r="B977" s="8" t="s">
        <v>3513</v>
      </c>
      <c r="C977" s="21" t="s">
        <v>2124</v>
      </c>
      <c r="D977" s="21" t="s">
        <v>1946</v>
      </c>
      <c r="E977" s="53">
        <v>756.0</v>
      </c>
      <c r="F977" s="30">
        <v>814.0</v>
      </c>
      <c r="G977" s="418"/>
      <c r="H977" s="18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17"/>
      <c r="Z977" s="6"/>
      <c r="AA977" s="18"/>
      <c r="AB977" s="33"/>
      <c r="AC977" s="34"/>
      <c r="AD977" s="18"/>
      <c r="AE977" s="18"/>
    </row>
    <row r="978">
      <c r="A978" s="5" t="s">
        <v>3507</v>
      </c>
      <c r="B978" s="8" t="s">
        <v>3514</v>
      </c>
      <c r="C978" s="21" t="str">
        <f t="array" ref="C978:F993">'COLOUR WISE'!B106:E121</f>
        <v>123-UW</v>
      </c>
      <c r="D978" s="21" t="s">
        <v>306</v>
      </c>
      <c r="E978" s="53">
        <v>419.5056</v>
      </c>
      <c r="F978" s="30">
        <v>452.0</v>
      </c>
      <c r="G978" s="418"/>
      <c r="H978" s="18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17"/>
      <c r="Z978" s="6"/>
      <c r="AA978" s="18"/>
      <c r="AB978" s="33"/>
      <c r="AC978" s="34"/>
      <c r="AD978" s="18"/>
      <c r="AE978" s="18"/>
    </row>
    <row r="979">
      <c r="A979" s="5" t="s">
        <v>3507</v>
      </c>
      <c r="B979" s="8" t="s">
        <v>3514</v>
      </c>
      <c r="C979" s="21" t="s">
        <v>2126</v>
      </c>
      <c r="D979" s="21" t="s">
        <v>339</v>
      </c>
      <c r="E979" s="53">
        <v>516.0</v>
      </c>
      <c r="F979" s="30">
        <v>558.0</v>
      </c>
      <c r="G979" s="418"/>
      <c r="H979" s="18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17"/>
      <c r="Z979" s="6"/>
      <c r="AA979" s="18"/>
      <c r="AB979" s="33"/>
      <c r="AC979" s="34"/>
      <c r="AD979" s="18"/>
      <c r="AE979" s="18"/>
    </row>
    <row r="980">
      <c r="A980" s="5" t="s">
        <v>3507</v>
      </c>
      <c r="B980" s="8" t="s">
        <v>3514</v>
      </c>
      <c r="C980" s="21" t="s">
        <v>2127</v>
      </c>
      <c r="D980" s="21" t="s">
        <v>363</v>
      </c>
      <c r="E980" s="53">
        <v>447.530304</v>
      </c>
      <c r="F980" s="30">
        <v>484.0</v>
      </c>
      <c r="G980" s="418"/>
      <c r="H980" s="18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17"/>
      <c r="Z980" s="6"/>
      <c r="AA980" s="18"/>
      <c r="AB980" s="33"/>
      <c r="AC980" s="34"/>
      <c r="AD980" s="18"/>
      <c r="AE980" s="18"/>
    </row>
    <row r="981">
      <c r="A981" s="5" t="s">
        <v>3507</v>
      </c>
      <c r="B981" s="8" t="s">
        <v>3514</v>
      </c>
      <c r="C981" s="21" t="s">
        <v>2128</v>
      </c>
      <c r="D981" s="21" t="s">
        <v>666</v>
      </c>
      <c r="E981" s="53">
        <v>775.9200000000001</v>
      </c>
      <c r="F981" s="30">
        <v>842.0</v>
      </c>
      <c r="G981" s="418"/>
      <c r="H981" s="18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17"/>
      <c r="Z981" s="6"/>
      <c r="AA981" s="18"/>
      <c r="AB981" s="33"/>
      <c r="AC981" s="34"/>
      <c r="AD981" s="18"/>
      <c r="AE981" s="18"/>
    </row>
    <row r="982">
      <c r="A982" s="5" t="s">
        <v>3507</v>
      </c>
      <c r="B982" s="8" t="s">
        <v>3514</v>
      </c>
      <c r="C982" s="21" t="s">
        <v>2129</v>
      </c>
      <c r="D982" s="21" t="s">
        <v>682</v>
      </c>
      <c r="E982" s="53">
        <v>527.6256</v>
      </c>
      <c r="F982" s="30">
        <v>572.0</v>
      </c>
      <c r="G982" s="418"/>
      <c r="H982" s="18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17"/>
      <c r="Z982" s="6"/>
      <c r="AA982" s="18"/>
      <c r="AB982" s="33"/>
      <c r="AC982" s="34"/>
      <c r="AD982" s="18"/>
      <c r="AE982" s="18"/>
    </row>
    <row r="983">
      <c r="A983" s="5" t="s">
        <v>3507</v>
      </c>
      <c r="B983" s="8" t="s">
        <v>3514</v>
      </c>
      <c r="C983" s="21" t="s">
        <v>2130</v>
      </c>
      <c r="D983" s="21" t="s">
        <v>692</v>
      </c>
      <c r="E983" s="53">
        <v>832.0</v>
      </c>
      <c r="F983" s="30">
        <v>898.0</v>
      </c>
      <c r="G983" s="418"/>
      <c r="H983" s="18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17"/>
      <c r="Z983" s="6"/>
      <c r="AA983" s="18"/>
      <c r="AB983" s="33"/>
      <c r="AC983" s="34"/>
      <c r="AD983" s="18"/>
      <c r="AE983" s="18"/>
    </row>
    <row r="984">
      <c r="A984" s="5" t="s">
        <v>3507</v>
      </c>
      <c r="B984" s="8" t="s">
        <v>3514</v>
      </c>
      <c r="C984" s="21" t="s">
        <v>2131</v>
      </c>
      <c r="D984" s="21" t="s">
        <v>1944</v>
      </c>
      <c r="E984" s="53">
        <v>784.0</v>
      </c>
      <c r="F984" s="30">
        <v>846.0</v>
      </c>
      <c r="G984" s="418"/>
      <c r="H984" s="18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17"/>
      <c r="Z984" s="6"/>
      <c r="AA984" s="18"/>
      <c r="AB984" s="33"/>
      <c r="AC984" s="34"/>
      <c r="AD984" s="18"/>
      <c r="AE984" s="18"/>
    </row>
    <row r="985">
      <c r="A985" s="5" t="s">
        <v>3507</v>
      </c>
      <c r="B985" s="8" t="s">
        <v>3514</v>
      </c>
      <c r="C985" s="21" t="s">
        <v>2132</v>
      </c>
      <c r="D985" s="21" t="s">
        <v>2133</v>
      </c>
      <c r="E985" s="53">
        <v>832.0</v>
      </c>
      <c r="F985" s="30">
        <v>898.0</v>
      </c>
      <c r="G985" s="418"/>
      <c r="H985" s="18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17"/>
      <c r="Z985" s="6"/>
      <c r="AA985" s="18"/>
      <c r="AB985" s="33"/>
      <c r="AC985" s="34"/>
      <c r="AD985" s="18"/>
      <c r="AE985" s="18"/>
    </row>
    <row r="986">
      <c r="A986" s="5" t="s">
        <v>3507</v>
      </c>
      <c r="B986" s="8" t="s">
        <v>3514</v>
      </c>
      <c r="C986" s="21" t="s">
        <v>2134</v>
      </c>
      <c r="D986" s="21" t="s">
        <v>913</v>
      </c>
      <c r="E986" s="53">
        <v>1729.92</v>
      </c>
      <c r="F986" s="30">
        <v>1872.0</v>
      </c>
      <c r="G986" s="418"/>
      <c r="H986" s="18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17"/>
      <c r="Z986" s="6"/>
      <c r="AA986" s="18"/>
      <c r="AB986" s="33"/>
      <c r="AC986" s="34"/>
      <c r="AD986" s="18"/>
      <c r="AE986" s="18"/>
    </row>
    <row r="987">
      <c r="A987" s="5" t="s">
        <v>3507</v>
      </c>
      <c r="B987" s="8" t="s">
        <v>3514</v>
      </c>
      <c r="C987" s="21" t="s">
        <v>2135</v>
      </c>
      <c r="D987" s="21" t="s">
        <v>1949</v>
      </c>
      <c r="E987" s="53">
        <v>1666.3200000000002</v>
      </c>
      <c r="F987" s="30">
        <v>1798.0</v>
      </c>
      <c r="G987" s="418"/>
      <c r="H987" s="18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17"/>
      <c r="Z987" s="6"/>
      <c r="AA987" s="18"/>
      <c r="AB987" s="33"/>
      <c r="AC987" s="34"/>
      <c r="AD987" s="18"/>
      <c r="AE987" s="18"/>
    </row>
    <row r="988">
      <c r="A988" s="5" t="s">
        <v>3507</v>
      </c>
      <c r="B988" s="8" t="s">
        <v>3514</v>
      </c>
      <c r="C988" s="21" t="s">
        <v>1110</v>
      </c>
      <c r="D988" s="21" t="s">
        <v>523</v>
      </c>
      <c r="E988" s="53">
        <v>2424.0</v>
      </c>
      <c r="F988" s="30">
        <v>2616.0</v>
      </c>
      <c r="G988" s="418"/>
      <c r="H988" s="18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17"/>
      <c r="Z988" s="6"/>
      <c r="AA988" s="18"/>
      <c r="AB988" s="33"/>
      <c r="AC988" s="34"/>
      <c r="AD988" s="18"/>
      <c r="AE988" s="18"/>
    </row>
    <row r="989">
      <c r="A989" s="5" t="s">
        <v>3507</v>
      </c>
      <c r="B989" s="8" t="s">
        <v>3514</v>
      </c>
      <c r="C989" s="21" t="s">
        <v>2136</v>
      </c>
      <c r="D989" s="21" t="s">
        <v>705</v>
      </c>
      <c r="E989" s="53">
        <v>2098.0</v>
      </c>
      <c r="F989" s="30">
        <v>2266.0</v>
      </c>
      <c r="G989" s="418"/>
      <c r="H989" s="18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17"/>
      <c r="Z989" s="6"/>
      <c r="AA989" s="18"/>
      <c r="AB989" s="33"/>
      <c r="AC989" s="34"/>
      <c r="AD989" s="18"/>
      <c r="AE989" s="18"/>
    </row>
    <row r="990">
      <c r="A990" s="5" t="s">
        <v>3507</v>
      </c>
      <c r="B990" s="8" t="s">
        <v>3514</v>
      </c>
      <c r="C990" s="21" t="s">
        <v>2137</v>
      </c>
      <c r="D990" s="21" t="s">
        <v>395</v>
      </c>
      <c r="E990" s="53">
        <v>374.0</v>
      </c>
      <c r="F990" s="30">
        <v>402.0</v>
      </c>
      <c r="G990" s="418"/>
      <c r="H990" s="18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17"/>
      <c r="Z990" s="6"/>
      <c r="AA990" s="18"/>
      <c r="AB990" s="33"/>
      <c r="AC990" s="34"/>
      <c r="AD990" s="18"/>
      <c r="AE990" s="18"/>
    </row>
    <row r="991">
      <c r="A991" s="5" t="s">
        <v>3507</v>
      </c>
      <c r="B991" s="8" t="s">
        <v>3514</v>
      </c>
      <c r="C991" s="21" t="s">
        <v>2138</v>
      </c>
      <c r="D991" s="21" t="s">
        <v>359</v>
      </c>
      <c r="E991" s="53">
        <v>724.0</v>
      </c>
      <c r="F991" s="30">
        <v>782.0</v>
      </c>
      <c r="G991" s="418"/>
      <c r="H991" s="18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17"/>
      <c r="Z991" s="6"/>
      <c r="AA991" s="18"/>
      <c r="AB991" s="33"/>
      <c r="AC991" s="34"/>
      <c r="AD991" s="18"/>
      <c r="AE991" s="18"/>
    </row>
    <row r="992">
      <c r="A992" s="5" t="s">
        <v>3507</v>
      </c>
      <c r="B992" s="8" t="s">
        <v>3514</v>
      </c>
      <c r="C992" s="21" t="s">
        <v>2139</v>
      </c>
      <c r="D992" s="21" t="s">
        <v>1137</v>
      </c>
      <c r="E992" s="53">
        <v>724.0</v>
      </c>
      <c r="F992" s="30">
        <v>782.0</v>
      </c>
      <c r="G992" s="418"/>
      <c r="H992" s="18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17"/>
      <c r="Z992" s="6"/>
      <c r="AA992" s="18"/>
      <c r="AB992" s="33"/>
      <c r="AC992" s="34"/>
      <c r="AD992" s="18"/>
      <c r="AE992" s="18"/>
    </row>
    <row r="993">
      <c r="A993" s="5" t="s">
        <v>3507</v>
      </c>
      <c r="B993" s="8" t="s">
        <v>3514</v>
      </c>
      <c r="C993" s="21" t="s">
        <v>2140</v>
      </c>
      <c r="D993" s="21" t="s">
        <v>1145</v>
      </c>
      <c r="E993" s="53">
        <v>1884.0</v>
      </c>
      <c r="F993" s="30">
        <v>2034.0</v>
      </c>
      <c r="G993" s="418"/>
      <c r="H993" s="18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17"/>
      <c r="Z993" s="6"/>
      <c r="AA993" s="18"/>
      <c r="AB993" s="33"/>
      <c r="AC993" s="34"/>
      <c r="AD993" s="18"/>
      <c r="AE993" s="18"/>
    </row>
    <row r="994">
      <c r="A994" s="5" t="s">
        <v>3507</v>
      </c>
      <c r="B994" s="8" t="s">
        <v>3515</v>
      </c>
      <c r="C994" s="21" t="str">
        <f t="array" ref="C994:F1009">'COLOUR WISE'!B124:E139</f>
        <v>123-UG</v>
      </c>
      <c r="D994" s="21" t="s">
        <v>306</v>
      </c>
      <c r="E994" s="53">
        <v>419.5056</v>
      </c>
      <c r="F994" s="30">
        <v>452.0</v>
      </c>
      <c r="G994" s="418"/>
      <c r="H994" s="18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17"/>
      <c r="Z994" s="6"/>
      <c r="AA994" s="18"/>
      <c r="AB994" s="33"/>
      <c r="AC994" s="34"/>
      <c r="AD994" s="18"/>
      <c r="AE994" s="18"/>
    </row>
    <row r="995">
      <c r="A995" s="5" t="s">
        <v>3507</v>
      </c>
      <c r="B995" s="8" t="s">
        <v>3515</v>
      </c>
      <c r="C995" s="21" t="s">
        <v>2142</v>
      </c>
      <c r="D995" s="21" t="s">
        <v>339</v>
      </c>
      <c r="E995" s="53">
        <v>516.0</v>
      </c>
      <c r="F995" s="30">
        <v>558.0</v>
      </c>
      <c r="G995" s="418"/>
      <c r="H995" s="18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17"/>
      <c r="Z995" s="6"/>
      <c r="AA995" s="18"/>
      <c r="AB995" s="33"/>
      <c r="AC995" s="34"/>
      <c r="AD995" s="18"/>
      <c r="AE995" s="18"/>
    </row>
    <row r="996">
      <c r="A996" s="5" t="s">
        <v>3507</v>
      </c>
      <c r="B996" s="8" t="s">
        <v>3515</v>
      </c>
      <c r="C996" s="21" t="s">
        <v>2143</v>
      </c>
      <c r="D996" s="21" t="s">
        <v>363</v>
      </c>
      <c r="E996" s="53">
        <v>447.530304</v>
      </c>
      <c r="F996" s="30">
        <v>484.0</v>
      </c>
      <c r="G996" s="418"/>
      <c r="H996" s="18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17"/>
      <c r="Z996" s="6"/>
      <c r="AA996" s="18"/>
      <c r="AB996" s="33"/>
      <c r="AC996" s="34"/>
      <c r="AD996" s="18"/>
      <c r="AE996" s="18"/>
    </row>
    <row r="997">
      <c r="A997" s="5" t="s">
        <v>3507</v>
      </c>
      <c r="B997" s="8" t="s">
        <v>3515</v>
      </c>
      <c r="C997" s="21" t="s">
        <v>2144</v>
      </c>
      <c r="D997" s="21" t="s">
        <v>666</v>
      </c>
      <c r="E997" s="53">
        <v>775.9200000000001</v>
      </c>
      <c r="F997" s="30">
        <v>842.0</v>
      </c>
      <c r="G997" s="418"/>
      <c r="H997" s="18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17"/>
      <c r="Z997" s="6"/>
      <c r="AA997" s="18"/>
      <c r="AB997" s="33"/>
      <c r="AC997" s="34"/>
      <c r="AD997" s="18"/>
      <c r="AE997" s="18"/>
    </row>
    <row r="998">
      <c r="A998" s="5" t="s">
        <v>3507</v>
      </c>
      <c r="B998" s="8" t="s">
        <v>3515</v>
      </c>
      <c r="C998" s="21" t="s">
        <v>2145</v>
      </c>
      <c r="D998" s="21" t="s">
        <v>682</v>
      </c>
      <c r="E998" s="53">
        <v>527.6256</v>
      </c>
      <c r="F998" s="30">
        <v>572.0</v>
      </c>
      <c r="G998" s="418"/>
      <c r="H998" s="18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17"/>
      <c r="Z998" s="6"/>
      <c r="AA998" s="18"/>
      <c r="AB998" s="33"/>
      <c r="AC998" s="34"/>
      <c r="AD998" s="18"/>
      <c r="AE998" s="18"/>
    </row>
    <row r="999">
      <c r="A999" s="5" t="s">
        <v>3507</v>
      </c>
      <c r="B999" s="8" t="s">
        <v>3515</v>
      </c>
      <c r="C999" s="21" t="s">
        <v>2146</v>
      </c>
      <c r="D999" s="21" t="s">
        <v>692</v>
      </c>
      <c r="E999" s="53">
        <v>832.0</v>
      </c>
      <c r="F999" s="30">
        <v>898.0</v>
      </c>
      <c r="G999" s="418"/>
      <c r="H999" s="18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17"/>
      <c r="Z999" s="6"/>
      <c r="AA999" s="18"/>
      <c r="AB999" s="33"/>
      <c r="AC999" s="34"/>
      <c r="AD999" s="18"/>
      <c r="AE999" s="18"/>
    </row>
    <row r="1000">
      <c r="A1000" s="5" t="s">
        <v>3507</v>
      </c>
      <c r="B1000" s="8" t="s">
        <v>3515</v>
      </c>
      <c r="C1000" s="21" t="s">
        <v>2147</v>
      </c>
      <c r="D1000" s="21" t="s">
        <v>1944</v>
      </c>
      <c r="E1000" s="53">
        <v>784.0</v>
      </c>
      <c r="F1000" s="30">
        <v>846.0</v>
      </c>
      <c r="G1000" s="418"/>
      <c r="H1000" s="18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17"/>
      <c r="Z1000" s="6"/>
      <c r="AA1000" s="18"/>
      <c r="AB1000" s="33"/>
      <c r="AC1000" s="34"/>
      <c r="AD1000" s="18"/>
      <c r="AE1000" s="18"/>
    </row>
    <row r="1001">
      <c r="A1001" s="5" t="s">
        <v>3507</v>
      </c>
      <c r="B1001" s="8" t="s">
        <v>3515</v>
      </c>
      <c r="C1001" s="21" t="s">
        <v>2148</v>
      </c>
      <c r="D1001" s="21" t="s">
        <v>2133</v>
      </c>
      <c r="E1001" s="53">
        <v>832.0</v>
      </c>
      <c r="F1001" s="30">
        <v>898.0</v>
      </c>
      <c r="G1001" s="418"/>
      <c r="H1001" s="18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17"/>
      <c r="Z1001" s="6"/>
      <c r="AA1001" s="18"/>
      <c r="AB1001" s="33"/>
      <c r="AC1001" s="34"/>
      <c r="AD1001" s="18"/>
      <c r="AE1001" s="18"/>
    </row>
    <row r="1002">
      <c r="A1002" s="5" t="s">
        <v>3507</v>
      </c>
      <c r="B1002" s="8" t="s">
        <v>3515</v>
      </c>
      <c r="C1002" s="21" t="s">
        <v>2149</v>
      </c>
      <c r="D1002" s="21" t="s">
        <v>913</v>
      </c>
      <c r="E1002" s="53">
        <v>1729.92</v>
      </c>
      <c r="F1002" s="30">
        <v>1872.0</v>
      </c>
      <c r="G1002" s="418"/>
      <c r="H1002" s="18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17"/>
      <c r="Z1002" s="6"/>
      <c r="AA1002" s="18"/>
      <c r="AB1002" s="33"/>
      <c r="AC1002" s="34"/>
      <c r="AD1002" s="18"/>
      <c r="AE1002" s="18"/>
    </row>
    <row r="1003">
      <c r="A1003" s="5" t="s">
        <v>3507</v>
      </c>
      <c r="B1003" s="8" t="s">
        <v>3515</v>
      </c>
      <c r="C1003" s="21" t="s">
        <v>2150</v>
      </c>
      <c r="D1003" s="21" t="s">
        <v>1949</v>
      </c>
      <c r="E1003" s="53">
        <v>1666.3200000000002</v>
      </c>
      <c r="F1003" s="30">
        <v>1798.0</v>
      </c>
      <c r="G1003" s="418"/>
      <c r="H1003" s="18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17"/>
      <c r="Z1003" s="6"/>
      <c r="AA1003" s="18"/>
      <c r="AB1003" s="33"/>
      <c r="AC1003" s="34"/>
      <c r="AD1003" s="18"/>
      <c r="AE1003" s="18"/>
    </row>
    <row r="1004">
      <c r="A1004" s="5" t="s">
        <v>3507</v>
      </c>
      <c r="B1004" s="8" t="s">
        <v>3515</v>
      </c>
      <c r="C1004" s="21" t="s">
        <v>1116</v>
      </c>
      <c r="D1004" s="21" t="s">
        <v>523</v>
      </c>
      <c r="E1004" s="53">
        <v>2424.0</v>
      </c>
      <c r="F1004" s="30">
        <v>2616.0</v>
      </c>
      <c r="G1004" s="418"/>
      <c r="H1004" s="18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17"/>
      <c r="Z1004" s="6"/>
      <c r="AA1004" s="18"/>
      <c r="AB1004" s="33"/>
      <c r="AC1004" s="34"/>
      <c r="AD1004" s="18"/>
      <c r="AE1004" s="18"/>
    </row>
    <row r="1005">
      <c r="A1005" s="5" t="s">
        <v>3507</v>
      </c>
      <c r="B1005" s="8" t="s">
        <v>3515</v>
      </c>
      <c r="C1005" s="21" t="s">
        <v>2151</v>
      </c>
      <c r="D1005" s="21" t="s">
        <v>705</v>
      </c>
      <c r="E1005" s="53">
        <v>2098.0</v>
      </c>
      <c r="F1005" s="30">
        <v>2266.0</v>
      </c>
      <c r="G1005" s="418"/>
      <c r="H1005" s="18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17"/>
      <c r="Z1005" s="6"/>
      <c r="AA1005" s="18"/>
      <c r="AB1005" s="33"/>
      <c r="AC1005" s="34"/>
      <c r="AD1005" s="18"/>
      <c r="AE1005" s="18"/>
    </row>
    <row r="1006">
      <c r="A1006" s="5" t="s">
        <v>3507</v>
      </c>
      <c r="B1006" s="8" t="s">
        <v>3515</v>
      </c>
      <c r="C1006" s="21" t="s">
        <v>2152</v>
      </c>
      <c r="D1006" s="21" t="s">
        <v>395</v>
      </c>
      <c r="E1006" s="53">
        <v>374.0</v>
      </c>
      <c r="F1006" s="30">
        <v>402.0</v>
      </c>
      <c r="G1006" s="418"/>
      <c r="H1006" s="18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17"/>
      <c r="Z1006" s="6"/>
      <c r="AA1006" s="18"/>
      <c r="AB1006" s="33"/>
      <c r="AC1006" s="34"/>
      <c r="AD1006" s="18"/>
      <c r="AE1006" s="18"/>
    </row>
    <row r="1007">
      <c r="A1007" s="5" t="s">
        <v>3507</v>
      </c>
      <c r="B1007" s="8" t="s">
        <v>3515</v>
      </c>
      <c r="C1007" s="21" t="s">
        <v>2153</v>
      </c>
      <c r="D1007" s="21" t="s">
        <v>359</v>
      </c>
      <c r="E1007" s="53">
        <v>724.0</v>
      </c>
      <c r="F1007" s="30">
        <v>782.0</v>
      </c>
      <c r="G1007" s="418"/>
      <c r="H1007" s="18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17"/>
      <c r="Z1007" s="6"/>
      <c r="AA1007" s="18"/>
      <c r="AB1007" s="33"/>
      <c r="AC1007" s="34"/>
      <c r="AD1007" s="18"/>
      <c r="AE1007" s="18"/>
    </row>
    <row r="1008">
      <c r="A1008" s="5" t="s">
        <v>3507</v>
      </c>
      <c r="B1008" s="8" t="s">
        <v>3515</v>
      </c>
      <c r="C1008" s="21" t="s">
        <v>2154</v>
      </c>
      <c r="D1008" s="21" t="s">
        <v>1137</v>
      </c>
      <c r="E1008" s="53">
        <v>724.0</v>
      </c>
      <c r="F1008" s="30">
        <v>782.0</v>
      </c>
      <c r="G1008" s="418"/>
      <c r="H1008" s="18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17"/>
      <c r="Z1008" s="6"/>
      <c r="AA1008" s="18"/>
      <c r="AB1008" s="33"/>
      <c r="AC1008" s="34"/>
      <c r="AD1008" s="18"/>
      <c r="AE1008" s="18"/>
    </row>
    <row r="1009">
      <c r="A1009" s="5" t="s">
        <v>3507</v>
      </c>
      <c r="B1009" s="8" t="s">
        <v>3515</v>
      </c>
      <c r="C1009" s="21" t="s">
        <v>2155</v>
      </c>
      <c r="D1009" s="21" t="s">
        <v>1145</v>
      </c>
      <c r="E1009" s="53">
        <v>1884.0</v>
      </c>
      <c r="F1009" s="30">
        <v>2034.0</v>
      </c>
      <c r="G1009" s="418"/>
      <c r="H1009" s="18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17"/>
      <c r="Z1009" s="6"/>
      <c r="AA1009" s="18"/>
      <c r="AB1009" s="33"/>
      <c r="AC1009" s="34"/>
      <c r="AD1009" s="18"/>
      <c r="AE1009" s="18"/>
    </row>
    <row r="1010">
      <c r="A1010" s="5" t="s">
        <v>3507</v>
      </c>
      <c r="B1010" s="8" t="s">
        <v>3516</v>
      </c>
      <c r="C1010" s="21" t="str">
        <f t="array" ref="C1010:F1025">'COLOUR WISE'!B142:E157</f>
        <v>123-UR</v>
      </c>
      <c r="D1010" s="21" t="s">
        <v>306</v>
      </c>
      <c r="E1010" s="53">
        <v>419.5056</v>
      </c>
      <c r="F1010" s="30">
        <v>452.0</v>
      </c>
      <c r="G1010" s="418"/>
      <c r="H1010" s="18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17"/>
      <c r="Z1010" s="6"/>
      <c r="AA1010" s="18"/>
      <c r="AB1010" s="33"/>
      <c r="AC1010" s="34"/>
      <c r="AD1010" s="18"/>
      <c r="AE1010" s="18"/>
    </row>
    <row r="1011">
      <c r="A1011" s="5" t="s">
        <v>3507</v>
      </c>
      <c r="B1011" s="8" t="s">
        <v>3516</v>
      </c>
      <c r="C1011" s="21" t="s">
        <v>2157</v>
      </c>
      <c r="D1011" s="21" t="s">
        <v>339</v>
      </c>
      <c r="E1011" s="53">
        <v>516.0</v>
      </c>
      <c r="F1011" s="30">
        <v>558.0</v>
      </c>
      <c r="G1011" s="418"/>
      <c r="H1011" s="18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17"/>
      <c r="Z1011" s="6"/>
      <c r="AA1011" s="18"/>
      <c r="AB1011" s="33"/>
      <c r="AC1011" s="34"/>
      <c r="AD1011" s="18"/>
      <c r="AE1011" s="18"/>
    </row>
    <row r="1012">
      <c r="A1012" s="5" t="s">
        <v>3507</v>
      </c>
      <c r="B1012" s="8" t="s">
        <v>3516</v>
      </c>
      <c r="C1012" s="21" t="s">
        <v>2158</v>
      </c>
      <c r="D1012" s="21" t="s">
        <v>363</v>
      </c>
      <c r="E1012" s="53">
        <v>447.530304</v>
      </c>
      <c r="F1012" s="30">
        <v>484.0</v>
      </c>
      <c r="G1012" s="418"/>
      <c r="H1012" s="18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17"/>
      <c r="Z1012" s="6"/>
      <c r="AA1012" s="18"/>
      <c r="AB1012" s="33"/>
      <c r="AC1012" s="34"/>
      <c r="AD1012" s="18"/>
      <c r="AE1012" s="18"/>
    </row>
    <row r="1013">
      <c r="A1013" s="5" t="s">
        <v>3507</v>
      </c>
      <c r="B1013" s="8" t="s">
        <v>3516</v>
      </c>
      <c r="C1013" s="21" t="s">
        <v>2159</v>
      </c>
      <c r="D1013" s="21" t="s">
        <v>666</v>
      </c>
      <c r="E1013" s="53">
        <v>775.9200000000001</v>
      </c>
      <c r="F1013" s="30">
        <v>842.0</v>
      </c>
      <c r="G1013" s="418"/>
      <c r="H1013" s="18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17"/>
      <c r="Z1013" s="6"/>
      <c r="AA1013" s="18"/>
      <c r="AB1013" s="33"/>
      <c r="AC1013" s="34"/>
      <c r="AD1013" s="18"/>
      <c r="AE1013" s="18"/>
    </row>
    <row r="1014">
      <c r="A1014" s="5" t="s">
        <v>3507</v>
      </c>
      <c r="B1014" s="8" t="s">
        <v>3516</v>
      </c>
      <c r="C1014" s="21" t="s">
        <v>2160</v>
      </c>
      <c r="D1014" s="21" t="s">
        <v>682</v>
      </c>
      <c r="E1014" s="53">
        <v>527.6256</v>
      </c>
      <c r="F1014" s="30">
        <v>572.0</v>
      </c>
      <c r="G1014" s="418"/>
      <c r="H1014" s="18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17"/>
      <c r="Z1014" s="6"/>
      <c r="AA1014" s="18"/>
      <c r="AB1014" s="33"/>
      <c r="AC1014" s="34"/>
      <c r="AD1014" s="18"/>
      <c r="AE1014" s="18"/>
    </row>
    <row r="1015">
      <c r="A1015" s="5" t="s">
        <v>3507</v>
      </c>
      <c r="B1015" s="8" t="s">
        <v>3516</v>
      </c>
      <c r="C1015" s="21" t="s">
        <v>2161</v>
      </c>
      <c r="D1015" s="21" t="s">
        <v>692</v>
      </c>
      <c r="E1015" s="53">
        <v>832.0</v>
      </c>
      <c r="F1015" s="30">
        <v>898.0</v>
      </c>
      <c r="G1015" s="418"/>
      <c r="H1015" s="18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17"/>
      <c r="Z1015" s="6"/>
      <c r="AA1015" s="18"/>
      <c r="AB1015" s="33"/>
      <c r="AC1015" s="34"/>
      <c r="AD1015" s="18"/>
      <c r="AE1015" s="18"/>
    </row>
    <row r="1016">
      <c r="A1016" s="5" t="s">
        <v>3507</v>
      </c>
      <c r="B1016" s="8" t="s">
        <v>3516</v>
      </c>
      <c r="C1016" s="21" t="s">
        <v>2162</v>
      </c>
      <c r="D1016" s="21" t="s">
        <v>1944</v>
      </c>
      <c r="E1016" s="53">
        <v>784.0</v>
      </c>
      <c r="F1016" s="30">
        <v>846.0</v>
      </c>
      <c r="G1016" s="418"/>
      <c r="H1016" s="18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17"/>
      <c r="Z1016" s="6"/>
      <c r="AA1016" s="18"/>
      <c r="AB1016" s="33"/>
      <c r="AC1016" s="34"/>
      <c r="AD1016" s="18"/>
      <c r="AE1016" s="18"/>
    </row>
    <row r="1017">
      <c r="A1017" s="5" t="s">
        <v>3507</v>
      </c>
      <c r="B1017" s="8" t="s">
        <v>3516</v>
      </c>
      <c r="C1017" s="21" t="s">
        <v>2163</v>
      </c>
      <c r="D1017" s="21" t="s">
        <v>2133</v>
      </c>
      <c r="E1017" s="53">
        <v>832.0</v>
      </c>
      <c r="F1017" s="30">
        <v>898.0</v>
      </c>
      <c r="G1017" s="418"/>
      <c r="H1017" s="18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17"/>
      <c r="Z1017" s="6"/>
      <c r="AA1017" s="18"/>
      <c r="AB1017" s="33"/>
      <c r="AC1017" s="34"/>
      <c r="AD1017" s="18"/>
      <c r="AE1017" s="18"/>
    </row>
    <row r="1018">
      <c r="A1018" s="5" t="s">
        <v>3507</v>
      </c>
      <c r="B1018" s="8" t="s">
        <v>3516</v>
      </c>
      <c r="C1018" s="21" t="s">
        <v>2164</v>
      </c>
      <c r="D1018" s="21" t="s">
        <v>913</v>
      </c>
      <c r="E1018" s="53">
        <v>1729.92</v>
      </c>
      <c r="F1018" s="30">
        <v>1872.0</v>
      </c>
      <c r="G1018" s="418"/>
      <c r="H1018" s="18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17"/>
      <c r="Z1018" s="6"/>
      <c r="AA1018" s="18"/>
      <c r="AB1018" s="33"/>
      <c r="AC1018" s="34"/>
      <c r="AD1018" s="18"/>
      <c r="AE1018" s="18"/>
    </row>
    <row r="1019">
      <c r="A1019" s="5" t="s">
        <v>3507</v>
      </c>
      <c r="B1019" s="8" t="s">
        <v>3516</v>
      </c>
      <c r="C1019" s="21" t="s">
        <v>2165</v>
      </c>
      <c r="D1019" s="21" t="s">
        <v>1949</v>
      </c>
      <c r="E1019" s="53">
        <v>1666.3200000000002</v>
      </c>
      <c r="F1019" s="30">
        <v>1798.0</v>
      </c>
      <c r="G1019" s="418"/>
      <c r="H1019" s="18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17"/>
      <c r="Z1019" s="6"/>
      <c r="AA1019" s="18"/>
      <c r="AB1019" s="33"/>
      <c r="AC1019" s="34"/>
      <c r="AD1019" s="18"/>
      <c r="AE1019" s="18"/>
    </row>
    <row r="1020">
      <c r="A1020" s="5" t="s">
        <v>3507</v>
      </c>
      <c r="B1020" s="8" t="s">
        <v>3516</v>
      </c>
      <c r="C1020" s="21" t="s">
        <v>1121</v>
      </c>
      <c r="D1020" s="21" t="s">
        <v>523</v>
      </c>
      <c r="E1020" s="53">
        <v>2424.0</v>
      </c>
      <c r="F1020" s="30">
        <v>2616.0</v>
      </c>
      <c r="G1020" s="418"/>
      <c r="H1020" s="18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17"/>
      <c r="Z1020" s="6"/>
      <c r="AA1020" s="18"/>
      <c r="AB1020" s="33"/>
      <c r="AC1020" s="34"/>
      <c r="AD1020" s="18"/>
      <c r="AE1020" s="18"/>
    </row>
    <row r="1021">
      <c r="A1021" s="5" t="s">
        <v>3507</v>
      </c>
      <c r="B1021" s="8" t="s">
        <v>3516</v>
      </c>
      <c r="C1021" s="21" t="s">
        <v>2166</v>
      </c>
      <c r="D1021" s="21" t="s">
        <v>705</v>
      </c>
      <c r="E1021" s="53">
        <v>2098.0</v>
      </c>
      <c r="F1021" s="30">
        <v>2266.0</v>
      </c>
      <c r="G1021" s="418"/>
      <c r="H1021" s="18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17"/>
      <c r="Z1021" s="6"/>
      <c r="AA1021" s="18"/>
      <c r="AB1021" s="33"/>
      <c r="AC1021" s="34"/>
      <c r="AD1021" s="18"/>
      <c r="AE1021" s="18"/>
    </row>
    <row r="1022">
      <c r="A1022" s="5" t="s">
        <v>3507</v>
      </c>
      <c r="B1022" s="8" t="s">
        <v>3516</v>
      </c>
      <c r="C1022" s="21" t="s">
        <v>2167</v>
      </c>
      <c r="D1022" s="21" t="s">
        <v>395</v>
      </c>
      <c r="E1022" s="53">
        <v>374.0</v>
      </c>
      <c r="F1022" s="30">
        <v>402.0</v>
      </c>
      <c r="G1022" s="418"/>
      <c r="H1022" s="18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17"/>
      <c r="Z1022" s="6"/>
      <c r="AA1022" s="18"/>
      <c r="AB1022" s="33"/>
      <c r="AC1022" s="34"/>
      <c r="AD1022" s="18"/>
      <c r="AE1022" s="18"/>
    </row>
    <row r="1023">
      <c r="A1023" s="5" t="s">
        <v>3507</v>
      </c>
      <c r="B1023" s="8" t="s">
        <v>3516</v>
      </c>
      <c r="C1023" s="21" t="s">
        <v>2168</v>
      </c>
      <c r="D1023" s="21" t="s">
        <v>359</v>
      </c>
      <c r="E1023" s="53">
        <v>724.0</v>
      </c>
      <c r="F1023" s="30">
        <v>782.0</v>
      </c>
      <c r="G1023" s="418"/>
      <c r="H1023" s="18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17"/>
      <c r="Z1023" s="6"/>
      <c r="AA1023" s="18"/>
      <c r="AB1023" s="33"/>
      <c r="AC1023" s="34"/>
      <c r="AD1023" s="18"/>
      <c r="AE1023" s="18"/>
    </row>
    <row r="1024">
      <c r="A1024" s="5" t="s">
        <v>3507</v>
      </c>
      <c r="B1024" s="8" t="s">
        <v>3516</v>
      </c>
      <c r="C1024" s="21" t="s">
        <v>2169</v>
      </c>
      <c r="D1024" s="21" t="s">
        <v>1137</v>
      </c>
      <c r="E1024" s="53">
        <v>724.0</v>
      </c>
      <c r="F1024" s="30">
        <v>782.0</v>
      </c>
      <c r="G1024" s="418"/>
      <c r="H1024" s="18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17"/>
      <c r="Z1024" s="6"/>
      <c r="AA1024" s="18"/>
      <c r="AB1024" s="33"/>
      <c r="AC1024" s="34"/>
      <c r="AD1024" s="18"/>
      <c r="AE1024" s="18"/>
    </row>
    <row r="1025">
      <c r="A1025" s="5" t="s">
        <v>3507</v>
      </c>
      <c r="B1025" s="8" t="s">
        <v>3516</v>
      </c>
      <c r="C1025" s="21" t="s">
        <v>2170</v>
      </c>
      <c r="D1025" s="21" t="s">
        <v>1145</v>
      </c>
      <c r="E1025" s="53">
        <v>1884.0</v>
      </c>
      <c r="F1025" s="30">
        <v>2034.0</v>
      </c>
      <c r="G1025" s="418"/>
      <c r="H1025" s="18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17"/>
      <c r="Z1025" s="6"/>
      <c r="AA1025" s="18"/>
      <c r="AB1025" s="33"/>
      <c r="AC1025" s="34"/>
      <c r="AD1025" s="18"/>
      <c r="AE1025" s="18"/>
    </row>
    <row r="1026">
      <c r="A1026" s="5" t="s">
        <v>3507</v>
      </c>
      <c r="B1026" s="8" t="s">
        <v>3517</v>
      </c>
      <c r="C1026" s="21" t="str">
        <f t="array" ref="C1026:F1041">'COLOUR WISE'!B160:E175</f>
        <v>123-UP</v>
      </c>
      <c r="D1026" s="21" t="s">
        <v>306</v>
      </c>
      <c r="E1026" s="53">
        <v>419.5056</v>
      </c>
      <c r="F1026" s="30">
        <v>452.0</v>
      </c>
      <c r="G1026" s="418"/>
      <c r="H1026" s="18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17"/>
      <c r="Z1026" s="6"/>
      <c r="AA1026" s="18"/>
      <c r="AB1026" s="33"/>
      <c r="AC1026" s="34"/>
      <c r="AD1026" s="18"/>
      <c r="AE1026" s="18"/>
    </row>
    <row r="1027">
      <c r="A1027" s="5" t="s">
        <v>3507</v>
      </c>
      <c r="B1027" s="8" t="s">
        <v>3517</v>
      </c>
      <c r="C1027" s="21" t="s">
        <v>2172</v>
      </c>
      <c r="D1027" s="21" t="s">
        <v>339</v>
      </c>
      <c r="E1027" s="53">
        <v>516.0</v>
      </c>
      <c r="F1027" s="30">
        <v>558.0</v>
      </c>
      <c r="G1027" s="418"/>
      <c r="H1027" s="18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17"/>
      <c r="Z1027" s="6"/>
      <c r="AA1027" s="18"/>
      <c r="AB1027" s="33"/>
      <c r="AC1027" s="34"/>
      <c r="AD1027" s="18"/>
      <c r="AE1027" s="18"/>
    </row>
    <row r="1028">
      <c r="A1028" s="5" t="s">
        <v>3507</v>
      </c>
      <c r="B1028" s="8" t="s">
        <v>3517</v>
      </c>
      <c r="C1028" s="21" t="s">
        <v>2173</v>
      </c>
      <c r="D1028" s="21" t="s">
        <v>363</v>
      </c>
      <c r="E1028" s="53">
        <v>447.530304</v>
      </c>
      <c r="F1028" s="30">
        <v>484.0</v>
      </c>
      <c r="G1028" s="418"/>
      <c r="H1028" s="18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17"/>
      <c r="Z1028" s="6"/>
      <c r="AA1028" s="18"/>
      <c r="AB1028" s="33"/>
      <c r="AC1028" s="34"/>
      <c r="AD1028" s="18"/>
      <c r="AE1028" s="18"/>
    </row>
    <row r="1029">
      <c r="A1029" s="5" t="s">
        <v>3507</v>
      </c>
      <c r="B1029" s="8" t="s">
        <v>3517</v>
      </c>
      <c r="C1029" s="21" t="s">
        <v>2174</v>
      </c>
      <c r="D1029" s="21" t="s">
        <v>666</v>
      </c>
      <c r="E1029" s="53">
        <v>775.9200000000001</v>
      </c>
      <c r="F1029" s="30">
        <v>842.0</v>
      </c>
      <c r="G1029" s="418"/>
      <c r="H1029" s="18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17"/>
      <c r="Z1029" s="6"/>
      <c r="AA1029" s="18"/>
      <c r="AB1029" s="33"/>
      <c r="AC1029" s="34"/>
      <c r="AD1029" s="18"/>
      <c r="AE1029" s="18"/>
    </row>
    <row r="1030">
      <c r="A1030" s="5" t="s">
        <v>3507</v>
      </c>
      <c r="B1030" s="8" t="s">
        <v>3517</v>
      </c>
      <c r="C1030" s="21" t="s">
        <v>2175</v>
      </c>
      <c r="D1030" s="21" t="s">
        <v>682</v>
      </c>
      <c r="E1030" s="53">
        <v>527.6256</v>
      </c>
      <c r="F1030" s="30">
        <v>572.0</v>
      </c>
      <c r="G1030" s="418"/>
      <c r="H1030" s="18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17"/>
      <c r="Z1030" s="6"/>
      <c r="AA1030" s="18"/>
      <c r="AB1030" s="33"/>
      <c r="AC1030" s="34"/>
      <c r="AD1030" s="18"/>
      <c r="AE1030" s="18"/>
    </row>
    <row r="1031">
      <c r="A1031" s="5" t="s">
        <v>3507</v>
      </c>
      <c r="B1031" s="8" t="s">
        <v>3517</v>
      </c>
      <c r="C1031" s="21" t="s">
        <v>2176</v>
      </c>
      <c r="D1031" s="21" t="s">
        <v>692</v>
      </c>
      <c r="E1031" s="53">
        <v>832.0</v>
      </c>
      <c r="F1031" s="30">
        <v>898.0</v>
      </c>
      <c r="G1031" s="418"/>
      <c r="H1031" s="18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17"/>
      <c r="Z1031" s="6"/>
      <c r="AA1031" s="18"/>
      <c r="AB1031" s="33"/>
      <c r="AC1031" s="34"/>
      <c r="AD1031" s="18"/>
      <c r="AE1031" s="18"/>
    </row>
    <row r="1032">
      <c r="A1032" s="5" t="s">
        <v>3507</v>
      </c>
      <c r="B1032" s="8" t="s">
        <v>3517</v>
      </c>
      <c r="C1032" s="21" t="s">
        <v>2177</v>
      </c>
      <c r="D1032" s="21" t="s">
        <v>1944</v>
      </c>
      <c r="E1032" s="53">
        <v>784.0</v>
      </c>
      <c r="F1032" s="30">
        <v>846.0</v>
      </c>
      <c r="G1032" s="418"/>
      <c r="H1032" s="18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17"/>
      <c r="Z1032" s="6"/>
      <c r="AA1032" s="18"/>
      <c r="AB1032" s="33"/>
      <c r="AC1032" s="34"/>
      <c r="AD1032" s="18"/>
      <c r="AE1032" s="18"/>
    </row>
    <row r="1033">
      <c r="A1033" s="5" t="s">
        <v>3507</v>
      </c>
      <c r="B1033" s="8" t="s">
        <v>3517</v>
      </c>
      <c r="C1033" s="21" t="s">
        <v>2178</v>
      </c>
      <c r="D1033" s="21" t="s">
        <v>2133</v>
      </c>
      <c r="E1033" s="53">
        <v>832.0</v>
      </c>
      <c r="F1033" s="30">
        <v>898.0</v>
      </c>
      <c r="G1033" s="418"/>
      <c r="H1033" s="18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17"/>
      <c r="Z1033" s="6"/>
      <c r="AA1033" s="18"/>
      <c r="AB1033" s="33"/>
      <c r="AC1033" s="34"/>
      <c r="AD1033" s="18"/>
      <c r="AE1033" s="18"/>
    </row>
    <row r="1034">
      <c r="A1034" s="5" t="s">
        <v>3507</v>
      </c>
      <c r="B1034" s="8" t="s">
        <v>3517</v>
      </c>
      <c r="C1034" s="21" t="s">
        <v>2179</v>
      </c>
      <c r="D1034" s="21" t="s">
        <v>913</v>
      </c>
      <c r="E1034" s="53">
        <v>1729.92</v>
      </c>
      <c r="F1034" s="30">
        <v>1872.0</v>
      </c>
      <c r="G1034" s="418"/>
      <c r="H1034" s="18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17"/>
      <c r="Z1034" s="6"/>
      <c r="AA1034" s="18"/>
      <c r="AB1034" s="33"/>
      <c r="AC1034" s="34"/>
      <c r="AD1034" s="18"/>
      <c r="AE1034" s="18"/>
    </row>
    <row r="1035">
      <c r="A1035" s="5" t="s">
        <v>3507</v>
      </c>
      <c r="B1035" s="8" t="s">
        <v>3517</v>
      </c>
      <c r="C1035" s="21" t="s">
        <v>2180</v>
      </c>
      <c r="D1035" s="21" t="s">
        <v>1949</v>
      </c>
      <c r="E1035" s="53">
        <v>1666.3200000000002</v>
      </c>
      <c r="F1035" s="30">
        <v>1798.0</v>
      </c>
      <c r="G1035" s="418"/>
      <c r="H1035" s="18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17"/>
      <c r="Z1035" s="6"/>
      <c r="AA1035" s="18"/>
      <c r="AB1035" s="33"/>
      <c r="AC1035" s="34"/>
      <c r="AD1035" s="18"/>
      <c r="AE1035" s="18"/>
    </row>
    <row r="1036">
      <c r="A1036" s="5" t="s">
        <v>3507</v>
      </c>
      <c r="B1036" s="8" t="s">
        <v>3517</v>
      </c>
      <c r="C1036" s="21" t="s">
        <v>1126</v>
      </c>
      <c r="D1036" s="21" t="s">
        <v>523</v>
      </c>
      <c r="E1036" s="53">
        <v>2424.0</v>
      </c>
      <c r="F1036" s="30">
        <v>2616.0</v>
      </c>
      <c r="G1036" s="418"/>
      <c r="H1036" s="18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17"/>
      <c r="Z1036" s="6"/>
      <c r="AA1036" s="18"/>
      <c r="AB1036" s="33"/>
      <c r="AC1036" s="34"/>
      <c r="AD1036" s="18"/>
      <c r="AE1036" s="18"/>
    </row>
    <row r="1037">
      <c r="A1037" s="5" t="s">
        <v>3507</v>
      </c>
      <c r="B1037" s="8" t="s">
        <v>3517</v>
      </c>
      <c r="C1037" s="21" t="s">
        <v>2181</v>
      </c>
      <c r="D1037" s="21" t="s">
        <v>705</v>
      </c>
      <c r="E1037" s="53">
        <v>2098.0</v>
      </c>
      <c r="F1037" s="30">
        <v>2266.0</v>
      </c>
      <c r="G1037" s="418"/>
      <c r="H1037" s="18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17"/>
      <c r="Z1037" s="6"/>
      <c r="AA1037" s="18"/>
      <c r="AB1037" s="33"/>
      <c r="AC1037" s="34"/>
      <c r="AD1037" s="18"/>
      <c r="AE1037" s="18"/>
    </row>
    <row r="1038">
      <c r="A1038" s="5" t="s">
        <v>3507</v>
      </c>
      <c r="B1038" s="8" t="s">
        <v>3517</v>
      </c>
      <c r="C1038" s="21" t="s">
        <v>2182</v>
      </c>
      <c r="D1038" s="21" t="s">
        <v>395</v>
      </c>
      <c r="E1038" s="53">
        <v>374.0</v>
      </c>
      <c r="F1038" s="30">
        <v>402.0</v>
      </c>
      <c r="G1038" s="418"/>
      <c r="H1038" s="18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17"/>
      <c r="Z1038" s="6"/>
      <c r="AA1038" s="18"/>
      <c r="AB1038" s="33"/>
      <c r="AC1038" s="34"/>
      <c r="AD1038" s="18"/>
      <c r="AE1038" s="18"/>
    </row>
    <row r="1039">
      <c r="A1039" s="5" t="s">
        <v>3507</v>
      </c>
      <c r="B1039" s="8" t="s">
        <v>3517</v>
      </c>
      <c r="C1039" s="21" t="s">
        <v>2183</v>
      </c>
      <c r="D1039" s="21" t="s">
        <v>359</v>
      </c>
      <c r="E1039" s="53">
        <v>724.0</v>
      </c>
      <c r="F1039" s="30">
        <v>782.0</v>
      </c>
      <c r="G1039" s="418"/>
      <c r="H1039" s="18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17"/>
      <c r="Z1039" s="6"/>
      <c r="AA1039" s="18"/>
      <c r="AB1039" s="33"/>
      <c r="AC1039" s="34"/>
      <c r="AD1039" s="18"/>
      <c r="AE1039" s="18"/>
    </row>
    <row r="1040">
      <c r="A1040" s="5" t="s">
        <v>3507</v>
      </c>
      <c r="B1040" s="8" t="s">
        <v>3517</v>
      </c>
      <c r="C1040" s="21" t="s">
        <v>2184</v>
      </c>
      <c r="D1040" s="21" t="s">
        <v>1137</v>
      </c>
      <c r="E1040" s="53">
        <v>724.0</v>
      </c>
      <c r="F1040" s="30">
        <v>782.0</v>
      </c>
      <c r="G1040" s="418"/>
      <c r="H1040" s="18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17"/>
      <c r="Z1040" s="6"/>
      <c r="AA1040" s="18"/>
      <c r="AB1040" s="33"/>
      <c r="AC1040" s="34"/>
      <c r="AD1040" s="18"/>
      <c r="AE1040" s="18"/>
    </row>
    <row r="1041">
      <c r="A1041" s="5" t="s">
        <v>3507</v>
      </c>
      <c r="B1041" s="8" t="s">
        <v>3517</v>
      </c>
      <c r="C1041" s="21" t="s">
        <v>2185</v>
      </c>
      <c r="D1041" s="21" t="s">
        <v>1145</v>
      </c>
      <c r="E1041" s="53">
        <v>1884.0</v>
      </c>
      <c r="F1041" s="30">
        <v>2034.0</v>
      </c>
      <c r="G1041" s="418"/>
      <c r="H1041" s="18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17"/>
      <c r="Z1041" s="6"/>
      <c r="AA1041" s="18"/>
      <c r="AB1041" s="33"/>
      <c r="AC1041" s="34"/>
      <c r="AD1041" s="18"/>
      <c r="AE1041" s="18"/>
    </row>
    <row r="1042">
      <c r="A1042" s="5" t="s">
        <v>3507</v>
      </c>
      <c r="B1042" s="8" t="s">
        <v>3518</v>
      </c>
      <c r="C1042" s="21" t="str">
        <f t="array" ref="C1042:F1057">'COLOUR WISE'!B178:E193</f>
        <v>123-UB</v>
      </c>
      <c r="D1042" s="21" t="s">
        <v>306</v>
      </c>
      <c r="E1042" s="53">
        <v>419.5056</v>
      </c>
      <c r="F1042" s="30">
        <v>452.0</v>
      </c>
      <c r="G1042" s="418"/>
      <c r="H1042" s="18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17"/>
      <c r="Z1042" s="6"/>
      <c r="AA1042" s="18"/>
      <c r="AB1042" s="33"/>
      <c r="AC1042" s="34"/>
      <c r="AD1042" s="18"/>
      <c r="AE1042" s="18"/>
    </row>
    <row r="1043">
      <c r="A1043" s="5" t="s">
        <v>3507</v>
      </c>
      <c r="B1043" s="8" t="s">
        <v>3518</v>
      </c>
      <c r="C1043" s="21" t="s">
        <v>2187</v>
      </c>
      <c r="D1043" s="21" t="s">
        <v>339</v>
      </c>
      <c r="E1043" s="53">
        <v>516.0</v>
      </c>
      <c r="F1043" s="30">
        <v>558.0</v>
      </c>
      <c r="G1043" s="418"/>
      <c r="H1043" s="18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17"/>
      <c r="Z1043" s="6"/>
      <c r="AA1043" s="18"/>
      <c r="AB1043" s="33"/>
      <c r="AC1043" s="34"/>
      <c r="AD1043" s="18"/>
      <c r="AE1043" s="18"/>
    </row>
    <row r="1044">
      <c r="A1044" s="5" t="s">
        <v>3507</v>
      </c>
      <c r="B1044" s="8" t="s">
        <v>3518</v>
      </c>
      <c r="C1044" s="21" t="s">
        <v>2188</v>
      </c>
      <c r="D1044" s="21" t="s">
        <v>363</v>
      </c>
      <c r="E1044" s="53">
        <v>447.530304</v>
      </c>
      <c r="F1044" s="30">
        <v>484.0</v>
      </c>
      <c r="G1044" s="418"/>
      <c r="H1044" s="18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17"/>
      <c r="Z1044" s="6"/>
      <c r="AA1044" s="18"/>
      <c r="AB1044" s="33"/>
      <c r="AC1044" s="34"/>
      <c r="AD1044" s="18"/>
      <c r="AE1044" s="18"/>
    </row>
    <row r="1045">
      <c r="A1045" s="5" t="s">
        <v>3507</v>
      </c>
      <c r="B1045" s="8" t="s">
        <v>3518</v>
      </c>
      <c r="C1045" s="21" t="s">
        <v>2189</v>
      </c>
      <c r="D1045" s="21" t="s">
        <v>666</v>
      </c>
      <c r="E1045" s="53">
        <v>775.9200000000001</v>
      </c>
      <c r="F1045" s="30">
        <v>842.0</v>
      </c>
      <c r="G1045" s="418"/>
      <c r="H1045" s="18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17"/>
      <c r="Z1045" s="6"/>
      <c r="AA1045" s="18"/>
      <c r="AB1045" s="33"/>
      <c r="AC1045" s="34"/>
      <c r="AD1045" s="18"/>
      <c r="AE1045" s="18"/>
    </row>
    <row r="1046">
      <c r="A1046" s="5" t="s">
        <v>3507</v>
      </c>
      <c r="B1046" s="8" t="s">
        <v>3518</v>
      </c>
      <c r="C1046" s="21" t="s">
        <v>2190</v>
      </c>
      <c r="D1046" s="21" t="s">
        <v>682</v>
      </c>
      <c r="E1046" s="53">
        <v>527.6256</v>
      </c>
      <c r="F1046" s="30">
        <v>572.0</v>
      </c>
      <c r="G1046" s="418"/>
      <c r="H1046" s="18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17"/>
      <c r="Z1046" s="6"/>
      <c r="AA1046" s="18"/>
      <c r="AB1046" s="33"/>
      <c r="AC1046" s="34"/>
      <c r="AD1046" s="18"/>
      <c r="AE1046" s="18"/>
    </row>
    <row r="1047">
      <c r="A1047" s="5" t="s">
        <v>3507</v>
      </c>
      <c r="B1047" s="8" t="s">
        <v>3518</v>
      </c>
      <c r="C1047" s="21" t="s">
        <v>2191</v>
      </c>
      <c r="D1047" s="21" t="s">
        <v>692</v>
      </c>
      <c r="E1047" s="53">
        <v>832.0</v>
      </c>
      <c r="F1047" s="30">
        <v>898.0</v>
      </c>
      <c r="G1047" s="418"/>
      <c r="H1047" s="18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17"/>
      <c r="Z1047" s="6"/>
      <c r="AA1047" s="18"/>
      <c r="AB1047" s="33"/>
      <c r="AC1047" s="34"/>
      <c r="AD1047" s="18"/>
      <c r="AE1047" s="18"/>
    </row>
    <row r="1048">
      <c r="A1048" s="5" t="s">
        <v>3507</v>
      </c>
      <c r="B1048" s="8" t="s">
        <v>3518</v>
      </c>
      <c r="C1048" s="21" t="s">
        <v>2192</v>
      </c>
      <c r="D1048" s="21" t="s">
        <v>1944</v>
      </c>
      <c r="E1048" s="53">
        <v>784.0</v>
      </c>
      <c r="F1048" s="30">
        <v>846.0</v>
      </c>
      <c r="G1048" s="418"/>
      <c r="H1048" s="18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17"/>
      <c r="Z1048" s="6"/>
      <c r="AA1048" s="18"/>
      <c r="AB1048" s="33"/>
      <c r="AC1048" s="34"/>
      <c r="AD1048" s="18"/>
      <c r="AE1048" s="18"/>
    </row>
    <row r="1049">
      <c r="A1049" s="5" t="s">
        <v>3507</v>
      </c>
      <c r="B1049" s="8" t="s">
        <v>3518</v>
      </c>
      <c r="C1049" s="21" t="s">
        <v>2193</v>
      </c>
      <c r="D1049" s="21" t="s">
        <v>2133</v>
      </c>
      <c r="E1049" s="53">
        <v>832.0</v>
      </c>
      <c r="F1049" s="30">
        <v>898.0</v>
      </c>
      <c r="G1049" s="418"/>
      <c r="H1049" s="18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17"/>
      <c r="Z1049" s="6"/>
      <c r="AA1049" s="18"/>
      <c r="AB1049" s="33"/>
      <c r="AC1049" s="34"/>
      <c r="AD1049" s="18"/>
      <c r="AE1049" s="18"/>
    </row>
    <row r="1050">
      <c r="A1050" s="5" t="s">
        <v>3507</v>
      </c>
      <c r="B1050" s="8" t="s">
        <v>3518</v>
      </c>
      <c r="C1050" s="21" t="s">
        <v>2194</v>
      </c>
      <c r="D1050" s="21" t="s">
        <v>913</v>
      </c>
      <c r="E1050" s="53">
        <v>1729.92</v>
      </c>
      <c r="F1050" s="30">
        <v>1872.0</v>
      </c>
      <c r="G1050" s="418"/>
      <c r="H1050" s="18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17"/>
      <c r="Z1050" s="6"/>
      <c r="AA1050" s="18"/>
      <c r="AB1050" s="33"/>
      <c r="AC1050" s="34"/>
      <c r="AD1050" s="18"/>
      <c r="AE1050" s="18"/>
    </row>
    <row r="1051">
      <c r="A1051" s="5" t="s">
        <v>3507</v>
      </c>
      <c r="B1051" s="8" t="s">
        <v>3518</v>
      </c>
      <c r="C1051" s="21" t="s">
        <v>2195</v>
      </c>
      <c r="D1051" s="21" t="s">
        <v>1949</v>
      </c>
      <c r="E1051" s="53">
        <v>1666.3200000000002</v>
      </c>
      <c r="F1051" s="30">
        <v>1798.0</v>
      </c>
      <c r="G1051" s="418"/>
      <c r="H1051" s="18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17"/>
      <c r="Z1051" s="6"/>
      <c r="AA1051" s="18"/>
      <c r="AB1051" s="33"/>
      <c r="AC1051" s="34"/>
      <c r="AD1051" s="18"/>
      <c r="AE1051" s="18"/>
    </row>
    <row r="1052">
      <c r="A1052" s="5" t="s">
        <v>3507</v>
      </c>
      <c r="B1052" s="8" t="s">
        <v>3518</v>
      </c>
      <c r="C1052" s="21" t="s">
        <v>1131</v>
      </c>
      <c r="D1052" s="21" t="s">
        <v>523</v>
      </c>
      <c r="E1052" s="53">
        <v>2424.0</v>
      </c>
      <c r="F1052" s="30">
        <v>2616.0</v>
      </c>
      <c r="G1052" s="418"/>
      <c r="H1052" s="18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17"/>
      <c r="Z1052" s="6"/>
      <c r="AA1052" s="18"/>
      <c r="AB1052" s="33"/>
      <c r="AC1052" s="34"/>
      <c r="AD1052" s="18"/>
      <c r="AE1052" s="18"/>
    </row>
    <row r="1053">
      <c r="A1053" s="5" t="s">
        <v>3507</v>
      </c>
      <c r="B1053" s="8" t="s">
        <v>3518</v>
      </c>
      <c r="C1053" s="21" t="s">
        <v>2196</v>
      </c>
      <c r="D1053" s="21" t="s">
        <v>705</v>
      </c>
      <c r="E1053" s="53">
        <v>2098.0</v>
      </c>
      <c r="F1053" s="30">
        <v>2266.0</v>
      </c>
      <c r="G1053" s="418"/>
      <c r="H1053" s="18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17"/>
      <c r="Z1053" s="6"/>
      <c r="AA1053" s="18"/>
      <c r="AB1053" s="33"/>
      <c r="AC1053" s="34"/>
      <c r="AD1053" s="18"/>
      <c r="AE1053" s="18"/>
    </row>
    <row r="1054">
      <c r="A1054" s="5" t="s">
        <v>3507</v>
      </c>
      <c r="B1054" s="8" t="s">
        <v>3518</v>
      </c>
      <c r="C1054" s="21" t="s">
        <v>2197</v>
      </c>
      <c r="D1054" s="21" t="s">
        <v>395</v>
      </c>
      <c r="E1054" s="53">
        <v>374.0</v>
      </c>
      <c r="F1054" s="30">
        <v>402.0</v>
      </c>
      <c r="G1054" s="418"/>
      <c r="H1054" s="18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17"/>
      <c r="Z1054" s="6"/>
      <c r="AA1054" s="18"/>
      <c r="AB1054" s="33"/>
      <c r="AC1054" s="34"/>
      <c r="AD1054" s="18"/>
      <c r="AE1054" s="18"/>
    </row>
    <row r="1055">
      <c r="A1055" s="5" t="s">
        <v>3507</v>
      </c>
      <c r="B1055" s="8" t="s">
        <v>3518</v>
      </c>
      <c r="C1055" s="21" t="s">
        <v>2198</v>
      </c>
      <c r="D1055" s="21" t="s">
        <v>359</v>
      </c>
      <c r="E1055" s="53">
        <v>724.0</v>
      </c>
      <c r="F1055" s="30">
        <v>782.0</v>
      </c>
      <c r="G1055" s="418"/>
      <c r="H1055" s="18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17"/>
      <c r="Z1055" s="6"/>
      <c r="AA1055" s="18"/>
      <c r="AB1055" s="33"/>
      <c r="AC1055" s="34"/>
      <c r="AD1055" s="18"/>
      <c r="AE1055" s="18"/>
    </row>
    <row r="1056">
      <c r="A1056" s="5" t="s">
        <v>3507</v>
      </c>
      <c r="B1056" s="8" t="s">
        <v>3518</v>
      </c>
      <c r="C1056" s="21" t="s">
        <v>2199</v>
      </c>
      <c r="D1056" s="21" t="s">
        <v>1137</v>
      </c>
      <c r="E1056" s="53">
        <v>724.0</v>
      </c>
      <c r="F1056" s="30">
        <v>782.0</v>
      </c>
      <c r="G1056" s="418"/>
      <c r="H1056" s="18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17"/>
      <c r="Z1056" s="6"/>
      <c r="AA1056" s="18"/>
      <c r="AB1056" s="33"/>
      <c r="AC1056" s="34"/>
      <c r="AD1056" s="18"/>
      <c r="AE1056" s="18"/>
    </row>
    <row r="1057">
      <c r="A1057" s="5" t="s">
        <v>3507</v>
      </c>
      <c r="B1057" s="8" t="s">
        <v>3518</v>
      </c>
      <c r="C1057" s="21" t="s">
        <v>2200</v>
      </c>
      <c r="D1057" s="21" t="s">
        <v>1145</v>
      </c>
      <c r="E1057" s="53">
        <v>1884.0</v>
      </c>
      <c r="F1057" s="30">
        <v>2034.0</v>
      </c>
      <c r="G1057" s="418"/>
      <c r="H1057" s="18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17"/>
      <c r="Z1057" s="6"/>
      <c r="AA1057" s="18"/>
      <c r="AB1057" s="33"/>
      <c r="AC1057" s="34"/>
      <c r="AD1057" s="18"/>
      <c r="AE1057" s="18"/>
    </row>
    <row r="1058">
      <c r="A1058" s="5" t="s">
        <v>3507</v>
      </c>
      <c r="B1058" s="8" t="s">
        <v>3519</v>
      </c>
      <c r="C1058" s="21" t="str">
        <f t="array" ref="C1058:F1075">'COLOUR WISE'!B196:E213</f>
        <v>123-QR</v>
      </c>
      <c r="D1058" s="21" t="s">
        <v>306</v>
      </c>
      <c r="E1058" s="53">
        <v>398.05459200000007</v>
      </c>
      <c r="F1058" s="30">
        <v>432.0</v>
      </c>
      <c r="G1058" s="418"/>
      <c r="H1058" s="18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17"/>
      <c r="Z1058" s="6"/>
      <c r="AA1058" s="18"/>
      <c r="AB1058" s="33"/>
      <c r="AC1058" s="34"/>
      <c r="AD1058" s="18"/>
      <c r="AE1058" s="18"/>
    </row>
    <row r="1059">
      <c r="A1059" s="5" t="s">
        <v>3507</v>
      </c>
      <c r="B1059" s="8" t="s">
        <v>3519</v>
      </c>
      <c r="C1059" s="21" t="s">
        <v>2203</v>
      </c>
      <c r="D1059" s="21" t="s">
        <v>339</v>
      </c>
      <c r="E1059" s="53">
        <v>498.0</v>
      </c>
      <c r="F1059" s="30">
        <v>538.0</v>
      </c>
      <c r="G1059" s="418"/>
      <c r="H1059" s="18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17"/>
      <c r="Z1059" s="6"/>
      <c r="AA1059" s="18"/>
      <c r="AB1059" s="33"/>
      <c r="AC1059" s="34"/>
      <c r="AD1059" s="18"/>
      <c r="AE1059" s="18"/>
    </row>
    <row r="1060">
      <c r="A1060" s="5" t="s">
        <v>3507</v>
      </c>
      <c r="B1060" s="8" t="s">
        <v>3519</v>
      </c>
      <c r="C1060" s="21" t="s">
        <v>2204</v>
      </c>
      <c r="D1060" s="21" t="s">
        <v>363</v>
      </c>
      <c r="E1060" s="53">
        <v>426.12</v>
      </c>
      <c r="F1060" s="30">
        <v>462.0</v>
      </c>
      <c r="G1060" s="418"/>
      <c r="H1060" s="18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17"/>
      <c r="Z1060" s="6"/>
      <c r="AA1060" s="18"/>
      <c r="AB1060" s="33"/>
      <c r="AC1060" s="34"/>
      <c r="AD1060" s="18"/>
      <c r="AE1060" s="18"/>
    </row>
    <row r="1061">
      <c r="A1061" s="5" t="s">
        <v>3507</v>
      </c>
      <c r="B1061" s="8" t="s">
        <v>3519</v>
      </c>
      <c r="C1061" s="21" t="s">
        <v>2205</v>
      </c>
      <c r="D1061" s="21" t="s">
        <v>666</v>
      </c>
      <c r="E1061" s="53">
        <v>750.3528</v>
      </c>
      <c r="F1061" s="30">
        <v>812.0</v>
      </c>
      <c r="G1061" s="418"/>
      <c r="H1061" s="18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17"/>
      <c r="Z1061" s="6"/>
      <c r="AA1061" s="18"/>
      <c r="AB1061" s="33"/>
      <c r="AC1061" s="34"/>
      <c r="AD1061" s="18"/>
      <c r="AE1061" s="18"/>
    </row>
    <row r="1062">
      <c r="A1062" s="5" t="s">
        <v>3507</v>
      </c>
      <c r="B1062" s="8" t="s">
        <v>3519</v>
      </c>
      <c r="C1062" s="21" t="s">
        <v>2206</v>
      </c>
      <c r="D1062" s="21" t="s">
        <v>682</v>
      </c>
      <c r="E1062" s="53">
        <v>514.0</v>
      </c>
      <c r="F1062" s="30">
        <v>554.0</v>
      </c>
      <c r="G1062" s="418"/>
      <c r="H1062" s="18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17"/>
      <c r="Z1062" s="6"/>
      <c r="AA1062" s="18"/>
      <c r="AB1062" s="33"/>
      <c r="AC1062" s="34"/>
      <c r="AD1062" s="18"/>
      <c r="AE1062" s="18"/>
    </row>
    <row r="1063">
      <c r="A1063" s="5" t="s">
        <v>3507</v>
      </c>
      <c r="B1063" s="8" t="s">
        <v>3519</v>
      </c>
      <c r="C1063" s="21" t="s">
        <v>1139</v>
      </c>
      <c r="D1063" s="21" t="s">
        <v>696</v>
      </c>
      <c r="E1063" s="53">
        <v>798.0</v>
      </c>
      <c r="F1063" s="30">
        <v>864.0</v>
      </c>
      <c r="G1063" s="418"/>
      <c r="H1063" s="18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17"/>
      <c r="Z1063" s="6"/>
      <c r="AA1063" s="18"/>
      <c r="AB1063" s="33"/>
      <c r="AC1063" s="34"/>
      <c r="AD1063" s="18"/>
      <c r="AE1063" s="18"/>
    </row>
    <row r="1064">
      <c r="A1064" s="5" t="s">
        <v>3507</v>
      </c>
      <c r="B1064" s="8" t="s">
        <v>3519</v>
      </c>
      <c r="C1064" s="21" t="s">
        <v>2207</v>
      </c>
      <c r="D1064" s="21" t="s">
        <v>692</v>
      </c>
      <c r="E1064" s="53">
        <v>809.84</v>
      </c>
      <c r="F1064" s="30">
        <v>876.0</v>
      </c>
      <c r="G1064" s="418"/>
      <c r="H1064" s="18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17"/>
      <c r="Z1064" s="6"/>
      <c r="AA1064" s="18"/>
      <c r="AB1064" s="33"/>
      <c r="AC1064" s="34"/>
      <c r="AD1064" s="18"/>
      <c r="AE1064" s="18"/>
    </row>
    <row r="1065">
      <c r="A1065" s="5" t="s">
        <v>3507</v>
      </c>
      <c r="B1065" s="8" t="s">
        <v>3519</v>
      </c>
      <c r="C1065" s="21" t="s">
        <v>2208</v>
      </c>
      <c r="D1065" s="253" t="s">
        <v>2209</v>
      </c>
      <c r="E1065" s="53">
        <v>775.8691200000001</v>
      </c>
      <c r="F1065" s="30">
        <v>838.0</v>
      </c>
      <c r="G1065" s="418"/>
      <c r="H1065" s="18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17"/>
      <c r="Z1065" s="6"/>
      <c r="AA1065" s="18"/>
      <c r="AB1065" s="33"/>
      <c r="AC1065" s="34"/>
      <c r="AD1065" s="18"/>
      <c r="AE1065" s="18"/>
    </row>
    <row r="1066">
      <c r="A1066" s="5" t="s">
        <v>3507</v>
      </c>
      <c r="B1066" s="8" t="s">
        <v>3519</v>
      </c>
      <c r="C1066" s="21" t="s">
        <v>2210</v>
      </c>
      <c r="D1066" s="21" t="s">
        <v>2133</v>
      </c>
      <c r="E1066" s="53">
        <v>809.84</v>
      </c>
      <c r="F1066" s="30">
        <v>876.0</v>
      </c>
      <c r="G1066" s="418"/>
      <c r="H1066" s="18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17"/>
      <c r="Z1066" s="6"/>
      <c r="AA1066" s="18"/>
      <c r="AB1066" s="33"/>
      <c r="AC1066" s="34"/>
      <c r="AD1066" s="18"/>
      <c r="AE1066" s="18"/>
    </row>
    <row r="1067">
      <c r="A1067" s="5" t="s">
        <v>3507</v>
      </c>
      <c r="B1067" s="8" t="s">
        <v>3519</v>
      </c>
      <c r="C1067" s="21" t="s">
        <v>2211</v>
      </c>
      <c r="D1067" s="21" t="s">
        <v>913</v>
      </c>
      <c r="E1067" s="53">
        <v>1729.92</v>
      </c>
      <c r="F1067" s="30">
        <v>1868.0</v>
      </c>
      <c r="G1067" s="418"/>
      <c r="H1067" s="18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17"/>
      <c r="Z1067" s="6"/>
      <c r="AA1067" s="18"/>
      <c r="AB1067" s="33"/>
      <c r="AC1067" s="34"/>
      <c r="AD1067" s="18"/>
      <c r="AE1067" s="18"/>
    </row>
    <row r="1068">
      <c r="A1068" s="5" t="s">
        <v>3507</v>
      </c>
      <c r="B1068" s="8" t="s">
        <v>3519</v>
      </c>
      <c r="C1068" s="21" t="s">
        <v>2212</v>
      </c>
      <c r="D1068" s="21" t="s">
        <v>1949</v>
      </c>
      <c r="E1068" s="53">
        <v>1774.44</v>
      </c>
      <c r="F1068" s="30">
        <v>1916.0</v>
      </c>
      <c r="G1068" s="418"/>
      <c r="H1068" s="18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17"/>
      <c r="Z1068" s="6"/>
      <c r="AA1068" s="18"/>
      <c r="AB1068" s="33"/>
      <c r="AC1068" s="34"/>
      <c r="AD1068" s="18"/>
      <c r="AE1068" s="18"/>
    </row>
    <row r="1069">
      <c r="A1069" s="5" t="s">
        <v>3507</v>
      </c>
      <c r="B1069" s="8" t="s">
        <v>3519</v>
      </c>
      <c r="C1069" s="21" t="s">
        <v>1142</v>
      </c>
      <c r="D1069" s="21" t="s">
        <v>523</v>
      </c>
      <c r="E1069" s="53">
        <v>2367.8280000000004</v>
      </c>
      <c r="F1069" s="30">
        <v>2558.0</v>
      </c>
      <c r="G1069" s="418"/>
      <c r="H1069" s="18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17"/>
      <c r="Z1069" s="6"/>
      <c r="AA1069" s="18"/>
      <c r="AB1069" s="33"/>
      <c r="AC1069" s="34"/>
      <c r="AD1069" s="18"/>
      <c r="AE1069" s="18"/>
    </row>
    <row r="1070">
      <c r="A1070" s="5" t="s">
        <v>3507</v>
      </c>
      <c r="B1070" s="8" t="s">
        <v>3519</v>
      </c>
      <c r="C1070" s="21" t="s">
        <v>2213</v>
      </c>
      <c r="D1070" s="21" t="s">
        <v>1124</v>
      </c>
      <c r="E1070" s="53">
        <v>2044.0</v>
      </c>
      <c r="F1070" s="30">
        <v>2208.0</v>
      </c>
      <c r="G1070" s="418"/>
      <c r="H1070" s="18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17"/>
      <c r="Z1070" s="6"/>
      <c r="AA1070" s="18"/>
      <c r="AB1070" s="33"/>
      <c r="AC1070" s="34"/>
      <c r="AD1070" s="18"/>
      <c r="AE1070" s="18"/>
    </row>
    <row r="1071">
      <c r="A1071" s="5" t="s">
        <v>3507</v>
      </c>
      <c r="B1071" s="8" t="s">
        <v>3519</v>
      </c>
      <c r="C1071" s="21" t="s">
        <v>2214</v>
      </c>
      <c r="D1071" s="21" t="s">
        <v>395</v>
      </c>
      <c r="E1071" s="53">
        <v>368.0</v>
      </c>
      <c r="F1071" s="30">
        <v>396.0</v>
      </c>
      <c r="G1071" s="418"/>
      <c r="H1071" s="18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17"/>
      <c r="Z1071" s="6"/>
      <c r="AA1071" s="18"/>
      <c r="AB1071" s="33"/>
      <c r="AC1071" s="34"/>
      <c r="AD1071" s="18"/>
      <c r="AE1071" s="18"/>
    </row>
    <row r="1072">
      <c r="A1072" s="5" t="s">
        <v>3507</v>
      </c>
      <c r="B1072" s="8" t="s">
        <v>3519</v>
      </c>
      <c r="C1072" s="21" t="s">
        <v>2215</v>
      </c>
      <c r="D1072" s="21" t="s">
        <v>359</v>
      </c>
      <c r="E1072" s="53">
        <v>712.32</v>
      </c>
      <c r="F1072" s="30">
        <v>768.0</v>
      </c>
      <c r="G1072" s="418"/>
      <c r="H1072" s="18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17"/>
      <c r="Z1072" s="6"/>
      <c r="AA1072" s="18"/>
      <c r="AB1072" s="33"/>
      <c r="AC1072" s="34"/>
      <c r="AD1072" s="18"/>
      <c r="AE1072" s="18"/>
    </row>
    <row r="1073">
      <c r="A1073" s="5" t="s">
        <v>3507</v>
      </c>
      <c r="B1073" s="8" t="s">
        <v>3519</v>
      </c>
      <c r="C1073" s="21" t="s">
        <v>2216</v>
      </c>
      <c r="D1073" s="21" t="s">
        <v>1946</v>
      </c>
      <c r="E1073" s="53">
        <v>856.0</v>
      </c>
      <c r="F1073" s="30">
        <v>924.0</v>
      </c>
      <c r="G1073" s="418"/>
      <c r="H1073" s="18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17"/>
      <c r="Z1073" s="6"/>
      <c r="AA1073" s="18"/>
      <c r="AB1073" s="33"/>
      <c r="AC1073" s="34"/>
      <c r="AD1073" s="18"/>
      <c r="AE1073" s="18"/>
    </row>
    <row r="1074">
      <c r="A1074" s="5" t="s">
        <v>3507</v>
      </c>
      <c r="B1074" s="8" t="s">
        <v>3519</v>
      </c>
      <c r="C1074" s="21" t="s">
        <v>2217</v>
      </c>
      <c r="D1074" s="21" t="s">
        <v>1145</v>
      </c>
      <c r="E1074" s="53">
        <v>1848.0</v>
      </c>
      <c r="F1074" s="30">
        <v>1994.0</v>
      </c>
      <c r="G1074" s="418"/>
      <c r="H1074" s="18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17"/>
      <c r="Z1074" s="6"/>
      <c r="AA1074" s="18"/>
      <c r="AB1074" s="33"/>
      <c r="AC1074" s="34"/>
      <c r="AD1074" s="18"/>
      <c r="AE1074" s="18"/>
    </row>
    <row r="1075">
      <c r="A1075" s="5" t="s">
        <v>3507</v>
      </c>
      <c r="B1075" s="8" t="s">
        <v>3519</v>
      </c>
      <c r="C1075" s="21" t="s">
        <v>2218</v>
      </c>
      <c r="D1075" s="21" t="s">
        <v>2219</v>
      </c>
      <c r="E1075" s="53">
        <v>1884.0</v>
      </c>
      <c r="F1075" s="30">
        <v>2034.0</v>
      </c>
      <c r="G1075" s="418"/>
      <c r="H1075" s="18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17"/>
      <c r="Z1075" s="6"/>
      <c r="AA1075" s="18"/>
      <c r="AB1075" s="33"/>
      <c r="AC1075" s="34"/>
      <c r="AD1075" s="18"/>
      <c r="AE1075" s="18"/>
    </row>
    <row r="1076">
      <c r="A1076" s="5" t="s">
        <v>3507</v>
      </c>
      <c r="B1076" s="8" t="s">
        <v>3520</v>
      </c>
      <c r="C1076" s="21" t="str">
        <f t="array" ref="C1076:F1093">'COLOUR WISE'!B216:E233</f>
        <v>123-QP</v>
      </c>
      <c r="D1076" s="21" t="s">
        <v>306</v>
      </c>
      <c r="E1076" s="53">
        <v>398.05459200000007</v>
      </c>
      <c r="F1076" s="30">
        <v>432.0</v>
      </c>
      <c r="G1076" s="418"/>
      <c r="H1076" s="18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17"/>
      <c r="Z1076" s="6"/>
      <c r="AA1076" s="18"/>
      <c r="AB1076" s="33"/>
      <c r="AC1076" s="34"/>
      <c r="AD1076" s="18"/>
      <c r="AE1076" s="18"/>
    </row>
    <row r="1077">
      <c r="A1077" s="5" t="s">
        <v>3507</v>
      </c>
      <c r="B1077" s="8" t="s">
        <v>3520</v>
      </c>
      <c r="C1077" s="21" t="s">
        <v>2222</v>
      </c>
      <c r="D1077" s="21" t="s">
        <v>339</v>
      </c>
      <c r="E1077" s="53">
        <v>498.0</v>
      </c>
      <c r="F1077" s="30">
        <v>538.0</v>
      </c>
      <c r="G1077" s="418"/>
      <c r="H1077" s="18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17"/>
      <c r="Z1077" s="6"/>
      <c r="AA1077" s="18"/>
      <c r="AB1077" s="33"/>
      <c r="AC1077" s="34"/>
      <c r="AD1077" s="18"/>
      <c r="AE1077" s="18"/>
    </row>
    <row r="1078">
      <c r="A1078" s="5" t="s">
        <v>3507</v>
      </c>
      <c r="B1078" s="8" t="s">
        <v>3520</v>
      </c>
      <c r="C1078" s="21" t="s">
        <v>2223</v>
      </c>
      <c r="D1078" s="21" t="s">
        <v>363</v>
      </c>
      <c r="E1078" s="53">
        <v>426.12</v>
      </c>
      <c r="F1078" s="30">
        <v>462.0</v>
      </c>
      <c r="G1078" s="418"/>
      <c r="H1078" s="18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17"/>
      <c r="Z1078" s="6"/>
      <c r="AA1078" s="18"/>
      <c r="AB1078" s="33"/>
      <c r="AC1078" s="34"/>
      <c r="AD1078" s="18"/>
      <c r="AE1078" s="18"/>
    </row>
    <row r="1079">
      <c r="A1079" s="5" t="s">
        <v>3507</v>
      </c>
      <c r="B1079" s="8" t="s">
        <v>3520</v>
      </c>
      <c r="C1079" s="21" t="s">
        <v>2224</v>
      </c>
      <c r="D1079" s="21" t="s">
        <v>666</v>
      </c>
      <c r="E1079" s="53">
        <v>750.3528</v>
      </c>
      <c r="F1079" s="30">
        <v>812.0</v>
      </c>
      <c r="G1079" s="418"/>
      <c r="H1079" s="18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17"/>
      <c r="Z1079" s="6"/>
      <c r="AA1079" s="18"/>
      <c r="AB1079" s="33"/>
      <c r="AC1079" s="34"/>
      <c r="AD1079" s="18"/>
      <c r="AE1079" s="18"/>
    </row>
    <row r="1080">
      <c r="A1080" s="5" t="s">
        <v>3507</v>
      </c>
      <c r="B1080" s="8" t="s">
        <v>3520</v>
      </c>
      <c r="C1080" s="21" t="s">
        <v>2225</v>
      </c>
      <c r="D1080" s="21" t="s">
        <v>682</v>
      </c>
      <c r="E1080" s="53">
        <v>514.0</v>
      </c>
      <c r="F1080" s="30">
        <v>554.0</v>
      </c>
      <c r="G1080" s="418"/>
      <c r="H1080" s="18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17"/>
      <c r="Z1080" s="6"/>
      <c r="AA1080" s="18"/>
      <c r="AB1080" s="33"/>
      <c r="AC1080" s="34"/>
      <c r="AD1080" s="18"/>
      <c r="AE1080" s="18"/>
    </row>
    <row r="1081">
      <c r="A1081" s="5" t="s">
        <v>3507</v>
      </c>
      <c r="B1081" s="8" t="s">
        <v>3520</v>
      </c>
      <c r="C1081" s="21" t="s">
        <v>1147</v>
      </c>
      <c r="D1081" s="21" t="s">
        <v>696</v>
      </c>
      <c r="E1081" s="53">
        <v>798.0</v>
      </c>
      <c r="F1081" s="30">
        <v>864.0</v>
      </c>
      <c r="G1081" s="418"/>
      <c r="H1081" s="18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17"/>
      <c r="Z1081" s="6"/>
      <c r="AA1081" s="18"/>
      <c r="AB1081" s="33"/>
      <c r="AC1081" s="34"/>
      <c r="AD1081" s="18"/>
      <c r="AE1081" s="18"/>
    </row>
    <row r="1082">
      <c r="A1082" s="5" t="s">
        <v>3507</v>
      </c>
      <c r="B1082" s="8" t="s">
        <v>3520</v>
      </c>
      <c r="C1082" s="21" t="s">
        <v>2226</v>
      </c>
      <c r="D1082" s="21" t="s">
        <v>692</v>
      </c>
      <c r="E1082" s="53">
        <v>809.84</v>
      </c>
      <c r="F1082" s="30">
        <v>876.0</v>
      </c>
      <c r="G1082" s="418"/>
      <c r="H1082" s="18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17"/>
      <c r="Z1082" s="6"/>
      <c r="AA1082" s="18"/>
      <c r="AB1082" s="33"/>
      <c r="AC1082" s="34"/>
      <c r="AD1082" s="18"/>
      <c r="AE1082" s="18"/>
    </row>
    <row r="1083">
      <c r="A1083" s="5" t="s">
        <v>3507</v>
      </c>
      <c r="B1083" s="8" t="s">
        <v>3520</v>
      </c>
      <c r="C1083" s="21" t="s">
        <v>2227</v>
      </c>
      <c r="D1083" s="253" t="s">
        <v>2209</v>
      </c>
      <c r="E1083" s="53">
        <v>775.8691200000001</v>
      </c>
      <c r="F1083" s="30">
        <v>838.0</v>
      </c>
      <c r="G1083" s="418"/>
      <c r="H1083" s="18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17"/>
      <c r="Z1083" s="6"/>
      <c r="AA1083" s="18"/>
      <c r="AB1083" s="33"/>
      <c r="AC1083" s="34"/>
      <c r="AD1083" s="18"/>
      <c r="AE1083" s="18"/>
    </row>
    <row r="1084">
      <c r="A1084" s="5" t="s">
        <v>3507</v>
      </c>
      <c r="B1084" s="8" t="s">
        <v>3520</v>
      </c>
      <c r="C1084" s="21" t="s">
        <v>2228</v>
      </c>
      <c r="D1084" s="21" t="s">
        <v>2133</v>
      </c>
      <c r="E1084" s="53">
        <v>809.84</v>
      </c>
      <c r="F1084" s="30">
        <v>876.0</v>
      </c>
      <c r="G1084" s="418"/>
      <c r="H1084" s="18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17"/>
      <c r="Z1084" s="6"/>
      <c r="AA1084" s="18"/>
      <c r="AB1084" s="33"/>
      <c r="AC1084" s="34"/>
      <c r="AD1084" s="18"/>
      <c r="AE1084" s="18"/>
    </row>
    <row r="1085">
      <c r="A1085" s="5" t="s">
        <v>3507</v>
      </c>
      <c r="B1085" s="8" t="s">
        <v>3520</v>
      </c>
      <c r="C1085" s="21" t="s">
        <v>2229</v>
      </c>
      <c r="D1085" s="21" t="s">
        <v>913</v>
      </c>
      <c r="E1085" s="53">
        <v>1729.92</v>
      </c>
      <c r="F1085" s="30">
        <v>1868.0</v>
      </c>
      <c r="G1085" s="418"/>
      <c r="H1085" s="18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17"/>
      <c r="Z1085" s="6"/>
      <c r="AA1085" s="18"/>
      <c r="AB1085" s="33"/>
      <c r="AC1085" s="34"/>
      <c r="AD1085" s="18"/>
      <c r="AE1085" s="18"/>
    </row>
    <row r="1086">
      <c r="A1086" s="5" t="s">
        <v>3507</v>
      </c>
      <c r="B1086" s="8" t="s">
        <v>3520</v>
      </c>
      <c r="C1086" s="21" t="s">
        <v>2230</v>
      </c>
      <c r="D1086" s="21" t="s">
        <v>1949</v>
      </c>
      <c r="E1086" s="53">
        <v>1774.44</v>
      </c>
      <c r="F1086" s="30">
        <v>1916.0</v>
      </c>
      <c r="G1086" s="418"/>
      <c r="H1086" s="18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17"/>
      <c r="Z1086" s="6"/>
      <c r="AA1086" s="18"/>
      <c r="AB1086" s="33"/>
      <c r="AC1086" s="34"/>
      <c r="AD1086" s="18"/>
      <c r="AE1086" s="18"/>
    </row>
    <row r="1087">
      <c r="A1087" s="5" t="s">
        <v>3507</v>
      </c>
      <c r="B1087" s="8" t="s">
        <v>3520</v>
      </c>
      <c r="C1087" s="21" t="s">
        <v>1148</v>
      </c>
      <c r="D1087" s="21" t="s">
        <v>523</v>
      </c>
      <c r="E1087" s="53">
        <v>2367.8280000000004</v>
      </c>
      <c r="F1087" s="30">
        <v>2558.0</v>
      </c>
      <c r="G1087" s="418"/>
      <c r="H1087" s="18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17"/>
      <c r="Z1087" s="6"/>
      <c r="AA1087" s="18"/>
      <c r="AB1087" s="33"/>
      <c r="AC1087" s="34"/>
      <c r="AD1087" s="18"/>
      <c r="AE1087" s="18"/>
    </row>
    <row r="1088">
      <c r="A1088" s="5" t="s">
        <v>3507</v>
      </c>
      <c r="B1088" s="8" t="s">
        <v>3520</v>
      </c>
      <c r="C1088" s="21" t="s">
        <v>2231</v>
      </c>
      <c r="D1088" s="21" t="s">
        <v>1124</v>
      </c>
      <c r="E1088" s="53">
        <v>2044.0</v>
      </c>
      <c r="F1088" s="30">
        <v>2208.0</v>
      </c>
      <c r="G1088" s="418"/>
      <c r="H1088" s="18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17"/>
      <c r="Z1088" s="6"/>
      <c r="AA1088" s="18"/>
      <c r="AB1088" s="33"/>
      <c r="AC1088" s="34"/>
      <c r="AD1088" s="18"/>
      <c r="AE1088" s="18"/>
    </row>
    <row r="1089">
      <c r="A1089" s="5" t="s">
        <v>3507</v>
      </c>
      <c r="B1089" s="8" t="s">
        <v>3520</v>
      </c>
      <c r="C1089" s="21" t="s">
        <v>2232</v>
      </c>
      <c r="D1089" s="21" t="s">
        <v>395</v>
      </c>
      <c r="E1089" s="53">
        <v>368.0</v>
      </c>
      <c r="F1089" s="30">
        <v>396.0</v>
      </c>
      <c r="G1089" s="418"/>
      <c r="H1089" s="18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17"/>
      <c r="Z1089" s="6"/>
      <c r="AA1089" s="18"/>
      <c r="AB1089" s="33"/>
      <c r="AC1089" s="34"/>
      <c r="AD1089" s="18"/>
      <c r="AE1089" s="18"/>
    </row>
    <row r="1090">
      <c r="A1090" s="5" t="s">
        <v>3507</v>
      </c>
      <c r="B1090" s="8" t="s">
        <v>3520</v>
      </c>
      <c r="C1090" s="21" t="s">
        <v>2233</v>
      </c>
      <c r="D1090" s="21" t="s">
        <v>359</v>
      </c>
      <c r="E1090" s="53">
        <v>712.32</v>
      </c>
      <c r="F1090" s="30">
        <v>768.0</v>
      </c>
      <c r="G1090" s="418"/>
      <c r="H1090" s="18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17"/>
      <c r="Z1090" s="6"/>
      <c r="AA1090" s="18"/>
      <c r="AB1090" s="33"/>
      <c r="AC1090" s="34"/>
      <c r="AD1090" s="18"/>
      <c r="AE1090" s="18"/>
    </row>
    <row r="1091">
      <c r="A1091" s="5" t="s">
        <v>3507</v>
      </c>
      <c r="B1091" s="8" t="s">
        <v>3520</v>
      </c>
      <c r="C1091" s="21" t="s">
        <v>2234</v>
      </c>
      <c r="D1091" s="21" t="s">
        <v>1946</v>
      </c>
      <c r="E1091" s="53">
        <v>856.0</v>
      </c>
      <c r="F1091" s="30">
        <v>924.0</v>
      </c>
      <c r="G1091" s="418"/>
      <c r="H1091" s="18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17"/>
      <c r="Z1091" s="6"/>
      <c r="AA1091" s="18"/>
      <c r="AB1091" s="33"/>
      <c r="AC1091" s="34"/>
      <c r="AD1091" s="18"/>
      <c r="AE1091" s="18"/>
    </row>
    <row r="1092">
      <c r="A1092" s="5" t="s">
        <v>3507</v>
      </c>
      <c r="B1092" s="8" t="s">
        <v>3520</v>
      </c>
      <c r="C1092" s="21" t="s">
        <v>2235</v>
      </c>
      <c r="D1092" s="21" t="s">
        <v>1145</v>
      </c>
      <c r="E1092" s="53">
        <v>1848.0</v>
      </c>
      <c r="F1092" s="30">
        <v>1994.0</v>
      </c>
      <c r="G1092" s="418"/>
      <c r="H1092" s="18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17"/>
      <c r="Z1092" s="6"/>
      <c r="AA1092" s="18"/>
      <c r="AB1092" s="33"/>
      <c r="AC1092" s="34"/>
      <c r="AD1092" s="18"/>
      <c r="AE1092" s="18"/>
    </row>
    <row r="1093">
      <c r="A1093" s="5" t="s">
        <v>3507</v>
      </c>
      <c r="B1093" s="8" t="s">
        <v>3520</v>
      </c>
      <c r="C1093" s="21" t="s">
        <v>2236</v>
      </c>
      <c r="D1093" s="21" t="s">
        <v>2219</v>
      </c>
      <c r="E1093" s="53">
        <v>1884.0</v>
      </c>
      <c r="F1093" s="30">
        <v>2034.0</v>
      </c>
      <c r="G1093" s="418"/>
      <c r="H1093" s="18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17"/>
      <c r="Z1093" s="6"/>
      <c r="AA1093" s="18"/>
      <c r="AB1093" s="33"/>
      <c r="AC1093" s="34"/>
      <c r="AD1093" s="18"/>
      <c r="AE1093" s="18"/>
    </row>
    <row r="1094">
      <c r="A1094" s="5" t="s">
        <v>3507</v>
      </c>
      <c r="B1094" s="8" t="s">
        <v>3521</v>
      </c>
      <c r="C1094" s="21" t="str">
        <f t="array" ref="C1094:F1111">'COLOUR WISE'!B236:E253</f>
        <v>123-QG</v>
      </c>
      <c r="D1094" s="21" t="s">
        <v>306</v>
      </c>
      <c r="E1094" s="53">
        <v>398.05459200000007</v>
      </c>
      <c r="F1094" s="30">
        <v>432.0</v>
      </c>
      <c r="G1094" s="418"/>
      <c r="H1094" s="18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17"/>
      <c r="Z1094" s="6"/>
      <c r="AA1094" s="18"/>
      <c r="AB1094" s="33"/>
      <c r="AC1094" s="34"/>
      <c r="AD1094" s="18"/>
      <c r="AE1094" s="18"/>
    </row>
    <row r="1095">
      <c r="A1095" s="5" t="s">
        <v>3507</v>
      </c>
      <c r="B1095" s="8" t="s">
        <v>3521</v>
      </c>
      <c r="C1095" s="21" t="s">
        <v>2239</v>
      </c>
      <c r="D1095" s="21" t="s">
        <v>339</v>
      </c>
      <c r="E1095" s="53">
        <v>498.0</v>
      </c>
      <c r="F1095" s="30">
        <v>538.0</v>
      </c>
      <c r="G1095" s="418"/>
      <c r="H1095" s="18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17"/>
      <c r="Z1095" s="6"/>
      <c r="AA1095" s="18"/>
      <c r="AB1095" s="33"/>
      <c r="AC1095" s="34"/>
      <c r="AD1095" s="18"/>
      <c r="AE1095" s="18"/>
    </row>
    <row r="1096">
      <c r="A1096" s="5" t="s">
        <v>3507</v>
      </c>
      <c r="B1096" s="8" t="s">
        <v>3521</v>
      </c>
      <c r="C1096" s="21" t="s">
        <v>2240</v>
      </c>
      <c r="D1096" s="21" t="s">
        <v>363</v>
      </c>
      <c r="E1096" s="53">
        <v>426.12</v>
      </c>
      <c r="F1096" s="30">
        <v>462.0</v>
      </c>
      <c r="G1096" s="418"/>
      <c r="H1096" s="18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17"/>
      <c r="Z1096" s="6"/>
      <c r="AA1096" s="18"/>
      <c r="AB1096" s="33"/>
      <c r="AC1096" s="34"/>
      <c r="AD1096" s="18"/>
      <c r="AE1096" s="18"/>
    </row>
    <row r="1097">
      <c r="A1097" s="5" t="s">
        <v>3507</v>
      </c>
      <c r="B1097" s="8" t="s">
        <v>3521</v>
      </c>
      <c r="C1097" s="21" t="s">
        <v>2241</v>
      </c>
      <c r="D1097" s="21" t="s">
        <v>666</v>
      </c>
      <c r="E1097" s="53">
        <v>750.3528</v>
      </c>
      <c r="F1097" s="30">
        <v>812.0</v>
      </c>
      <c r="G1097" s="418"/>
      <c r="H1097" s="18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17"/>
      <c r="Z1097" s="6"/>
      <c r="AA1097" s="18"/>
      <c r="AB1097" s="33"/>
      <c r="AC1097" s="34"/>
      <c r="AD1097" s="18"/>
      <c r="AE1097" s="18"/>
    </row>
    <row r="1098">
      <c r="A1098" s="5" t="s">
        <v>3507</v>
      </c>
      <c r="B1098" s="8" t="s">
        <v>3521</v>
      </c>
      <c r="C1098" s="21" t="s">
        <v>2242</v>
      </c>
      <c r="D1098" s="21" t="s">
        <v>682</v>
      </c>
      <c r="E1098" s="53">
        <v>514.0</v>
      </c>
      <c r="F1098" s="30">
        <v>554.0</v>
      </c>
      <c r="G1098" s="418"/>
      <c r="H1098" s="18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17"/>
      <c r="Z1098" s="6"/>
      <c r="AA1098" s="18"/>
      <c r="AB1098" s="33"/>
      <c r="AC1098" s="34"/>
      <c r="AD1098" s="18"/>
      <c r="AE1098" s="18"/>
    </row>
    <row r="1099">
      <c r="A1099" s="5" t="s">
        <v>3507</v>
      </c>
      <c r="B1099" s="8" t="s">
        <v>3521</v>
      </c>
      <c r="C1099" s="21" t="s">
        <v>1153</v>
      </c>
      <c r="D1099" s="21" t="s">
        <v>696</v>
      </c>
      <c r="E1099" s="53">
        <v>798.0</v>
      </c>
      <c r="F1099" s="30">
        <v>864.0</v>
      </c>
      <c r="G1099" s="418"/>
      <c r="H1099" s="18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17"/>
      <c r="Z1099" s="6"/>
      <c r="AA1099" s="18"/>
      <c r="AB1099" s="33"/>
      <c r="AC1099" s="34"/>
      <c r="AD1099" s="18"/>
      <c r="AE1099" s="18"/>
    </row>
    <row r="1100">
      <c r="A1100" s="5" t="s">
        <v>3507</v>
      </c>
      <c r="B1100" s="8" t="s">
        <v>3521</v>
      </c>
      <c r="C1100" s="21" t="s">
        <v>2243</v>
      </c>
      <c r="D1100" s="21" t="s">
        <v>692</v>
      </c>
      <c r="E1100" s="53">
        <v>809.84</v>
      </c>
      <c r="F1100" s="30">
        <v>876.0</v>
      </c>
      <c r="G1100" s="418"/>
      <c r="H1100" s="18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17"/>
      <c r="Z1100" s="6"/>
      <c r="AA1100" s="18"/>
      <c r="AB1100" s="33"/>
      <c r="AC1100" s="34"/>
      <c r="AD1100" s="18"/>
      <c r="AE1100" s="18"/>
    </row>
    <row r="1101">
      <c r="A1101" s="5" t="s">
        <v>3507</v>
      </c>
      <c r="B1101" s="8" t="s">
        <v>3521</v>
      </c>
      <c r="C1101" s="21" t="s">
        <v>2244</v>
      </c>
      <c r="D1101" s="253" t="s">
        <v>2209</v>
      </c>
      <c r="E1101" s="53">
        <v>775.8691200000001</v>
      </c>
      <c r="F1101" s="30">
        <v>838.0</v>
      </c>
      <c r="G1101" s="418"/>
      <c r="H1101" s="18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17"/>
      <c r="Z1101" s="6"/>
      <c r="AA1101" s="18"/>
      <c r="AB1101" s="33"/>
      <c r="AC1101" s="34"/>
      <c r="AD1101" s="18"/>
      <c r="AE1101" s="18"/>
    </row>
    <row r="1102">
      <c r="A1102" s="5" t="s">
        <v>3507</v>
      </c>
      <c r="B1102" s="8" t="s">
        <v>3521</v>
      </c>
      <c r="C1102" s="21" t="s">
        <v>2245</v>
      </c>
      <c r="D1102" s="21" t="s">
        <v>2133</v>
      </c>
      <c r="E1102" s="53">
        <v>809.84</v>
      </c>
      <c r="F1102" s="30">
        <v>876.0</v>
      </c>
      <c r="G1102" s="418"/>
      <c r="H1102" s="18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17"/>
      <c r="Z1102" s="6"/>
      <c r="AA1102" s="18"/>
      <c r="AB1102" s="33"/>
      <c r="AC1102" s="34"/>
      <c r="AD1102" s="18"/>
      <c r="AE1102" s="18"/>
    </row>
    <row r="1103">
      <c r="A1103" s="5" t="s">
        <v>3507</v>
      </c>
      <c r="B1103" s="8" t="s">
        <v>3521</v>
      </c>
      <c r="C1103" s="21" t="s">
        <v>2246</v>
      </c>
      <c r="D1103" s="21" t="s">
        <v>913</v>
      </c>
      <c r="E1103" s="53">
        <v>1729.92</v>
      </c>
      <c r="F1103" s="30">
        <v>1868.0</v>
      </c>
      <c r="G1103" s="418"/>
      <c r="H1103" s="18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17"/>
      <c r="Z1103" s="6"/>
      <c r="AA1103" s="18"/>
      <c r="AB1103" s="33"/>
      <c r="AC1103" s="34"/>
      <c r="AD1103" s="18"/>
      <c r="AE1103" s="18"/>
    </row>
    <row r="1104">
      <c r="A1104" s="5" t="s">
        <v>3507</v>
      </c>
      <c r="B1104" s="8" t="s">
        <v>3521</v>
      </c>
      <c r="C1104" s="21" t="s">
        <v>2247</v>
      </c>
      <c r="D1104" s="21" t="s">
        <v>1949</v>
      </c>
      <c r="E1104" s="53">
        <v>1774.44</v>
      </c>
      <c r="F1104" s="30">
        <v>1916.0</v>
      </c>
      <c r="G1104" s="418"/>
      <c r="H1104" s="18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17"/>
      <c r="Z1104" s="6"/>
      <c r="AA1104" s="18"/>
      <c r="AB1104" s="33"/>
      <c r="AC1104" s="34"/>
      <c r="AD1104" s="18"/>
      <c r="AE1104" s="18"/>
    </row>
    <row r="1105">
      <c r="A1105" s="5" t="s">
        <v>3507</v>
      </c>
      <c r="B1105" s="8" t="s">
        <v>3521</v>
      </c>
      <c r="C1105" s="21" t="s">
        <v>1154</v>
      </c>
      <c r="D1105" s="21" t="s">
        <v>523</v>
      </c>
      <c r="E1105" s="53">
        <v>2367.8280000000004</v>
      </c>
      <c r="F1105" s="30">
        <v>2558.0</v>
      </c>
      <c r="G1105" s="418"/>
      <c r="H1105" s="18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17"/>
      <c r="Z1105" s="6"/>
      <c r="AA1105" s="18"/>
      <c r="AB1105" s="33"/>
      <c r="AC1105" s="34"/>
      <c r="AD1105" s="18"/>
      <c r="AE1105" s="18"/>
    </row>
    <row r="1106">
      <c r="A1106" s="5" t="s">
        <v>3507</v>
      </c>
      <c r="B1106" s="8" t="s">
        <v>3521</v>
      </c>
      <c r="C1106" s="21" t="s">
        <v>2248</v>
      </c>
      <c r="D1106" s="21" t="s">
        <v>1124</v>
      </c>
      <c r="E1106" s="53">
        <v>2044.0</v>
      </c>
      <c r="F1106" s="30">
        <v>2208.0</v>
      </c>
      <c r="G1106" s="418"/>
      <c r="H1106" s="18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17"/>
      <c r="Z1106" s="6"/>
      <c r="AA1106" s="18"/>
      <c r="AB1106" s="33"/>
      <c r="AC1106" s="34"/>
      <c r="AD1106" s="18"/>
      <c r="AE1106" s="18"/>
    </row>
    <row r="1107">
      <c r="A1107" s="5" t="s">
        <v>3507</v>
      </c>
      <c r="B1107" s="8" t="s">
        <v>3521</v>
      </c>
      <c r="C1107" s="21" t="s">
        <v>2249</v>
      </c>
      <c r="D1107" s="21" t="s">
        <v>395</v>
      </c>
      <c r="E1107" s="53">
        <v>368.0</v>
      </c>
      <c r="F1107" s="30">
        <v>396.0</v>
      </c>
      <c r="G1107" s="418"/>
      <c r="H1107" s="18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17"/>
      <c r="Z1107" s="6"/>
      <c r="AA1107" s="18"/>
      <c r="AB1107" s="33"/>
      <c r="AC1107" s="34"/>
      <c r="AD1107" s="18"/>
      <c r="AE1107" s="18"/>
    </row>
    <row r="1108">
      <c r="A1108" s="5" t="s">
        <v>3507</v>
      </c>
      <c r="B1108" s="8" t="s">
        <v>3521</v>
      </c>
      <c r="C1108" s="21" t="s">
        <v>2250</v>
      </c>
      <c r="D1108" s="21" t="s">
        <v>359</v>
      </c>
      <c r="E1108" s="53">
        <v>712.32</v>
      </c>
      <c r="F1108" s="30">
        <v>768.0</v>
      </c>
      <c r="G1108" s="418"/>
      <c r="H1108" s="18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17"/>
      <c r="Z1108" s="6"/>
      <c r="AA1108" s="18"/>
      <c r="AB1108" s="33"/>
      <c r="AC1108" s="34"/>
      <c r="AD1108" s="18"/>
      <c r="AE1108" s="18"/>
    </row>
    <row r="1109">
      <c r="A1109" s="5" t="s">
        <v>3507</v>
      </c>
      <c r="B1109" s="8" t="s">
        <v>3521</v>
      </c>
      <c r="C1109" s="21" t="s">
        <v>2251</v>
      </c>
      <c r="D1109" s="21" t="s">
        <v>1946</v>
      </c>
      <c r="E1109" s="53">
        <v>856.0</v>
      </c>
      <c r="F1109" s="30">
        <v>924.0</v>
      </c>
      <c r="G1109" s="418"/>
      <c r="H1109" s="18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17"/>
      <c r="Z1109" s="6"/>
      <c r="AA1109" s="18"/>
      <c r="AB1109" s="33"/>
      <c r="AC1109" s="34"/>
      <c r="AD1109" s="18"/>
      <c r="AE1109" s="18"/>
    </row>
    <row r="1110">
      <c r="A1110" s="5" t="s">
        <v>3507</v>
      </c>
      <c r="B1110" s="8" t="s">
        <v>3521</v>
      </c>
      <c r="C1110" s="21" t="s">
        <v>2252</v>
      </c>
      <c r="D1110" s="21" t="s">
        <v>1145</v>
      </c>
      <c r="E1110" s="53">
        <v>1848.0</v>
      </c>
      <c r="F1110" s="30">
        <v>1994.0</v>
      </c>
      <c r="G1110" s="418"/>
      <c r="H1110" s="18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17"/>
      <c r="Z1110" s="6"/>
      <c r="AA1110" s="18"/>
      <c r="AB1110" s="33"/>
      <c r="AC1110" s="34"/>
      <c r="AD1110" s="18"/>
      <c r="AE1110" s="18"/>
    </row>
    <row r="1111">
      <c r="A1111" s="5" t="s">
        <v>3507</v>
      </c>
      <c r="B1111" s="8" t="s">
        <v>3521</v>
      </c>
      <c r="C1111" s="21" t="s">
        <v>2253</v>
      </c>
      <c r="D1111" s="21" t="s">
        <v>2219</v>
      </c>
      <c r="E1111" s="53">
        <v>1884.0</v>
      </c>
      <c r="F1111" s="30">
        <v>2034.0</v>
      </c>
      <c r="G1111" s="418"/>
      <c r="H1111" s="18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17"/>
      <c r="Z1111" s="6"/>
      <c r="AA1111" s="18"/>
      <c r="AB1111" s="33"/>
      <c r="AC1111" s="34"/>
      <c r="AD1111" s="18"/>
      <c r="AE1111" s="18"/>
    </row>
    <row r="1112">
      <c r="A1112" s="5" t="s">
        <v>3507</v>
      </c>
      <c r="B1112" s="8" t="s">
        <v>3522</v>
      </c>
      <c r="C1112" s="21" t="str">
        <f t="array" ref="C1112:F1129">'COLOUR WISE'!B256:E273</f>
        <v>123-QW</v>
      </c>
      <c r="D1112" s="21" t="s">
        <v>306</v>
      </c>
      <c r="E1112" s="53">
        <v>398.05459200000007</v>
      </c>
      <c r="F1112" s="30">
        <v>432.0</v>
      </c>
      <c r="G1112" s="418"/>
      <c r="H1112" s="18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17"/>
      <c r="Z1112" s="6"/>
      <c r="AA1112" s="18"/>
      <c r="AB1112" s="33"/>
      <c r="AC1112" s="34"/>
      <c r="AD1112" s="18"/>
      <c r="AE1112" s="18"/>
    </row>
    <row r="1113">
      <c r="A1113" s="5" t="s">
        <v>3507</v>
      </c>
      <c r="B1113" s="8" t="s">
        <v>3522</v>
      </c>
      <c r="C1113" s="21" t="s">
        <v>2256</v>
      </c>
      <c r="D1113" s="21" t="s">
        <v>339</v>
      </c>
      <c r="E1113" s="53">
        <v>498.0</v>
      </c>
      <c r="F1113" s="30">
        <v>538.0</v>
      </c>
      <c r="G1113" s="418"/>
      <c r="H1113" s="18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17"/>
      <c r="Z1113" s="6"/>
      <c r="AA1113" s="18"/>
      <c r="AB1113" s="33"/>
      <c r="AC1113" s="34"/>
      <c r="AD1113" s="18"/>
      <c r="AE1113" s="18"/>
    </row>
    <row r="1114">
      <c r="A1114" s="5" t="s">
        <v>3507</v>
      </c>
      <c r="B1114" s="8" t="s">
        <v>3522</v>
      </c>
      <c r="C1114" s="21" t="s">
        <v>2257</v>
      </c>
      <c r="D1114" s="21" t="s">
        <v>363</v>
      </c>
      <c r="E1114" s="53">
        <v>426.12</v>
      </c>
      <c r="F1114" s="30">
        <v>462.0</v>
      </c>
      <c r="G1114" s="418"/>
      <c r="H1114" s="18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17"/>
      <c r="Z1114" s="6"/>
      <c r="AA1114" s="18"/>
      <c r="AB1114" s="33"/>
      <c r="AC1114" s="34"/>
      <c r="AD1114" s="18"/>
      <c r="AE1114" s="18"/>
    </row>
    <row r="1115">
      <c r="A1115" s="5" t="s">
        <v>3507</v>
      </c>
      <c r="B1115" s="8" t="s">
        <v>3522</v>
      </c>
      <c r="C1115" s="21" t="s">
        <v>2258</v>
      </c>
      <c r="D1115" s="21" t="s">
        <v>666</v>
      </c>
      <c r="E1115" s="53">
        <v>750.3528</v>
      </c>
      <c r="F1115" s="30">
        <v>812.0</v>
      </c>
      <c r="G1115" s="418"/>
      <c r="H1115" s="18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17"/>
      <c r="Z1115" s="6"/>
      <c r="AA1115" s="18"/>
      <c r="AB1115" s="33"/>
      <c r="AC1115" s="34"/>
      <c r="AD1115" s="18"/>
      <c r="AE1115" s="18"/>
    </row>
    <row r="1116">
      <c r="A1116" s="5" t="s">
        <v>3507</v>
      </c>
      <c r="B1116" s="8" t="s">
        <v>3522</v>
      </c>
      <c r="C1116" s="21" t="s">
        <v>2259</v>
      </c>
      <c r="D1116" s="21" t="s">
        <v>682</v>
      </c>
      <c r="E1116" s="53">
        <v>514.0</v>
      </c>
      <c r="F1116" s="30">
        <v>554.0</v>
      </c>
      <c r="G1116" s="418"/>
      <c r="H1116" s="18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17"/>
      <c r="Z1116" s="6"/>
      <c r="AA1116" s="18"/>
      <c r="AB1116" s="33"/>
      <c r="AC1116" s="34"/>
      <c r="AD1116" s="18"/>
      <c r="AE1116" s="18"/>
    </row>
    <row r="1117">
      <c r="A1117" s="5" t="s">
        <v>3507</v>
      </c>
      <c r="B1117" s="8" t="s">
        <v>3522</v>
      </c>
      <c r="C1117" s="21" t="s">
        <v>1159</v>
      </c>
      <c r="D1117" s="21" t="s">
        <v>696</v>
      </c>
      <c r="E1117" s="53">
        <v>798.0</v>
      </c>
      <c r="F1117" s="30">
        <v>864.0</v>
      </c>
      <c r="G1117" s="418"/>
      <c r="H1117" s="18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17"/>
      <c r="Z1117" s="6"/>
      <c r="AA1117" s="18"/>
      <c r="AB1117" s="33"/>
      <c r="AC1117" s="34"/>
      <c r="AD1117" s="18"/>
      <c r="AE1117" s="18"/>
    </row>
    <row r="1118">
      <c r="A1118" s="5" t="s">
        <v>3507</v>
      </c>
      <c r="B1118" s="8" t="s">
        <v>3522</v>
      </c>
      <c r="C1118" s="21" t="s">
        <v>2260</v>
      </c>
      <c r="D1118" s="21" t="s">
        <v>692</v>
      </c>
      <c r="E1118" s="53">
        <v>809.84</v>
      </c>
      <c r="F1118" s="30">
        <v>876.0</v>
      </c>
      <c r="G1118" s="418"/>
      <c r="H1118" s="18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17"/>
      <c r="Z1118" s="6"/>
      <c r="AA1118" s="18"/>
      <c r="AB1118" s="33"/>
      <c r="AC1118" s="34"/>
      <c r="AD1118" s="18"/>
      <c r="AE1118" s="18"/>
    </row>
    <row r="1119">
      <c r="A1119" s="5" t="s">
        <v>3507</v>
      </c>
      <c r="B1119" s="8" t="s">
        <v>3522</v>
      </c>
      <c r="C1119" s="21" t="s">
        <v>2261</v>
      </c>
      <c r="D1119" s="253" t="s">
        <v>2209</v>
      </c>
      <c r="E1119" s="53">
        <v>775.8691200000001</v>
      </c>
      <c r="F1119" s="30">
        <v>838.0</v>
      </c>
      <c r="G1119" s="418"/>
      <c r="H1119" s="18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17"/>
      <c r="Z1119" s="6"/>
      <c r="AA1119" s="18"/>
      <c r="AB1119" s="33"/>
      <c r="AC1119" s="34"/>
      <c r="AD1119" s="18"/>
      <c r="AE1119" s="18"/>
    </row>
    <row r="1120">
      <c r="A1120" s="5" t="s">
        <v>3507</v>
      </c>
      <c r="B1120" s="8" t="s">
        <v>3522</v>
      </c>
      <c r="C1120" s="21" t="s">
        <v>2262</v>
      </c>
      <c r="D1120" s="21" t="s">
        <v>2133</v>
      </c>
      <c r="E1120" s="53">
        <v>809.84</v>
      </c>
      <c r="F1120" s="30">
        <v>876.0</v>
      </c>
      <c r="G1120" s="418"/>
      <c r="H1120" s="18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17"/>
      <c r="Z1120" s="6"/>
      <c r="AA1120" s="18"/>
      <c r="AB1120" s="33"/>
      <c r="AC1120" s="34"/>
      <c r="AD1120" s="18"/>
      <c r="AE1120" s="18"/>
    </row>
    <row r="1121">
      <c r="A1121" s="5" t="s">
        <v>3507</v>
      </c>
      <c r="B1121" s="8" t="s">
        <v>3522</v>
      </c>
      <c r="C1121" s="21" t="s">
        <v>2263</v>
      </c>
      <c r="D1121" s="21" t="s">
        <v>913</v>
      </c>
      <c r="E1121" s="53">
        <v>1729.92</v>
      </c>
      <c r="F1121" s="30">
        <v>1868.0</v>
      </c>
      <c r="G1121" s="418"/>
      <c r="H1121" s="18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17"/>
      <c r="Z1121" s="6"/>
      <c r="AA1121" s="18"/>
      <c r="AB1121" s="33"/>
      <c r="AC1121" s="34"/>
      <c r="AD1121" s="18"/>
      <c r="AE1121" s="18"/>
    </row>
    <row r="1122">
      <c r="A1122" s="5" t="s">
        <v>3507</v>
      </c>
      <c r="B1122" s="8" t="s">
        <v>3522</v>
      </c>
      <c r="C1122" s="21" t="s">
        <v>2264</v>
      </c>
      <c r="D1122" s="21" t="s">
        <v>1949</v>
      </c>
      <c r="E1122" s="53">
        <v>1774.44</v>
      </c>
      <c r="F1122" s="30">
        <v>1916.0</v>
      </c>
      <c r="G1122" s="418"/>
      <c r="H1122" s="18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17"/>
      <c r="Z1122" s="6"/>
      <c r="AA1122" s="18"/>
      <c r="AB1122" s="33"/>
      <c r="AC1122" s="34"/>
      <c r="AD1122" s="18"/>
      <c r="AE1122" s="18"/>
    </row>
    <row r="1123">
      <c r="A1123" s="5" t="s">
        <v>3507</v>
      </c>
      <c r="B1123" s="8" t="s">
        <v>3522</v>
      </c>
      <c r="C1123" s="21" t="s">
        <v>1161</v>
      </c>
      <c r="D1123" s="21" t="s">
        <v>523</v>
      </c>
      <c r="E1123" s="53">
        <v>2367.8280000000004</v>
      </c>
      <c r="F1123" s="30">
        <v>2558.0</v>
      </c>
      <c r="G1123" s="418"/>
      <c r="H1123" s="18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17"/>
      <c r="Z1123" s="6"/>
      <c r="AA1123" s="18"/>
      <c r="AB1123" s="33"/>
      <c r="AC1123" s="34"/>
      <c r="AD1123" s="18"/>
      <c r="AE1123" s="18"/>
    </row>
    <row r="1124">
      <c r="A1124" s="5" t="s">
        <v>3507</v>
      </c>
      <c r="B1124" s="8" t="s">
        <v>3522</v>
      </c>
      <c r="C1124" s="21" t="s">
        <v>2265</v>
      </c>
      <c r="D1124" s="21" t="s">
        <v>1124</v>
      </c>
      <c r="E1124" s="53">
        <v>2044.0</v>
      </c>
      <c r="F1124" s="30">
        <v>2208.0</v>
      </c>
      <c r="G1124" s="418"/>
      <c r="H1124" s="18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17"/>
      <c r="Z1124" s="6"/>
      <c r="AA1124" s="18"/>
      <c r="AB1124" s="33"/>
      <c r="AC1124" s="34"/>
      <c r="AD1124" s="18"/>
      <c r="AE1124" s="18"/>
    </row>
    <row r="1125">
      <c r="A1125" s="5" t="s">
        <v>3507</v>
      </c>
      <c r="B1125" s="8" t="s">
        <v>3522</v>
      </c>
      <c r="C1125" s="21" t="s">
        <v>2266</v>
      </c>
      <c r="D1125" s="21" t="s">
        <v>395</v>
      </c>
      <c r="E1125" s="53">
        <v>368.0</v>
      </c>
      <c r="F1125" s="30">
        <v>396.0</v>
      </c>
      <c r="G1125" s="418"/>
      <c r="H1125" s="18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17"/>
      <c r="Z1125" s="6"/>
      <c r="AA1125" s="18"/>
      <c r="AB1125" s="33"/>
      <c r="AC1125" s="34"/>
      <c r="AD1125" s="18"/>
      <c r="AE1125" s="18"/>
    </row>
    <row r="1126">
      <c r="A1126" s="5" t="s">
        <v>3507</v>
      </c>
      <c r="B1126" s="8" t="s">
        <v>3522</v>
      </c>
      <c r="C1126" s="21" t="s">
        <v>2267</v>
      </c>
      <c r="D1126" s="21" t="s">
        <v>359</v>
      </c>
      <c r="E1126" s="53">
        <v>712.32</v>
      </c>
      <c r="F1126" s="30">
        <v>768.0</v>
      </c>
      <c r="G1126" s="418"/>
      <c r="H1126" s="18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17"/>
      <c r="Z1126" s="6"/>
      <c r="AA1126" s="18"/>
      <c r="AB1126" s="33"/>
      <c r="AC1126" s="34"/>
      <c r="AD1126" s="18"/>
      <c r="AE1126" s="18"/>
    </row>
    <row r="1127">
      <c r="A1127" s="5" t="s">
        <v>3507</v>
      </c>
      <c r="B1127" s="8" t="s">
        <v>3522</v>
      </c>
      <c r="C1127" s="21" t="s">
        <v>2268</v>
      </c>
      <c r="D1127" s="21" t="s">
        <v>1946</v>
      </c>
      <c r="E1127" s="53">
        <v>856.0</v>
      </c>
      <c r="F1127" s="30">
        <v>924.0</v>
      </c>
      <c r="G1127" s="418"/>
      <c r="H1127" s="18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17"/>
      <c r="Z1127" s="6"/>
      <c r="AA1127" s="18"/>
      <c r="AB1127" s="33"/>
      <c r="AC1127" s="34"/>
      <c r="AD1127" s="18"/>
      <c r="AE1127" s="18"/>
    </row>
    <row r="1128">
      <c r="A1128" s="5" t="s">
        <v>3507</v>
      </c>
      <c r="B1128" s="8" t="s">
        <v>3522</v>
      </c>
      <c r="C1128" s="21" t="s">
        <v>2269</v>
      </c>
      <c r="D1128" s="21" t="s">
        <v>1145</v>
      </c>
      <c r="E1128" s="53">
        <v>1848.0</v>
      </c>
      <c r="F1128" s="30">
        <v>1994.0</v>
      </c>
      <c r="G1128" s="418"/>
      <c r="H1128" s="18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17"/>
      <c r="Z1128" s="6"/>
      <c r="AA1128" s="18"/>
      <c r="AB1128" s="33"/>
      <c r="AC1128" s="34"/>
      <c r="AD1128" s="18"/>
      <c r="AE1128" s="18"/>
    </row>
    <row r="1129">
      <c r="A1129" s="5" t="s">
        <v>3507</v>
      </c>
      <c r="B1129" s="8" t="s">
        <v>3522</v>
      </c>
      <c r="C1129" s="21" t="s">
        <v>2270</v>
      </c>
      <c r="D1129" s="21" t="s">
        <v>2219</v>
      </c>
      <c r="E1129" s="53">
        <v>1884.0</v>
      </c>
      <c r="F1129" s="30">
        <v>2034.0</v>
      </c>
      <c r="G1129" s="418"/>
      <c r="H1129" s="18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17"/>
      <c r="Z1129" s="6"/>
      <c r="AA1129" s="18"/>
      <c r="AB1129" s="33"/>
      <c r="AC1129" s="34"/>
      <c r="AD1129" s="18"/>
      <c r="AE1129" s="18"/>
    </row>
    <row r="1130">
      <c r="A1130" s="5" t="s">
        <v>3507</v>
      </c>
      <c r="B1130" s="8" t="s">
        <v>3523</v>
      </c>
      <c r="C1130" s="21" t="str">
        <f t="array" ref="C1130:F1146">'COLOUR WISE'!B276:E292</f>
        <v>123-QB</v>
      </c>
      <c r="D1130" s="21" t="s">
        <v>306</v>
      </c>
      <c r="E1130" s="53">
        <v>398.05459200000007</v>
      </c>
      <c r="F1130" s="30">
        <v>432.0</v>
      </c>
      <c r="G1130" s="418"/>
      <c r="H1130" s="18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17"/>
      <c r="Z1130" s="6"/>
      <c r="AA1130" s="18"/>
      <c r="AB1130" s="33"/>
      <c r="AC1130" s="34"/>
      <c r="AD1130" s="18"/>
      <c r="AE1130" s="18"/>
    </row>
    <row r="1131">
      <c r="A1131" s="5" t="s">
        <v>3507</v>
      </c>
      <c r="B1131" s="8" t="s">
        <v>3523</v>
      </c>
      <c r="C1131" s="21" t="s">
        <v>2277</v>
      </c>
      <c r="D1131" s="21" t="s">
        <v>339</v>
      </c>
      <c r="E1131" s="53">
        <v>498.0</v>
      </c>
      <c r="F1131" s="30">
        <v>538.0</v>
      </c>
      <c r="G1131" s="418"/>
      <c r="H1131" s="18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17"/>
      <c r="Z1131" s="6"/>
      <c r="AA1131" s="18"/>
      <c r="AB1131" s="33"/>
      <c r="AC1131" s="34"/>
      <c r="AD1131" s="18"/>
      <c r="AE1131" s="18"/>
    </row>
    <row r="1132">
      <c r="A1132" s="5" t="s">
        <v>3507</v>
      </c>
      <c r="B1132" s="8" t="s">
        <v>3523</v>
      </c>
      <c r="C1132" s="21" t="s">
        <v>2278</v>
      </c>
      <c r="D1132" s="21" t="s">
        <v>363</v>
      </c>
      <c r="E1132" s="53">
        <v>426.12</v>
      </c>
      <c r="F1132" s="30">
        <v>462.0</v>
      </c>
      <c r="G1132" s="418"/>
      <c r="H1132" s="18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17"/>
      <c r="Z1132" s="6"/>
      <c r="AA1132" s="18"/>
      <c r="AB1132" s="33"/>
      <c r="AC1132" s="34"/>
      <c r="AD1132" s="18"/>
      <c r="AE1132" s="18"/>
    </row>
    <row r="1133">
      <c r="A1133" s="5" t="s">
        <v>3507</v>
      </c>
      <c r="B1133" s="8" t="s">
        <v>3523</v>
      </c>
      <c r="C1133" s="21" t="s">
        <v>2280</v>
      </c>
      <c r="D1133" s="21" t="s">
        <v>666</v>
      </c>
      <c r="E1133" s="53">
        <v>750.3528</v>
      </c>
      <c r="F1133" s="30">
        <v>812.0</v>
      </c>
      <c r="G1133" s="418"/>
      <c r="H1133" s="18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17"/>
      <c r="Z1133" s="6"/>
      <c r="AA1133" s="18"/>
      <c r="AB1133" s="33"/>
      <c r="AC1133" s="34"/>
      <c r="AD1133" s="18"/>
      <c r="AE1133" s="18"/>
    </row>
    <row r="1134">
      <c r="A1134" s="5" t="s">
        <v>3507</v>
      </c>
      <c r="B1134" s="8" t="s">
        <v>3523</v>
      </c>
      <c r="C1134" s="21" t="s">
        <v>2281</v>
      </c>
      <c r="D1134" s="21" t="s">
        <v>682</v>
      </c>
      <c r="E1134" s="53">
        <v>514.0</v>
      </c>
      <c r="F1134" s="30">
        <v>554.0</v>
      </c>
      <c r="G1134" s="418"/>
      <c r="H1134" s="18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17"/>
      <c r="Z1134" s="6"/>
      <c r="AA1134" s="18"/>
      <c r="AB1134" s="33"/>
      <c r="AC1134" s="34"/>
      <c r="AD1134" s="18"/>
      <c r="AE1134" s="18"/>
    </row>
    <row r="1135">
      <c r="A1135" s="5" t="s">
        <v>3507</v>
      </c>
      <c r="B1135" s="8" t="s">
        <v>3523</v>
      </c>
      <c r="C1135" s="21" t="s">
        <v>1164</v>
      </c>
      <c r="D1135" s="21" t="s">
        <v>696</v>
      </c>
      <c r="E1135" s="53">
        <v>798.0</v>
      </c>
      <c r="F1135" s="30">
        <v>864.0</v>
      </c>
      <c r="G1135" s="418"/>
      <c r="H1135" s="18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17"/>
      <c r="Z1135" s="6"/>
      <c r="AA1135" s="18"/>
      <c r="AB1135" s="33"/>
      <c r="AC1135" s="34"/>
      <c r="AD1135" s="18"/>
      <c r="AE1135" s="18"/>
    </row>
    <row r="1136">
      <c r="A1136" s="5" t="s">
        <v>3507</v>
      </c>
      <c r="B1136" s="8" t="s">
        <v>3523</v>
      </c>
      <c r="C1136" s="21" t="s">
        <v>2286</v>
      </c>
      <c r="D1136" s="21" t="s">
        <v>692</v>
      </c>
      <c r="E1136" s="53">
        <v>809.84</v>
      </c>
      <c r="F1136" s="30">
        <v>876.0</v>
      </c>
      <c r="G1136" s="418"/>
      <c r="H1136" s="18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17"/>
      <c r="Z1136" s="6"/>
      <c r="AA1136" s="18"/>
      <c r="AB1136" s="33"/>
      <c r="AC1136" s="34"/>
      <c r="AD1136" s="18"/>
      <c r="AE1136" s="18"/>
    </row>
    <row r="1137">
      <c r="A1137" s="5" t="s">
        <v>3507</v>
      </c>
      <c r="B1137" s="8" t="s">
        <v>3523</v>
      </c>
      <c r="C1137" s="21" t="s">
        <v>2287</v>
      </c>
      <c r="D1137" s="253" t="s">
        <v>2209</v>
      </c>
      <c r="E1137" s="53">
        <v>775.8691200000001</v>
      </c>
      <c r="F1137" s="30">
        <v>838.0</v>
      </c>
      <c r="G1137" s="418"/>
      <c r="H1137" s="18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17"/>
      <c r="Z1137" s="6"/>
      <c r="AA1137" s="18"/>
      <c r="AB1137" s="33"/>
      <c r="AC1137" s="34"/>
      <c r="AD1137" s="18"/>
      <c r="AE1137" s="18"/>
    </row>
    <row r="1138">
      <c r="A1138" s="5" t="s">
        <v>3507</v>
      </c>
      <c r="B1138" s="8" t="s">
        <v>3523</v>
      </c>
      <c r="C1138" s="21" t="s">
        <v>2288</v>
      </c>
      <c r="D1138" s="21" t="s">
        <v>2133</v>
      </c>
      <c r="E1138" s="53">
        <v>809.84</v>
      </c>
      <c r="F1138" s="30">
        <v>876.0</v>
      </c>
      <c r="G1138" s="418"/>
      <c r="H1138" s="18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17"/>
      <c r="Z1138" s="6"/>
      <c r="AA1138" s="18"/>
      <c r="AB1138" s="33"/>
      <c r="AC1138" s="34"/>
      <c r="AD1138" s="18"/>
      <c r="AE1138" s="18"/>
    </row>
    <row r="1139">
      <c r="A1139" s="5" t="s">
        <v>3507</v>
      </c>
      <c r="B1139" s="8" t="s">
        <v>3523</v>
      </c>
      <c r="C1139" s="21" t="s">
        <v>2291</v>
      </c>
      <c r="D1139" s="21" t="s">
        <v>913</v>
      </c>
      <c r="E1139" s="53">
        <v>1729.92</v>
      </c>
      <c r="F1139" s="30">
        <v>1868.0</v>
      </c>
      <c r="G1139" s="418"/>
      <c r="H1139" s="18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17"/>
      <c r="Z1139" s="6"/>
      <c r="AA1139" s="18"/>
      <c r="AB1139" s="33"/>
      <c r="AC1139" s="34"/>
      <c r="AD1139" s="18"/>
      <c r="AE1139" s="18"/>
    </row>
    <row r="1140">
      <c r="A1140" s="5" t="s">
        <v>3507</v>
      </c>
      <c r="B1140" s="8" t="s">
        <v>3523</v>
      </c>
      <c r="C1140" s="21" t="s">
        <v>2294</v>
      </c>
      <c r="D1140" s="21" t="s">
        <v>1949</v>
      </c>
      <c r="E1140" s="53">
        <v>1774.44</v>
      </c>
      <c r="F1140" s="30">
        <v>1916.0</v>
      </c>
      <c r="G1140" s="418"/>
      <c r="H1140" s="18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17"/>
      <c r="Z1140" s="6"/>
      <c r="AA1140" s="18"/>
      <c r="AB1140" s="33"/>
      <c r="AC1140" s="34"/>
      <c r="AD1140" s="18"/>
      <c r="AE1140" s="18"/>
    </row>
    <row r="1141">
      <c r="A1141" s="5" t="s">
        <v>3507</v>
      </c>
      <c r="B1141" s="8" t="s">
        <v>3523</v>
      </c>
      <c r="C1141" s="21" t="s">
        <v>1166</v>
      </c>
      <c r="D1141" s="21" t="s">
        <v>523</v>
      </c>
      <c r="E1141" s="53">
        <v>2367.8280000000004</v>
      </c>
      <c r="F1141" s="30">
        <v>2558.0</v>
      </c>
      <c r="G1141" s="418"/>
      <c r="H1141" s="18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17"/>
      <c r="Z1141" s="6"/>
      <c r="AA1141" s="18"/>
      <c r="AB1141" s="33"/>
      <c r="AC1141" s="34"/>
      <c r="AD1141" s="18"/>
      <c r="AE1141" s="18"/>
    </row>
    <row r="1142">
      <c r="A1142" s="5" t="s">
        <v>3507</v>
      </c>
      <c r="B1142" s="8" t="s">
        <v>3523</v>
      </c>
      <c r="C1142" s="21" t="s">
        <v>2298</v>
      </c>
      <c r="D1142" s="21" t="s">
        <v>1124</v>
      </c>
      <c r="E1142" s="53">
        <v>2044.0</v>
      </c>
      <c r="F1142" s="30">
        <v>2208.0</v>
      </c>
      <c r="G1142" s="418"/>
      <c r="H1142" s="18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17"/>
      <c r="Z1142" s="6"/>
      <c r="AA1142" s="18"/>
      <c r="AB1142" s="33"/>
      <c r="AC1142" s="34"/>
      <c r="AD1142" s="18"/>
      <c r="AE1142" s="18"/>
    </row>
    <row r="1143">
      <c r="A1143" s="5" t="s">
        <v>3507</v>
      </c>
      <c r="B1143" s="8" t="s">
        <v>3523</v>
      </c>
      <c r="C1143" s="21" t="s">
        <v>2300</v>
      </c>
      <c r="D1143" s="21" t="s">
        <v>395</v>
      </c>
      <c r="E1143" s="53">
        <v>368.0</v>
      </c>
      <c r="F1143" s="30">
        <v>396.0</v>
      </c>
      <c r="G1143" s="418"/>
      <c r="H1143" s="18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17"/>
      <c r="Z1143" s="6"/>
      <c r="AA1143" s="18"/>
      <c r="AB1143" s="33"/>
      <c r="AC1143" s="34"/>
      <c r="AD1143" s="18"/>
      <c r="AE1143" s="18"/>
    </row>
    <row r="1144">
      <c r="A1144" s="5" t="s">
        <v>3507</v>
      </c>
      <c r="B1144" s="8" t="s">
        <v>3523</v>
      </c>
      <c r="C1144" s="21" t="s">
        <v>2303</v>
      </c>
      <c r="D1144" s="21" t="s">
        <v>359</v>
      </c>
      <c r="E1144" s="53">
        <v>712.32</v>
      </c>
      <c r="F1144" s="30">
        <v>768.0</v>
      </c>
      <c r="G1144" s="418"/>
      <c r="H1144" s="18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17"/>
      <c r="Z1144" s="6"/>
      <c r="AA1144" s="18"/>
      <c r="AB1144" s="33"/>
      <c r="AC1144" s="34"/>
      <c r="AD1144" s="18"/>
      <c r="AE1144" s="18"/>
    </row>
    <row r="1145">
      <c r="A1145" s="5" t="s">
        <v>3507</v>
      </c>
      <c r="B1145" s="8" t="s">
        <v>3523</v>
      </c>
      <c r="C1145" s="21" t="s">
        <v>2305</v>
      </c>
      <c r="D1145" s="21" t="s">
        <v>1946</v>
      </c>
      <c r="E1145" s="53">
        <v>856.0</v>
      </c>
      <c r="F1145" s="30">
        <v>924.0</v>
      </c>
      <c r="G1145" s="418"/>
      <c r="H1145" s="18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17"/>
      <c r="Z1145" s="6"/>
      <c r="AA1145" s="18"/>
      <c r="AB1145" s="33"/>
      <c r="AC1145" s="34"/>
      <c r="AD1145" s="18"/>
      <c r="AE1145" s="18"/>
    </row>
    <row r="1146">
      <c r="A1146" s="5" t="s">
        <v>3507</v>
      </c>
      <c r="B1146" s="8" t="s">
        <v>3523</v>
      </c>
      <c r="C1146" s="21" t="s">
        <v>2307</v>
      </c>
      <c r="D1146" s="21" t="s">
        <v>1145</v>
      </c>
      <c r="E1146" s="53">
        <v>1848.0</v>
      </c>
      <c r="F1146" s="30">
        <v>1994.0</v>
      </c>
      <c r="G1146" s="418"/>
      <c r="H1146" s="18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17"/>
      <c r="Z1146" s="6"/>
      <c r="AA1146" s="18"/>
      <c r="AB1146" s="33"/>
      <c r="AC1146" s="34"/>
      <c r="AD1146" s="18"/>
      <c r="AE1146" s="18"/>
    </row>
    <row r="1147">
      <c r="A1147" s="5" t="s">
        <v>3507</v>
      </c>
      <c r="B1147" s="8" t="s">
        <v>3524</v>
      </c>
      <c r="C1147" s="21" t="str">
        <f t="array" ref="C1147:F1162">'COLOUR WISE'!B295:E310</f>
        <v>123-QAB</v>
      </c>
      <c r="D1147" s="21" t="s">
        <v>306</v>
      </c>
      <c r="E1147" s="53">
        <v>398.05459200000007</v>
      </c>
      <c r="F1147" s="30">
        <v>432.0</v>
      </c>
      <c r="G1147" s="418"/>
      <c r="H1147" s="18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17"/>
      <c r="Z1147" s="6"/>
      <c r="AA1147" s="18"/>
      <c r="AB1147" s="33"/>
      <c r="AC1147" s="34"/>
      <c r="AD1147" s="18"/>
      <c r="AE1147" s="18"/>
    </row>
    <row r="1148">
      <c r="A1148" s="5" t="s">
        <v>3507</v>
      </c>
      <c r="B1148" s="8" t="s">
        <v>3524</v>
      </c>
      <c r="C1148" s="21" t="s">
        <v>2315</v>
      </c>
      <c r="D1148" s="21" t="s">
        <v>339</v>
      </c>
      <c r="E1148" s="53">
        <v>498.0</v>
      </c>
      <c r="F1148" s="30">
        <v>538.0</v>
      </c>
      <c r="G1148" s="418"/>
      <c r="H1148" s="18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17"/>
      <c r="Z1148" s="6"/>
      <c r="AA1148" s="18"/>
      <c r="AB1148" s="33"/>
      <c r="AC1148" s="34"/>
      <c r="AD1148" s="18"/>
      <c r="AE1148" s="18"/>
    </row>
    <row r="1149">
      <c r="A1149" s="5" t="s">
        <v>3507</v>
      </c>
      <c r="B1149" s="8" t="s">
        <v>3524</v>
      </c>
      <c r="C1149" s="21" t="s">
        <v>2317</v>
      </c>
      <c r="D1149" s="21" t="s">
        <v>363</v>
      </c>
      <c r="E1149" s="53">
        <v>426.12</v>
      </c>
      <c r="F1149" s="30">
        <v>462.0</v>
      </c>
      <c r="G1149" s="418"/>
      <c r="H1149" s="18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17"/>
      <c r="Z1149" s="6"/>
      <c r="AA1149" s="18"/>
      <c r="AB1149" s="33"/>
      <c r="AC1149" s="34"/>
      <c r="AD1149" s="18"/>
      <c r="AE1149" s="18"/>
    </row>
    <row r="1150">
      <c r="A1150" s="5" t="s">
        <v>3507</v>
      </c>
      <c r="B1150" s="8" t="s">
        <v>3524</v>
      </c>
      <c r="C1150" s="21" t="s">
        <v>2319</v>
      </c>
      <c r="D1150" s="21" t="s">
        <v>666</v>
      </c>
      <c r="E1150" s="53">
        <v>750.3528</v>
      </c>
      <c r="F1150" s="30">
        <v>812.0</v>
      </c>
      <c r="G1150" s="418"/>
      <c r="H1150" s="18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17"/>
      <c r="Z1150" s="6"/>
      <c r="AA1150" s="18"/>
      <c r="AB1150" s="33"/>
      <c r="AC1150" s="34"/>
      <c r="AD1150" s="18"/>
      <c r="AE1150" s="18"/>
    </row>
    <row r="1151">
      <c r="A1151" s="5" t="s">
        <v>3507</v>
      </c>
      <c r="B1151" s="8" t="s">
        <v>3524</v>
      </c>
      <c r="C1151" s="21" t="s">
        <v>2322</v>
      </c>
      <c r="D1151" s="21" t="s">
        <v>682</v>
      </c>
      <c r="E1151" s="53">
        <v>514.0</v>
      </c>
      <c r="F1151" s="30">
        <v>554.0</v>
      </c>
      <c r="G1151" s="418"/>
      <c r="H1151" s="18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17"/>
      <c r="Z1151" s="6"/>
      <c r="AA1151" s="18"/>
      <c r="AB1151" s="33"/>
      <c r="AC1151" s="34"/>
      <c r="AD1151" s="18"/>
      <c r="AE1151" s="18"/>
    </row>
    <row r="1152">
      <c r="A1152" s="5" t="s">
        <v>3507</v>
      </c>
      <c r="B1152" s="8" t="s">
        <v>3524</v>
      </c>
      <c r="C1152" s="21" t="s">
        <v>1169</v>
      </c>
      <c r="D1152" s="21" t="s">
        <v>696</v>
      </c>
      <c r="E1152" s="53">
        <v>798.0</v>
      </c>
      <c r="F1152" s="30">
        <v>864.0</v>
      </c>
      <c r="G1152" s="418"/>
      <c r="H1152" s="18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17"/>
      <c r="Z1152" s="6"/>
      <c r="AA1152" s="18"/>
      <c r="AB1152" s="33"/>
      <c r="AC1152" s="34"/>
      <c r="AD1152" s="18"/>
      <c r="AE1152" s="18"/>
    </row>
    <row r="1153">
      <c r="A1153" s="5" t="s">
        <v>3507</v>
      </c>
      <c r="B1153" s="8" t="s">
        <v>3524</v>
      </c>
      <c r="C1153" s="21" t="s">
        <v>2323</v>
      </c>
      <c r="D1153" s="21" t="s">
        <v>692</v>
      </c>
      <c r="E1153" s="53">
        <v>809.84</v>
      </c>
      <c r="F1153" s="30">
        <v>876.0</v>
      </c>
      <c r="G1153" s="418"/>
      <c r="H1153" s="18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17"/>
      <c r="Z1153" s="6"/>
      <c r="AA1153" s="18"/>
      <c r="AB1153" s="33"/>
      <c r="AC1153" s="34"/>
      <c r="AD1153" s="18"/>
      <c r="AE1153" s="18"/>
    </row>
    <row r="1154">
      <c r="A1154" s="5" t="s">
        <v>3507</v>
      </c>
      <c r="B1154" s="8" t="s">
        <v>3524</v>
      </c>
      <c r="C1154" s="21" t="s">
        <v>2325</v>
      </c>
      <c r="D1154" s="21" t="s">
        <v>2133</v>
      </c>
      <c r="E1154" s="53">
        <v>809.84</v>
      </c>
      <c r="F1154" s="30">
        <v>876.0</v>
      </c>
      <c r="G1154" s="418"/>
      <c r="H1154" s="18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17"/>
      <c r="Z1154" s="6"/>
      <c r="AA1154" s="18"/>
      <c r="AB1154" s="33"/>
      <c r="AC1154" s="34"/>
      <c r="AD1154" s="18"/>
      <c r="AE1154" s="18"/>
    </row>
    <row r="1155">
      <c r="A1155" s="5" t="s">
        <v>3507</v>
      </c>
      <c r="B1155" s="8" t="s">
        <v>3524</v>
      </c>
      <c r="C1155" s="21" t="s">
        <v>2328</v>
      </c>
      <c r="D1155" s="21" t="s">
        <v>913</v>
      </c>
      <c r="E1155" s="53">
        <v>1729.92</v>
      </c>
      <c r="F1155" s="30">
        <v>1868.0</v>
      </c>
      <c r="G1155" s="418"/>
      <c r="H1155" s="18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17"/>
      <c r="Z1155" s="6"/>
      <c r="AA1155" s="18"/>
      <c r="AB1155" s="33"/>
      <c r="AC1155" s="34"/>
      <c r="AD1155" s="18"/>
      <c r="AE1155" s="18"/>
    </row>
    <row r="1156">
      <c r="A1156" s="5" t="s">
        <v>3507</v>
      </c>
      <c r="B1156" s="8" t="s">
        <v>3524</v>
      </c>
      <c r="C1156" s="21" t="s">
        <v>2329</v>
      </c>
      <c r="D1156" s="21" t="s">
        <v>1949</v>
      </c>
      <c r="E1156" s="53">
        <v>1774.44</v>
      </c>
      <c r="F1156" s="30">
        <v>1916.0</v>
      </c>
      <c r="G1156" s="418"/>
      <c r="H1156" s="18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17"/>
      <c r="Z1156" s="6"/>
      <c r="AA1156" s="18"/>
      <c r="AB1156" s="33"/>
      <c r="AC1156" s="34"/>
      <c r="AD1156" s="18"/>
      <c r="AE1156" s="18"/>
    </row>
    <row r="1157">
      <c r="A1157" s="5" t="s">
        <v>3507</v>
      </c>
      <c r="B1157" s="8" t="s">
        <v>3524</v>
      </c>
      <c r="C1157" s="21" t="s">
        <v>1170</v>
      </c>
      <c r="D1157" s="21" t="s">
        <v>523</v>
      </c>
      <c r="E1157" s="53">
        <v>2367.8280000000004</v>
      </c>
      <c r="F1157" s="30">
        <v>2558.0</v>
      </c>
      <c r="G1157" s="418"/>
      <c r="H1157" s="18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17"/>
      <c r="Z1157" s="6"/>
      <c r="AA1157" s="18"/>
      <c r="AB1157" s="33"/>
      <c r="AC1157" s="34"/>
      <c r="AD1157" s="18"/>
      <c r="AE1157" s="18"/>
    </row>
    <row r="1158">
      <c r="A1158" s="5" t="s">
        <v>3507</v>
      </c>
      <c r="B1158" s="8" t="s">
        <v>3524</v>
      </c>
      <c r="C1158" s="21" t="s">
        <v>2336</v>
      </c>
      <c r="D1158" s="21" t="s">
        <v>1124</v>
      </c>
      <c r="E1158" s="53">
        <v>2044.0</v>
      </c>
      <c r="F1158" s="30">
        <v>2208.0</v>
      </c>
      <c r="G1158" s="418"/>
      <c r="H1158" s="18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17"/>
      <c r="Z1158" s="6"/>
      <c r="AA1158" s="18"/>
      <c r="AB1158" s="33"/>
      <c r="AC1158" s="34"/>
      <c r="AD1158" s="18"/>
      <c r="AE1158" s="18"/>
    </row>
    <row r="1159">
      <c r="A1159" s="5" t="s">
        <v>3507</v>
      </c>
      <c r="B1159" s="8" t="s">
        <v>3524</v>
      </c>
      <c r="C1159" s="21" t="s">
        <v>2339</v>
      </c>
      <c r="D1159" s="21" t="s">
        <v>395</v>
      </c>
      <c r="E1159" s="53">
        <v>368.0</v>
      </c>
      <c r="F1159" s="30">
        <v>396.0</v>
      </c>
      <c r="G1159" s="418"/>
      <c r="H1159" s="18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17"/>
      <c r="Z1159" s="6"/>
      <c r="AA1159" s="18"/>
      <c r="AB1159" s="33"/>
      <c r="AC1159" s="34"/>
      <c r="AD1159" s="18"/>
      <c r="AE1159" s="18"/>
    </row>
    <row r="1160">
      <c r="A1160" s="5" t="s">
        <v>3507</v>
      </c>
      <c r="B1160" s="8" t="s">
        <v>3524</v>
      </c>
      <c r="C1160" s="21" t="s">
        <v>2342</v>
      </c>
      <c r="D1160" s="21" t="s">
        <v>359</v>
      </c>
      <c r="E1160" s="53">
        <v>712.32</v>
      </c>
      <c r="F1160" s="30">
        <v>768.0</v>
      </c>
      <c r="G1160" s="418"/>
      <c r="H1160" s="18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17"/>
      <c r="Z1160" s="6"/>
      <c r="AA1160" s="18"/>
      <c r="AB1160" s="33"/>
      <c r="AC1160" s="34"/>
      <c r="AD1160" s="18"/>
      <c r="AE1160" s="18"/>
    </row>
    <row r="1161">
      <c r="A1161" s="5" t="s">
        <v>3507</v>
      </c>
      <c r="B1161" s="8" t="s">
        <v>3524</v>
      </c>
      <c r="C1161" s="21" t="s">
        <v>2344</v>
      </c>
      <c r="D1161" s="21" t="s">
        <v>1145</v>
      </c>
      <c r="E1161" s="53">
        <v>1848.0</v>
      </c>
      <c r="F1161" s="30">
        <v>1994.0</v>
      </c>
      <c r="G1161" s="418"/>
      <c r="H1161" s="18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17"/>
      <c r="Z1161" s="6"/>
      <c r="AA1161" s="18"/>
      <c r="AB1161" s="33"/>
      <c r="AC1161" s="34"/>
      <c r="AD1161" s="18"/>
      <c r="AE1161" s="18"/>
    </row>
    <row r="1162">
      <c r="A1162" s="5" t="s">
        <v>3507</v>
      </c>
      <c r="B1162" s="8" t="s">
        <v>3524</v>
      </c>
      <c r="C1162" s="21" t="s">
        <v>2346</v>
      </c>
      <c r="D1162" s="21" t="s">
        <v>2219</v>
      </c>
      <c r="E1162" s="53">
        <v>1884.0</v>
      </c>
      <c r="F1162" s="30">
        <v>2034.0</v>
      </c>
      <c r="G1162" s="418"/>
      <c r="H1162" s="18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17"/>
      <c r="Z1162" s="6"/>
      <c r="AA1162" s="18"/>
      <c r="AB1162" s="33"/>
      <c r="AC1162" s="34"/>
      <c r="AD1162" s="18"/>
      <c r="AE1162" s="18"/>
    </row>
    <row r="1163">
      <c r="A1163" s="5" t="s">
        <v>3507</v>
      </c>
      <c r="B1163" s="8" t="s">
        <v>3525</v>
      </c>
      <c r="C1163" s="21" t="str">
        <f t="array" ref="C1163:F1182">'COLOUR WISE'!B313:E332</f>
        <v>121-RG</v>
      </c>
      <c r="D1163" s="21" t="s">
        <v>746</v>
      </c>
      <c r="E1163" s="53">
        <v>383.72</v>
      </c>
      <c r="F1163" s="30">
        <v>416.0</v>
      </c>
      <c r="G1163" s="418"/>
      <c r="H1163" s="18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17"/>
      <c r="Z1163" s="6"/>
      <c r="AA1163" s="18"/>
      <c r="AB1163" s="33"/>
      <c r="AC1163" s="34"/>
      <c r="AD1163" s="18"/>
      <c r="AE1163" s="18"/>
    </row>
    <row r="1164">
      <c r="A1164" s="5" t="s">
        <v>3507</v>
      </c>
      <c r="B1164" s="8" t="s">
        <v>3525</v>
      </c>
      <c r="C1164" s="21" t="s">
        <v>2355</v>
      </c>
      <c r="D1164" s="21" t="s">
        <v>748</v>
      </c>
      <c r="E1164" s="53">
        <v>383.72</v>
      </c>
      <c r="F1164" s="30">
        <v>416.0</v>
      </c>
      <c r="G1164" s="418"/>
      <c r="H1164" s="18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17"/>
      <c r="Z1164" s="6"/>
      <c r="AA1164" s="18"/>
      <c r="AB1164" s="33"/>
      <c r="AC1164" s="34"/>
      <c r="AD1164" s="18"/>
      <c r="AE1164" s="18"/>
    </row>
    <row r="1165">
      <c r="A1165" s="5" t="s">
        <v>3507</v>
      </c>
      <c r="B1165" s="8" t="s">
        <v>3525</v>
      </c>
      <c r="C1165" s="21" t="s">
        <v>2356</v>
      </c>
      <c r="D1165" s="21" t="s">
        <v>306</v>
      </c>
      <c r="E1165" s="53">
        <v>416.0</v>
      </c>
      <c r="F1165" s="30">
        <v>448.0</v>
      </c>
      <c r="G1165" s="418"/>
      <c r="H1165" s="18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17"/>
      <c r="Z1165" s="6"/>
      <c r="AA1165" s="18"/>
      <c r="AB1165" s="33"/>
      <c r="AC1165" s="34"/>
      <c r="AD1165" s="18"/>
      <c r="AE1165" s="18"/>
    </row>
    <row r="1166">
      <c r="A1166" s="5" t="s">
        <v>3507</v>
      </c>
      <c r="B1166" s="8" t="s">
        <v>3525</v>
      </c>
      <c r="C1166" s="21" t="s">
        <v>2360</v>
      </c>
      <c r="D1166" s="21" t="s">
        <v>751</v>
      </c>
      <c r="E1166" s="53">
        <v>406.0</v>
      </c>
      <c r="F1166" s="30">
        <v>438.0</v>
      </c>
      <c r="G1166" s="418"/>
      <c r="H1166" s="18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17"/>
      <c r="Z1166" s="6"/>
      <c r="AA1166" s="18"/>
      <c r="AB1166" s="33"/>
      <c r="AC1166" s="34"/>
      <c r="AD1166" s="18"/>
      <c r="AE1166" s="18"/>
    </row>
    <row r="1167">
      <c r="A1167" s="5" t="s">
        <v>3507</v>
      </c>
      <c r="B1167" s="8" t="s">
        <v>3525</v>
      </c>
      <c r="C1167" s="21" t="s">
        <v>2361</v>
      </c>
      <c r="D1167" s="21" t="s">
        <v>666</v>
      </c>
      <c r="E1167" s="53">
        <v>724.0</v>
      </c>
      <c r="F1167" s="30">
        <v>782.0</v>
      </c>
      <c r="G1167" s="418"/>
      <c r="H1167" s="18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17"/>
      <c r="Z1167" s="6"/>
      <c r="AA1167" s="18"/>
      <c r="AB1167" s="33"/>
      <c r="AC1167" s="34"/>
      <c r="AD1167" s="18"/>
      <c r="AE1167" s="18"/>
    </row>
    <row r="1168">
      <c r="A1168" s="5" t="s">
        <v>3507</v>
      </c>
      <c r="B1168" s="8" t="s">
        <v>3525</v>
      </c>
      <c r="C1168" s="21" t="s">
        <v>2365</v>
      </c>
      <c r="D1168" s="21" t="s">
        <v>682</v>
      </c>
      <c r="E1168" s="53">
        <v>493.96000000000004</v>
      </c>
      <c r="F1168" s="30">
        <v>534.0</v>
      </c>
      <c r="G1168" s="418"/>
      <c r="H1168" s="18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17"/>
      <c r="Z1168" s="6"/>
      <c r="AA1168" s="18"/>
      <c r="AB1168" s="33"/>
      <c r="AC1168" s="34"/>
      <c r="AD1168" s="18"/>
      <c r="AE1168" s="18"/>
    </row>
    <row r="1169">
      <c r="A1169" s="5" t="s">
        <v>3507</v>
      </c>
      <c r="B1169" s="8" t="s">
        <v>3525</v>
      </c>
      <c r="C1169" s="21" t="s">
        <v>2367</v>
      </c>
      <c r="D1169" s="21" t="s">
        <v>756</v>
      </c>
      <c r="E1169" s="53">
        <v>493.96000000000004</v>
      </c>
      <c r="F1169" s="30">
        <v>534.0</v>
      </c>
      <c r="G1169" s="418"/>
      <c r="H1169" s="18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17"/>
      <c r="Z1169" s="6"/>
      <c r="AA1169" s="18"/>
      <c r="AB1169" s="33"/>
      <c r="AC1169" s="34"/>
      <c r="AD1169" s="18"/>
      <c r="AE1169" s="18"/>
    </row>
    <row r="1170">
      <c r="A1170" s="5" t="s">
        <v>3507</v>
      </c>
      <c r="B1170" s="8" t="s">
        <v>3525</v>
      </c>
      <c r="C1170" s="21" t="s">
        <v>2369</v>
      </c>
      <c r="D1170" s="21" t="s">
        <v>2371</v>
      </c>
      <c r="E1170" s="53">
        <v>807.72</v>
      </c>
      <c r="F1170" s="30">
        <v>874.0</v>
      </c>
      <c r="G1170" s="418"/>
      <c r="H1170" s="18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17"/>
      <c r="Z1170" s="6"/>
      <c r="AA1170" s="18"/>
      <c r="AB1170" s="33"/>
      <c r="AC1170" s="34"/>
      <c r="AD1170" s="18"/>
      <c r="AE1170" s="18"/>
    </row>
    <row r="1171">
      <c r="A1171" s="5" t="s">
        <v>3507</v>
      </c>
      <c r="B1171" s="8" t="s">
        <v>3525</v>
      </c>
      <c r="C1171" s="21" t="s">
        <v>2372</v>
      </c>
      <c r="D1171" s="253" t="s">
        <v>2209</v>
      </c>
      <c r="E1171" s="53">
        <v>756.0</v>
      </c>
      <c r="F1171" s="30">
        <v>814.0</v>
      </c>
      <c r="G1171" s="418"/>
      <c r="H1171" s="18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17"/>
      <c r="Z1171" s="6"/>
      <c r="AA1171" s="18"/>
      <c r="AB1171" s="33"/>
      <c r="AC1171" s="34"/>
      <c r="AD1171" s="18"/>
      <c r="AE1171" s="18"/>
    </row>
    <row r="1172">
      <c r="A1172" s="5" t="s">
        <v>3507</v>
      </c>
      <c r="B1172" s="8" t="s">
        <v>3525</v>
      </c>
      <c r="C1172" s="21" t="s">
        <v>2376</v>
      </c>
      <c r="D1172" s="21" t="s">
        <v>2377</v>
      </c>
      <c r="E1172" s="53">
        <v>807.72</v>
      </c>
      <c r="F1172" s="30">
        <v>872.0</v>
      </c>
      <c r="G1172" s="418"/>
      <c r="H1172" s="18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17"/>
      <c r="Z1172" s="6"/>
      <c r="AA1172" s="18"/>
      <c r="AB1172" s="33"/>
      <c r="AC1172" s="34"/>
      <c r="AD1172" s="18"/>
      <c r="AE1172" s="18"/>
    </row>
    <row r="1173">
      <c r="A1173" s="5" t="s">
        <v>3507</v>
      </c>
      <c r="B1173" s="8" t="s">
        <v>3525</v>
      </c>
      <c r="C1173" s="21" t="s">
        <v>2378</v>
      </c>
      <c r="D1173" s="21" t="s">
        <v>913</v>
      </c>
      <c r="E1173" s="53">
        <v>1708.296</v>
      </c>
      <c r="F1173" s="30">
        <v>1848.0</v>
      </c>
      <c r="G1173" s="418"/>
      <c r="H1173" s="18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17"/>
      <c r="Z1173" s="6"/>
      <c r="AA1173" s="18"/>
      <c r="AB1173" s="33"/>
      <c r="AC1173" s="34"/>
      <c r="AD1173" s="18"/>
      <c r="AE1173" s="18"/>
    </row>
    <row r="1174">
      <c r="A1174" s="5" t="s">
        <v>3507</v>
      </c>
      <c r="B1174" s="8" t="s">
        <v>3525</v>
      </c>
      <c r="C1174" s="21" t="s">
        <v>2380</v>
      </c>
      <c r="D1174" s="21" t="s">
        <v>1949</v>
      </c>
      <c r="E1174" s="53">
        <v>1620.0</v>
      </c>
      <c r="F1174" s="30">
        <v>1748.0</v>
      </c>
      <c r="G1174" s="418"/>
      <c r="H1174" s="18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17"/>
      <c r="Z1174" s="6"/>
      <c r="AA1174" s="18"/>
      <c r="AB1174" s="33"/>
      <c r="AC1174" s="34"/>
      <c r="AD1174" s="18"/>
      <c r="AE1174" s="18"/>
    </row>
    <row r="1175">
      <c r="A1175" s="5" t="s">
        <v>3507</v>
      </c>
      <c r="B1175" s="8" t="s">
        <v>3525</v>
      </c>
      <c r="C1175" s="21" t="s">
        <v>1175</v>
      </c>
      <c r="D1175" s="21" t="s">
        <v>523</v>
      </c>
      <c r="E1175" s="53">
        <v>2316.0</v>
      </c>
      <c r="F1175" s="30">
        <v>2498.0</v>
      </c>
      <c r="G1175" s="418"/>
      <c r="H1175" s="18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17"/>
      <c r="Z1175" s="6"/>
      <c r="AA1175" s="18"/>
      <c r="AB1175" s="33"/>
      <c r="AC1175" s="34"/>
      <c r="AD1175" s="18"/>
      <c r="AE1175" s="18"/>
    </row>
    <row r="1176">
      <c r="A1176" s="5" t="s">
        <v>3507</v>
      </c>
      <c r="B1176" s="8" t="s">
        <v>3525</v>
      </c>
      <c r="C1176" s="21" t="s">
        <v>2385</v>
      </c>
      <c r="D1176" s="21" t="s">
        <v>1124</v>
      </c>
      <c r="E1176" s="53">
        <v>1992.0</v>
      </c>
      <c r="F1176" s="30">
        <v>2148.0</v>
      </c>
      <c r="G1176" s="418"/>
      <c r="H1176" s="18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17"/>
      <c r="Z1176" s="6"/>
      <c r="AA1176" s="18"/>
      <c r="AB1176" s="33"/>
      <c r="AC1176" s="34"/>
      <c r="AD1176" s="18"/>
      <c r="AE1176" s="18"/>
    </row>
    <row r="1177">
      <c r="A1177" s="5" t="s">
        <v>3507</v>
      </c>
      <c r="B1177" s="8" t="s">
        <v>3525</v>
      </c>
      <c r="C1177" s="21" t="s">
        <v>2387</v>
      </c>
      <c r="D1177" s="21" t="s">
        <v>395</v>
      </c>
      <c r="E1177" s="53">
        <v>366.0</v>
      </c>
      <c r="F1177" s="30">
        <v>394.0</v>
      </c>
      <c r="G1177" s="418"/>
      <c r="H1177" s="18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17"/>
      <c r="Z1177" s="6"/>
      <c r="AA1177" s="18"/>
      <c r="AB1177" s="33"/>
      <c r="AC1177" s="34"/>
      <c r="AD1177" s="18"/>
      <c r="AE1177" s="18"/>
    </row>
    <row r="1178">
      <c r="A1178" s="5" t="s">
        <v>3507</v>
      </c>
      <c r="B1178" s="8" t="s">
        <v>3525</v>
      </c>
      <c r="C1178" s="21" t="s">
        <v>2389</v>
      </c>
      <c r="D1178" s="21" t="s">
        <v>359</v>
      </c>
      <c r="E1178" s="53">
        <v>664.0</v>
      </c>
      <c r="F1178" s="30">
        <v>716.0</v>
      </c>
      <c r="G1178" s="418"/>
      <c r="H1178" s="18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17"/>
      <c r="Z1178" s="6"/>
      <c r="AA1178" s="18"/>
      <c r="AB1178" s="33"/>
      <c r="AC1178" s="34"/>
      <c r="AD1178" s="18"/>
      <c r="AE1178" s="18"/>
    </row>
    <row r="1179">
      <c r="A1179" s="5" t="s">
        <v>3507</v>
      </c>
      <c r="B1179" s="8" t="s">
        <v>3525</v>
      </c>
      <c r="C1179" s="21" t="s">
        <v>2393</v>
      </c>
      <c r="D1179" s="21" t="s">
        <v>1137</v>
      </c>
      <c r="E1179" s="53">
        <v>730.0</v>
      </c>
      <c r="F1179" s="30">
        <v>788.0</v>
      </c>
      <c r="G1179" s="418"/>
      <c r="H1179" s="18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17"/>
      <c r="Z1179" s="6"/>
      <c r="AA1179" s="18"/>
      <c r="AB1179" s="33"/>
      <c r="AC1179" s="34"/>
      <c r="AD1179" s="18"/>
      <c r="AE1179" s="18"/>
    </row>
    <row r="1180">
      <c r="A1180" s="5" t="s">
        <v>3507</v>
      </c>
      <c r="B1180" s="8" t="s">
        <v>3525</v>
      </c>
      <c r="C1180" s="21" t="s">
        <v>2396</v>
      </c>
      <c r="D1180" s="21" t="s">
        <v>1141</v>
      </c>
      <c r="E1180" s="53">
        <v>775.9200000000001</v>
      </c>
      <c r="F1180" s="30">
        <v>838.0</v>
      </c>
      <c r="G1180" s="418"/>
      <c r="H1180" s="18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17"/>
      <c r="Z1180" s="6"/>
      <c r="AA1180" s="18"/>
      <c r="AB1180" s="33"/>
      <c r="AC1180" s="34"/>
      <c r="AD1180" s="18"/>
      <c r="AE1180" s="18"/>
    </row>
    <row r="1181">
      <c r="A1181" s="5" t="s">
        <v>3507</v>
      </c>
      <c r="B1181" s="8" t="s">
        <v>3525</v>
      </c>
      <c r="C1181" s="21" t="s">
        <v>2397</v>
      </c>
      <c r="D1181" s="21" t="s">
        <v>1145</v>
      </c>
      <c r="E1181" s="53">
        <v>1666.3200000000002</v>
      </c>
      <c r="F1181" s="30">
        <v>1798.0</v>
      </c>
      <c r="G1181" s="418"/>
      <c r="H1181" s="18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17"/>
      <c r="Z1181" s="6"/>
      <c r="AA1181" s="18"/>
      <c r="AB1181" s="33"/>
      <c r="AC1181" s="34"/>
      <c r="AD1181" s="18"/>
      <c r="AE1181" s="18"/>
    </row>
    <row r="1182">
      <c r="A1182" s="5" t="s">
        <v>3507</v>
      </c>
      <c r="B1182" s="8" t="s">
        <v>3525</v>
      </c>
      <c r="C1182" s="21" t="s">
        <v>2398</v>
      </c>
      <c r="D1182" s="21" t="s">
        <v>2219</v>
      </c>
      <c r="E1182" s="53">
        <v>1797.76</v>
      </c>
      <c r="F1182" s="30">
        <v>1942.0</v>
      </c>
      <c r="G1182" s="418"/>
      <c r="H1182" s="18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17"/>
      <c r="Z1182" s="6"/>
      <c r="AA1182" s="18"/>
      <c r="AB1182" s="33"/>
      <c r="AC1182" s="34"/>
      <c r="AD1182" s="18"/>
      <c r="AE1182" s="18"/>
    </row>
    <row r="1183">
      <c r="A1183" s="5" t="s">
        <v>3507</v>
      </c>
      <c r="B1183" s="8" t="s">
        <v>3526</v>
      </c>
      <c r="C1183" s="21" t="str">
        <f t="array" ref="C1183:F1202">'COLOUR WISE'!B335:E354</f>
        <v>121-RW</v>
      </c>
      <c r="D1183" s="21" t="s">
        <v>746</v>
      </c>
      <c r="E1183" s="53">
        <v>383.72</v>
      </c>
      <c r="F1183" s="30">
        <v>416.0</v>
      </c>
      <c r="G1183" s="418"/>
      <c r="H1183" s="18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17"/>
      <c r="Z1183" s="6"/>
      <c r="AA1183" s="18"/>
      <c r="AB1183" s="33"/>
      <c r="AC1183" s="34"/>
      <c r="AD1183" s="18"/>
      <c r="AE1183" s="18"/>
    </row>
    <row r="1184">
      <c r="A1184" s="5" t="s">
        <v>3507</v>
      </c>
      <c r="B1184" s="8" t="s">
        <v>3526</v>
      </c>
      <c r="C1184" s="21" t="s">
        <v>2400</v>
      </c>
      <c r="D1184" s="21" t="s">
        <v>748</v>
      </c>
      <c r="E1184" s="53">
        <v>383.72</v>
      </c>
      <c r="F1184" s="30">
        <v>416.0</v>
      </c>
      <c r="G1184" s="418"/>
      <c r="H1184" s="18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17"/>
      <c r="Z1184" s="6"/>
      <c r="AA1184" s="18"/>
      <c r="AB1184" s="33"/>
      <c r="AC1184" s="34"/>
      <c r="AD1184" s="18"/>
      <c r="AE1184" s="18"/>
    </row>
    <row r="1185">
      <c r="A1185" s="5" t="s">
        <v>3507</v>
      </c>
      <c r="B1185" s="8" t="s">
        <v>3526</v>
      </c>
      <c r="C1185" s="21" t="s">
        <v>2401</v>
      </c>
      <c r="D1185" s="21" t="s">
        <v>306</v>
      </c>
      <c r="E1185" s="53">
        <v>416.0</v>
      </c>
      <c r="F1185" s="30">
        <v>448.0</v>
      </c>
      <c r="G1185" s="418"/>
      <c r="H1185" s="18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17"/>
      <c r="Z1185" s="6"/>
      <c r="AA1185" s="18"/>
      <c r="AB1185" s="33"/>
      <c r="AC1185" s="34"/>
      <c r="AD1185" s="18"/>
      <c r="AE1185" s="18"/>
    </row>
    <row r="1186">
      <c r="A1186" s="5" t="s">
        <v>3507</v>
      </c>
      <c r="B1186" s="8" t="s">
        <v>3526</v>
      </c>
      <c r="C1186" s="21" t="s">
        <v>2402</v>
      </c>
      <c r="D1186" s="21" t="s">
        <v>751</v>
      </c>
      <c r="E1186" s="53">
        <v>406.0</v>
      </c>
      <c r="F1186" s="30">
        <v>438.0</v>
      </c>
      <c r="G1186" s="418"/>
      <c r="H1186" s="18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17"/>
      <c r="Z1186" s="6"/>
      <c r="AA1186" s="18"/>
      <c r="AB1186" s="33"/>
      <c r="AC1186" s="34"/>
      <c r="AD1186" s="18"/>
      <c r="AE1186" s="18"/>
    </row>
    <row r="1187">
      <c r="A1187" s="5" t="s">
        <v>3507</v>
      </c>
      <c r="B1187" s="8" t="s">
        <v>3526</v>
      </c>
      <c r="C1187" s="21" t="s">
        <v>2403</v>
      </c>
      <c r="D1187" s="21" t="s">
        <v>666</v>
      </c>
      <c r="E1187" s="53">
        <v>724.0</v>
      </c>
      <c r="F1187" s="30">
        <v>782.0</v>
      </c>
      <c r="G1187" s="418"/>
      <c r="H1187" s="18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17"/>
      <c r="Z1187" s="6"/>
      <c r="AA1187" s="18"/>
      <c r="AB1187" s="33"/>
      <c r="AC1187" s="34"/>
      <c r="AD1187" s="18"/>
      <c r="AE1187" s="18"/>
    </row>
    <row r="1188">
      <c r="A1188" s="5" t="s">
        <v>3507</v>
      </c>
      <c r="B1188" s="8" t="s">
        <v>3526</v>
      </c>
      <c r="C1188" s="21" t="s">
        <v>2404</v>
      </c>
      <c r="D1188" s="21" t="s">
        <v>682</v>
      </c>
      <c r="E1188" s="53">
        <v>493.96000000000004</v>
      </c>
      <c r="F1188" s="30">
        <v>534.0</v>
      </c>
      <c r="G1188" s="418"/>
      <c r="H1188" s="18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17"/>
      <c r="Z1188" s="6"/>
      <c r="AA1188" s="18"/>
      <c r="AB1188" s="33"/>
      <c r="AC1188" s="34"/>
      <c r="AD1188" s="18"/>
      <c r="AE1188" s="18"/>
    </row>
    <row r="1189">
      <c r="A1189" s="5" t="s">
        <v>3507</v>
      </c>
      <c r="B1189" s="8" t="s">
        <v>3526</v>
      </c>
      <c r="C1189" s="21" t="s">
        <v>2405</v>
      </c>
      <c r="D1189" s="21" t="s">
        <v>756</v>
      </c>
      <c r="E1189" s="53">
        <v>493.96000000000004</v>
      </c>
      <c r="F1189" s="30">
        <v>534.0</v>
      </c>
      <c r="G1189" s="418"/>
      <c r="H1189" s="18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17"/>
      <c r="Z1189" s="6"/>
      <c r="AA1189" s="18"/>
      <c r="AB1189" s="33"/>
      <c r="AC1189" s="34"/>
      <c r="AD1189" s="18"/>
      <c r="AE1189" s="18"/>
    </row>
    <row r="1190">
      <c r="A1190" s="5" t="s">
        <v>3507</v>
      </c>
      <c r="B1190" s="8" t="s">
        <v>3526</v>
      </c>
      <c r="C1190" s="21" t="s">
        <v>2406</v>
      </c>
      <c r="D1190" s="21" t="s">
        <v>2371</v>
      </c>
      <c r="E1190" s="53">
        <v>807.72</v>
      </c>
      <c r="F1190" s="30">
        <v>874.0</v>
      </c>
      <c r="G1190" s="418"/>
      <c r="H1190" s="18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17"/>
      <c r="Z1190" s="6"/>
      <c r="AA1190" s="18"/>
      <c r="AB1190" s="33"/>
      <c r="AC1190" s="34"/>
      <c r="AD1190" s="18"/>
      <c r="AE1190" s="18"/>
    </row>
    <row r="1191">
      <c r="A1191" s="5" t="s">
        <v>3507</v>
      </c>
      <c r="B1191" s="8" t="s">
        <v>3526</v>
      </c>
      <c r="C1191" s="21" t="s">
        <v>2407</v>
      </c>
      <c r="D1191" s="253" t="s">
        <v>2209</v>
      </c>
      <c r="E1191" s="53">
        <v>756.0</v>
      </c>
      <c r="F1191" s="30">
        <v>814.0</v>
      </c>
      <c r="G1191" s="418"/>
      <c r="H1191" s="18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17"/>
      <c r="Z1191" s="6"/>
      <c r="AA1191" s="18"/>
      <c r="AB1191" s="33"/>
      <c r="AC1191" s="34"/>
      <c r="AD1191" s="18"/>
      <c r="AE1191" s="18"/>
    </row>
    <row r="1192">
      <c r="A1192" s="5" t="s">
        <v>3507</v>
      </c>
      <c r="B1192" s="8" t="s">
        <v>3526</v>
      </c>
      <c r="C1192" s="21" t="s">
        <v>2408</v>
      </c>
      <c r="D1192" s="21" t="s">
        <v>2377</v>
      </c>
      <c r="E1192" s="53">
        <v>807.72</v>
      </c>
      <c r="F1192" s="30">
        <v>872.0</v>
      </c>
      <c r="G1192" s="418"/>
      <c r="H1192" s="18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17"/>
      <c r="Z1192" s="6"/>
      <c r="AA1192" s="18"/>
      <c r="AB1192" s="33"/>
      <c r="AC1192" s="34"/>
      <c r="AD1192" s="18"/>
      <c r="AE1192" s="18"/>
    </row>
    <row r="1193">
      <c r="A1193" s="5" t="s">
        <v>3507</v>
      </c>
      <c r="B1193" s="8" t="s">
        <v>3526</v>
      </c>
      <c r="C1193" s="21" t="s">
        <v>2409</v>
      </c>
      <c r="D1193" s="21" t="s">
        <v>913</v>
      </c>
      <c r="E1193" s="53">
        <v>1708.296</v>
      </c>
      <c r="F1193" s="30">
        <v>1848.0</v>
      </c>
      <c r="G1193" s="418"/>
      <c r="H1193" s="18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17"/>
      <c r="Z1193" s="6"/>
      <c r="AA1193" s="18"/>
      <c r="AB1193" s="33"/>
      <c r="AC1193" s="34"/>
      <c r="AD1193" s="18"/>
      <c r="AE1193" s="18"/>
    </row>
    <row r="1194">
      <c r="A1194" s="5" t="s">
        <v>3507</v>
      </c>
      <c r="B1194" s="8" t="s">
        <v>3526</v>
      </c>
      <c r="C1194" s="21" t="s">
        <v>2410</v>
      </c>
      <c r="D1194" s="21" t="s">
        <v>1949</v>
      </c>
      <c r="E1194" s="53">
        <v>1620.0</v>
      </c>
      <c r="F1194" s="30">
        <v>1748.0</v>
      </c>
      <c r="G1194" s="418"/>
      <c r="H1194" s="18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17"/>
      <c r="Z1194" s="6"/>
      <c r="AA1194" s="18"/>
      <c r="AB1194" s="33"/>
      <c r="AC1194" s="34"/>
      <c r="AD1194" s="18"/>
      <c r="AE1194" s="18"/>
    </row>
    <row r="1195">
      <c r="A1195" s="5" t="s">
        <v>3507</v>
      </c>
      <c r="B1195" s="8" t="s">
        <v>3526</v>
      </c>
      <c r="C1195" s="21" t="s">
        <v>1193</v>
      </c>
      <c r="D1195" s="21" t="s">
        <v>523</v>
      </c>
      <c r="E1195" s="53">
        <v>2316.0</v>
      </c>
      <c r="F1195" s="30">
        <v>2498.0</v>
      </c>
      <c r="G1195" s="418"/>
      <c r="H1195" s="18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17"/>
      <c r="Z1195" s="6"/>
      <c r="AA1195" s="18"/>
      <c r="AB1195" s="33"/>
      <c r="AC1195" s="34"/>
      <c r="AD1195" s="18"/>
      <c r="AE1195" s="18"/>
    </row>
    <row r="1196">
      <c r="A1196" s="5" t="s">
        <v>3507</v>
      </c>
      <c r="B1196" s="8" t="s">
        <v>3526</v>
      </c>
      <c r="C1196" s="21" t="s">
        <v>2411</v>
      </c>
      <c r="D1196" s="21" t="s">
        <v>1124</v>
      </c>
      <c r="E1196" s="53">
        <v>1992.0</v>
      </c>
      <c r="F1196" s="30">
        <v>2148.0</v>
      </c>
      <c r="G1196" s="418"/>
      <c r="H1196" s="18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17"/>
      <c r="Z1196" s="6"/>
      <c r="AA1196" s="18"/>
      <c r="AB1196" s="33"/>
      <c r="AC1196" s="34"/>
      <c r="AD1196" s="18"/>
      <c r="AE1196" s="18"/>
    </row>
    <row r="1197">
      <c r="A1197" s="5" t="s">
        <v>3507</v>
      </c>
      <c r="B1197" s="8" t="s">
        <v>3526</v>
      </c>
      <c r="C1197" s="21" t="s">
        <v>2412</v>
      </c>
      <c r="D1197" s="21" t="s">
        <v>395</v>
      </c>
      <c r="E1197" s="53">
        <v>366.0</v>
      </c>
      <c r="F1197" s="30">
        <v>394.0</v>
      </c>
      <c r="G1197" s="418"/>
      <c r="H1197" s="18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17"/>
      <c r="Z1197" s="6"/>
      <c r="AA1197" s="18"/>
      <c r="AB1197" s="33"/>
      <c r="AC1197" s="34"/>
      <c r="AD1197" s="18"/>
      <c r="AE1197" s="18"/>
    </row>
    <row r="1198">
      <c r="A1198" s="5" t="s">
        <v>3507</v>
      </c>
      <c r="B1198" s="8" t="s">
        <v>3526</v>
      </c>
      <c r="C1198" s="21" t="s">
        <v>2413</v>
      </c>
      <c r="D1198" s="21" t="s">
        <v>359</v>
      </c>
      <c r="E1198" s="53">
        <v>664.0</v>
      </c>
      <c r="F1198" s="30">
        <v>716.0</v>
      </c>
      <c r="G1198" s="418"/>
      <c r="H1198" s="18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17"/>
      <c r="Z1198" s="6"/>
      <c r="AA1198" s="18"/>
      <c r="AB1198" s="33"/>
      <c r="AC1198" s="34"/>
      <c r="AD1198" s="18"/>
      <c r="AE1198" s="18"/>
    </row>
    <row r="1199">
      <c r="A1199" s="5" t="s">
        <v>3507</v>
      </c>
      <c r="B1199" s="8" t="s">
        <v>3526</v>
      </c>
      <c r="C1199" s="21" t="s">
        <v>2414</v>
      </c>
      <c r="D1199" s="21" t="s">
        <v>1137</v>
      </c>
      <c r="E1199" s="53">
        <v>730.0</v>
      </c>
      <c r="F1199" s="30">
        <v>788.0</v>
      </c>
      <c r="G1199" s="418"/>
      <c r="H1199" s="18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17"/>
      <c r="Z1199" s="6"/>
      <c r="AA1199" s="18"/>
      <c r="AB1199" s="33"/>
      <c r="AC1199" s="34"/>
      <c r="AD1199" s="18"/>
      <c r="AE1199" s="18"/>
    </row>
    <row r="1200">
      <c r="A1200" s="5" t="s">
        <v>3507</v>
      </c>
      <c r="B1200" s="8" t="s">
        <v>3526</v>
      </c>
      <c r="C1200" s="21" t="s">
        <v>2415</v>
      </c>
      <c r="D1200" s="21" t="s">
        <v>1141</v>
      </c>
      <c r="E1200" s="53">
        <v>775.9200000000001</v>
      </c>
      <c r="F1200" s="30">
        <v>838.0</v>
      </c>
      <c r="G1200" s="418"/>
      <c r="H1200" s="18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17"/>
      <c r="Z1200" s="6"/>
      <c r="AA1200" s="18"/>
      <c r="AB1200" s="33"/>
      <c r="AC1200" s="34"/>
      <c r="AD1200" s="18"/>
      <c r="AE1200" s="18"/>
    </row>
    <row r="1201">
      <c r="A1201" s="5" t="s">
        <v>3507</v>
      </c>
      <c r="B1201" s="8" t="s">
        <v>3526</v>
      </c>
      <c r="C1201" s="21" t="s">
        <v>2416</v>
      </c>
      <c r="D1201" s="21" t="s">
        <v>1145</v>
      </c>
      <c r="E1201" s="53">
        <v>1666.3200000000002</v>
      </c>
      <c r="F1201" s="30">
        <v>1798.0</v>
      </c>
      <c r="G1201" s="418"/>
      <c r="H1201" s="18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17"/>
      <c r="Z1201" s="6"/>
      <c r="AA1201" s="18"/>
      <c r="AB1201" s="33"/>
      <c r="AC1201" s="34"/>
      <c r="AD1201" s="18"/>
      <c r="AE1201" s="18"/>
    </row>
    <row r="1202">
      <c r="A1202" s="5" t="s">
        <v>3507</v>
      </c>
      <c r="B1202" s="8" t="s">
        <v>3526</v>
      </c>
      <c r="C1202" s="21" t="s">
        <v>2417</v>
      </c>
      <c r="D1202" s="21" t="s">
        <v>2219</v>
      </c>
      <c r="E1202" s="53">
        <v>1797.76</v>
      </c>
      <c r="F1202" s="30">
        <v>1942.0</v>
      </c>
      <c r="G1202" s="418"/>
      <c r="H1202" s="18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17"/>
      <c r="Z1202" s="6"/>
      <c r="AA1202" s="18"/>
      <c r="AB1202" s="33"/>
      <c r="AC1202" s="34"/>
      <c r="AD1202" s="18"/>
      <c r="AE1202" s="18"/>
    </row>
    <row r="1203">
      <c r="A1203" s="5" t="s">
        <v>3507</v>
      </c>
      <c r="B1203" s="8" t="s">
        <v>3527</v>
      </c>
      <c r="C1203" s="21" t="str">
        <f t="array" ref="C1203:F1222">'COLOUR WISE'!B357:E376</f>
        <v>121-RR</v>
      </c>
      <c r="D1203" s="21" t="s">
        <v>746</v>
      </c>
      <c r="E1203" s="53">
        <v>383.72</v>
      </c>
      <c r="F1203" s="30">
        <v>416.0</v>
      </c>
      <c r="G1203" s="418"/>
      <c r="H1203" s="18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17"/>
      <c r="Z1203" s="6"/>
      <c r="AA1203" s="18"/>
      <c r="AB1203" s="33"/>
      <c r="AC1203" s="34"/>
      <c r="AD1203" s="18"/>
      <c r="AE1203" s="18"/>
    </row>
    <row r="1204">
      <c r="A1204" s="5" t="s">
        <v>3507</v>
      </c>
      <c r="B1204" s="8" t="s">
        <v>3527</v>
      </c>
      <c r="C1204" s="21" t="s">
        <v>2419</v>
      </c>
      <c r="D1204" s="21" t="s">
        <v>748</v>
      </c>
      <c r="E1204" s="53">
        <v>383.72</v>
      </c>
      <c r="F1204" s="30">
        <v>416.0</v>
      </c>
      <c r="G1204" s="418"/>
      <c r="H1204" s="18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17"/>
      <c r="Z1204" s="6"/>
      <c r="AA1204" s="18"/>
      <c r="AB1204" s="33"/>
      <c r="AC1204" s="34"/>
      <c r="AD1204" s="18"/>
      <c r="AE1204" s="18"/>
    </row>
    <row r="1205">
      <c r="A1205" s="5" t="s">
        <v>3507</v>
      </c>
      <c r="B1205" s="8" t="s">
        <v>3527</v>
      </c>
      <c r="C1205" s="21" t="s">
        <v>2420</v>
      </c>
      <c r="D1205" s="21" t="s">
        <v>306</v>
      </c>
      <c r="E1205" s="53">
        <v>416.0</v>
      </c>
      <c r="F1205" s="30">
        <v>448.0</v>
      </c>
      <c r="G1205" s="418"/>
      <c r="H1205" s="18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17"/>
      <c r="Z1205" s="6"/>
      <c r="AA1205" s="18"/>
      <c r="AB1205" s="33"/>
      <c r="AC1205" s="34"/>
      <c r="AD1205" s="18"/>
      <c r="AE1205" s="18"/>
    </row>
    <row r="1206">
      <c r="A1206" s="5" t="s">
        <v>3507</v>
      </c>
      <c r="B1206" s="8" t="s">
        <v>3527</v>
      </c>
      <c r="C1206" s="21" t="s">
        <v>2421</v>
      </c>
      <c r="D1206" s="21" t="s">
        <v>751</v>
      </c>
      <c r="E1206" s="53">
        <v>406.0</v>
      </c>
      <c r="F1206" s="30">
        <v>438.0</v>
      </c>
      <c r="G1206" s="418"/>
      <c r="H1206" s="18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17"/>
      <c r="Z1206" s="6"/>
      <c r="AA1206" s="18"/>
      <c r="AB1206" s="33"/>
      <c r="AC1206" s="34"/>
      <c r="AD1206" s="18"/>
      <c r="AE1206" s="18"/>
    </row>
    <row r="1207">
      <c r="A1207" s="5" t="s">
        <v>3507</v>
      </c>
      <c r="B1207" s="8" t="s">
        <v>3527</v>
      </c>
      <c r="C1207" s="21" t="s">
        <v>2422</v>
      </c>
      <c r="D1207" s="21" t="s">
        <v>666</v>
      </c>
      <c r="E1207" s="53">
        <v>724.0</v>
      </c>
      <c r="F1207" s="30">
        <v>782.0</v>
      </c>
      <c r="G1207" s="418"/>
      <c r="H1207" s="18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17"/>
      <c r="Z1207" s="6"/>
      <c r="AA1207" s="18"/>
      <c r="AB1207" s="33"/>
      <c r="AC1207" s="34"/>
      <c r="AD1207" s="18"/>
      <c r="AE1207" s="18"/>
    </row>
    <row r="1208">
      <c r="A1208" s="5" t="s">
        <v>3507</v>
      </c>
      <c r="B1208" s="8" t="s">
        <v>3527</v>
      </c>
      <c r="C1208" s="21" t="s">
        <v>2423</v>
      </c>
      <c r="D1208" s="21" t="s">
        <v>682</v>
      </c>
      <c r="E1208" s="53">
        <v>493.96000000000004</v>
      </c>
      <c r="F1208" s="30">
        <v>534.0</v>
      </c>
      <c r="G1208" s="418"/>
      <c r="H1208" s="18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17"/>
      <c r="Z1208" s="6"/>
      <c r="AA1208" s="18"/>
      <c r="AB1208" s="33"/>
      <c r="AC1208" s="34"/>
      <c r="AD1208" s="18"/>
      <c r="AE1208" s="18"/>
    </row>
    <row r="1209">
      <c r="A1209" s="5" t="s">
        <v>3507</v>
      </c>
      <c r="B1209" s="8" t="s">
        <v>3527</v>
      </c>
      <c r="C1209" s="21" t="s">
        <v>2424</v>
      </c>
      <c r="D1209" s="21" t="s">
        <v>756</v>
      </c>
      <c r="E1209" s="53">
        <v>493.96000000000004</v>
      </c>
      <c r="F1209" s="30">
        <v>534.0</v>
      </c>
      <c r="G1209" s="418"/>
      <c r="H1209" s="18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17"/>
      <c r="Z1209" s="6"/>
      <c r="AA1209" s="18"/>
      <c r="AB1209" s="33"/>
      <c r="AC1209" s="34"/>
      <c r="AD1209" s="18"/>
      <c r="AE1209" s="18"/>
    </row>
    <row r="1210">
      <c r="A1210" s="5" t="s">
        <v>3507</v>
      </c>
      <c r="B1210" s="8" t="s">
        <v>3527</v>
      </c>
      <c r="C1210" s="21" t="s">
        <v>2425</v>
      </c>
      <c r="D1210" s="21" t="s">
        <v>2371</v>
      </c>
      <c r="E1210" s="53">
        <v>807.72</v>
      </c>
      <c r="F1210" s="30">
        <v>874.0</v>
      </c>
      <c r="G1210" s="418"/>
      <c r="H1210" s="18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17"/>
      <c r="Z1210" s="6"/>
      <c r="AA1210" s="18"/>
      <c r="AB1210" s="33"/>
      <c r="AC1210" s="34"/>
      <c r="AD1210" s="18"/>
      <c r="AE1210" s="18"/>
    </row>
    <row r="1211">
      <c r="A1211" s="5" t="s">
        <v>3507</v>
      </c>
      <c r="B1211" s="8" t="s">
        <v>3527</v>
      </c>
      <c r="C1211" s="21" t="s">
        <v>2426</v>
      </c>
      <c r="D1211" s="253" t="s">
        <v>2209</v>
      </c>
      <c r="E1211" s="53">
        <v>756.0</v>
      </c>
      <c r="F1211" s="30">
        <v>814.0</v>
      </c>
      <c r="G1211" s="418"/>
      <c r="H1211" s="18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17"/>
      <c r="Z1211" s="6"/>
      <c r="AA1211" s="18"/>
      <c r="AB1211" s="33"/>
      <c r="AC1211" s="34"/>
      <c r="AD1211" s="18"/>
      <c r="AE1211" s="18"/>
    </row>
    <row r="1212">
      <c r="A1212" s="5" t="s">
        <v>3507</v>
      </c>
      <c r="B1212" s="8" t="s">
        <v>3527</v>
      </c>
      <c r="C1212" s="21" t="s">
        <v>2427</v>
      </c>
      <c r="D1212" s="21" t="s">
        <v>2377</v>
      </c>
      <c r="E1212" s="53">
        <v>807.72</v>
      </c>
      <c r="F1212" s="30">
        <v>872.0</v>
      </c>
      <c r="G1212" s="418"/>
      <c r="H1212" s="18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17"/>
      <c r="Z1212" s="6"/>
      <c r="AA1212" s="18"/>
      <c r="AB1212" s="33"/>
      <c r="AC1212" s="34"/>
      <c r="AD1212" s="18"/>
      <c r="AE1212" s="18"/>
    </row>
    <row r="1213">
      <c r="A1213" s="5" t="s">
        <v>3507</v>
      </c>
      <c r="B1213" s="8" t="s">
        <v>3527</v>
      </c>
      <c r="C1213" s="21" t="s">
        <v>2428</v>
      </c>
      <c r="D1213" s="21" t="s">
        <v>913</v>
      </c>
      <c r="E1213" s="53">
        <v>1708.296</v>
      </c>
      <c r="F1213" s="30">
        <v>1848.0</v>
      </c>
      <c r="G1213" s="418"/>
      <c r="H1213" s="18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17"/>
      <c r="Z1213" s="6"/>
      <c r="AA1213" s="18"/>
      <c r="AB1213" s="33"/>
      <c r="AC1213" s="34"/>
      <c r="AD1213" s="18"/>
      <c r="AE1213" s="18"/>
    </row>
    <row r="1214">
      <c r="A1214" s="5" t="s">
        <v>3507</v>
      </c>
      <c r="B1214" s="8" t="s">
        <v>3527</v>
      </c>
      <c r="C1214" s="21" t="s">
        <v>2429</v>
      </c>
      <c r="D1214" s="21" t="s">
        <v>1949</v>
      </c>
      <c r="E1214" s="53">
        <v>1620.0</v>
      </c>
      <c r="F1214" s="30">
        <v>1748.0</v>
      </c>
      <c r="G1214" s="418"/>
      <c r="H1214" s="18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17"/>
      <c r="Z1214" s="6"/>
      <c r="AA1214" s="18"/>
      <c r="AB1214" s="33"/>
      <c r="AC1214" s="34"/>
      <c r="AD1214" s="18"/>
      <c r="AE1214" s="18"/>
    </row>
    <row r="1215">
      <c r="A1215" s="5" t="s">
        <v>3507</v>
      </c>
      <c r="B1215" s="8" t="s">
        <v>3527</v>
      </c>
      <c r="C1215" s="21" t="s">
        <v>1181</v>
      </c>
      <c r="D1215" s="21" t="s">
        <v>523</v>
      </c>
      <c r="E1215" s="53">
        <v>2316.0</v>
      </c>
      <c r="F1215" s="30">
        <v>2498.0</v>
      </c>
      <c r="G1215" s="418"/>
      <c r="H1215" s="18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17"/>
      <c r="Z1215" s="6"/>
      <c r="AA1215" s="18"/>
      <c r="AB1215" s="33"/>
      <c r="AC1215" s="34"/>
      <c r="AD1215" s="18"/>
      <c r="AE1215" s="18"/>
    </row>
    <row r="1216">
      <c r="A1216" s="5" t="s">
        <v>3507</v>
      </c>
      <c r="B1216" s="8" t="s">
        <v>3527</v>
      </c>
      <c r="C1216" s="21" t="s">
        <v>2430</v>
      </c>
      <c r="D1216" s="21" t="s">
        <v>1124</v>
      </c>
      <c r="E1216" s="53">
        <v>1992.0</v>
      </c>
      <c r="F1216" s="30">
        <v>2148.0</v>
      </c>
      <c r="G1216" s="418"/>
      <c r="H1216" s="18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17"/>
      <c r="Z1216" s="6"/>
      <c r="AA1216" s="18"/>
      <c r="AB1216" s="33"/>
      <c r="AC1216" s="34"/>
      <c r="AD1216" s="18"/>
      <c r="AE1216" s="18"/>
    </row>
    <row r="1217">
      <c r="A1217" s="5" t="s">
        <v>3507</v>
      </c>
      <c r="B1217" s="8" t="s">
        <v>3527</v>
      </c>
      <c r="C1217" s="21" t="s">
        <v>2431</v>
      </c>
      <c r="D1217" s="21" t="s">
        <v>395</v>
      </c>
      <c r="E1217" s="53">
        <v>366.0</v>
      </c>
      <c r="F1217" s="30">
        <v>394.0</v>
      </c>
      <c r="G1217" s="418"/>
      <c r="H1217" s="18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17"/>
      <c r="Z1217" s="6"/>
      <c r="AA1217" s="18"/>
      <c r="AB1217" s="33"/>
      <c r="AC1217" s="34"/>
      <c r="AD1217" s="18"/>
      <c r="AE1217" s="18"/>
    </row>
    <row r="1218">
      <c r="A1218" s="5" t="s">
        <v>3507</v>
      </c>
      <c r="B1218" s="8" t="s">
        <v>3527</v>
      </c>
      <c r="C1218" s="21" t="s">
        <v>2432</v>
      </c>
      <c r="D1218" s="21" t="s">
        <v>359</v>
      </c>
      <c r="E1218" s="53">
        <v>664.0</v>
      </c>
      <c r="F1218" s="30">
        <v>716.0</v>
      </c>
      <c r="G1218" s="418"/>
      <c r="H1218" s="18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17"/>
      <c r="Z1218" s="6"/>
      <c r="AA1218" s="18"/>
      <c r="AB1218" s="33"/>
      <c r="AC1218" s="34"/>
      <c r="AD1218" s="18"/>
      <c r="AE1218" s="18"/>
    </row>
    <row r="1219">
      <c r="A1219" s="5" t="s">
        <v>3507</v>
      </c>
      <c r="B1219" s="8" t="s">
        <v>3527</v>
      </c>
      <c r="C1219" s="21" t="s">
        <v>2433</v>
      </c>
      <c r="D1219" s="21" t="s">
        <v>1137</v>
      </c>
      <c r="E1219" s="53">
        <v>730.0</v>
      </c>
      <c r="F1219" s="30">
        <v>788.0</v>
      </c>
      <c r="G1219" s="418"/>
      <c r="H1219" s="18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17"/>
      <c r="Z1219" s="6"/>
      <c r="AA1219" s="18"/>
      <c r="AB1219" s="33"/>
      <c r="AC1219" s="34"/>
      <c r="AD1219" s="18"/>
      <c r="AE1219" s="18"/>
    </row>
    <row r="1220">
      <c r="A1220" s="5" t="s">
        <v>3507</v>
      </c>
      <c r="B1220" s="8" t="s">
        <v>3527</v>
      </c>
      <c r="C1220" s="21" t="s">
        <v>2434</v>
      </c>
      <c r="D1220" s="21" t="s">
        <v>1141</v>
      </c>
      <c r="E1220" s="53">
        <v>775.9200000000001</v>
      </c>
      <c r="F1220" s="30">
        <v>838.0</v>
      </c>
      <c r="G1220" s="418"/>
      <c r="H1220" s="18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17"/>
      <c r="Z1220" s="6"/>
      <c r="AA1220" s="18"/>
      <c r="AB1220" s="33"/>
      <c r="AC1220" s="34"/>
      <c r="AD1220" s="18"/>
      <c r="AE1220" s="18"/>
    </row>
    <row r="1221">
      <c r="A1221" s="5" t="s">
        <v>3507</v>
      </c>
      <c r="B1221" s="8" t="s">
        <v>3527</v>
      </c>
      <c r="C1221" s="21" t="s">
        <v>2435</v>
      </c>
      <c r="D1221" s="21" t="s">
        <v>1145</v>
      </c>
      <c r="E1221" s="53">
        <v>1666.3200000000002</v>
      </c>
      <c r="F1221" s="30">
        <v>1798.0</v>
      </c>
      <c r="G1221" s="418"/>
      <c r="H1221" s="18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17"/>
      <c r="Z1221" s="6"/>
      <c r="AA1221" s="18"/>
      <c r="AB1221" s="33"/>
      <c r="AC1221" s="34"/>
      <c r="AD1221" s="18"/>
      <c r="AE1221" s="18"/>
    </row>
    <row r="1222">
      <c r="A1222" s="5" t="s">
        <v>3507</v>
      </c>
      <c r="B1222" s="8" t="s">
        <v>3527</v>
      </c>
      <c r="C1222" s="21" t="s">
        <v>2436</v>
      </c>
      <c r="D1222" s="21" t="s">
        <v>2219</v>
      </c>
      <c r="E1222" s="53">
        <v>1797.76</v>
      </c>
      <c r="F1222" s="30">
        <v>1942.0</v>
      </c>
      <c r="G1222" s="418"/>
      <c r="H1222" s="18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17"/>
      <c r="Z1222" s="6"/>
      <c r="AA1222" s="18"/>
      <c r="AB1222" s="33"/>
      <c r="AC1222" s="34"/>
      <c r="AD1222" s="18"/>
      <c r="AE1222" s="18"/>
    </row>
    <row r="1223">
      <c r="A1223" s="5" t="s">
        <v>3507</v>
      </c>
      <c r="B1223" s="8" t="s">
        <v>3528</v>
      </c>
      <c r="C1223" s="21" t="str">
        <f t="array" ref="C1223:F1242">'COLOUR WISE'!B379:E398</f>
        <v>121-RP</v>
      </c>
      <c r="D1223" s="21" t="s">
        <v>746</v>
      </c>
      <c r="E1223" s="53">
        <v>383.72</v>
      </c>
      <c r="F1223" s="30">
        <v>416.0</v>
      </c>
      <c r="G1223" s="418"/>
      <c r="H1223" s="18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17"/>
      <c r="Z1223" s="6"/>
      <c r="AA1223" s="18"/>
      <c r="AB1223" s="33"/>
      <c r="AC1223" s="34"/>
      <c r="AD1223" s="18"/>
      <c r="AE1223" s="18"/>
    </row>
    <row r="1224">
      <c r="A1224" s="5" t="s">
        <v>3507</v>
      </c>
      <c r="B1224" s="8" t="s">
        <v>3528</v>
      </c>
      <c r="C1224" s="21" t="s">
        <v>2438</v>
      </c>
      <c r="D1224" s="21" t="s">
        <v>748</v>
      </c>
      <c r="E1224" s="53">
        <v>383.72</v>
      </c>
      <c r="F1224" s="30">
        <v>416.0</v>
      </c>
      <c r="G1224" s="418"/>
      <c r="H1224" s="18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17"/>
      <c r="Z1224" s="6"/>
      <c r="AA1224" s="18"/>
      <c r="AB1224" s="33"/>
      <c r="AC1224" s="34"/>
      <c r="AD1224" s="18"/>
      <c r="AE1224" s="18"/>
    </row>
    <row r="1225">
      <c r="A1225" s="5" t="s">
        <v>3507</v>
      </c>
      <c r="B1225" s="8" t="s">
        <v>3528</v>
      </c>
      <c r="C1225" s="21" t="s">
        <v>2439</v>
      </c>
      <c r="D1225" s="21" t="s">
        <v>306</v>
      </c>
      <c r="E1225" s="53">
        <v>416.0</v>
      </c>
      <c r="F1225" s="30">
        <v>448.0</v>
      </c>
      <c r="G1225" s="418"/>
      <c r="H1225" s="18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17"/>
      <c r="Z1225" s="6"/>
      <c r="AA1225" s="18"/>
      <c r="AB1225" s="33"/>
      <c r="AC1225" s="34"/>
      <c r="AD1225" s="18"/>
      <c r="AE1225" s="18"/>
    </row>
    <row r="1226">
      <c r="A1226" s="5" t="s">
        <v>3507</v>
      </c>
      <c r="B1226" s="8" t="s">
        <v>3528</v>
      </c>
      <c r="C1226" s="21" t="s">
        <v>2440</v>
      </c>
      <c r="D1226" s="21" t="s">
        <v>751</v>
      </c>
      <c r="E1226" s="53">
        <v>406.0</v>
      </c>
      <c r="F1226" s="30">
        <v>438.0</v>
      </c>
      <c r="G1226" s="418"/>
      <c r="H1226" s="18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17"/>
      <c r="Z1226" s="6"/>
      <c r="AA1226" s="18"/>
      <c r="AB1226" s="33"/>
      <c r="AC1226" s="34"/>
      <c r="AD1226" s="18"/>
      <c r="AE1226" s="18"/>
    </row>
    <row r="1227">
      <c r="A1227" s="5" t="s">
        <v>3507</v>
      </c>
      <c r="B1227" s="8" t="s">
        <v>3528</v>
      </c>
      <c r="C1227" s="21" t="s">
        <v>2441</v>
      </c>
      <c r="D1227" s="21" t="s">
        <v>666</v>
      </c>
      <c r="E1227" s="53">
        <v>724.0</v>
      </c>
      <c r="F1227" s="30">
        <v>782.0</v>
      </c>
      <c r="G1227" s="418"/>
      <c r="H1227" s="18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17"/>
      <c r="Z1227" s="6"/>
      <c r="AA1227" s="18"/>
      <c r="AB1227" s="33"/>
      <c r="AC1227" s="34"/>
      <c r="AD1227" s="18"/>
      <c r="AE1227" s="18"/>
    </row>
    <row r="1228">
      <c r="A1228" s="5" t="s">
        <v>3507</v>
      </c>
      <c r="B1228" s="8" t="s">
        <v>3528</v>
      </c>
      <c r="C1228" s="21" t="s">
        <v>2442</v>
      </c>
      <c r="D1228" s="21" t="s">
        <v>682</v>
      </c>
      <c r="E1228" s="53">
        <v>493.96000000000004</v>
      </c>
      <c r="F1228" s="30">
        <v>534.0</v>
      </c>
      <c r="G1228" s="418"/>
      <c r="H1228" s="18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17"/>
      <c r="Z1228" s="6"/>
      <c r="AA1228" s="18"/>
      <c r="AB1228" s="33"/>
      <c r="AC1228" s="34"/>
      <c r="AD1228" s="18"/>
      <c r="AE1228" s="18"/>
    </row>
    <row r="1229">
      <c r="A1229" s="5" t="s">
        <v>3507</v>
      </c>
      <c r="B1229" s="8" t="s">
        <v>3528</v>
      </c>
      <c r="C1229" s="21" t="s">
        <v>2443</v>
      </c>
      <c r="D1229" s="21" t="s">
        <v>756</v>
      </c>
      <c r="E1229" s="53">
        <v>493.96000000000004</v>
      </c>
      <c r="F1229" s="30">
        <v>534.0</v>
      </c>
      <c r="G1229" s="418"/>
      <c r="H1229" s="18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17"/>
      <c r="Z1229" s="6"/>
      <c r="AA1229" s="18"/>
      <c r="AB1229" s="33"/>
      <c r="AC1229" s="34"/>
      <c r="AD1229" s="18"/>
      <c r="AE1229" s="18"/>
    </row>
    <row r="1230">
      <c r="A1230" s="5" t="s">
        <v>3507</v>
      </c>
      <c r="B1230" s="8" t="s">
        <v>3528</v>
      </c>
      <c r="C1230" s="21" t="s">
        <v>2444</v>
      </c>
      <c r="D1230" s="21" t="s">
        <v>2371</v>
      </c>
      <c r="E1230" s="53">
        <v>807.72</v>
      </c>
      <c r="F1230" s="30">
        <v>874.0</v>
      </c>
      <c r="G1230" s="418"/>
      <c r="H1230" s="18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17"/>
      <c r="Z1230" s="6"/>
      <c r="AA1230" s="18"/>
      <c r="AB1230" s="33"/>
      <c r="AC1230" s="34"/>
      <c r="AD1230" s="18"/>
      <c r="AE1230" s="18"/>
    </row>
    <row r="1231">
      <c r="A1231" s="5" t="s">
        <v>3507</v>
      </c>
      <c r="B1231" s="8" t="s">
        <v>3528</v>
      </c>
      <c r="C1231" s="21" t="s">
        <v>2445</v>
      </c>
      <c r="D1231" s="253" t="s">
        <v>2209</v>
      </c>
      <c r="E1231" s="53">
        <v>756.0</v>
      </c>
      <c r="F1231" s="30">
        <v>814.0</v>
      </c>
      <c r="G1231" s="418"/>
      <c r="H1231" s="18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17"/>
      <c r="Z1231" s="6"/>
      <c r="AA1231" s="18"/>
      <c r="AB1231" s="33"/>
      <c r="AC1231" s="34"/>
      <c r="AD1231" s="18"/>
      <c r="AE1231" s="18"/>
    </row>
    <row r="1232">
      <c r="A1232" s="5" t="s">
        <v>3507</v>
      </c>
      <c r="B1232" s="8" t="s">
        <v>3528</v>
      </c>
      <c r="C1232" s="21" t="s">
        <v>2446</v>
      </c>
      <c r="D1232" s="21" t="s">
        <v>2377</v>
      </c>
      <c r="E1232" s="53">
        <v>807.72</v>
      </c>
      <c r="F1232" s="30">
        <v>872.0</v>
      </c>
      <c r="G1232" s="418"/>
      <c r="H1232" s="18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17"/>
      <c r="Z1232" s="6"/>
      <c r="AA1232" s="18"/>
      <c r="AB1232" s="33"/>
      <c r="AC1232" s="34"/>
      <c r="AD1232" s="18"/>
      <c r="AE1232" s="18"/>
    </row>
    <row r="1233">
      <c r="A1233" s="5" t="s">
        <v>3507</v>
      </c>
      <c r="B1233" s="8" t="s">
        <v>3528</v>
      </c>
      <c r="C1233" s="21" t="s">
        <v>2447</v>
      </c>
      <c r="D1233" s="21" t="s">
        <v>913</v>
      </c>
      <c r="E1233" s="53">
        <v>1708.296</v>
      </c>
      <c r="F1233" s="30">
        <v>1848.0</v>
      </c>
      <c r="G1233" s="418"/>
      <c r="H1233" s="18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17"/>
      <c r="Z1233" s="6"/>
      <c r="AA1233" s="18"/>
      <c r="AB1233" s="33"/>
      <c r="AC1233" s="34"/>
      <c r="AD1233" s="18"/>
      <c r="AE1233" s="18"/>
    </row>
    <row r="1234">
      <c r="A1234" s="5" t="s">
        <v>3507</v>
      </c>
      <c r="B1234" s="8" t="s">
        <v>3528</v>
      </c>
      <c r="C1234" s="21" t="s">
        <v>2448</v>
      </c>
      <c r="D1234" s="21" t="s">
        <v>1949</v>
      </c>
      <c r="E1234" s="53">
        <v>1620.0</v>
      </c>
      <c r="F1234" s="30">
        <v>1748.0</v>
      </c>
      <c r="G1234" s="418"/>
      <c r="H1234" s="18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17"/>
      <c r="Z1234" s="6"/>
      <c r="AA1234" s="18"/>
      <c r="AB1234" s="33"/>
      <c r="AC1234" s="34"/>
      <c r="AD1234" s="18"/>
      <c r="AE1234" s="18"/>
    </row>
    <row r="1235">
      <c r="A1235" s="5" t="s">
        <v>3507</v>
      </c>
      <c r="B1235" s="8" t="s">
        <v>3528</v>
      </c>
      <c r="C1235" s="21" t="s">
        <v>1187</v>
      </c>
      <c r="D1235" s="21" t="s">
        <v>523</v>
      </c>
      <c r="E1235" s="53">
        <v>2316.0</v>
      </c>
      <c r="F1235" s="30">
        <v>2498.0</v>
      </c>
      <c r="G1235" s="418"/>
      <c r="H1235" s="18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17"/>
      <c r="Z1235" s="6"/>
      <c r="AA1235" s="18"/>
      <c r="AB1235" s="33"/>
      <c r="AC1235" s="34"/>
      <c r="AD1235" s="18"/>
      <c r="AE1235" s="18"/>
    </row>
    <row r="1236">
      <c r="A1236" s="5" t="s">
        <v>3507</v>
      </c>
      <c r="B1236" s="8" t="s">
        <v>3528</v>
      </c>
      <c r="C1236" s="21" t="s">
        <v>2449</v>
      </c>
      <c r="D1236" s="21" t="s">
        <v>1124</v>
      </c>
      <c r="E1236" s="53">
        <v>1992.0</v>
      </c>
      <c r="F1236" s="30">
        <v>2148.0</v>
      </c>
      <c r="G1236" s="418"/>
      <c r="H1236" s="18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17"/>
      <c r="Z1236" s="6"/>
      <c r="AA1236" s="18"/>
      <c r="AB1236" s="33"/>
      <c r="AC1236" s="34"/>
      <c r="AD1236" s="18"/>
      <c r="AE1236" s="18"/>
    </row>
    <row r="1237">
      <c r="A1237" s="5" t="s">
        <v>3507</v>
      </c>
      <c r="B1237" s="8" t="s">
        <v>3528</v>
      </c>
      <c r="C1237" s="21" t="s">
        <v>2450</v>
      </c>
      <c r="D1237" s="21" t="s">
        <v>395</v>
      </c>
      <c r="E1237" s="53">
        <v>366.0</v>
      </c>
      <c r="F1237" s="30">
        <v>394.0</v>
      </c>
      <c r="G1237" s="418"/>
      <c r="H1237" s="18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17"/>
      <c r="Z1237" s="6"/>
      <c r="AA1237" s="18"/>
      <c r="AB1237" s="33"/>
      <c r="AC1237" s="34"/>
      <c r="AD1237" s="18"/>
      <c r="AE1237" s="18"/>
    </row>
    <row r="1238">
      <c r="A1238" s="5" t="s">
        <v>3507</v>
      </c>
      <c r="B1238" s="8" t="s">
        <v>3528</v>
      </c>
      <c r="C1238" s="21" t="s">
        <v>2451</v>
      </c>
      <c r="D1238" s="21" t="s">
        <v>359</v>
      </c>
      <c r="E1238" s="53">
        <v>664.0</v>
      </c>
      <c r="F1238" s="30">
        <v>716.0</v>
      </c>
      <c r="G1238" s="418"/>
      <c r="H1238" s="18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17"/>
      <c r="Z1238" s="6"/>
      <c r="AA1238" s="18"/>
      <c r="AB1238" s="33"/>
      <c r="AC1238" s="34"/>
      <c r="AD1238" s="18"/>
      <c r="AE1238" s="18"/>
    </row>
    <row r="1239">
      <c r="A1239" s="5" t="s">
        <v>3507</v>
      </c>
      <c r="B1239" s="8" t="s">
        <v>3528</v>
      </c>
      <c r="C1239" s="21" t="s">
        <v>2452</v>
      </c>
      <c r="D1239" s="21" t="s">
        <v>1137</v>
      </c>
      <c r="E1239" s="53">
        <v>730.0</v>
      </c>
      <c r="F1239" s="30">
        <v>788.0</v>
      </c>
      <c r="G1239" s="418"/>
      <c r="H1239" s="18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17"/>
      <c r="Z1239" s="6"/>
      <c r="AA1239" s="18"/>
      <c r="AB1239" s="33"/>
      <c r="AC1239" s="34"/>
      <c r="AD1239" s="18"/>
      <c r="AE1239" s="18"/>
    </row>
    <row r="1240">
      <c r="A1240" s="5" t="s">
        <v>3507</v>
      </c>
      <c r="B1240" s="8" t="s">
        <v>3528</v>
      </c>
      <c r="C1240" s="21" t="s">
        <v>2453</v>
      </c>
      <c r="D1240" s="21" t="s">
        <v>1141</v>
      </c>
      <c r="E1240" s="53">
        <v>775.9200000000001</v>
      </c>
      <c r="F1240" s="30">
        <v>838.0</v>
      </c>
      <c r="G1240" s="418"/>
      <c r="H1240" s="18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17"/>
      <c r="Z1240" s="6"/>
      <c r="AA1240" s="18"/>
      <c r="AB1240" s="33"/>
      <c r="AC1240" s="34"/>
      <c r="AD1240" s="18"/>
      <c r="AE1240" s="18"/>
    </row>
    <row r="1241">
      <c r="A1241" s="5" t="s">
        <v>3507</v>
      </c>
      <c r="B1241" s="8" t="s">
        <v>3528</v>
      </c>
      <c r="C1241" s="21" t="s">
        <v>2454</v>
      </c>
      <c r="D1241" s="21" t="s">
        <v>1145</v>
      </c>
      <c r="E1241" s="53">
        <v>1666.3200000000002</v>
      </c>
      <c r="F1241" s="30">
        <v>1798.0</v>
      </c>
      <c r="G1241" s="418"/>
      <c r="H1241" s="18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17"/>
      <c r="Z1241" s="6"/>
      <c r="AA1241" s="18"/>
      <c r="AB1241" s="33"/>
      <c r="AC1241" s="34"/>
      <c r="AD1241" s="18"/>
      <c r="AE1241" s="18"/>
    </row>
    <row r="1242">
      <c r="A1242" s="5" t="s">
        <v>3507</v>
      </c>
      <c r="B1242" s="8" t="s">
        <v>3528</v>
      </c>
      <c r="C1242" s="21" t="s">
        <v>2455</v>
      </c>
      <c r="D1242" s="21" t="s">
        <v>2219</v>
      </c>
      <c r="E1242" s="53">
        <v>1797.76</v>
      </c>
      <c r="F1242" s="30">
        <v>1942.0</v>
      </c>
      <c r="G1242" s="418"/>
      <c r="H1242" s="18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17"/>
      <c r="Z1242" s="6"/>
      <c r="AA1242" s="18"/>
      <c r="AB1242" s="33"/>
      <c r="AC1242" s="34"/>
      <c r="AD1242" s="18"/>
      <c r="AE1242" s="18"/>
    </row>
    <row r="1243">
      <c r="A1243" s="5" t="s">
        <v>3507</v>
      </c>
      <c r="B1243" s="8" t="s">
        <v>3529</v>
      </c>
      <c r="C1243" s="21" t="str">
        <f t="array" ref="C1243:F1261">'COLOUR WISE'!B401:E419</f>
        <v>121-LR</v>
      </c>
      <c r="D1243" s="21" t="s">
        <v>773</v>
      </c>
      <c r="E1243" s="53">
        <v>383.72</v>
      </c>
      <c r="F1243" s="30">
        <v>416.0</v>
      </c>
      <c r="G1243" s="418"/>
      <c r="H1243" s="18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17"/>
      <c r="Z1243" s="6"/>
      <c r="AA1243" s="18"/>
      <c r="AB1243" s="33"/>
      <c r="AC1243" s="34"/>
      <c r="AD1243" s="18"/>
      <c r="AE1243" s="18"/>
    </row>
    <row r="1244">
      <c r="A1244" s="5" t="s">
        <v>3507</v>
      </c>
      <c r="B1244" s="8" t="s">
        <v>3529</v>
      </c>
      <c r="C1244" s="21" t="s">
        <v>2457</v>
      </c>
      <c r="D1244" s="21" t="s">
        <v>748</v>
      </c>
      <c r="E1244" s="53">
        <v>383.72</v>
      </c>
      <c r="F1244" s="30">
        <v>416.0</v>
      </c>
      <c r="G1244" s="418"/>
      <c r="H1244" s="18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17"/>
      <c r="Z1244" s="6"/>
      <c r="AA1244" s="18"/>
      <c r="AB1244" s="33"/>
      <c r="AC1244" s="34"/>
      <c r="AD1244" s="18"/>
      <c r="AE1244" s="18"/>
    </row>
    <row r="1245">
      <c r="A1245" s="5" t="s">
        <v>3507</v>
      </c>
      <c r="B1245" s="8" t="s">
        <v>3529</v>
      </c>
      <c r="C1245" s="21" t="s">
        <v>2458</v>
      </c>
      <c r="D1245" s="21" t="s">
        <v>748</v>
      </c>
      <c r="E1245" s="53">
        <v>416.0</v>
      </c>
      <c r="F1245" s="30">
        <v>448.0</v>
      </c>
      <c r="G1245" s="418"/>
      <c r="H1245" s="18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17"/>
      <c r="Z1245" s="6"/>
      <c r="AA1245" s="18"/>
      <c r="AB1245" s="33"/>
      <c r="AC1245" s="34"/>
      <c r="AD1245" s="18"/>
      <c r="AE1245" s="18"/>
    </row>
    <row r="1246">
      <c r="A1246" s="5" t="s">
        <v>3507</v>
      </c>
      <c r="B1246" s="8" t="s">
        <v>3529</v>
      </c>
      <c r="C1246" s="21" t="s">
        <v>2459</v>
      </c>
      <c r="D1246" s="21" t="s">
        <v>2460</v>
      </c>
      <c r="E1246" s="53">
        <v>406.0</v>
      </c>
      <c r="F1246" s="30">
        <v>438.0</v>
      </c>
      <c r="G1246" s="418"/>
      <c r="H1246" s="18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17"/>
      <c r="Z1246" s="6"/>
      <c r="AA1246" s="18"/>
      <c r="AB1246" s="33"/>
      <c r="AC1246" s="34"/>
      <c r="AD1246" s="18"/>
      <c r="AE1246" s="18"/>
    </row>
    <row r="1247">
      <c r="A1247" s="5" t="s">
        <v>3507</v>
      </c>
      <c r="B1247" s="8" t="s">
        <v>3529</v>
      </c>
      <c r="C1247" s="21" t="s">
        <v>2461</v>
      </c>
      <c r="D1247" s="21" t="s">
        <v>666</v>
      </c>
      <c r="E1247" s="53">
        <v>724.0</v>
      </c>
      <c r="F1247" s="30">
        <v>782.0</v>
      </c>
      <c r="G1247" s="418"/>
      <c r="H1247" s="18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17"/>
      <c r="Z1247" s="6"/>
      <c r="AA1247" s="18"/>
      <c r="AB1247" s="33"/>
      <c r="AC1247" s="34"/>
      <c r="AD1247" s="18"/>
      <c r="AE1247" s="18"/>
    </row>
    <row r="1248">
      <c r="A1248" s="5" t="s">
        <v>3507</v>
      </c>
      <c r="B1248" s="8" t="s">
        <v>3529</v>
      </c>
      <c r="C1248" s="21" t="s">
        <v>2462</v>
      </c>
      <c r="D1248" s="21" t="s">
        <v>682</v>
      </c>
      <c r="E1248" s="53">
        <v>493.96000000000004</v>
      </c>
      <c r="F1248" s="30">
        <v>534.0</v>
      </c>
      <c r="G1248" s="418"/>
      <c r="H1248" s="18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17"/>
      <c r="Z1248" s="6"/>
      <c r="AA1248" s="18"/>
      <c r="AB1248" s="33"/>
      <c r="AC1248" s="34"/>
      <c r="AD1248" s="18"/>
      <c r="AE1248" s="18"/>
    </row>
    <row r="1249">
      <c r="A1249" s="5" t="s">
        <v>3507</v>
      </c>
      <c r="B1249" s="8" t="s">
        <v>3529</v>
      </c>
      <c r="C1249" s="21" t="s">
        <v>2463</v>
      </c>
      <c r="D1249" s="21" t="s">
        <v>781</v>
      </c>
      <c r="E1249" s="53">
        <v>493.96000000000004</v>
      </c>
      <c r="F1249" s="30">
        <v>534.0</v>
      </c>
      <c r="G1249" s="418"/>
      <c r="H1249" s="18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17"/>
      <c r="Z1249" s="6"/>
      <c r="AA1249" s="18"/>
      <c r="AB1249" s="33"/>
      <c r="AC1249" s="34"/>
      <c r="AD1249" s="18"/>
      <c r="AE1249" s="18"/>
    </row>
    <row r="1250">
      <c r="A1250" s="5" t="s">
        <v>3507</v>
      </c>
      <c r="B1250" s="8" t="s">
        <v>3529</v>
      </c>
      <c r="C1250" s="21" t="s">
        <v>2464</v>
      </c>
      <c r="D1250" s="21" t="s">
        <v>2465</v>
      </c>
      <c r="E1250" s="53">
        <v>809.84</v>
      </c>
      <c r="F1250" s="30">
        <v>876.0</v>
      </c>
      <c r="G1250" s="418"/>
      <c r="H1250" s="18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17"/>
      <c r="Z1250" s="6"/>
      <c r="AA1250" s="18"/>
      <c r="AB1250" s="33"/>
      <c r="AC1250" s="34"/>
      <c r="AD1250" s="18"/>
      <c r="AE1250" s="18"/>
    </row>
    <row r="1251">
      <c r="A1251" s="5" t="s">
        <v>3507</v>
      </c>
      <c r="B1251" s="8" t="s">
        <v>3529</v>
      </c>
      <c r="C1251" s="21" t="s">
        <v>2466</v>
      </c>
      <c r="D1251" s="253" t="s">
        <v>2209</v>
      </c>
      <c r="E1251" s="53">
        <v>756.0</v>
      </c>
      <c r="F1251" s="30">
        <v>814.0</v>
      </c>
      <c r="G1251" s="418"/>
      <c r="H1251" s="18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17"/>
      <c r="Z1251" s="6"/>
      <c r="AA1251" s="18"/>
      <c r="AB1251" s="33"/>
      <c r="AC1251" s="34"/>
      <c r="AD1251" s="18"/>
      <c r="AE1251" s="18"/>
    </row>
    <row r="1252">
      <c r="A1252" s="5" t="s">
        <v>3507</v>
      </c>
      <c r="B1252" s="8" t="s">
        <v>3529</v>
      </c>
      <c r="C1252" s="21" t="s">
        <v>2467</v>
      </c>
      <c r="D1252" s="21" t="s">
        <v>2468</v>
      </c>
      <c r="E1252" s="53">
        <v>809.84</v>
      </c>
      <c r="F1252" s="30">
        <v>876.0</v>
      </c>
      <c r="G1252" s="418"/>
      <c r="H1252" s="18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17"/>
      <c r="Z1252" s="6"/>
      <c r="AA1252" s="18"/>
      <c r="AB1252" s="33"/>
      <c r="AC1252" s="34"/>
      <c r="AD1252" s="18"/>
      <c r="AE1252" s="18"/>
    </row>
    <row r="1253">
      <c r="A1253" s="5" t="s">
        <v>3507</v>
      </c>
      <c r="B1253" s="8" t="s">
        <v>3529</v>
      </c>
      <c r="C1253" s="21" t="s">
        <v>2469</v>
      </c>
      <c r="D1253" s="21" t="s">
        <v>913</v>
      </c>
      <c r="E1253" s="53">
        <v>1725.5952000000002</v>
      </c>
      <c r="F1253" s="30">
        <v>1864.0</v>
      </c>
      <c r="G1253" s="418"/>
      <c r="H1253" s="18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17"/>
      <c r="Z1253" s="6"/>
      <c r="AA1253" s="18"/>
      <c r="AB1253" s="33"/>
      <c r="AC1253" s="34"/>
      <c r="AD1253" s="18"/>
      <c r="AE1253" s="18"/>
    </row>
    <row r="1254">
      <c r="A1254" s="5" t="s">
        <v>3507</v>
      </c>
      <c r="B1254" s="8" t="s">
        <v>3529</v>
      </c>
      <c r="C1254" s="21" t="s">
        <v>2470</v>
      </c>
      <c r="D1254" s="21" t="s">
        <v>1949</v>
      </c>
      <c r="E1254" s="53">
        <v>1666.3200000000002</v>
      </c>
      <c r="F1254" s="30">
        <v>1798.0</v>
      </c>
      <c r="G1254" s="418"/>
      <c r="H1254" s="18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17"/>
      <c r="Z1254" s="6"/>
      <c r="AA1254" s="18"/>
      <c r="AB1254" s="33"/>
      <c r="AC1254" s="34"/>
      <c r="AD1254" s="18"/>
      <c r="AE1254" s="18"/>
    </row>
    <row r="1255">
      <c r="A1255" s="5" t="s">
        <v>3507</v>
      </c>
      <c r="B1255" s="8" t="s">
        <v>3529</v>
      </c>
      <c r="C1255" s="21" t="s">
        <v>1209</v>
      </c>
      <c r="D1255" s="21" t="s">
        <v>523</v>
      </c>
      <c r="E1255" s="53">
        <v>2358.0</v>
      </c>
      <c r="F1255" s="30">
        <v>2546.0</v>
      </c>
      <c r="G1255" s="418"/>
      <c r="H1255" s="18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17"/>
      <c r="Z1255" s="6"/>
      <c r="AA1255" s="18"/>
      <c r="AB1255" s="33"/>
      <c r="AC1255" s="34"/>
      <c r="AD1255" s="18"/>
      <c r="AE1255" s="18"/>
    </row>
    <row r="1256">
      <c r="A1256" s="5" t="s">
        <v>3507</v>
      </c>
      <c r="B1256" s="8" t="s">
        <v>3529</v>
      </c>
      <c r="C1256" s="21" t="s">
        <v>2471</v>
      </c>
      <c r="D1256" s="21" t="s">
        <v>1124</v>
      </c>
      <c r="E1256" s="53">
        <v>2034.0</v>
      </c>
      <c r="F1256" s="30">
        <v>2196.0</v>
      </c>
      <c r="G1256" s="418"/>
      <c r="H1256" s="18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17"/>
      <c r="Z1256" s="6"/>
      <c r="AA1256" s="18"/>
      <c r="AB1256" s="33"/>
      <c r="AC1256" s="34"/>
      <c r="AD1256" s="18"/>
      <c r="AE1256" s="18"/>
    </row>
    <row r="1257">
      <c r="A1257" s="5" t="s">
        <v>3507</v>
      </c>
      <c r="B1257" s="8" t="s">
        <v>3529</v>
      </c>
      <c r="C1257" s="21" t="s">
        <v>2472</v>
      </c>
      <c r="D1257" s="21" t="s">
        <v>395</v>
      </c>
      <c r="E1257" s="53">
        <v>366.0</v>
      </c>
      <c r="F1257" s="30">
        <v>394.0</v>
      </c>
      <c r="G1257" s="418"/>
      <c r="H1257" s="18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17"/>
      <c r="Z1257" s="6"/>
      <c r="AA1257" s="18"/>
      <c r="AB1257" s="33"/>
      <c r="AC1257" s="34"/>
      <c r="AD1257" s="18"/>
      <c r="AE1257" s="18"/>
    </row>
    <row r="1258">
      <c r="A1258" s="5" t="s">
        <v>3507</v>
      </c>
      <c r="B1258" s="8" t="s">
        <v>3529</v>
      </c>
      <c r="C1258" s="21" t="s">
        <v>2473</v>
      </c>
      <c r="D1258" s="21" t="s">
        <v>359</v>
      </c>
      <c r="E1258" s="53">
        <v>669.9200000000001</v>
      </c>
      <c r="F1258" s="30">
        <v>726.0</v>
      </c>
      <c r="G1258" s="418"/>
      <c r="H1258" s="18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17"/>
      <c r="Z1258" s="6"/>
      <c r="AA1258" s="18"/>
      <c r="AB1258" s="33"/>
      <c r="AC1258" s="34"/>
      <c r="AD1258" s="18"/>
      <c r="AE1258" s="18"/>
    </row>
    <row r="1259">
      <c r="A1259" s="5" t="s">
        <v>3507</v>
      </c>
      <c r="B1259" s="8" t="s">
        <v>3529</v>
      </c>
      <c r="C1259" s="21" t="s">
        <v>2474</v>
      </c>
      <c r="D1259" s="21" t="s">
        <v>1137</v>
      </c>
      <c r="E1259" s="53">
        <v>730.0</v>
      </c>
      <c r="F1259" s="30">
        <v>788.0</v>
      </c>
      <c r="G1259" s="418"/>
      <c r="H1259" s="18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17"/>
      <c r="Z1259" s="6"/>
      <c r="AA1259" s="18"/>
      <c r="AB1259" s="33"/>
      <c r="AC1259" s="34"/>
      <c r="AD1259" s="18"/>
      <c r="AE1259" s="18"/>
    </row>
    <row r="1260">
      <c r="A1260" s="5" t="s">
        <v>3507</v>
      </c>
      <c r="B1260" s="8" t="s">
        <v>3529</v>
      </c>
      <c r="C1260" s="21" t="s">
        <v>2475</v>
      </c>
      <c r="D1260" s="21" t="s">
        <v>1141</v>
      </c>
      <c r="E1260" s="53">
        <v>775.9200000000001</v>
      </c>
      <c r="F1260" s="30">
        <v>838.0</v>
      </c>
      <c r="G1260" s="418"/>
      <c r="H1260" s="18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17"/>
      <c r="Z1260" s="6"/>
      <c r="AA1260" s="18"/>
      <c r="AB1260" s="33"/>
      <c r="AC1260" s="34"/>
      <c r="AD1260" s="18"/>
      <c r="AE1260" s="18"/>
    </row>
    <row r="1261">
      <c r="A1261" s="5" t="s">
        <v>3507</v>
      </c>
      <c r="B1261" s="8" t="s">
        <v>3529</v>
      </c>
      <c r="C1261" s="21" t="s">
        <v>2476</v>
      </c>
      <c r="D1261" s="21" t="s">
        <v>1145</v>
      </c>
      <c r="E1261" s="53">
        <v>1646.0</v>
      </c>
      <c r="F1261" s="30">
        <v>1778.0</v>
      </c>
      <c r="G1261" s="418"/>
      <c r="H1261" s="18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17"/>
      <c r="Z1261" s="6"/>
      <c r="AA1261" s="18"/>
      <c r="AB1261" s="33"/>
      <c r="AC1261" s="34"/>
      <c r="AD1261" s="18"/>
      <c r="AE1261" s="18"/>
    </row>
    <row r="1262">
      <c r="A1262" s="5" t="s">
        <v>3507</v>
      </c>
      <c r="B1262" s="8" t="s">
        <v>3530</v>
      </c>
      <c r="C1262" s="21" t="str">
        <f t="array" ref="C1262:F1280">'COLOUR WISE'!B422:E440</f>
        <v>121-LG</v>
      </c>
      <c r="D1262" s="21" t="s">
        <v>773</v>
      </c>
      <c r="E1262" s="53">
        <v>383.72</v>
      </c>
      <c r="F1262" s="30">
        <v>416.0</v>
      </c>
      <c r="G1262" s="418"/>
      <c r="H1262" s="18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17"/>
      <c r="Z1262" s="6"/>
      <c r="AA1262" s="18"/>
      <c r="AB1262" s="33"/>
      <c r="AC1262" s="34"/>
      <c r="AD1262" s="18"/>
      <c r="AE1262" s="18"/>
    </row>
    <row r="1263">
      <c r="A1263" s="5" t="s">
        <v>3507</v>
      </c>
      <c r="B1263" s="8" t="s">
        <v>3530</v>
      </c>
      <c r="C1263" s="21" t="s">
        <v>2480</v>
      </c>
      <c r="D1263" s="21" t="s">
        <v>748</v>
      </c>
      <c r="E1263" s="53">
        <v>383.72</v>
      </c>
      <c r="F1263" s="30">
        <v>416.0</v>
      </c>
      <c r="G1263" s="418"/>
      <c r="H1263" s="18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17"/>
      <c r="Z1263" s="6"/>
      <c r="AA1263" s="18"/>
      <c r="AB1263" s="33"/>
      <c r="AC1263" s="34"/>
      <c r="AD1263" s="18"/>
      <c r="AE1263" s="18"/>
    </row>
    <row r="1264">
      <c r="A1264" s="5" t="s">
        <v>3507</v>
      </c>
      <c r="B1264" s="8" t="s">
        <v>3530</v>
      </c>
      <c r="C1264" s="21" t="s">
        <v>2481</v>
      </c>
      <c r="D1264" s="21" t="s">
        <v>748</v>
      </c>
      <c r="E1264" s="53">
        <v>416.0</v>
      </c>
      <c r="F1264" s="30">
        <v>448.0</v>
      </c>
      <c r="G1264" s="418"/>
      <c r="H1264" s="18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17"/>
      <c r="Z1264" s="6"/>
      <c r="AA1264" s="18"/>
      <c r="AB1264" s="33"/>
      <c r="AC1264" s="34"/>
      <c r="AD1264" s="18"/>
      <c r="AE1264" s="18"/>
    </row>
    <row r="1265">
      <c r="A1265" s="5" t="s">
        <v>3507</v>
      </c>
      <c r="B1265" s="8" t="s">
        <v>3530</v>
      </c>
      <c r="C1265" s="21" t="s">
        <v>2482</v>
      </c>
      <c r="D1265" s="21" t="s">
        <v>2460</v>
      </c>
      <c r="E1265" s="53">
        <v>406.0</v>
      </c>
      <c r="F1265" s="30">
        <v>438.0</v>
      </c>
      <c r="G1265" s="418"/>
      <c r="H1265" s="18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17"/>
      <c r="Z1265" s="6"/>
      <c r="AA1265" s="18"/>
      <c r="AB1265" s="33"/>
      <c r="AC1265" s="34"/>
      <c r="AD1265" s="18"/>
      <c r="AE1265" s="18"/>
    </row>
    <row r="1266">
      <c r="A1266" s="5" t="s">
        <v>3507</v>
      </c>
      <c r="B1266" s="8" t="s">
        <v>3530</v>
      </c>
      <c r="C1266" s="21" t="s">
        <v>2483</v>
      </c>
      <c r="D1266" s="21" t="s">
        <v>666</v>
      </c>
      <c r="E1266" s="53">
        <v>724.0</v>
      </c>
      <c r="F1266" s="30">
        <v>782.0</v>
      </c>
      <c r="G1266" s="418"/>
      <c r="H1266" s="18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17"/>
      <c r="Z1266" s="6"/>
      <c r="AA1266" s="18"/>
      <c r="AB1266" s="33"/>
      <c r="AC1266" s="34"/>
      <c r="AD1266" s="18"/>
      <c r="AE1266" s="18"/>
    </row>
    <row r="1267">
      <c r="A1267" s="5" t="s">
        <v>3507</v>
      </c>
      <c r="B1267" s="8" t="s">
        <v>3530</v>
      </c>
      <c r="C1267" s="21" t="s">
        <v>2485</v>
      </c>
      <c r="D1267" s="21" t="s">
        <v>682</v>
      </c>
      <c r="E1267" s="53">
        <v>493.96000000000004</v>
      </c>
      <c r="F1267" s="30">
        <v>534.0</v>
      </c>
      <c r="G1267" s="418"/>
      <c r="H1267" s="18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17"/>
      <c r="Z1267" s="6"/>
      <c r="AA1267" s="18"/>
      <c r="AB1267" s="33"/>
      <c r="AC1267" s="34"/>
      <c r="AD1267" s="18"/>
      <c r="AE1267" s="18"/>
    </row>
    <row r="1268">
      <c r="A1268" s="5" t="s">
        <v>3507</v>
      </c>
      <c r="B1268" s="8" t="s">
        <v>3530</v>
      </c>
      <c r="C1268" s="21" t="s">
        <v>2488</v>
      </c>
      <c r="D1268" s="21" t="s">
        <v>781</v>
      </c>
      <c r="E1268" s="53">
        <v>493.96000000000004</v>
      </c>
      <c r="F1268" s="30">
        <v>534.0</v>
      </c>
      <c r="G1268" s="418"/>
      <c r="H1268" s="18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17"/>
      <c r="Z1268" s="6"/>
      <c r="AA1268" s="18"/>
      <c r="AB1268" s="33"/>
      <c r="AC1268" s="34"/>
      <c r="AD1268" s="18"/>
      <c r="AE1268" s="18"/>
    </row>
    <row r="1269">
      <c r="A1269" s="5" t="s">
        <v>3507</v>
      </c>
      <c r="B1269" s="8" t="s">
        <v>3530</v>
      </c>
      <c r="C1269" s="21" t="s">
        <v>2491</v>
      </c>
      <c r="D1269" s="21" t="s">
        <v>2465</v>
      </c>
      <c r="E1269" s="53">
        <v>809.84</v>
      </c>
      <c r="F1269" s="30">
        <v>876.0</v>
      </c>
      <c r="G1269" s="418"/>
      <c r="H1269" s="18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17"/>
      <c r="Z1269" s="6"/>
      <c r="AA1269" s="18"/>
      <c r="AB1269" s="33"/>
      <c r="AC1269" s="34"/>
      <c r="AD1269" s="18"/>
      <c r="AE1269" s="18"/>
    </row>
    <row r="1270">
      <c r="A1270" s="5" t="s">
        <v>3507</v>
      </c>
      <c r="B1270" s="8" t="s">
        <v>3530</v>
      </c>
      <c r="C1270" s="21" t="s">
        <v>2493</v>
      </c>
      <c r="D1270" s="253" t="s">
        <v>2209</v>
      </c>
      <c r="E1270" s="53">
        <v>756.0</v>
      </c>
      <c r="F1270" s="30">
        <v>814.0</v>
      </c>
      <c r="G1270" s="418"/>
      <c r="H1270" s="18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17"/>
      <c r="Z1270" s="6"/>
      <c r="AA1270" s="18"/>
      <c r="AB1270" s="33"/>
      <c r="AC1270" s="34"/>
      <c r="AD1270" s="18"/>
      <c r="AE1270" s="18"/>
    </row>
    <row r="1271">
      <c r="A1271" s="5" t="s">
        <v>3507</v>
      </c>
      <c r="B1271" s="8" t="s">
        <v>3530</v>
      </c>
      <c r="C1271" s="21" t="s">
        <v>2494</v>
      </c>
      <c r="D1271" s="21" t="s">
        <v>2468</v>
      </c>
      <c r="E1271" s="53">
        <v>809.84</v>
      </c>
      <c r="F1271" s="30">
        <v>876.0</v>
      </c>
      <c r="G1271" s="418"/>
      <c r="H1271" s="18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17"/>
      <c r="Z1271" s="6"/>
      <c r="AA1271" s="18"/>
      <c r="AB1271" s="33"/>
      <c r="AC1271" s="34"/>
      <c r="AD1271" s="18"/>
      <c r="AE1271" s="18"/>
    </row>
    <row r="1272">
      <c r="A1272" s="5" t="s">
        <v>3507</v>
      </c>
      <c r="B1272" s="8" t="s">
        <v>3530</v>
      </c>
      <c r="C1272" s="21" t="s">
        <v>2495</v>
      </c>
      <c r="D1272" s="21" t="s">
        <v>913</v>
      </c>
      <c r="E1272" s="53">
        <v>1725.5952000000002</v>
      </c>
      <c r="F1272" s="30">
        <v>1864.0</v>
      </c>
      <c r="G1272" s="418"/>
      <c r="H1272" s="18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17"/>
      <c r="Z1272" s="6"/>
      <c r="AA1272" s="18"/>
      <c r="AB1272" s="33"/>
      <c r="AC1272" s="34"/>
      <c r="AD1272" s="18"/>
      <c r="AE1272" s="18"/>
    </row>
    <row r="1273">
      <c r="A1273" s="5" t="s">
        <v>3507</v>
      </c>
      <c r="B1273" s="8" t="s">
        <v>3530</v>
      </c>
      <c r="C1273" s="21" t="s">
        <v>2496</v>
      </c>
      <c r="D1273" s="21" t="s">
        <v>1949</v>
      </c>
      <c r="E1273" s="53">
        <v>1666.3200000000002</v>
      </c>
      <c r="F1273" s="30">
        <v>1798.0</v>
      </c>
      <c r="G1273" s="418"/>
      <c r="H1273" s="18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17"/>
      <c r="Z1273" s="6"/>
      <c r="AA1273" s="18"/>
      <c r="AB1273" s="33"/>
      <c r="AC1273" s="34"/>
      <c r="AD1273" s="18"/>
      <c r="AE1273" s="18"/>
    </row>
    <row r="1274">
      <c r="A1274" s="5" t="s">
        <v>3507</v>
      </c>
      <c r="B1274" s="8" t="s">
        <v>3530</v>
      </c>
      <c r="C1274" s="21" t="s">
        <v>1203</v>
      </c>
      <c r="D1274" s="21" t="s">
        <v>523</v>
      </c>
      <c r="E1274" s="53">
        <v>2358.0</v>
      </c>
      <c r="F1274" s="30">
        <v>2546.0</v>
      </c>
      <c r="G1274" s="418"/>
      <c r="H1274" s="18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17"/>
      <c r="Z1274" s="6"/>
      <c r="AA1274" s="18"/>
      <c r="AB1274" s="33"/>
      <c r="AC1274" s="34"/>
      <c r="AD1274" s="18"/>
      <c r="AE1274" s="18"/>
    </row>
    <row r="1275">
      <c r="A1275" s="5" t="s">
        <v>3507</v>
      </c>
      <c r="B1275" s="8" t="s">
        <v>3530</v>
      </c>
      <c r="C1275" s="21" t="s">
        <v>2498</v>
      </c>
      <c r="D1275" s="21" t="s">
        <v>1124</v>
      </c>
      <c r="E1275" s="53">
        <v>2034.0</v>
      </c>
      <c r="F1275" s="30">
        <v>2196.0</v>
      </c>
      <c r="G1275" s="418"/>
      <c r="H1275" s="18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17"/>
      <c r="Z1275" s="6"/>
      <c r="AA1275" s="18"/>
      <c r="AB1275" s="33"/>
      <c r="AC1275" s="34"/>
      <c r="AD1275" s="18"/>
      <c r="AE1275" s="18"/>
    </row>
    <row r="1276">
      <c r="A1276" s="5" t="s">
        <v>3507</v>
      </c>
      <c r="B1276" s="8" t="s">
        <v>3530</v>
      </c>
      <c r="C1276" s="21" t="s">
        <v>2499</v>
      </c>
      <c r="D1276" s="21" t="s">
        <v>395</v>
      </c>
      <c r="E1276" s="53">
        <v>366.0</v>
      </c>
      <c r="F1276" s="30">
        <v>394.0</v>
      </c>
      <c r="G1276" s="418"/>
      <c r="H1276" s="18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17"/>
      <c r="Z1276" s="6"/>
      <c r="AA1276" s="18"/>
      <c r="AB1276" s="33"/>
      <c r="AC1276" s="34"/>
      <c r="AD1276" s="18"/>
      <c r="AE1276" s="18"/>
    </row>
    <row r="1277">
      <c r="A1277" s="5" t="s">
        <v>3507</v>
      </c>
      <c r="B1277" s="8" t="s">
        <v>3530</v>
      </c>
      <c r="C1277" s="21" t="s">
        <v>2500</v>
      </c>
      <c r="D1277" s="21" t="s">
        <v>359</v>
      </c>
      <c r="E1277" s="53">
        <v>669.9200000000001</v>
      </c>
      <c r="F1277" s="30">
        <v>726.0</v>
      </c>
      <c r="G1277" s="418"/>
      <c r="H1277" s="18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17"/>
      <c r="Z1277" s="6"/>
      <c r="AA1277" s="18"/>
      <c r="AB1277" s="33"/>
      <c r="AC1277" s="34"/>
      <c r="AD1277" s="18"/>
      <c r="AE1277" s="18"/>
    </row>
    <row r="1278">
      <c r="A1278" s="5" t="s">
        <v>3507</v>
      </c>
      <c r="B1278" s="8" t="s">
        <v>3530</v>
      </c>
      <c r="C1278" s="21" t="s">
        <v>2501</v>
      </c>
      <c r="D1278" s="21" t="s">
        <v>1137</v>
      </c>
      <c r="E1278" s="53">
        <v>730.0</v>
      </c>
      <c r="F1278" s="30">
        <v>788.0</v>
      </c>
      <c r="G1278" s="418"/>
      <c r="H1278" s="18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17"/>
      <c r="Z1278" s="6"/>
      <c r="AA1278" s="18"/>
      <c r="AB1278" s="33"/>
      <c r="AC1278" s="34"/>
      <c r="AD1278" s="18"/>
      <c r="AE1278" s="18"/>
    </row>
    <row r="1279">
      <c r="A1279" s="5" t="s">
        <v>3507</v>
      </c>
      <c r="B1279" s="8" t="s">
        <v>3530</v>
      </c>
      <c r="C1279" s="21" t="s">
        <v>2503</v>
      </c>
      <c r="D1279" s="21" t="s">
        <v>1141</v>
      </c>
      <c r="E1279" s="53">
        <v>775.9200000000001</v>
      </c>
      <c r="F1279" s="30">
        <v>838.0</v>
      </c>
      <c r="G1279" s="418"/>
      <c r="H1279" s="18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17"/>
      <c r="Z1279" s="6"/>
      <c r="AA1279" s="18"/>
      <c r="AB1279" s="33"/>
      <c r="AC1279" s="34"/>
      <c r="AD1279" s="18"/>
      <c r="AE1279" s="18"/>
    </row>
    <row r="1280">
      <c r="A1280" s="5" t="s">
        <v>3507</v>
      </c>
      <c r="B1280" s="8" t="s">
        <v>3530</v>
      </c>
      <c r="C1280" s="21" t="s">
        <v>2504</v>
      </c>
      <c r="D1280" s="21" t="s">
        <v>1145</v>
      </c>
      <c r="E1280" s="53">
        <v>1646.0</v>
      </c>
      <c r="F1280" s="30">
        <v>1778.0</v>
      </c>
      <c r="G1280" s="418"/>
      <c r="H1280" s="18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17"/>
      <c r="Z1280" s="6"/>
      <c r="AA1280" s="18"/>
      <c r="AB1280" s="33"/>
      <c r="AC1280" s="34"/>
      <c r="AD1280" s="18"/>
      <c r="AE1280" s="18"/>
    </row>
    <row r="1281">
      <c r="A1281" s="5" t="s">
        <v>3507</v>
      </c>
      <c r="B1281" s="8" t="s">
        <v>3531</v>
      </c>
      <c r="C1281" s="21" t="str">
        <f t="array" ref="C1281:F1299">'COLOUR WISE'!B443:E461</f>
        <v>121-LW</v>
      </c>
      <c r="D1281" s="21" t="s">
        <v>773</v>
      </c>
      <c r="E1281" s="53">
        <v>383.72</v>
      </c>
      <c r="F1281" s="30">
        <v>416.0</v>
      </c>
      <c r="G1281" s="418"/>
      <c r="H1281" s="18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17"/>
      <c r="Z1281" s="6"/>
      <c r="AA1281" s="18"/>
      <c r="AB1281" s="33"/>
      <c r="AC1281" s="34"/>
      <c r="AD1281" s="18"/>
      <c r="AE1281" s="18"/>
    </row>
    <row r="1282">
      <c r="A1282" s="5" t="s">
        <v>3507</v>
      </c>
      <c r="B1282" s="8" t="s">
        <v>3531</v>
      </c>
      <c r="C1282" s="21" t="s">
        <v>2507</v>
      </c>
      <c r="D1282" s="21" t="s">
        <v>748</v>
      </c>
      <c r="E1282" s="53">
        <v>383.72</v>
      </c>
      <c r="F1282" s="30">
        <v>416.0</v>
      </c>
      <c r="G1282" s="418"/>
      <c r="H1282" s="18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17"/>
      <c r="Z1282" s="6"/>
      <c r="AA1282" s="18"/>
      <c r="AB1282" s="33"/>
      <c r="AC1282" s="34"/>
      <c r="AD1282" s="18"/>
      <c r="AE1282" s="18"/>
    </row>
    <row r="1283">
      <c r="A1283" s="5" t="s">
        <v>3507</v>
      </c>
      <c r="B1283" s="8" t="s">
        <v>3531</v>
      </c>
      <c r="C1283" s="21" t="s">
        <v>2509</v>
      </c>
      <c r="D1283" s="21" t="s">
        <v>748</v>
      </c>
      <c r="E1283" s="53">
        <v>416.0</v>
      </c>
      <c r="F1283" s="30">
        <v>448.0</v>
      </c>
      <c r="G1283" s="418"/>
      <c r="H1283" s="18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17"/>
      <c r="Z1283" s="6"/>
      <c r="AA1283" s="18"/>
      <c r="AB1283" s="33"/>
      <c r="AC1283" s="34"/>
      <c r="AD1283" s="18"/>
      <c r="AE1283" s="18"/>
    </row>
    <row r="1284">
      <c r="A1284" s="5" t="s">
        <v>3507</v>
      </c>
      <c r="B1284" s="8" t="s">
        <v>3531</v>
      </c>
      <c r="C1284" s="21" t="s">
        <v>2510</v>
      </c>
      <c r="D1284" s="21" t="s">
        <v>2460</v>
      </c>
      <c r="E1284" s="53">
        <v>406.0</v>
      </c>
      <c r="F1284" s="30">
        <v>438.0</v>
      </c>
      <c r="G1284" s="418"/>
      <c r="H1284" s="18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17"/>
      <c r="Z1284" s="6"/>
      <c r="AA1284" s="18"/>
      <c r="AB1284" s="33"/>
      <c r="AC1284" s="34"/>
      <c r="AD1284" s="18"/>
      <c r="AE1284" s="18"/>
    </row>
    <row r="1285">
      <c r="A1285" s="5" t="s">
        <v>3507</v>
      </c>
      <c r="B1285" s="8" t="s">
        <v>3531</v>
      </c>
      <c r="C1285" s="21" t="s">
        <v>2511</v>
      </c>
      <c r="D1285" s="21" t="s">
        <v>666</v>
      </c>
      <c r="E1285" s="53">
        <v>724.0</v>
      </c>
      <c r="F1285" s="30">
        <v>782.0</v>
      </c>
      <c r="G1285" s="418"/>
      <c r="H1285" s="18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17"/>
      <c r="Z1285" s="6"/>
      <c r="AA1285" s="18"/>
      <c r="AB1285" s="33"/>
      <c r="AC1285" s="34"/>
      <c r="AD1285" s="18"/>
      <c r="AE1285" s="18"/>
    </row>
    <row r="1286">
      <c r="A1286" s="5" t="s">
        <v>3507</v>
      </c>
      <c r="B1286" s="8" t="s">
        <v>3531</v>
      </c>
      <c r="C1286" s="21" t="s">
        <v>2512</v>
      </c>
      <c r="D1286" s="21" t="s">
        <v>682</v>
      </c>
      <c r="E1286" s="53">
        <v>493.96000000000004</v>
      </c>
      <c r="F1286" s="30">
        <v>534.0</v>
      </c>
      <c r="G1286" s="418"/>
      <c r="H1286" s="18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17"/>
      <c r="Z1286" s="6"/>
      <c r="AA1286" s="18"/>
      <c r="AB1286" s="33"/>
      <c r="AC1286" s="34"/>
      <c r="AD1286" s="18"/>
      <c r="AE1286" s="18"/>
    </row>
    <row r="1287">
      <c r="A1287" s="5" t="s">
        <v>3507</v>
      </c>
      <c r="B1287" s="8" t="s">
        <v>3531</v>
      </c>
      <c r="C1287" s="21" t="s">
        <v>2514</v>
      </c>
      <c r="D1287" s="21" t="s">
        <v>781</v>
      </c>
      <c r="E1287" s="53">
        <v>493.96000000000004</v>
      </c>
      <c r="F1287" s="30">
        <v>534.0</v>
      </c>
      <c r="G1287" s="418"/>
      <c r="H1287" s="18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17"/>
      <c r="Z1287" s="6"/>
      <c r="AA1287" s="18"/>
      <c r="AB1287" s="33"/>
      <c r="AC1287" s="34"/>
      <c r="AD1287" s="18"/>
      <c r="AE1287" s="18"/>
    </row>
    <row r="1288">
      <c r="A1288" s="5" t="s">
        <v>3507</v>
      </c>
      <c r="B1288" s="8" t="s">
        <v>3531</v>
      </c>
      <c r="C1288" s="21" t="s">
        <v>2515</v>
      </c>
      <c r="D1288" s="21" t="s">
        <v>2465</v>
      </c>
      <c r="E1288" s="53">
        <v>809.84</v>
      </c>
      <c r="F1288" s="30">
        <v>876.0</v>
      </c>
      <c r="G1288" s="418"/>
      <c r="H1288" s="18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17"/>
      <c r="Z1288" s="6"/>
      <c r="AA1288" s="18"/>
      <c r="AB1288" s="33"/>
      <c r="AC1288" s="34"/>
      <c r="AD1288" s="18"/>
      <c r="AE1288" s="18"/>
    </row>
    <row r="1289">
      <c r="A1289" s="5" t="s">
        <v>3507</v>
      </c>
      <c r="B1289" s="8" t="s">
        <v>3531</v>
      </c>
      <c r="C1289" s="21" t="s">
        <v>2516</v>
      </c>
      <c r="D1289" s="253" t="s">
        <v>2209</v>
      </c>
      <c r="E1289" s="53">
        <v>756.0</v>
      </c>
      <c r="F1289" s="30">
        <v>814.0</v>
      </c>
      <c r="G1289" s="418"/>
      <c r="H1289" s="18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17"/>
      <c r="Z1289" s="6"/>
      <c r="AA1289" s="18"/>
      <c r="AB1289" s="33"/>
      <c r="AC1289" s="34"/>
      <c r="AD1289" s="18"/>
      <c r="AE1289" s="18"/>
    </row>
    <row r="1290">
      <c r="A1290" s="5" t="s">
        <v>3507</v>
      </c>
      <c r="B1290" s="8" t="s">
        <v>3531</v>
      </c>
      <c r="C1290" s="21" t="s">
        <v>2517</v>
      </c>
      <c r="D1290" s="21" t="s">
        <v>2468</v>
      </c>
      <c r="E1290" s="53">
        <v>809.84</v>
      </c>
      <c r="F1290" s="30">
        <v>876.0</v>
      </c>
      <c r="G1290" s="418"/>
      <c r="H1290" s="18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17"/>
      <c r="Z1290" s="6"/>
      <c r="AA1290" s="18"/>
      <c r="AB1290" s="33"/>
      <c r="AC1290" s="34"/>
      <c r="AD1290" s="18"/>
      <c r="AE1290" s="18"/>
    </row>
    <row r="1291">
      <c r="A1291" s="5" t="s">
        <v>3507</v>
      </c>
      <c r="B1291" s="8" t="s">
        <v>3531</v>
      </c>
      <c r="C1291" s="21" t="s">
        <v>2519</v>
      </c>
      <c r="D1291" s="21" t="s">
        <v>913</v>
      </c>
      <c r="E1291" s="53">
        <v>1725.5952000000002</v>
      </c>
      <c r="F1291" s="30">
        <v>1864.0</v>
      </c>
      <c r="G1291" s="418"/>
      <c r="H1291" s="18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17"/>
      <c r="Z1291" s="6"/>
      <c r="AA1291" s="18"/>
      <c r="AB1291" s="33"/>
      <c r="AC1291" s="34"/>
      <c r="AD1291" s="18"/>
      <c r="AE1291" s="18"/>
    </row>
    <row r="1292">
      <c r="A1292" s="5" t="s">
        <v>3507</v>
      </c>
      <c r="B1292" s="8" t="s">
        <v>3531</v>
      </c>
      <c r="C1292" s="21" t="s">
        <v>2520</v>
      </c>
      <c r="D1292" s="21" t="s">
        <v>1949</v>
      </c>
      <c r="E1292" s="53">
        <v>1666.3200000000002</v>
      </c>
      <c r="F1292" s="30">
        <v>1798.0</v>
      </c>
      <c r="G1292" s="418"/>
      <c r="H1292" s="18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17"/>
      <c r="Z1292" s="6"/>
      <c r="AA1292" s="18"/>
      <c r="AB1292" s="33"/>
      <c r="AC1292" s="34"/>
      <c r="AD1292" s="18"/>
      <c r="AE1292" s="18"/>
    </row>
    <row r="1293">
      <c r="A1293" s="5" t="s">
        <v>3507</v>
      </c>
      <c r="B1293" s="8" t="s">
        <v>3531</v>
      </c>
      <c r="C1293" s="21" t="s">
        <v>1221</v>
      </c>
      <c r="D1293" s="21" t="s">
        <v>523</v>
      </c>
      <c r="E1293" s="53">
        <v>2358.0</v>
      </c>
      <c r="F1293" s="30">
        <v>2546.0</v>
      </c>
      <c r="G1293" s="418"/>
      <c r="H1293" s="18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17"/>
      <c r="Z1293" s="6"/>
      <c r="AA1293" s="18"/>
      <c r="AB1293" s="33"/>
      <c r="AC1293" s="34"/>
      <c r="AD1293" s="18"/>
      <c r="AE1293" s="18"/>
    </row>
    <row r="1294">
      <c r="A1294" s="5" t="s">
        <v>3507</v>
      </c>
      <c r="B1294" s="8" t="s">
        <v>3531</v>
      </c>
      <c r="C1294" s="21" t="s">
        <v>2522</v>
      </c>
      <c r="D1294" s="21" t="s">
        <v>1124</v>
      </c>
      <c r="E1294" s="53">
        <v>2034.0</v>
      </c>
      <c r="F1294" s="30">
        <v>2196.0</v>
      </c>
      <c r="G1294" s="418"/>
      <c r="H1294" s="18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17"/>
      <c r="Z1294" s="6"/>
      <c r="AA1294" s="18"/>
      <c r="AB1294" s="33"/>
      <c r="AC1294" s="34"/>
      <c r="AD1294" s="18"/>
      <c r="AE1294" s="18"/>
    </row>
    <row r="1295">
      <c r="A1295" s="5" t="s">
        <v>3507</v>
      </c>
      <c r="B1295" s="8" t="s">
        <v>3531</v>
      </c>
      <c r="C1295" s="21" t="s">
        <v>2523</v>
      </c>
      <c r="D1295" s="21" t="s">
        <v>395</v>
      </c>
      <c r="E1295" s="53">
        <v>366.0</v>
      </c>
      <c r="F1295" s="30">
        <v>394.0</v>
      </c>
      <c r="G1295" s="418"/>
      <c r="H1295" s="18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17"/>
      <c r="Z1295" s="6"/>
      <c r="AA1295" s="18"/>
      <c r="AB1295" s="33"/>
      <c r="AC1295" s="34"/>
      <c r="AD1295" s="18"/>
      <c r="AE1295" s="18"/>
    </row>
    <row r="1296">
      <c r="A1296" s="5" t="s">
        <v>3507</v>
      </c>
      <c r="B1296" s="8" t="s">
        <v>3531</v>
      </c>
      <c r="C1296" s="21" t="s">
        <v>2524</v>
      </c>
      <c r="D1296" s="21" t="s">
        <v>359</v>
      </c>
      <c r="E1296" s="53">
        <v>669.9200000000001</v>
      </c>
      <c r="F1296" s="30">
        <v>726.0</v>
      </c>
      <c r="G1296" s="418"/>
      <c r="H1296" s="18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17"/>
      <c r="Z1296" s="6"/>
      <c r="AA1296" s="18"/>
      <c r="AB1296" s="33"/>
      <c r="AC1296" s="34"/>
      <c r="AD1296" s="18"/>
      <c r="AE1296" s="18"/>
    </row>
    <row r="1297">
      <c r="A1297" s="5" t="s">
        <v>3507</v>
      </c>
      <c r="B1297" s="8" t="s">
        <v>3531</v>
      </c>
      <c r="C1297" s="21" t="s">
        <v>2525</v>
      </c>
      <c r="D1297" s="21" t="s">
        <v>1137</v>
      </c>
      <c r="E1297" s="53">
        <v>730.0</v>
      </c>
      <c r="F1297" s="30">
        <v>788.0</v>
      </c>
      <c r="G1297" s="418"/>
      <c r="H1297" s="18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17"/>
      <c r="Z1297" s="6"/>
      <c r="AA1297" s="18"/>
      <c r="AB1297" s="33"/>
      <c r="AC1297" s="34"/>
      <c r="AD1297" s="18"/>
      <c r="AE1297" s="18"/>
    </row>
    <row r="1298">
      <c r="A1298" s="5" t="s">
        <v>3507</v>
      </c>
      <c r="B1298" s="8" t="s">
        <v>3531</v>
      </c>
      <c r="C1298" s="21" t="s">
        <v>2526</v>
      </c>
      <c r="D1298" s="21" t="s">
        <v>1141</v>
      </c>
      <c r="E1298" s="53">
        <v>775.9200000000001</v>
      </c>
      <c r="F1298" s="30">
        <v>838.0</v>
      </c>
      <c r="G1298" s="418"/>
      <c r="H1298" s="18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17"/>
      <c r="Z1298" s="6"/>
      <c r="AA1298" s="18"/>
      <c r="AB1298" s="33"/>
      <c r="AC1298" s="34"/>
      <c r="AD1298" s="18"/>
      <c r="AE1298" s="18"/>
    </row>
    <row r="1299">
      <c r="A1299" s="5" t="s">
        <v>3507</v>
      </c>
      <c r="B1299" s="8" t="s">
        <v>3531</v>
      </c>
      <c r="C1299" s="21" t="s">
        <v>2528</v>
      </c>
      <c r="D1299" s="21" t="s">
        <v>1145</v>
      </c>
      <c r="E1299" s="53">
        <v>1646.0</v>
      </c>
      <c r="F1299" s="30">
        <v>1778.0</v>
      </c>
      <c r="G1299" s="418"/>
      <c r="H1299" s="18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17"/>
      <c r="Z1299" s="6"/>
      <c r="AA1299" s="18"/>
      <c r="AB1299" s="33"/>
      <c r="AC1299" s="34"/>
      <c r="AD1299" s="18"/>
      <c r="AE1299" s="18"/>
    </row>
    <row r="1300">
      <c r="A1300" s="5" t="s">
        <v>3507</v>
      </c>
      <c r="B1300" s="8" t="s">
        <v>3532</v>
      </c>
      <c r="C1300" s="21" t="str">
        <f t="array" ref="C1300:F1318">'COLOUR WISE'!B464:E482</f>
        <v>121-LP</v>
      </c>
      <c r="D1300" s="21" t="s">
        <v>773</v>
      </c>
      <c r="E1300" s="53">
        <v>383.72</v>
      </c>
      <c r="F1300" s="30">
        <v>416.0</v>
      </c>
      <c r="G1300" s="418"/>
      <c r="H1300" s="18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17"/>
      <c r="Z1300" s="6"/>
      <c r="AA1300" s="18"/>
      <c r="AB1300" s="33"/>
      <c r="AC1300" s="34"/>
      <c r="AD1300" s="18"/>
      <c r="AE1300" s="18"/>
    </row>
    <row r="1301">
      <c r="A1301" s="5" t="s">
        <v>3507</v>
      </c>
      <c r="B1301" s="8" t="s">
        <v>3532</v>
      </c>
      <c r="C1301" s="21" t="s">
        <v>2531</v>
      </c>
      <c r="D1301" s="21" t="s">
        <v>748</v>
      </c>
      <c r="E1301" s="53">
        <v>383.72</v>
      </c>
      <c r="F1301" s="30">
        <v>416.0</v>
      </c>
      <c r="G1301" s="418"/>
      <c r="H1301" s="18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17"/>
      <c r="Z1301" s="6"/>
      <c r="AA1301" s="18"/>
      <c r="AB1301" s="33"/>
      <c r="AC1301" s="34"/>
      <c r="AD1301" s="18"/>
      <c r="AE1301" s="18"/>
    </row>
    <row r="1302">
      <c r="A1302" s="5" t="s">
        <v>3507</v>
      </c>
      <c r="B1302" s="8" t="s">
        <v>3532</v>
      </c>
      <c r="C1302" s="21" t="s">
        <v>2532</v>
      </c>
      <c r="D1302" s="21" t="s">
        <v>748</v>
      </c>
      <c r="E1302" s="53">
        <v>416.0</v>
      </c>
      <c r="F1302" s="30">
        <v>448.0</v>
      </c>
      <c r="G1302" s="418"/>
      <c r="H1302" s="18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17"/>
      <c r="Z1302" s="6"/>
      <c r="AA1302" s="18"/>
      <c r="AB1302" s="33"/>
      <c r="AC1302" s="34"/>
      <c r="AD1302" s="18"/>
      <c r="AE1302" s="18"/>
    </row>
    <row r="1303">
      <c r="A1303" s="5" t="s">
        <v>3507</v>
      </c>
      <c r="B1303" s="8" t="s">
        <v>3532</v>
      </c>
      <c r="C1303" s="21" t="s">
        <v>2533</v>
      </c>
      <c r="D1303" s="21" t="s">
        <v>2460</v>
      </c>
      <c r="E1303" s="53">
        <v>406.0</v>
      </c>
      <c r="F1303" s="30">
        <v>438.0</v>
      </c>
      <c r="G1303" s="418"/>
      <c r="H1303" s="18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17"/>
      <c r="Z1303" s="6"/>
      <c r="AA1303" s="18"/>
      <c r="AB1303" s="33"/>
      <c r="AC1303" s="34"/>
      <c r="AD1303" s="18"/>
      <c r="AE1303" s="18"/>
    </row>
    <row r="1304">
      <c r="A1304" s="5" t="s">
        <v>3507</v>
      </c>
      <c r="B1304" s="8" t="s">
        <v>3532</v>
      </c>
      <c r="C1304" s="21" t="s">
        <v>2535</v>
      </c>
      <c r="D1304" s="21" t="s">
        <v>666</v>
      </c>
      <c r="E1304" s="53">
        <v>724.0</v>
      </c>
      <c r="F1304" s="30">
        <v>782.0</v>
      </c>
      <c r="G1304" s="418"/>
      <c r="H1304" s="18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17"/>
      <c r="Z1304" s="6"/>
      <c r="AA1304" s="18"/>
      <c r="AB1304" s="33"/>
      <c r="AC1304" s="34"/>
      <c r="AD1304" s="18"/>
      <c r="AE1304" s="18"/>
    </row>
    <row r="1305">
      <c r="A1305" s="5" t="s">
        <v>3507</v>
      </c>
      <c r="B1305" s="8" t="s">
        <v>3532</v>
      </c>
      <c r="C1305" s="21" t="s">
        <v>2536</v>
      </c>
      <c r="D1305" s="21" t="s">
        <v>682</v>
      </c>
      <c r="E1305" s="53">
        <v>493.96000000000004</v>
      </c>
      <c r="F1305" s="30">
        <v>534.0</v>
      </c>
      <c r="G1305" s="418"/>
      <c r="H1305" s="18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17"/>
      <c r="Z1305" s="6"/>
      <c r="AA1305" s="18"/>
      <c r="AB1305" s="33"/>
      <c r="AC1305" s="34"/>
      <c r="AD1305" s="18"/>
      <c r="AE1305" s="18"/>
    </row>
    <row r="1306">
      <c r="A1306" s="5" t="s">
        <v>3507</v>
      </c>
      <c r="B1306" s="8" t="s">
        <v>3532</v>
      </c>
      <c r="C1306" s="21" t="s">
        <v>2537</v>
      </c>
      <c r="D1306" s="21" t="s">
        <v>781</v>
      </c>
      <c r="E1306" s="53">
        <v>493.96000000000004</v>
      </c>
      <c r="F1306" s="30">
        <v>534.0</v>
      </c>
      <c r="G1306" s="418"/>
      <c r="H1306" s="18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17"/>
      <c r="Z1306" s="6"/>
      <c r="AA1306" s="18"/>
      <c r="AB1306" s="33"/>
      <c r="AC1306" s="34"/>
      <c r="AD1306" s="18"/>
      <c r="AE1306" s="18"/>
    </row>
    <row r="1307">
      <c r="A1307" s="5" t="s">
        <v>3507</v>
      </c>
      <c r="B1307" s="8" t="s">
        <v>3532</v>
      </c>
      <c r="C1307" s="21" t="s">
        <v>2538</v>
      </c>
      <c r="D1307" s="21" t="s">
        <v>2465</v>
      </c>
      <c r="E1307" s="53">
        <v>809.84</v>
      </c>
      <c r="F1307" s="30">
        <v>876.0</v>
      </c>
      <c r="G1307" s="418"/>
      <c r="H1307" s="18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17"/>
      <c r="Z1307" s="6"/>
      <c r="AA1307" s="18"/>
      <c r="AB1307" s="33"/>
      <c r="AC1307" s="34"/>
      <c r="AD1307" s="18"/>
      <c r="AE1307" s="18"/>
    </row>
    <row r="1308">
      <c r="A1308" s="5" t="s">
        <v>3507</v>
      </c>
      <c r="B1308" s="8" t="s">
        <v>3532</v>
      </c>
      <c r="C1308" s="21" t="s">
        <v>2540</v>
      </c>
      <c r="D1308" s="253" t="s">
        <v>2209</v>
      </c>
      <c r="E1308" s="53">
        <v>756.0</v>
      </c>
      <c r="F1308" s="30">
        <v>814.0</v>
      </c>
      <c r="G1308" s="418"/>
      <c r="H1308" s="18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17"/>
      <c r="Z1308" s="6"/>
      <c r="AA1308" s="18"/>
      <c r="AB1308" s="33"/>
      <c r="AC1308" s="34"/>
      <c r="AD1308" s="18"/>
      <c r="AE1308" s="18"/>
    </row>
    <row r="1309">
      <c r="A1309" s="5" t="s">
        <v>3507</v>
      </c>
      <c r="B1309" s="8" t="s">
        <v>3532</v>
      </c>
      <c r="C1309" s="21" t="s">
        <v>2541</v>
      </c>
      <c r="D1309" s="21" t="s">
        <v>2468</v>
      </c>
      <c r="E1309" s="53">
        <v>809.84</v>
      </c>
      <c r="F1309" s="30">
        <v>876.0</v>
      </c>
      <c r="G1309" s="418"/>
      <c r="H1309" s="18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17"/>
      <c r="Z1309" s="6"/>
      <c r="AA1309" s="18"/>
      <c r="AB1309" s="33"/>
      <c r="AC1309" s="34"/>
      <c r="AD1309" s="18"/>
      <c r="AE1309" s="18"/>
    </row>
    <row r="1310">
      <c r="A1310" s="5" t="s">
        <v>3507</v>
      </c>
      <c r="B1310" s="8" t="s">
        <v>3532</v>
      </c>
      <c r="C1310" s="21" t="s">
        <v>2542</v>
      </c>
      <c r="D1310" s="21" t="s">
        <v>913</v>
      </c>
      <c r="E1310" s="53">
        <v>1725.5952000000002</v>
      </c>
      <c r="F1310" s="30">
        <v>1864.0</v>
      </c>
      <c r="G1310" s="418"/>
      <c r="H1310" s="18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17"/>
      <c r="Z1310" s="6"/>
      <c r="AA1310" s="18"/>
      <c r="AB1310" s="33"/>
      <c r="AC1310" s="34"/>
      <c r="AD1310" s="18"/>
      <c r="AE1310" s="18"/>
    </row>
    <row r="1311">
      <c r="A1311" s="5" t="s">
        <v>3507</v>
      </c>
      <c r="B1311" s="8" t="s">
        <v>3532</v>
      </c>
      <c r="C1311" s="21" t="s">
        <v>2543</v>
      </c>
      <c r="D1311" s="21" t="s">
        <v>1949</v>
      </c>
      <c r="E1311" s="53">
        <v>1666.3200000000002</v>
      </c>
      <c r="F1311" s="30">
        <v>1798.0</v>
      </c>
      <c r="G1311" s="418"/>
      <c r="H1311" s="18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17"/>
      <c r="Z1311" s="6"/>
      <c r="AA1311" s="18"/>
      <c r="AB1311" s="33"/>
      <c r="AC1311" s="34"/>
      <c r="AD1311" s="18"/>
      <c r="AE1311" s="18"/>
    </row>
    <row r="1312">
      <c r="A1312" s="5" t="s">
        <v>3507</v>
      </c>
      <c r="B1312" s="8" t="s">
        <v>3532</v>
      </c>
      <c r="C1312" s="21" t="s">
        <v>1215</v>
      </c>
      <c r="D1312" s="21" t="s">
        <v>523</v>
      </c>
      <c r="E1312" s="53">
        <v>2358.0</v>
      </c>
      <c r="F1312" s="30">
        <v>2546.0</v>
      </c>
      <c r="G1312" s="418"/>
      <c r="H1312" s="18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17"/>
      <c r="Z1312" s="6"/>
      <c r="AA1312" s="18"/>
      <c r="AB1312" s="33"/>
      <c r="AC1312" s="34"/>
      <c r="AD1312" s="18"/>
      <c r="AE1312" s="18"/>
    </row>
    <row r="1313">
      <c r="A1313" s="5" t="s">
        <v>3507</v>
      </c>
      <c r="B1313" s="8" t="s">
        <v>3532</v>
      </c>
      <c r="C1313" s="21" t="s">
        <v>2545</v>
      </c>
      <c r="D1313" s="21" t="s">
        <v>1124</v>
      </c>
      <c r="E1313" s="53">
        <v>2034.0</v>
      </c>
      <c r="F1313" s="30">
        <v>2196.0</v>
      </c>
      <c r="G1313" s="418"/>
      <c r="H1313" s="18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17"/>
      <c r="Z1313" s="6"/>
      <c r="AA1313" s="18"/>
      <c r="AB1313" s="33"/>
      <c r="AC1313" s="34"/>
      <c r="AD1313" s="18"/>
      <c r="AE1313" s="18"/>
    </row>
    <row r="1314">
      <c r="A1314" s="5" t="s">
        <v>3507</v>
      </c>
      <c r="B1314" s="8" t="s">
        <v>3532</v>
      </c>
      <c r="C1314" s="21" t="s">
        <v>2546</v>
      </c>
      <c r="D1314" s="21" t="s">
        <v>395</v>
      </c>
      <c r="E1314" s="53">
        <v>366.0</v>
      </c>
      <c r="F1314" s="30">
        <v>394.0</v>
      </c>
      <c r="G1314" s="418"/>
      <c r="H1314" s="18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17"/>
      <c r="Z1314" s="6"/>
      <c r="AA1314" s="18"/>
      <c r="AB1314" s="33"/>
      <c r="AC1314" s="34"/>
      <c r="AD1314" s="18"/>
      <c r="AE1314" s="18"/>
    </row>
    <row r="1315">
      <c r="A1315" s="5" t="s">
        <v>3507</v>
      </c>
      <c r="B1315" s="8" t="s">
        <v>3532</v>
      </c>
      <c r="C1315" s="21" t="s">
        <v>2548</v>
      </c>
      <c r="D1315" s="21" t="s">
        <v>359</v>
      </c>
      <c r="E1315" s="53">
        <v>669.9200000000001</v>
      </c>
      <c r="F1315" s="30">
        <v>726.0</v>
      </c>
      <c r="G1315" s="418"/>
      <c r="H1315" s="18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17"/>
      <c r="Z1315" s="6"/>
      <c r="AA1315" s="18"/>
      <c r="AB1315" s="33"/>
      <c r="AC1315" s="34"/>
      <c r="AD1315" s="18"/>
      <c r="AE1315" s="18"/>
    </row>
    <row r="1316">
      <c r="A1316" s="5" t="s">
        <v>3507</v>
      </c>
      <c r="B1316" s="8" t="s">
        <v>3532</v>
      </c>
      <c r="C1316" s="21" t="s">
        <v>2549</v>
      </c>
      <c r="D1316" s="21" t="s">
        <v>1137</v>
      </c>
      <c r="E1316" s="53">
        <v>730.0</v>
      </c>
      <c r="F1316" s="30">
        <v>788.0</v>
      </c>
      <c r="G1316" s="418"/>
      <c r="H1316" s="18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17"/>
      <c r="Z1316" s="6"/>
      <c r="AA1316" s="18"/>
      <c r="AB1316" s="33"/>
      <c r="AC1316" s="34"/>
      <c r="AD1316" s="18"/>
      <c r="AE1316" s="18"/>
    </row>
    <row r="1317">
      <c r="A1317" s="5" t="s">
        <v>3507</v>
      </c>
      <c r="B1317" s="8" t="s">
        <v>3532</v>
      </c>
      <c r="C1317" s="21" t="s">
        <v>2551</v>
      </c>
      <c r="D1317" s="21" t="s">
        <v>1141</v>
      </c>
      <c r="E1317" s="53">
        <v>775.9200000000001</v>
      </c>
      <c r="F1317" s="30">
        <v>838.0</v>
      </c>
      <c r="G1317" s="418"/>
      <c r="H1317" s="18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17"/>
      <c r="Z1317" s="6"/>
      <c r="AA1317" s="18"/>
      <c r="AB1317" s="33"/>
      <c r="AC1317" s="34"/>
      <c r="AD1317" s="18"/>
      <c r="AE1317" s="18"/>
    </row>
    <row r="1318">
      <c r="A1318" s="5" t="s">
        <v>3507</v>
      </c>
      <c r="B1318" s="8" t="s">
        <v>3532</v>
      </c>
      <c r="C1318" s="21" t="s">
        <v>2552</v>
      </c>
      <c r="D1318" s="21" t="s">
        <v>1145</v>
      </c>
      <c r="E1318" s="53">
        <v>1646.0</v>
      </c>
      <c r="F1318" s="30">
        <v>1778.0</v>
      </c>
      <c r="G1318" s="418"/>
      <c r="H1318" s="18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17"/>
      <c r="Z1318" s="6"/>
      <c r="AA1318" s="18"/>
      <c r="AB1318" s="33"/>
      <c r="AC1318" s="34"/>
      <c r="AD1318" s="18"/>
      <c r="AE1318" s="18"/>
    </row>
    <row r="1319">
      <c r="A1319" s="5" t="s">
        <v>3507</v>
      </c>
      <c r="B1319" s="8" t="s">
        <v>3533</v>
      </c>
      <c r="C1319" s="21" t="str">
        <f t="array" ref="C1319:F1347">'COLOUR WISE'!B485:E513</f>
        <v>121-HW</v>
      </c>
      <c r="D1319" s="21" t="s">
        <v>1050</v>
      </c>
      <c r="E1319" s="53">
        <v>260.0</v>
      </c>
      <c r="F1319" s="30">
        <v>278.0</v>
      </c>
      <c r="G1319" s="418"/>
      <c r="H1319" s="18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17"/>
      <c r="Z1319" s="6"/>
      <c r="AA1319" s="18"/>
      <c r="AB1319" s="33"/>
      <c r="AC1319" s="34"/>
      <c r="AD1319" s="18"/>
      <c r="AE1319" s="18"/>
    </row>
    <row r="1320">
      <c r="A1320" s="5" t="s">
        <v>3507</v>
      </c>
      <c r="B1320" s="8" t="s">
        <v>3533</v>
      </c>
      <c r="C1320" s="21" t="s">
        <v>1293</v>
      </c>
      <c r="D1320" s="21" t="s">
        <v>748</v>
      </c>
      <c r="E1320" s="53">
        <v>272.0</v>
      </c>
      <c r="F1320" s="30">
        <v>294.0</v>
      </c>
      <c r="G1320" s="418"/>
      <c r="H1320" s="18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17"/>
      <c r="Z1320" s="6"/>
      <c r="AA1320" s="18"/>
      <c r="AB1320" s="33"/>
      <c r="AC1320" s="34"/>
      <c r="AD1320" s="18"/>
      <c r="AE1320" s="18"/>
    </row>
    <row r="1321">
      <c r="A1321" s="5" t="s">
        <v>3507</v>
      </c>
      <c r="B1321" s="8" t="s">
        <v>3533</v>
      </c>
      <c r="C1321" s="21" t="s">
        <v>2557</v>
      </c>
      <c r="D1321" s="21" t="s">
        <v>636</v>
      </c>
      <c r="E1321" s="53">
        <v>290.44</v>
      </c>
      <c r="F1321" s="30">
        <v>314.0</v>
      </c>
      <c r="G1321" s="418"/>
      <c r="H1321" s="18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17"/>
      <c r="Z1321" s="6"/>
      <c r="AA1321" s="18"/>
      <c r="AB1321" s="33"/>
      <c r="AC1321" s="34"/>
      <c r="AD1321" s="18"/>
      <c r="AE1321" s="18"/>
    </row>
    <row r="1322">
      <c r="A1322" s="5" t="s">
        <v>3507</v>
      </c>
      <c r="B1322" s="8" t="s">
        <v>3533</v>
      </c>
      <c r="C1322" s="21" t="s">
        <v>2558</v>
      </c>
      <c r="D1322" s="21" t="s">
        <v>417</v>
      </c>
      <c r="E1322" s="53">
        <v>302.0</v>
      </c>
      <c r="F1322" s="30">
        <v>326.0</v>
      </c>
      <c r="G1322" s="418"/>
      <c r="H1322" s="18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17"/>
      <c r="Z1322" s="6"/>
      <c r="AA1322" s="18"/>
      <c r="AB1322" s="33"/>
      <c r="AC1322" s="34"/>
      <c r="AD1322" s="18"/>
      <c r="AE1322" s="18"/>
    </row>
    <row r="1323">
      <c r="A1323" s="5" t="s">
        <v>3507</v>
      </c>
      <c r="B1323" s="8" t="s">
        <v>3533</v>
      </c>
      <c r="C1323" s="21" t="s">
        <v>2560</v>
      </c>
      <c r="D1323" s="21" t="s">
        <v>2561</v>
      </c>
      <c r="E1323" s="53">
        <v>351.92</v>
      </c>
      <c r="F1323" s="30">
        <v>378.0</v>
      </c>
      <c r="G1323" s="418"/>
      <c r="H1323" s="18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17"/>
      <c r="Z1323" s="6"/>
      <c r="AA1323" s="18"/>
      <c r="AB1323" s="33"/>
      <c r="AC1323" s="34"/>
      <c r="AD1323" s="18"/>
      <c r="AE1323" s="18"/>
    </row>
    <row r="1324">
      <c r="A1324" s="5" t="s">
        <v>3507</v>
      </c>
      <c r="B1324" s="8" t="s">
        <v>3533</v>
      </c>
      <c r="C1324" s="21" t="s">
        <v>2562</v>
      </c>
      <c r="D1324" s="21" t="s">
        <v>2563</v>
      </c>
      <c r="E1324" s="53">
        <v>334.0</v>
      </c>
      <c r="F1324" s="30">
        <v>358.0</v>
      </c>
      <c r="G1324" s="418"/>
      <c r="H1324" s="18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17"/>
      <c r="Z1324" s="6"/>
      <c r="AA1324" s="18"/>
      <c r="AB1324" s="33"/>
      <c r="AC1324" s="34"/>
      <c r="AD1324" s="18"/>
      <c r="AE1324" s="18"/>
    </row>
    <row r="1325">
      <c r="A1325" s="5" t="s">
        <v>3507</v>
      </c>
      <c r="B1325" s="8" t="s">
        <v>3533</v>
      </c>
      <c r="C1325" s="21" t="s">
        <v>2565</v>
      </c>
      <c r="D1325" s="21" t="s">
        <v>2566</v>
      </c>
      <c r="E1325" s="53">
        <v>347.68</v>
      </c>
      <c r="F1325" s="30">
        <v>376.0</v>
      </c>
      <c r="G1325" s="418"/>
      <c r="H1325" s="18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17"/>
      <c r="Z1325" s="6"/>
      <c r="AA1325" s="18"/>
      <c r="AB1325" s="33"/>
      <c r="AC1325" s="34"/>
      <c r="AD1325" s="18"/>
      <c r="AE1325" s="18"/>
    </row>
    <row r="1326">
      <c r="A1326" s="5" t="s">
        <v>3507</v>
      </c>
      <c r="B1326" s="8" t="s">
        <v>3533</v>
      </c>
      <c r="C1326" s="21" t="s">
        <v>2567</v>
      </c>
      <c r="D1326" s="21" t="s">
        <v>363</v>
      </c>
      <c r="E1326" s="53">
        <v>296.0</v>
      </c>
      <c r="F1326" s="30">
        <v>316.0</v>
      </c>
      <c r="G1326" s="418"/>
      <c r="H1326" s="18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17"/>
      <c r="Z1326" s="6"/>
      <c r="AA1326" s="18"/>
      <c r="AB1326" s="33"/>
      <c r="AC1326" s="34"/>
      <c r="AD1326" s="18"/>
      <c r="AE1326" s="18"/>
    </row>
    <row r="1327">
      <c r="A1327" s="5" t="s">
        <v>3507</v>
      </c>
      <c r="B1327" s="8" t="s">
        <v>3533</v>
      </c>
      <c r="C1327" s="21" t="s">
        <v>2569</v>
      </c>
      <c r="D1327" s="21" t="s">
        <v>808</v>
      </c>
      <c r="E1327" s="53">
        <v>586.0</v>
      </c>
      <c r="F1327" s="30">
        <v>632.0</v>
      </c>
      <c r="G1327" s="418"/>
      <c r="H1327" s="18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17"/>
      <c r="Z1327" s="6"/>
      <c r="AA1327" s="18"/>
      <c r="AB1327" s="33"/>
      <c r="AC1327" s="34"/>
      <c r="AD1327" s="18"/>
      <c r="AE1327" s="18"/>
    </row>
    <row r="1328">
      <c r="A1328" s="5" t="s">
        <v>3507</v>
      </c>
      <c r="B1328" s="8" t="s">
        <v>3533</v>
      </c>
      <c r="C1328" s="21" t="s">
        <v>2570</v>
      </c>
      <c r="D1328" s="21" t="s">
        <v>682</v>
      </c>
      <c r="E1328" s="53">
        <v>374.0</v>
      </c>
      <c r="F1328" s="30">
        <v>406.0</v>
      </c>
      <c r="G1328" s="418"/>
      <c r="H1328" s="18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17"/>
      <c r="Z1328" s="6"/>
      <c r="AA1328" s="18"/>
      <c r="AB1328" s="33"/>
      <c r="AC1328" s="34"/>
      <c r="AD1328" s="18"/>
      <c r="AE1328" s="18"/>
    </row>
    <row r="1329">
      <c r="A1329" s="5" t="s">
        <v>3507</v>
      </c>
      <c r="B1329" s="8" t="s">
        <v>3533</v>
      </c>
      <c r="C1329" s="21" t="s">
        <v>2571</v>
      </c>
      <c r="D1329" s="21" t="s">
        <v>756</v>
      </c>
      <c r="E1329" s="53">
        <v>412.0</v>
      </c>
      <c r="F1329" s="30">
        <v>444.0</v>
      </c>
      <c r="G1329" s="418"/>
      <c r="H1329" s="18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17"/>
      <c r="Z1329" s="6"/>
      <c r="AA1329" s="18"/>
      <c r="AB1329" s="33"/>
      <c r="AC1329" s="34"/>
      <c r="AD1329" s="18"/>
      <c r="AE1329" s="18"/>
    </row>
    <row r="1330">
      <c r="A1330" s="5" t="s">
        <v>3507</v>
      </c>
      <c r="B1330" s="8" t="s">
        <v>3533</v>
      </c>
      <c r="C1330" s="21" t="s">
        <v>2572</v>
      </c>
      <c r="D1330" s="21" t="s">
        <v>756</v>
      </c>
      <c r="E1330" s="53">
        <v>421.668</v>
      </c>
      <c r="F1330" s="30">
        <v>454.0</v>
      </c>
      <c r="G1330" s="418"/>
      <c r="H1330" s="18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17"/>
      <c r="Z1330" s="6"/>
      <c r="AA1330" s="18"/>
      <c r="AB1330" s="33"/>
      <c r="AC1330" s="34"/>
      <c r="AD1330" s="18"/>
      <c r="AE1330" s="18"/>
    </row>
    <row r="1331">
      <c r="A1331" s="5" t="s">
        <v>3507</v>
      </c>
      <c r="B1331" s="8" t="s">
        <v>3533</v>
      </c>
      <c r="C1331" s="21" t="s">
        <v>2574</v>
      </c>
      <c r="D1331" s="21" t="s">
        <v>2465</v>
      </c>
      <c r="E1331" s="53">
        <v>756.0</v>
      </c>
      <c r="F1331" s="30">
        <v>814.0</v>
      </c>
      <c r="G1331" s="418"/>
      <c r="H1331" s="18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17"/>
      <c r="Z1331" s="6"/>
      <c r="AA1331" s="18"/>
      <c r="AB1331" s="33"/>
      <c r="AC1331" s="34"/>
      <c r="AD1331" s="18"/>
      <c r="AE1331" s="18"/>
    </row>
    <row r="1332">
      <c r="A1332" s="5" t="s">
        <v>3507</v>
      </c>
      <c r="B1332" s="8" t="s">
        <v>3533</v>
      </c>
      <c r="C1332" s="21" t="s">
        <v>2576</v>
      </c>
      <c r="D1332" s="21" t="s">
        <v>2577</v>
      </c>
      <c r="E1332" s="53">
        <v>672.419904</v>
      </c>
      <c r="F1332" s="30">
        <v>728.0</v>
      </c>
      <c r="G1332" s="418"/>
      <c r="H1332" s="18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17"/>
      <c r="Z1332" s="6"/>
      <c r="AA1332" s="18"/>
      <c r="AB1332" s="33"/>
      <c r="AC1332" s="34"/>
      <c r="AD1332" s="18"/>
      <c r="AE1332" s="18"/>
    </row>
    <row r="1333">
      <c r="A1333" s="5" t="s">
        <v>3507</v>
      </c>
      <c r="B1333" s="8" t="s">
        <v>3533</v>
      </c>
      <c r="C1333" s="21" t="s">
        <v>2579</v>
      </c>
      <c r="D1333" s="21" t="s">
        <v>2580</v>
      </c>
      <c r="E1333" s="53">
        <v>756.0</v>
      </c>
      <c r="F1333" s="30">
        <v>814.0</v>
      </c>
      <c r="G1333" s="418"/>
      <c r="H1333" s="18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17"/>
      <c r="Z1333" s="6"/>
      <c r="AA1333" s="18"/>
      <c r="AB1333" s="33"/>
      <c r="AC1333" s="34"/>
      <c r="AD1333" s="18"/>
      <c r="AE1333" s="18"/>
    </row>
    <row r="1334">
      <c r="A1334" s="5" t="s">
        <v>3507</v>
      </c>
      <c r="B1334" s="8" t="s">
        <v>3533</v>
      </c>
      <c r="C1334" s="21" t="s">
        <v>2582</v>
      </c>
      <c r="D1334" s="21" t="s">
        <v>913</v>
      </c>
      <c r="E1334" s="53">
        <v>1375.88</v>
      </c>
      <c r="F1334" s="30">
        <v>1486.0</v>
      </c>
      <c r="G1334" s="418"/>
      <c r="H1334" s="18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17"/>
      <c r="Z1334" s="6"/>
      <c r="AA1334" s="18"/>
      <c r="AB1334" s="33"/>
      <c r="AC1334" s="34"/>
      <c r="AD1334" s="18"/>
      <c r="AE1334" s="18"/>
    </row>
    <row r="1335">
      <c r="A1335" s="5" t="s">
        <v>3507</v>
      </c>
      <c r="B1335" s="8" t="s">
        <v>3533</v>
      </c>
      <c r="C1335" s="21" t="s">
        <v>1294</v>
      </c>
      <c r="D1335" s="21" t="s">
        <v>523</v>
      </c>
      <c r="E1335" s="53">
        <v>2117.88</v>
      </c>
      <c r="F1335" s="30">
        <v>2288.0</v>
      </c>
      <c r="G1335" s="418"/>
      <c r="H1335" s="18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17"/>
      <c r="Z1335" s="6"/>
      <c r="AA1335" s="18"/>
      <c r="AB1335" s="33"/>
      <c r="AC1335" s="34"/>
      <c r="AD1335" s="18"/>
      <c r="AE1335" s="18"/>
    </row>
    <row r="1336">
      <c r="A1336" s="5" t="s">
        <v>3507</v>
      </c>
      <c r="B1336" s="8" t="s">
        <v>3533</v>
      </c>
      <c r="C1336" s="21" t="s">
        <v>2583</v>
      </c>
      <c r="D1336" s="21" t="s">
        <v>2584</v>
      </c>
      <c r="E1336" s="53">
        <v>1795.64</v>
      </c>
      <c r="F1336" s="30">
        <v>1938.0</v>
      </c>
      <c r="G1336" s="418"/>
      <c r="H1336" s="18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17"/>
      <c r="Z1336" s="6"/>
      <c r="AA1336" s="18"/>
      <c r="AB1336" s="33"/>
      <c r="AC1336" s="34"/>
      <c r="AD1336" s="18"/>
      <c r="AE1336" s="18"/>
    </row>
    <row r="1337">
      <c r="A1337" s="5" t="s">
        <v>3507</v>
      </c>
      <c r="B1337" s="8" t="s">
        <v>3533</v>
      </c>
      <c r="C1337" s="21" t="s">
        <v>2586</v>
      </c>
      <c r="D1337" s="21" t="s">
        <v>719</v>
      </c>
      <c r="E1337" s="53">
        <v>260.0</v>
      </c>
      <c r="F1337" s="30">
        <v>278.0</v>
      </c>
      <c r="G1337" s="418"/>
      <c r="H1337" s="18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17"/>
      <c r="Z1337" s="6"/>
      <c r="AA1337" s="18"/>
      <c r="AB1337" s="33"/>
      <c r="AC1337" s="34"/>
      <c r="AD1337" s="18"/>
      <c r="AE1337" s="18"/>
    </row>
    <row r="1338">
      <c r="A1338" s="5" t="s">
        <v>3507</v>
      </c>
      <c r="B1338" s="8" t="s">
        <v>3533</v>
      </c>
      <c r="C1338" s="21" t="s">
        <v>2587</v>
      </c>
      <c r="D1338" s="21" t="s">
        <v>717</v>
      </c>
      <c r="E1338" s="53">
        <v>267.618624</v>
      </c>
      <c r="F1338" s="30">
        <v>288.0</v>
      </c>
      <c r="G1338" s="418"/>
      <c r="H1338" s="18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17"/>
      <c r="Z1338" s="6"/>
      <c r="AA1338" s="18"/>
      <c r="AB1338" s="33"/>
      <c r="AC1338" s="34"/>
      <c r="AD1338" s="18"/>
      <c r="AE1338" s="18"/>
    </row>
    <row r="1339">
      <c r="A1339" s="5" t="s">
        <v>3507</v>
      </c>
      <c r="B1339" s="8" t="s">
        <v>3533</v>
      </c>
      <c r="C1339" s="21" t="s">
        <v>2588</v>
      </c>
      <c r="D1339" s="21" t="s">
        <v>723</v>
      </c>
      <c r="E1339" s="53">
        <v>279.84000000000003</v>
      </c>
      <c r="F1339" s="30">
        <v>302.0</v>
      </c>
      <c r="G1339" s="418"/>
      <c r="H1339" s="18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17"/>
      <c r="Z1339" s="6"/>
      <c r="AA1339" s="18"/>
      <c r="AB1339" s="33"/>
      <c r="AC1339" s="34"/>
      <c r="AD1339" s="18"/>
      <c r="AE1339" s="18"/>
    </row>
    <row r="1340">
      <c r="A1340" s="5" t="s">
        <v>3507</v>
      </c>
      <c r="B1340" s="8" t="s">
        <v>3533</v>
      </c>
      <c r="C1340" s="21" t="s">
        <v>2590</v>
      </c>
      <c r="D1340" s="21" t="s">
        <v>395</v>
      </c>
      <c r="E1340" s="53">
        <v>250.16000000000003</v>
      </c>
      <c r="F1340" s="30">
        <v>272.0</v>
      </c>
      <c r="G1340" s="418"/>
      <c r="H1340" s="18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17"/>
      <c r="Z1340" s="6"/>
      <c r="AA1340" s="18"/>
      <c r="AB1340" s="33"/>
      <c r="AC1340" s="34"/>
      <c r="AD1340" s="18"/>
      <c r="AE1340" s="18"/>
    </row>
    <row r="1341">
      <c r="A1341" s="5" t="s">
        <v>3507</v>
      </c>
      <c r="B1341" s="8" t="s">
        <v>3533</v>
      </c>
      <c r="C1341" s="21" t="s">
        <v>2591</v>
      </c>
      <c r="D1341" s="21" t="s">
        <v>829</v>
      </c>
      <c r="E1341" s="53">
        <v>550.0</v>
      </c>
      <c r="F1341" s="30">
        <v>592.0</v>
      </c>
      <c r="G1341" s="418"/>
      <c r="H1341" s="18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17"/>
      <c r="Z1341" s="6"/>
      <c r="AA1341" s="18"/>
      <c r="AB1341" s="33"/>
      <c r="AC1341" s="34"/>
      <c r="AD1341" s="18"/>
      <c r="AE1341" s="18"/>
    </row>
    <row r="1342">
      <c r="A1342" s="5" t="s">
        <v>3507</v>
      </c>
      <c r="B1342" s="8" t="s">
        <v>3533</v>
      </c>
      <c r="C1342" s="21" t="s">
        <v>2592</v>
      </c>
      <c r="D1342" s="21" t="s">
        <v>663</v>
      </c>
      <c r="E1342" s="53">
        <v>416.0</v>
      </c>
      <c r="F1342" s="30">
        <v>448.0</v>
      </c>
      <c r="G1342" s="418"/>
      <c r="H1342" s="18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17"/>
      <c r="Z1342" s="6"/>
      <c r="AA1342" s="18"/>
      <c r="AB1342" s="33"/>
      <c r="AC1342" s="34"/>
      <c r="AD1342" s="18"/>
      <c r="AE1342" s="18"/>
    </row>
    <row r="1343">
      <c r="A1343" s="5" t="s">
        <v>3507</v>
      </c>
      <c r="B1343" s="8" t="s">
        <v>3533</v>
      </c>
      <c r="C1343" s="21" t="s">
        <v>2594</v>
      </c>
      <c r="D1343" s="21" t="s">
        <v>690</v>
      </c>
      <c r="E1343" s="53">
        <v>415.52000000000004</v>
      </c>
      <c r="F1343" s="30">
        <v>448.0</v>
      </c>
      <c r="G1343" s="418"/>
      <c r="H1343" s="18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17"/>
      <c r="Z1343" s="6"/>
      <c r="AA1343" s="18"/>
      <c r="AB1343" s="33"/>
      <c r="AC1343" s="34"/>
      <c r="AD1343" s="18"/>
      <c r="AE1343" s="18"/>
    </row>
    <row r="1344">
      <c r="A1344" s="5" t="s">
        <v>3507</v>
      </c>
      <c r="B1344" s="8" t="s">
        <v>3533</v>
      </c>
      <c r="C1344" s="21" t="s">
        <v>2595</v>
      </c>
      <c r="D1344" s="21" t="s">
        <v>2596</v>
      </c>
      <c r="E1344" s="53">
        <v>712.32</v>
      </c>
      <c r="F1344" s="30">
        <v>768.0</v>
      </c>
      <c r="G1344" s="418"/>
      <c r="H1344" s="18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17"/>
      <c r="Z1344" s="6"/>
      <c r="AA1344" s="18"/>
      <c r="AB1344" s="33"/>
      <c r="AC1344" s="34"/>
      <c r="AD1344" s="18"/>
      <c r="AE1344" s="18"/>
    </row>
    <row r="1345">
      <c r="A1345" s="5" t="s">
        <v>3507</v>
      </c>
      <c r="B1345" s="8" t="s">
        <v>3533</v>
      </c>
      <c r="C1345" s="21" t="s">
        <v>2597</v>
      </c>
      <c r="D1345" s="21" t="s">
        <v>2598</v>
      </c>
      <c r="E1345" s="53">
        <v>726.0</v>
      </c>
      <c r="F1345" s="30">
        <v>782.0</v>
      </c>
      <c r="G1345" s="418"/>
      <c r="H1345" s="18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17"/>
      <c r="Z1345" s="6"/>
      <c r="AA1345" s="18"/>
      <c r="AB1345" s="33"/>
      <c r="AC1345" s="34"/>
      <c r="AD1345" s="18"/>
      <c r="AE1345" s="18"/>
    </row>
    <row r="1346">
      <c r="A1346" s="5" t="s">
        <v>3507</v>
      </c>
      <c r="B1346" s="8" t="s">
        <v>3533</v>
      </c>
      <c r="C1346" s="21" t="s">
        <v>2600</v>
      </c>
      <c r="D1346" s="21" t="s">
        <v>731</v>
      </c>
      <c r="E1346" s="53">
        <v>422.0</v>
      </c>
      <c r="F1346" s="30">
        <v>454.0</v>
      </c>
      <c r="G1346" s="418"/>
      <c r="H1346" s="18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17"/>
      <c r="Z1346" s="6"/>
      <c r="AA1346" s="18"/>
      <c r="AB1346" s="33"/>
      <c r="AC1346" s="34"/>
      <c r="AD1346" s="18"/>
      <c r="AE1346" s="18"/>
    </row>
    <row r="1347">
      <c r="A1347" s="5" t="s">
        <v>3507</v>
      </c>
      <c r="B1347" s="8" t="s">
        <v>3533</v>
      </c>
      <c r="C1347" s="21" t="s">
        <v>2601</v>
      </c>
      <c r="D1347" s="21" t="s">
        <v>1145</v>
      </c>
      <c r="E1347" s="53">
        <v>1644.0</v>
      </c>
      <c r="F1347" s="30">
        <v>1774.0</v>
      </c>
      <c r="G1347" s="418"/>
      <c r="H1347" s="18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17"/>
      <c r="Z1347" s="6"/>
      <c r="AA1347" s="18"/>
      <c r="AB1347" s="33"/>
      <c r="AC1347" s="34"/>
      <c r="AD1347" s="18"/>
      <c r="AE1347" s="18"/>
    </row>
    <row r="1348">
      <c r="A1348" s="5" t="s">
        <v>3507</v>
      </c>
      <c r="B1348" s="8" t="s">
        <v>3534</v>
      </c>
      <c r="C1348" s="21" t="str">
        <f t="array" ref="C1348:F1376">'COLOUR WISE'!B516:E544</f>
        <v>121-HG</v>
      </c>
      <c r="D1348" s="21" t="s">
        <v>1050</v>
      </c>
      <c r="E1348" s="53">
        <v>260.0</v>
      </c>
      <c r="F1348" s="30">
        <v>278.0</v>
      </c>
      <c r="G1348" s="418"/>
      <c r="H1348" s="18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17"/>
      <c r="Z1348" s="6"/>
      <c r="AA1348" s="18"/>
      <c r="AB1348" s="33"/>
      <c r="AC1348" s="34"/>
      <c r="AD1348" s="18"/>
      <c r="AE1348" s="18"/>
    </row>
    <row r="1349">
      <c r="A1349" s="5" t="s">
        <v>3507</v>
      </c>
      <c r="B1349" s="8" t="s">
        <v>3534</v>
      </c>
      <c r="C1349" s="21" t="s">
        <v>1299</v>
      </c>
      <c r="D1349" s="21" t="s">
        <v>748</v>
      </c>
      <c r="E1349" s="53">
        <v>272.0</v>
      </c>
      <c r="F1349" s="30">
        <v>294.0</v>
      </c>
      <c r="G1349" s="418"/>
      <c r="H1349" s="18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17"/>
      <c r="Z1349" s="6"/>
      <c r="AA1349" s="18"/>
      <c r="AB1349" s="33"/>
      <c r="AC1349" s="34"/>
      <c r="AD1349" s="18"/>
      <c r="AE1349" s="18"/>
    </row>
    <row r="1350">
      <c r="A1350" s="5" t="s">
        <v>3507</v>
      </c>
      <c r="B1350" s="8" t="s">
        <v>3534</v>
      </c>
      <c r="C1350" s="21" t="s">
        <v>2605</v>
      </c>
      <c r="D1350" s="21" t="s">
        <v>636</v>
      </c>
      <c r="E1350" s="53">
        <v>290.44</v>
      </c>
      <c r="F1350" s="30">
        <v>314.0</v>
      </c>
      <c r="G1350" s="418"/>
      <c r="H1350" s="18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17"/>
      <c r="Z1350" s="6"/>
      <c r="AA1350" s="18"/>
      <c r="AB1350" s="33"/>
      <c r="AC1350" s="34"/>
      <c r="AD1350" s="18"/>
      <c r="AE1350" s="18"/>
    </row>
    <row r="1351">
      <c r="A1351" s="5" t="s">
        <v>3507</v>
      </c>
      <c r="B1351" s="8" t="s">
        <v>3534</v>
      </c>
      <c r="C1351" s="21" t="s">
        <v>2606</v>
      </c>
      <c r="D1351" s="21" t="s">
        <v>417</v>
      </c>
      <c r="E1351" s="53">
        <v>302.0</v>
      </c>
      <c r="F1351" s="30">
        <v>326.0</v>
      </c>
      <c r="G1351" s="418"/>
      <c r="H1351" s="18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17"/>
      <c r="Z1351" s="6"/>
      <c r="AA1351" s="18"/>
      <c r="AB1351" s="33"/>
      <c r="AC1351" s="34"/>
      <c r="AD1351" s="18"/>
      <c r="AE1351" s="18"/>
    </row>
    <row r="1352">
      <c r="A1352" s="5" t="s">
        <v>3507</v>
      </c>
      <c r="B1352" s="8" t="s">
        <v>3534</v>
      </c>
      <c r="C1352" s="21" t="s">
        <v>2608</v>
      </c>
      <c r="D1352" s="21" t="s">
        <v>2561</v>
      </c>
      <c r="E1352" s="53">
        <v>351.92</v>
      </c>
      <c r="F1352" s="30">
        <v>378.0</v>
      </c>
      <c r="G1352" s="418"/>
      <c r="H1352" s="18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17"/>
      <c r="Z1352" s="6"/>
      <c r="AA1352" s="18"/>
      <c r="AB1352" s="33"/>
      <c r="AC1352" s="34"/>
      <c r="AD1352" s="18"/>
      <c r="AE1352" s="18"/>
    </row>
    <row r="1353">
      <c r="A1353" s="5" t="s">
        <v>3507</v>
      </c>
      <c r="B1353" s="8" t="s">
        <v>3534</v>
      </c>
      <c r="C1353" s="21" t="s">
        <v>2609</v>
      </c>
      <c r="D1353" s="21" t="s">
        <v>2563</v>
      </c>
      <c r="E1353" s="53">
        <v>334.0</v>
      </c>
      <c r="F1353" s="30">
        <v>358.0</v>
      </c>
      <c r="G1353" s="418"/>
      <c r="H1353" s="18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17"/>
      <c r="Z1353" s="6"/>
      <c r="AA1353" s="18"/>
      <c r="AB1353" s="33"/>
      <c r="AC1353" s="34"/>
      <c r="AD1353" s="18"/>
      <c r="AE1353" s="18"/>
    </row>
    <row r="1354">
      <c r="A1354" s="5" t="s">
        <v>3507</v>
      </c>
      <c r="B1354" s="8" t="s">
        <v>3534</v>
      </c>
      <c r="C1354" s="21" t="s">
        <v>2610</v>
      </c>
      <c r="D1354" s="21" t="s">
        <v>2566</v>
      </c>
      <c r="E1354" s="53">
        <v>347.68</v>
      </c>
      <c r="F1354" s="30">
        <v>376.0</v>
      </c>
      <c r="G1354" s="418"/>
      <c r="H1354" s="18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17"/>
      <c r="Z1354" s="6"/>
      <c r="AA1354" s="18"/>
      <c r="AB1354" s="33"/>
      <c r="AC1354" s="34"/>
      <c r="AD1354" s="18"/>
      <c r="AE1354" s="18"/>
    </row>
    <row r="1355">
      <c r="A1355" s="5" t="s">
        <v>3507</v>
      </c>
      <c r="B1355" s="8" t="s">
        <v>3534</v>
      </c>
      <c r="C1355" s="21" t="s">
        <v>2611</v>
      </c>
      <c r="D1355" s="21" t="s">
        <v>363</v>
      </c>
      <c r="E1355" s="53">
        <v>296.0</v>
      </c>
      <c r="F1355" s="30">
        <v>316.0</v>
      </c>
      <c r="G1355" s="418"/>
      <c r="H1355" s="18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17"/>
      <c r="Z1355" s="6"/>
      <c r="AA1355" s="18"/>
      <c r="AB1355" s="33"/>
      <c r="AC1355" s="34"/>
      <c r="AD1355" s="18"/>
      <c r="AE1355" s="18"/>
    </row>
    <row r="1356">
      <c r="A1356" s="5" t="s">
        <v>3507</v>
      </c>
      <c r="B1356" s="8" t="s">
        <v>3534</v>
      </c>
      <c r="C1356" s="21" t="s">
        <v>2613</v>
      </c>
      <c r="D1356" s="21" t="s">
        <v>808</v>
      </c>
      <c r="E1356" s="53">
        <v>586.0</v>
      </c>
      <c r="F1356" s="30">
        <v>632.0</v>
      </c>
      <c r="G1356" s="418"/>
      <c r="H1356" s="18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17"/>
      <c r="Z1356" s="6"/>
      <c r="AA1356" s="18"/>
      <c r="AB1356" s="33"/>
      <c r="AC1356" s="34"/>
      <c r="AD1356" s="18"/>
      <c r="AE1356" s="18"/>
    </row>
    <row r="1357">
      <c r="A1357" s="5" t="s">
        <v>3507</v>
      </c>
      <c r="B1357" s="8" t="s">
        <v>3534</v>
      </c>
      <c r="C1357" s="21" t="s">
        <v>2614</v>
      </c>
      <c r="D1357" s="21" t="s">
        <v>682</v>
      </c>
      <c r="E1357" s="53">
        <v>374.0</v>
      </c>
      <c r="F1357" s="30">
        <v>406.0</v>
      </c>
      <c r="G1357" s="418"/>
      <c r="H1357" s="18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17"/>
      <c r="Z1357" s="6"/>
      <c r="AA1357" s="18"/>
      <c r="AB1357" s="33"/>
      <c r="AC1357" s="34"/>
      <c r="AD1357" s="18"/>
      <c r="AE1357" s="18"/>
    </row>
    <row r="1358">
      <c r="A1358" s="5" t="s">
        <v>3507</v>
      </c>
      <c r="B1358" s="8" t="s">
        <v>3534</v>
      </c>
      <c r="C1358" s="21" t="s">
        <v>2615</v>
      </c>
      <c r="D1358" s="21" t="s">
        <v>756</v>
      </c>
      <c r="E1358" s="53">
        <v>412.0</v>
      </c>
      <c r="F1358" s="30">
        <v>444.0</v>
      </c>
      <c r="G1358" s="418"/>
      <c r="H1358" s="18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17"/>
      <c r="Z1358" s="6"/>
      <c r="AA1358" s="18"/>
      <c r="AB1358" s="33"/>
      <c r="AC1358" s="34"/>
      <c r="AD1358" s="18"/>
      <c r="AE1358" s="18"/>
    </row>
    <row r="1359">
      <c r="A1359" s="5" t="s">
        <v>3507</v>
      </c>
      <c r="B1359" s="8" t="s">
        <v>3534</v>
      </c>
      <c r="C1359" s="21" t="s">
        <v>2616</v>
      </c>
      <c r="D1359" s="21" t="s">
        <v>756</v>
      </c>
      <c r="E1359" s="53">
        <v>421.668</v>
      </c>
      <c r="F1359" s="30">
        <v>454.0</v>
      </c>
      <c r="G1359" s="418"/>
      <c r="H1359" s="18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17"/>
      <c r="Z1359" s="6"/>
      <c r="AA1359" s="18"/>
      <c r="AB1359" s="33"/>
      <c r="AC1359" s="34"/>
      <c r="AD1359" s="18"/>
      <c r="AE1359" s="18"/>
    </row>
    <row r="1360">
      <c r="A1360" s="5" t="s">
        <v>3507</v>
      </c>
      <c r="B1360" s="8" t="s">
        <v>3534</v>
      </c>
      <c r="C1360" s="21" t="s">
        <v>2617</v>
      </c>
      <c r="D1360" s="21" t="s">
        <v>2465</v>
      </c>
      <c r="E1360" s="53">
        <v>756.0</v>
      </c>
      <c r="F1360" s="30">
        <v>814.0</v>
      </c>
      <c r="G1360" s="418"/>
      <c r="H1360" s="18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17"/>
      <c r="Z1360" s="6"/>
      <c r="AA1360" s="18"/>
      <c r="AB1360" s="33"/>
      <c r="AC1360" s="34"/>
      <c r="AD1360" s="18"/>
      <c r="AE1360" s="18"/>
    </row>
    <row r="1361">
      <c r="A1361" s="5" t="s">
        <v>3507</v>
      </c>
      <c r="B1361" s="8" t="s">
        <v>3534</v>
      </c>
      <c r="C1361" s="21" t="s">
        <v>2619</v>
      </c>
      <c r="D1361" s="21" t="s">
        <v>2577</v>
      </c>
      <c r="E1361" s="53">
        <v>672.419904</v>
      </c>
      <c r="F1361" s="30">
        <v>728.0</v>
      </c>
      <c r="G1361" s="418"/>
      <c r="H1361" s="18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17"/>
      <c r="Z1361" s="6"/>
      <c r="AA1361" s="18"/>
      <c r="AB1361" s="33"/>
      <c r="AC1361" s="34"/>
      <c r="AD1361" s="18"/>
      <c r="AE1361" s="18"/>
    </row>
    <row r="1362">
      <c r="A1362" s="5" t="s">
        <v>3507</v>
      </c>
      <c r="B1362" s="8" t="s">
        <v>3534</v>
      </c>
      <c r="C1362" s="21" t="s">
        <v>2620</v>
      </c>
      <c r="D1362" s="21" t="s">
        <v>2580</v>
      </c>
      <c r="E1362" s="53">
        <v>756.0</v>
      </c>
      <c r="F1362" s="30">
        <v>814.0</v>
      </c>
      <c r="G1362" s="418"/>
      <c r="H1362" s="18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17"/>
      <c r="Z1362" s="6"/>
      <c r="AA1362" s="18"/>
      <c r="AB1362" s="33"/>
      <c r="AC1362" s="34"/>
      <c r="AD1362" s="18"/>
      <c r="AE1362" s="18"/>
    </row>
    <row r="1363">
      <c r="A1363" s="5" t="s">
        <v>3507</v>
      </c>
      <c r="B1363" s="8" t="s">
        <v>3534</v>
      </c>
      <c r="C1363" s="21" t="s">
        <v>2621</v>
      </c>
      <c r="D1363" s="21" t="s">
        <v>913</v>
      </c>
      <c r="E1363" s="53">
        <v>1375.88</v>
      </c>
      <c r="F1363" s="30">
        <v>1486.0</v>
      </c>
      <c r="G1363" s="418"/>
      <c r="H1363" s="18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17"/>
      <c r="Z1363" s="6"/>
      <c r="AA1363" s="18"/>
      <c r="AB1363" s="33"/>
      <c r="AC1363" s="34"/>
      <c r="AD1363" s="18"/>
      <c r="AE1363" s="18"/>
    </row>
    <row r="1364">
      <c r="A1364" s="5" t="s">
        <v>3507</v>
      </c>
      <c r="B1364" s="8" t="s">
        <v>3534</v>
      </c>
      <c r="C1364" s="21" t="s">
        <v>1300</v>
      </c>
      <c r="D1364" s="21" t="s">
        <v>523</v>
      </c>
      <c r="E1364" s="53">
        <v>2117.88</v>
      </c>
      <c r="F1364" s="30">
        <v>2288.0</v>
      </c>
      <c r="G1364" s="418"/>
      <c r="H1364" s="18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17"/>
      <c r="Z1364" s="6"/>
      <c r="AA1364" s="18"/>
      <c r="AB1364" s="33"/>
      <c r="AC1364" s="34"/>
      <c r="AD1364" s="18"/>
      <c r="AE1364" s="18"/>
    </row>
    <row r="1365">
      <c r="A1365" s="5" t="s">
        <v>3507</v>
      </c>
      <c r="B1365" s="8" t="s">
        <v>3534</v>
      </c>
      <c r="C1365" s="21" t="s">
        <v>2622</v>
      </c>
      <c r="D1365" s="21" t="s">
        <v>2584</v>
      </c>
      <c r="E1365" s="53">
        <v>1795.64</v>
      </c>
      <c r="F1365" s="30">
        <v>1938.0</v>
      </c>
      <c r="G1365" s="418"/>
      <c r="H1365" s="18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17"/>
      <c r="Z1365" s="6"/>
      <c r="AA1365" s="18"/>
      <c r="AB1365" s="33"/>
      <c r="AC1365" s="34"/>
      <c r="AD1365" s="18"/>
      <c r="AE1365" s="18"/>
    </row>
    <row r="1366">
      <c r="A1366" s="5" t="s">
        <v>3507</v>
      </c>
      <c r="B1366" s="8" t="s">
        <v>3534</v>
      </c>
      <c r="C1366" s="21" t="s">
        <v>2623</v>
      </c>
      <c r="D1366" s="21" t="s">
        <v>719</v>
      </c>
      <c r="E1366" s="53">
        <v>260.0</v>
      </c>
      <c r="F1366" s="30">
        <v>278.0</v>
      </c>
      <c r="G1366" s="418"/>
      <c r="H1366" s="18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17"/>
      <c r="Z1366" s="6"/>
      <c r="AA1366" s="18"/>
      <c r="AB1366" s="33"/>
      <c r="AC1366" s="34"/>
      <c r="AD1366" s="18"/>
      <c r="AE1366" s="18"/>
    </row>
    <row r="1367">
      <c r="A1367" s="5" t="s">
        <v>3507</v>
      </c>
      <c r="B1367" s="8" t="s">
        <v>3534</v>
      </c>
      <c r="C1367" s="21" t="s">
        <v>2625</v>
      </c>
      <c r="D1367" s="21" t="s">
        <v>717</v>
      </c>
      <c r="E1367" s="53">
        <v>267.618624</v>
      </c>
      <c r="F1367" s="30">
        <v>288.0</v>
      </c>
      <c r="G1367" s="418"/>
      <c r="H1367" s="18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17"/>
      <c r="Z1367" s="6"/>
      <c r="AA1367" s="18"/>
      <c r="AB1367" s="33"/>
      <c r="AC1367" s="34"/>
      <c r="AD1367" s="18"/>
      <c r="AE1367" s="18"/>
    </row>
    <row r="1368">
      <c r="A1368" s="5" t="s">
        <v>3507</v>
      </c>
      <c r="B1368" s="8" t="s">
        <v>3534</v>
      </c>
      <c r="C1368" s="21" t="s">
        <v>2626</v>
      </c>
      <c r="D1368" s="21" t="s">
        <v>723</v>
      </c>
      <c r="E1368" s="53">
        <v>279.84000000000003</v>
      </c>
      <c r="F1368" s="30">
        <v>302.0</v>
      </c>
      <c r="G1368" s="418"/>
      <c r="H1368" s="18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17"/>
      <c r="Z1368" s="6"/>
      <c r="AA1368" s="18"/>
      <c r="AB1368" s="33"/>
      <c r="AC1368" s="34"/>
      <c r="AD1368" s="18"/>
      <c r="AE1368" s="18"/>
    </row>
    <row r="1369">
      <c r="A1369" s="5" t="s">
        <v>3507</v>
      </c>
      <c r="B1369" s="8" t="s">
        <v>3534</v>
      </c>
      <c r="C1369" s="21" t="s">
        <v>2627</v>
      </c>
      <c r="D1369" s="21" t="s">
        <v>395</v>
      </c>
      <c r="E1369" s="53">
        <v>250.16000000000003</v>
      </c>
      <c r="F1369" s="30">
        <v>272.0</v>
      </c>
      <c r="G1369" s="418"/>
      <c r="H1369" s="18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17"/>
      <c r="Z1369" s="6"/>
      <c r="AA1369" s="18"/>
      <c r="AB1369" s="33"/>
      <c r="AC1369" s="34"/>
      <c r="AD1369" s="18"/>
      <c r="AE1369" s="18"/>
    </row>
    <row r="1370">
      <c r="A1370" s="5" t="s">
        <v>3507</v>
      </c>
      <c r="B1370" s="8" t="s">
        <v>3534</v>
      </c>
      <c r="C1370" s="21" t="s">
        <v>2628</v>
      </c>
      <c r="D1370" s="21" t="s">
        <v>829</v>
      </c>
      <c r="E1370" s="53">
        <v>550.0</v>
      </c>
      <c r="F1370" s="30">
        <v>592.0</v>
      </c>
      <c r="G1370" s="418"/>
      <c r="H1370" s="18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17"/>
      <c r="Z1370" s="6"/>
      <c r="AA1370" s="18"/>
      <c r="AB1370" s="33"/>
      <c r="AC1370" s="34"/>
      <c r="AD1370" s="18"/>
      <c r="AE1370" s="18"/>
    </row>
    <row r="1371">
      <c r="A1371" s="5" t="s">
        <v>3507</v>
      </c>
      <c r="B1371" s="8" t="s">
        <v>3534</v>
      </c>
      <c r="C1371" s="21" t="s">
        <v>2629</v>
      </c>
      <c r="D1371" s="21" t="s">
        <v>663</v>
      </c>
      <c r="E1371" s="53">
        <v>416.0</v>
      </c>
      <c r="F1371" s="30">
        <v>448.0</v>
      </c>
      <c r="G1371" s="418"/>
      <c r="H1371" s="18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17"/>
      <c r="Z1371" s="6"/>
      <c r="AA1371" s="18"/>
      <c r="AB1371" s="33"/>
      <c r="AC1371" s="34"/>
      <c r="AD1371" s="18"/>
      <c r="AE1371" s="18"/>
    </row>
    <row r="1372">
      <c r="A1372" s="5" t="s">
        <v>3507</v>
      </c>
      <c r="B1372" s="8" t="s">
        <v>3534</v>
      </c>
      <c r="C1372" s="21" t="s">
        <v>2630</v>
      </c>
      <c r="D1372" s="21" t="s">
        <v>690</v>
      </c>
      <c r="E1372" s="53">
        <v>415.52000000000004</v>
      </c>
      <c r="F1372" s="30">
        <v>448.0</v>
      </c>
      <c r="G1372" s="418"/>
      <c r="H1372" s="18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17"/>
      <c r="Z1372" s="6"/>
      <c r="AA1372" s="18"/>
      <c r="AB1372" s="33"/>
      <c r="AC1372" s="34"/>
      <c r="AD1372" s="18"/>
      <c r="AE1372" s="18"/>
    </row>
    <row r="1373">
      <c r="A1373" s="5" t="s">
        <v>3507</v>
      </c>
      <c r="B1373" s="8" t="s">
        <v>3534</v>
      </c>
      <c r="C1373" s="21" t="s">
        <v>2632</v>
      </c>
      <c r="D1373" s="21" t="s">
        <v>2596</v>
      </c>
      <c r="E1373" s="53">
        <v>712.32</v>
      </c>
      <c r="F1373" s="30">
        <v>768.0</v>
      </c>
      <c r="G1373" s="418"/>
      <c r="H1373" s="18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17"/>
      <c r="Z1373" s="6"/>
      <c r="AA1373" s="18"/>
      <c r="AB1373" s="33"/>
      <c r="AC1373" s="34"/>
      <c r="AD1373" s="18"/>
      <c r="AE1373" s="18"/>
    </row>
    <row r="1374">
      <c r="A1374" s="5" t="s">
        <v>3507</v>
      </c>
      <c r="B1374" s="8" t="s">
        <v>3534</v>
      </c>
      <c r="C1374" s="21" t="s">
        <v>2633</v>
      </c>
      <c r="D1374" s="21" t="s">
        <v>2598</v>
      </c>
      <c r="E1374" s="53">
        <v>726.0</v>
      </c>
      <c r="F1374" s="30">
        <v>782.0</v>
      </c>
      <c r="G1374" s="418"/>
      <c r="H1374" s="18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17"/>
      <c r="Z1374" s="6"/>
      <c r="AA1374" s="18"/>
      <c r="AB1374" s="33"/>
      <c r="AC1374" s="34"/>
      <c r="AD1374" s="18"/>
      <c r="AE1374" s="18"/>
    </row>
    <row r="1375">
      <c r="A1375" s="5" t="s">
        <v>3507</v>
      </c>
      <c r="B1375" s="8" t="s">
        <v>3534</v>
      </c>
      <c r="C1375" s="21" t="s">
        <v>2634</v>
      </c>
      <c r="D1375" s="21" t="s">
        <v>731</v>
      </c>
      <c r="E1375" s="53">
        <v>422.0</v>
      </c>
      <c r="F1375" s="30">
        <v>454.0</v>
      </c>
      <c r="G1375" s="418"/>
      <c r="H1375" s="18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17"/>
      <c r="Z1375" s="6"/>
      <c r="AA1375" s="18"/>
      <c r="AB1375" s="33"/>
      <c r="AC1375" s="34"/>
      <c r="AD1375" s="18"/>
      <c r="AE1375" s="18"/>
    </row>
    <row r="1376">
      <c r="A1376" s="5" t="s">
        <v>3507</v>
      </c>
      <c r="B1376" s="8" t="s">
        <v>3534</v>
      </c>
      <c r="C1376" s="21" t="s">
        <v>2635</v>
      </c>
      <c r="D1376" s="21" t="s">
        <v>1145</v>
      </c>
      <c r="E1376" s="53">
        <v>1644.0</v>
      </c>
      <c r="F1376" s="30">
        <v>1774.0</v>
      </c>
      <c r="G1376" s="418"/>
      <c r="H1376" s="18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17"/>
      <c r="Z1376" s="6"/>
      <c r="AA1376" s="18"/>
      <c r="AB1376" s="33"/>
      <c r="AC1376" s="34"/>
      <c r="AD1376" s="18"/>
      <c r="AE1376" s="18"/>
    </row>
    <row r="1377">
      <c r="A1377" s="5" t="s">
        <v>3507</v>
      </c>
      <c r="B1377" s="8" t="s">
        <v>3535</v>
      </c>
      <c r="C1377" s="21" t="str">
        <f t="array" ref="C1377:F1405">'COLOUR WISE'!B547:E575</f>
        <v>121-HR</v>
      </c>
      <c r="D1377" s="21" t="s">
        <v>1050</v>
      </c>
      <c r="E1377" s="53">
        <v>260.0</v>
      </c>
      <c r="F1377" s="30">
        <v>278.0</v>
      </c>
      <c r="G1377" s="418"/>
      <c r="H1377" s="18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17"/>
      <c r="Z1377" s="6"/>
      <c r="AA1377" s="18"/>
      <c r="AB1377" s="33"/>
      <c r="AC1377" s="34"/>
      <c r="AD1377" s="18"/>
      <c r="AE1377" s="18"/>
    </row>
    <row r="1378">
      <c r="A1378" s="5" t="s">
        <v>3507</v>
      </c>
      <c r="B1378" s="8" t="s">
        <v>3535</v>
      </c>
      <c r="C1378" s="21" t="s">
        <v>1305</v>
      </c>
      <c r="D1378" s="21" t="s">
        <v>748</v>
      </c>
      <c r="E1378" s="53">
        <v>272.0</v>
      </c>
      <c r="F1378" s="30">
        <v>294.0</v>
      </c>
      <c r="G1378" s="418"/>
      <c r="H1378" s="18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17"/>
      <c r="Z1378" s="6"/>
      <c r="AA1378" s="18"/>
      <c r="AB1378" s="33"/>
      <c r="AC1378" s="34"/>
      <c r="AD1378" s="18"/>
      <c r="AE1378" s="18"/>
    </row>
    <row r="1379">
      <c r="A1379" s="5" t="s">
        <v>3507</v>
      </c>
      <c r="B1379" s="8" t="s">
        <v>3535</v>
      </c>
      <c r="C1379" s="21" t="s">
        <v>2639</v>
      </c>
      <c r="D1379" s="21" t="s">
        <v>636</v>
      </c>
      <c r="E1379" s="53">
        <v>290.44</v>
      </c>
      <c r="F1379" s="30">
        <v>314.0</v>
      </c>
      <c r="G1379" s="418"/>
      <c r="H1379" s="18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17"/>
      <c r="Z1379" s="6"/>
      <c r="AA1379" s="18"/>
      <c r="AB1379" s="33"/>
      <c r="AC1379" s="34"/>
      <c r="AD1379" s="18"/>
      <c r="AE1379" s="18"/>
    </row>
    <row r="1380">
      <c r="A1380" s="5" t="s">
        <v>3507</v>
      </c>
      <c r="B1380" s="8" t="s">
        <v>3535</v>
      </c>
      <c r="C1380" s="21" t="s">
        <v>2640</v>
      </c>
      <c r="D1380" s="21" t="s">
        <v>417</v>
      </c>
      <c r="E1380" s="53">
        <v>302.0</v>
      </c>
      <c r="F1380" s="30">
        <v>326.0</v>
      </c>
      <c r="G1380" s="418"/>
      <c r="H1380" s="18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17"/>
      <c r="Z1380" s="6"/>
      <c r="AA1380" s="18"/>
      <c r="AB1380" s="33"/>
      <c r="AC1380" s="34"/>
      <c r="AD1380" s="18"/>
      <c r="AE1380" s="18"/>
    </row>
    <row r="1381">
      <c r="A1381" s="5" t="s">
        <v>3507</v>
      </c>
      <c r="B1381" s="8" t="s">
        <v>3535</v>
      </c>
      <c r="C1381" s="21" t="s">
        <v>2641</v>
      </c>
      <c r="D1381" s="21" t="s">
        <v>2561</v>
      </c>
      <c r="E1381" s="53">
        <v>351.92</v>
      </c>
      <c r="F1381" s="30">
        <v>378.0</v>
      </c>
      <c r="G1381" s="418"/>
      <c r="H1381" s="18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17"/>
      <c r="Z1381" s="6"/>
      <c r="AA1381" s="18"/>
      <c r="AB1381" s="33"/>
      <c r="AC1381" s="34"/>
      <c r="AD1381" s="18"/>
      <c r="AE1381" s="18"/>
    </row>
    <row r="1382">
      <c r="A1382" s="5" t="s">
        <v>3507</v>
      </c>
      <c r="B1382" s="8" t="s">
        <v>3535</v>
      </c>
      <c r="C1382" s="21" t="s">
        <v>2642</v>
      </c>
      <c r="D1382" s="21" t="s">
        <v>2563</v>
      </c>
      <c r="E1382" s="53">
        <v>334.0</v>
      </c>
      <c r="F1382" s="30">
        <v>358.0</v>
      </c>
      <c r="G1382" s="418"/>
      <c r="H1382" s="18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17"/>
      <c r="Z1382" s="6"/>
      <c r="AA1382" s="18"/>
      <c r="AB1382" s="33"/>
      <c r="AC1382" s="34"/>
      <c r="AD1382" s="18"/>
      <c r="AE1382" s="18"/>
    </row>
    <row r="1383">
      <c r="A1383" s="5" t="s">
        <v>3507</v>
      </c>
      <c r="B1383" s="8" t="s">
        <v>3535</v>
      </c>
      <c r="C1383" s="21" t="s">
        <v>2643</v>
      </c>
      <c r="D1383" s="21" t="s">
        <v>2566</v>
      </c>
      <c r="E1383" s="53">
        <v>347.68</v>
      </c>
      <c r="F1383" s="30">
        <v>376.0</v>
      </c>
      <c r="G1383" s="418"/>
      <c r="H1383" s="18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17"/>
      <c r="Z1383" s="6"/>
      <c r="AA1383" s="18"/>
      <c r="AB1383" s="33"/>
      <c r="AC1383" s="34"/>
      <c r="AD1383" s="18"/>
      <c r="AE1383" s="18"/>
    </row>
    <row r="1384">
      <c r="A1384" s="5" t="s">
        <v>3507</v>
      </c>
      <c r="B1384" s="8" t="s">
        <v>3535</v>
      </c>
      <c r="C1384" s="21" t="s">
        <v>2644</v>
      </c>
      <c r="D1384" s="21" t="s">
        <v>363</v>
      </c>
      <c r="E1384" s="53">
        <v>296.0</v>
      </c>
      <c r="F1384" s="30">
        <v>316.0</v>
      </c>
      <c r="G1384" s="418"/>
      <c r="H1384" s="18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17"/>
      <c r="Z1384" s="6"/>
      <c r="AA1384" s="18"/>
      <c r="AB1384" s="33"/>
      <c r="AC1384" s="34"/>
      <c r="AD1384" s="18"/>
      <c r="AE1384" s="18"/>
    </row>
    <row r="1385">
      <c r="A1385" s="5" t="s">
        <v>3507</v>
      </c>
      <c r="B1385" s="8" t="s">
        <v>3535</v>
      </c>
      <c r="C1385" s="21" t="s">
        <v>2646</v>
      </c>
      <c r="D1385" s="21" t="s">
        <v>808</v>
      </c>
      <c r="E1385" s="53">
        <v>586.0</v>
      </c>
      <c r="F1385" s="30">
        <v>632.0</v>
      </c>
      <c r="G1385" s="418"/>
      <c r="H1385" s="18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17"/>
      <c r="Z1385" s="6"/>
      <c r="AA1385" s="18"/>
      <c r="AB1385" s="33"/>
      <c r="AC1385" s="34"/>
      <c r="AD1385" s="18"/>
      <c r="AE1385" s="18"/>
    </row>
    <row r="1386">
      <c r="A1386" s="5" t="s">
        <v>3507</v>
      </c>
      <c r="B1386" s="8" t="s">
        <v>3535</v>
      </c>
      <c r="C1386" s="21" t="s">
        <v>2647</v>
      </c>
      <c r="D1386" s="21" t="s">
        <v>682</v>
      </c>
      <c r="E1386" s="53">
        <v>374.0</v>
      </c>
      <c r="F1386" s="30">
        <v>406.0</v>
      </c>
      <c r="G1386" s="418"/>
      <c r="H1386" s="18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17"/>
      <c r="Z1386" s="6"/>
      <c r="AA1386" s="18"/>
      <c r="AB1386" s="33"/>
      <c r="AC1386" s="34"/>
      <c r="AD1386" s="18"/>
      <c r="AE1386" s="18"/>
    </row>
    <row r="1387">
      <c r="A1387" s="5" t="s">
        <v>3507</v>
      </c>
      <c r="B1387" s="8" t="s">
        <v>3535</v>
      </c>
      <c r="C1387" s="21" t="s">
        <v>2648</v>
      </c>
      <c r="D1387" s="21" t="s">
        <v>756</v>
      </c>
      <c r="E1387" s="53">
        <v>412.0</v>
      </c>
      <c r="F1387" s="30">
        <v>444.0</v>
      </c>
      <c r="G1387" s="418"/>
      <c r="H1387" s="18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17"/>
      <c r="Z1387" s="6"/>
      <c r="AA1387" s="18"/>
      <c r="AB1387" s="33"/>
      <c r="AC1387" s="34"/>
      <c r="AD1387" s="18"/>
      <c r="AE1387" s="18"/>
    </row>
    <row r="1388">
      <c r="A1388" s="5" t="s">
        <v>3507</v>
      </c>
      <c r="B1388" s="8" t="s">
        <v>3535</v>
      </c>
      <c r="C1388" s="21" t="s">
        <v>2649</v>
      </c>
      <c r="D1388" s="21" t="s">
        <v>756</v>
      </c>
      <c r="E1388" s="53">
        <v>421.668</v>
      </c>
      <c r="F1388" s="30">
        <v>454.0</v>
      </c>
      <c r="G1388" s="418"/>
      <c r="H1388" s="18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17"/>
      <c r="Z1388" s="6"/>
      <c r="AA1388" s="18"/>
      <c r="AB1388" s="33"/>
      <c r="AC1388" s="34"/>
      <c r="AD1388" s="18"/>
      <c r="AE1388" s="18"/>
    </row>
    <row r="1389">
      <c r="A1389" s="5" t="s">
        <v>3507</v>
      </c>
      <c r="B1389" s="8" t="s">
        <v>3535</v>
      </c>
      <c r="C1389" s="21" t="s">
        <v>2650</v>
      </c>
      <c r="D1389" s="21" t="s">
        <v>2465</v>
      </c>
      <c r="E1389" s="53">
        <v>756.0</v>
      </c>
      <c r="F1389" s="30">
        <v>814.0</v>
      </c>
      <c r="G1389" s="418"/>
      <c r="H1389" s="18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17"/>
      <c r="Z1389" s="6"/>
      <c r="AA1389" s="18"/>
      <c r="AB1389" s="33"/>
      <c r="AC1389" s="34"/>
      <c r="AD1389" s="18"/>
      <c r="AE1389" s="18"/>
    </row>
    <row r="1390">
      <c r="A1390" s="5" t="s">
        <v>3507</v>
      </c>
      <c r="B1390" s="8" t="s">
        <v>3535</v>
      </c>
      <c r="C1390" s="21" t="s">
        <v>2652</v>
      </c>
      <c r="D1390" s="21" t="s">
        <v>2577</v>
      </c>
      <c r="E1390" s="53">
        <v>672.419904</v>
      </c>
      <c r="F1390" s="30">
        <v>728.0</v>
      </c>
      <c r="G1390" s="418"/>
      <c r="H1390" s="18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17"/>
      <c r="Z1390" s="6"/>
      <c r="AA1390" s="18"/>
      <c r="AB1390" s="33"/>
      <c r="AC1390" s="34"/>
      <c r="AD1390" s="18"/>
      <c r="AE1390" s="18"/>
    </row>
    <row r="1391">
      <c r="A1391" s="5" t="s">
        <v>3507</v>
      </c>
      <c r="B1391" s="8" t="s">
        <v>3535</v>
      </c>
      <c r="C1391" s="21" t="s">
        <v>2653</v>
      </c>
      <c r="D1391" s="21" t="s">
        <v>2580</v>
      </c>
      <c r="E1391" s="53">
        <v>756.0</v>
      </c>
      <c r="F1391" s="30">
        <v>814.0</v>
      </c>
      <c r="G1391" s="418"/>
      <c r="H1391" s="18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17"/>
      <c r="Z1391" s="6"/>
      <c r="AA1391" s="18"/>
      <c r="AB1391" s="33"/>
      <c r="AC1391" s="34"/>
      <c r="AD1391" s="18"/>
      <c r="AE1391" s="18"/>
    </row>
    <row r="1392">
      <c r="A1392" s="5" t="s">
        <v>3507</v>
      </c>
      <c r="B1392" s="8" t="s">
        <v>3535</v>
      </c>
      <c r="C1392" s="21" t="s">
        <v>2654</v>
      </c>
      <c r="D1392" s="21" t="s">
        <v>913</v>
      </c>
      <c r="E1392" s="53">
        <v>1375.88</v>
      </c>
      <c r="F1392" s="30">
        <v>1486.0</v>
      </c>
      <c r="G1392" s="418"/>
      <c r="H1392" s="18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17"/>
      <c r="Z1392" s="6"/>
      <c r="AA1392" s="18"/>
      <c r="AB1392" s="33"/>
      <c r="AC1392" s="34"/>
      <c r="AD1392" s="18"/>
      <c r="AE1392" s="18"/>
    </row>
    <row r="1393">
      <c r="A1393" s="5" t="s">
        <v>3507</v>
      </c>
      <c r="B1393" s="8" t="s">
        <v>3535</v>
      </c>
      <c r="C1393" s="21" t="s">
        <v>1306</v>
      </c>
      <c r="D1393" s="21" t="s">
        <v>523</v>
      </c>
      <c r="E1393" s="53">
        <v>2117.88</v>
      </c>
      <c r="F1393" s="30">
        <v>2288.0</v>
      </c>
      <c r="G1393" s="418"/>
      <c r="H1393" s="18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17"/>
      <c r="Z1393" s="6"/>
      <c r="AA1393" s="18"/>
      <c r="AB1393" s="33"/>
      <c r="AC1393" s="34"/>
      <c r="AD1393" s="18"/>
      <c r="AE1393" s="18"/>
    </row>
    <row r="1394">
      <c r="A1394" s="5" t="s">
        <v>3507</v>
      </c>
      <c r="B1394" s="8" t="s">
        <v>3535</v>
      </c>
      <c r="C1394" s="21" t="s">
        <v>2655</v>
      </c>
      <c r="D1394" s="21" t="s">
        <v>2584</v>
      </c>
      <c r="E1394" s="53">
        <v>1795.64</v>
      </c>
      <c r="F1394" s="30">
        <v>1938.0</v>
      </c>
      <c r="G1394" s="418"/>
      <c r="H1394" s="18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17"/>
      <c r="Z1394" s="6"/>
      <c r="AA1394" s="18"/>
      <c r="AB1394" s="33"/>
      <c r="AC1394" s="34"/>
      <c r="AD1394" s="18"/>
      <c r="AE1394" s="18"/>
    </row>
    <row r="1395">
      <c r="A1395" s="5" t="s">
        <v>3507</v>
      </c>
      <c r="B1395" s="8" t="s">
        <v>3535</v>
      </c>
      <c r="C1395" s="21" t="s">
        <v>2656</v>
      </c>
      <c r="D1395" s="21" t="s">
        <v>719</v>
      </c>
      <c r="E1395" s="53">
        <v>260.0</v>
      </c>
      <c r="F1395" s="30">
        <v>278.0</v>
      </c>
      <c r="G1395" s="418"/>
      <c r="H1395" s="18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17"/>
      <c r="Z1395" s="6"/>
      <c r="AA1395" s="18"/>
      <c r="AB1395" s="33"/>
      <c r="AC1395" s="34"/>
      <c r="AD1395" s="18"/>
      <c r="AE1395" s="18"/>
    </row>
    <row r="1396">
      <c r="A1396" s="5" t="s">
        <v>3507</v>
      </c>
      <c r="B1396" s="8" t="s">
        <v>3535</v>
      </c>
      <c r="C1396" s="21" t="s">
        <v>2658</v>
      </c>
      <c r="D1396" s="21" t="s">
        <v>717</v>
      </c>
      <c r="E1396" s="53">
        <v>267.618624</v>
      </c>
      <c r="F1396" s="30">
        <v>288.0</v>
      </c>
      <c r="G1396" s="418"/>
      <c r="H1396" s="18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17"/>
      <c r="Z1396" s="6"/>
      <c r="AA1396" s="18"/>
      <c r="AB1396" s="33"/>
      <c r="AC1396" s="34"/>
      <c r="AD1396" s="18"/>
      <c r="AE1396" s="18"/>
    </row>
    <row r="1397">
      <c r="A1397" s="5" t="s">
        <v>3507</v>
      </c>
      <c r="B1397" s="8" t="s">
        <v>3535</v>
      </c>
      <c r="C1397" s="21" t="s">
        <v>2659</v>
      </c>
      <c r="D1397" s="21" t="s">
        <v>723</v>
      </c>
      <c r="E1397" s="53">
        <v>279.84000000000003</v>
      </c>
      <c r="F1397" s="30">
        <v>302.0</v>
      </c>
      <c r="G1397" s="418"/>
      <c r="H1397" s="18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17"/>
      <c r="Z1397" s="6"/>
      <c r="AA1397" s="18"/>
      <c r="AB1397" s="33"/>
      <c r="AC1397" s="34"/>
      <c r="AD1397" s="18"/>
      <c r="AE1397" s="18"/>
    </row>
    <row r="1398">
      <c r="A1398" s="5" t="s">
        <v>3507</v>
      </c>
      <c r="B1398" s="8" t="s">
        <v>3535</v>
      </c>
      <c r="C1398" s="21" t="s">
        <v>2660</v>
      </c>
      <c r="D1398" s="21" t="s">
        <v>395</v>
      </c>
      <c r="E1398" s="53">
        <v>250.16000000000003</v>
      </c>
      <c r="F1398" s="30">
        <v>272.0</v>
      </c>
      <c r="G1398" s="418"/>
      <c r="H1398" s="18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17"/>
      <c r="Z1398" s="6"/>
      <c r="AA1398" s="18"/>
      <c r="AB1398" s="33"/>
      <c r="AC1398" s="34"/>
      <c r="AD1398" s="18"/>
      <c r="AE1398" s="18"/>
    </row>
    <row r="1399">
      <c r="A1399" s="5" t="s">
        <v>3507</v>
      </c>
      <c r="B1399" s="8" t="s">
        <v>3535</v>
      </c>
      <c r="C1399" s="21" t="s">
        <v>2661</v>
      </c>
      <c r="D1399" s="21" t="s">
        <v>829</v>
      </c>
      <c r="E1399" s="53">
        <v>550.0</v>
      </c>
      <c r="F1399" s="30">
        <v>592.0</v>
      </c>
      <c r="G1399" s="418"/>
      <c r="H1399" s="18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17"/>
      <c r="Z1399" s="6"/>
      <c r="AA1399" s="18"/>
      <c r="AB1399" s="33"/>
      <c r="AC1399" s="34"/>
      <c r="AD1399" s="18"/>
      <c r="AE1399" s="18"/>
    </row>
    <row r="1400">
      <c r="A1400" s="5" t="s">
        <v>3507</v>
      </c>
      <c r="B1400" s="8" t="s">
        <v>3535</v>
      </c>
      <c r="C1400" s="21" t="s">
        <v>2662</v>
      </c>
      <c r="D1400" s="21" t="s">
        <v>663</v>
      </c>
      <c r="E1400" s="53">
        <v>416.0</v>
      </c>
      <c r="F1400" s="30">
        <v>448.0</v>
      </c>
      <c r="G1400" s="418"/>
      <c r="H1400" s="18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17"/>
      <c r="Z1400" s="6"/>
      <c r="AA1400" s="18"/>
      <c r="AB1400" s="33"/>
      <c r="AC1400" s="34"/>
      <c r="AD1400" s="18"/>
      <c r="AE1400" s="18"/>
    </row>
    <row r="1401">
      <c r="A1401" s="5" t="s">
        <v>3507</v>
      </c>
      <c r="B1401" s="8" t="s">
        <v>3535</v>
      </c>
      <c r="C1401" s="21" t="s">
        <v>2663</v>
      </c>
      <c r="D1401" s="21" t="s">
        <v>690</v>
      </c>
      <c r="E1401" s="53">
        <v>415.52000000000004</v>
      </c>
      <c r="F1401" s="30">
        <v>448.0</v>
      </c>
      <c r="G1401" s="418"/>
      <c r="H1401" s="18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17"/>
      <c r="Z1401" s="6"/>
      <c r="AA1401" s="18"/>
      <c r="AB1401" s="33"/>
      <c r="AC1401" s="34"/>
      <c r="AD1401" s="18"/>
      <c r="AE1401" s="18"/>
    </row>
    <row r="1402">
      <c r="A1402" s="5" t="s">
        <v>3507</v>
      </c>
      <c r="B1402" s="8" t="s">
        <v>3535</v>
      </c>
      <c r="C1402" s="21" t="s">
        <v>2665</v>
      </c>
      <c r="D1402" s="21" t="s">
        <v>2596</v>
      </c>
      <c r="E1402" s="53">
        <v>712.32</v>
      </c>
      <c r="F1402" s="30">
        <v>768.0</v>
      </c>
      <c r="G1402" s="418"/>
      <c r="H1402" s="18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17"/>
      <c r="Z1402" s="6"/>
      <c r="AA1402" s="18"/>
      <c r="AB1402" s="33"/>
      <c r="AC1402" s="34"/>
      <c r="AD1402" s="18"/>
      <c r="AE1402" s="18"/>
    </row>
    <row r="1403">
      <c r="A1403" s="5" t="s">
        <v>3507</v>
      </c>
      <c r="B1403" s="8" t="s">
        <v>3535</v>
      </c>
      <c r="C1403" s="21" t="s">
        <v>2666</v>
      </c>
      <c r="D1403" s="21" t="s">
        <v>2598</v>
      </c>
      <c r="E1403" s="53">
        <v>726.0</v>
      </c>
      <c r="F1403" s="30">
        <v>782.0</v>
      </c>
      <c r="G1403" s="418"/>
      <c r="H1403" s="18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17"/>
      <c r="Z1403" s="6"/>
      <c r="AA1403" s="18"/>
      <c r="AB1403" s="33"/>
      <c r="AC1403" s="34"/>
      <c r="AD1403" s="18"/>
      <c r="AE1403" s="18"/>
    </row>
    <row r="1404">
      <c r="A1404" s="5" t="s">
        <v>3507</v>
      </c>
      <c r="B1404" s="8" t="s">
        <v>3535</v>
      </c>
      <c r="C1404" s="21" t="s">
        <v>2667</v>
      </c>
      <c r="D1404" s="21" t="s">
        <v>731</v>
      </c>
      <c r="E1404" s="53">
        <v>422.0</v>
      </c>
      <c r="F1404" s="30">
        <v>454.0</v>
      </c>
      <c r="G1404" s="418"/>
      <c r="H1404" s="18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17"/>
      <c r="Z1404" s="6"/>
      <c r="AA1404" s="18"/>
      <c r="AB1404" s="33"/>
      <c r="AC1404" s="34"/>
      <c r="AD1404" s="18"/>
      <c r="AE1404" s="18"/>
    </row>
    <row r="1405">
      <c r="A1405" s="5" t="s">
        <v>3507</v>
      </c>
      <c r="B1405" s="8" t="s">
        <v>3535</v>
      </c>
      <c r="C1405" s="21" t="s">
        <v>2668</v>
      </c>
      <c r="D1405" s="21" t="s">
        <v>1145</v>
      </c>
      <c r="E1405" s="53">
        <v>1644.0</v>
      </c>
      <c r="F1405" s="30">
        <v>1774.0</v>
      </c>
      <c r="G1405" s="418"/>
      <c r="H1405" s="18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17"/>
      <c r="Z1405" s="6"/>
      <c r="AA1405" s="18"/>
      <c r="AB1405" s="33"/>
      <c r="AC1405" s="34"/>
      <c r="AD1405" s="18"/>
      <c r="AE1405" s="18"/>
    </row>
    <row r="1406">
      <c r="A1406" s="5" t="s">
        <v>3507</v>
      </c>
      <c r="B1406" s="8" t="s">
        <v>3536</v>
      </c>
      <c r="C1406" s="21" t="str">
        <f t="array" ref="C1406:F1434">'COLOUR WISE'!B578:E606</f>
        <v>121-HP</v>
      </c>
      <c r="D1406" s="21" t="s">
        <v>1050</v>
      </c>
      <c r="E1406" s="53">
        <v>260.0</v>
      </c>
      <c r="F1406" s="30">
        <v>278.0</v>
      </c>
      <c r="G1406" s="418"/>
      <c r="H1406" s="18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17"/>
      <c r="Z1406" s="6"/>
      <c r="AA1406" s="18"/>
      <c r="AB1406" s="33"/>
      <c r="AC1406" s="34"/>
      <c r="AD1406" s="18"/>
      <c r="AE1406" s="18"/>
    </row>
    <row r="1407">
      <c r="A1407" s="5" t="s">
        <v>3507</v>
      </c>
      <c r="B1407" s="8" t="s">
        <v>3536</v>
      </c>
      <c r="C1407" s="21" t="s">
        <v>1310</v>
      </c>
      <c r="D1407" s="21" t="s">
        <v>748</v>
      </c>
      <c r="E1407" s="53">
        <v>272.0</v>
      </c>
      <c r="F1407" s="30">
        <v>294.0</v>
      </c>
      <c r="G1407" s="418"/>
      <c r="H1407" s="18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17"/>
      <c r="Z1407" s="6"/>
      <c r="AA1407" s="18"/>
      <c r="AB1407" s="33"/>
      <c r="AC1407" s="34"/>
      <c r="AD1407" s="18"/>
      <c r="AE1407" s="18"/>
    </row>
    <row r="1408">
      <c r="A1408" s="5" t="s">
        <v>3507</v>
      </c>
      <c r="B1408" s="8" t="s">
        <v>3536</v>
      </c>
      <c r="C1408" s="21" t="s">
        <v>2672</v>
      </c>
      <c r="D1408" s="21" t="s">
        <v>636</v>
      </c>
      <c r="E1408" s="53">
        <v>290.44</v>
      </c>
      <c r="F1408" s="30">
        <v>314.0</v>
      </c>
      <c r="G1408" s="418"/>
      <c r="H1408" s="18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17"/>
      <c r="Z1408" s="6"/>
      <c r="AA1408" s="18"/>
      <c r="AB1408" s="33"/>
      <c r="AC1408" s="34"/>
      <c r="AD1408" s="18"/>
      <c r="AE1408" s="18"/>
    </row>
    <row r="1409">
      <c r="A1409" s="5" t="s">
        <v>3507</v>
      </c>
      <c r="B1409" s="8" t="s">
        <v>3536</v>
      </c>
      <c r="C1409" s="21" t="s">
        <v>2674</v>
      </c>
      <c r="D1409" s="21" t="s">
        <v>417</v>
      </c>
      <c r="E1409" s="53">
        <v>302.0</v>
      </c>
      <c r="F1409" s="30">
        <v>326.0</v>
      </c>
      <c r="G1409" s="418"/>
      <c r="H1409" s="18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17"/>
      <c r="Z1409" s="6"/>
      <c r="AA1409" s="18"/>
      <c r="AB1409" s="33"/>
      <c r="AC1409" s="34"/>
      <c r="AD1409" s="18"/>
      <c r="AE1409" s="18"/>
    </row>
    <row r="1410">
      <c r="A1410" s="5" t="s">
        <v>3507</v>
      </c>
      <c r="B1410" s="8" t="s">
        <v>3536</v>
      </c>
      <c r="C1410" s="21" t="s">
        <v>2675</v>
      </c>
      <c r="D1410" s="21" t="s">
        <v>2561</v>
      </c>
      <c r="E1410" s="53">
        <v>351.92</v>
      </c>
      <c r="F1410" s="30">
        <v>378.0</v>
      </c>
      <c r="G1410" s="418"/>
      <c r="H1410" s="18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17"/>
      <c r="Z1410" s="6"/>
      <c r="AA1410" s="18"/>
      <c r="AB1410" s="33"/>
      <c r="AC1410" s="34"/>
      <c r="AD1410" s="18"/>
      <c r="AE1410" s="18"/>
    </row>
    <row r="1411">
      <c r="A1411" s="5" t="s">
        <v>3507</v>
      </c>
      <c r="B1411" s="8" t="s">
        <v>3536</v>
      </c>
      <c r="C1411" s="21" t="s">
        <v>2676</v>
      </c>
      <c r="D1411" s="21" t="s">
        <v>2563</v>
      </c>
      <c r="E1411" s="53">
        <v>334.0</v>
      </c>
      <c r="F1411" s="30">
        <v>358.0</v>
      </c>
      <c r="G1411" s="418"/>
      <c r="H1411" s="18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17"/>
      <c r="Z1411" s="6"/>
      <c r="AA1411" s="18"/>
      <c r="AB1411" s="33"/>
      <c r="AC1411" s="34"/>
      <c r="AD1411" s="18"/>
      <c r="AE1411" s="18"/>
    </row>
    <row r="1412">
      <c r="A1412" s="5" t="s">
        <v>3507</v>
      </c>
      <c r="B1412" s="8" t="s">
        <v>3536</v>
      </c>
      <c r="C1412" s="21" t="s">
        <v>2678</v>
      </c>
      <c r="D1412" s="21" t="s">
        <v>2566</v>
      </c>
      <c r="E1412" s="53">
        <v>347.68</v>
      </c>
      <c r="F1412" s="30">
        <v>376.0</v>
      </c>
      <c r="G1412" s="418"/>
      <c r="H1412" s="18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17"/>
      <c r="Z1412" s="6"/>
      <c r="AA1412" s="18"/>
      <c r="AB1412" s="33"/>
      <c r="AC1412" s="34"/>
      <c r="AD1412" s="18"/>
      <c r="AE1412" s="18"/>
    </row>
    <row r="1413">
      <c r="A1413" s="5" t="s">
        <v>3507</v>
      </c>
      <c r="B1413" s="8" t="s">
        <v>3536</v>
      </c>
      <c r="C1413" s="21" t="s">
        <v>2679</v>
      </c>
      <c r="D1413" s="21" t="s">
        <v>363</v>
      </c>
      <c r="E1413" s="53">
        <v>296.0</v>
      </c>
      <c r="F1413" s="30">
        <v>316.0</v>
      </c>
      <c r="G1413" s="418"/>
      <c r="H1413" s="18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17"/>
      <c r="Z1413" s="6"/>
      <c r="AA1413" s="18"/>
      <c r="AB1413" s="33"/>
      <c r="AC1413" s="34"/>
      <c r="AD1413" s="18"/>
      <c r="AE1413" s="18"/>
    </row>
    <row r="1414">
      <c r="A1414" s="5" t="s">
        <v>3507</v>
      </c>
      <c r="B1414" s="8" t="s">
        <v>3536</v>
      </c>
      <c r="C1414" s="21" t="s">
        <v>2680</v>
      </c>
      <c r="D1414" s="21" t="s">
        <v>808</v>
      </c>
      <c r="E1414" s="53">
        <v>586.0</v>
      </c>
      <c r="F1414" s="30">
        <v>632.0</v>
      </c>
      <c r="G1414" s="418"/>
      <c r="H1414" s="18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17"/>
      <c r="Z1414" s="6"/>
      <c r="AA1414" s="18"/>
      <c r="AB1414" s="33"/>
      <c r="AC1414" s="34"/>
      <c r="AD1414" s="18"/>
      <c r="AE1414" s="18"/>
    </row>
    <row r="1415">
      <c r="A1415" s="5" t="s">
        <v>3507</v>
      </c>
      <c r="B1415" s="8" t="s">
        <v>3536</v>
      </c>
      <c r="C1415" s="21" t="s">
        <v>2681</v>
      </c>
      <c r="D1415" s="21" t="s">
        <v>682</v>
      </c>
      <c r="E1415" s="53">
        <v>374.0</v>
      </c>
      <c r="F1415" s="30">
        <v>406.0</v>
      </c>
      <c r="G1415" s="418"/>
      <c r="H1415" s="18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17"/>
      <c r="Z1415" s="6"/>
      <c r="AA1415" s="18"/>
      <c r="AB1415" s="33"/>
      <c r="AC1415" s="34"/>
      <c r="AD1415" s="18"/>
      <c r="AE1415" s="18"/>
    </row>
    <row r="1416">
      <c r="A1416" s="5" t="s">
        <v>3507</v>
      </c>
      <c r="B1416" s="8" t="s">
        <v>3536</v>
      </c>
      <c r="C1416" s="21" t="s">
        <v>2682</v>
      </c>
      <c r="D1416" s="21" t="s">
        <v>756</v>
      </c>
      <c r="E1416" s="53">
        <v>412.0</v>
      </c>
      <c r="F1416" s="30">
        <v>444.0</v>
      </c>
      <c r="G1416" s="418"/>
      <c r="H1416" s="18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17"/>
      <c r="Z1416" s="6"/>
      <c r="AA1416" s="18"/>
      <c r="AB1416" s="33"/>
      <c r="AC1416" s="34"/>
      <c r="AD1416" s="18"/>
      <c r="AE1416" s="18"/>
    </row>
    <row r="1417">
      <c r="A1417" s="5" t="s">
        <v>3507</v>
      </c>
      <c r="B1417" s="8" t="s">
        <v>3536</v>
      </c>
      <c r="C1417" s="21" t="s">
        <v>2683</v>
      </c>
      <c r="D1417" s="21" t="s">
        <v>756</v>
      </c>
      <c r="E1417" s="53">
        <v>421.668</v>
      </c>
      <c r="F1417" s="30">
        <v>454.0</v>
      </c>
      <c r="G1417" s="418"/>
      <c r="H1417" s="18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17"/>
      <c r="Z1417" s="6"/>
      <c r="AA1417" s="18"/>
      <c r="AB1417" s="33"/>
      <c r="AC1417" s="34"/>
      <c r="AD1417" s="18"/>
      <c r="AE1417" s="18"/>
    </row>
    <row r="1418">
      <c r="A1418" s="5" t="s">
        <v>3507</v>
      </c>
      <c r="B1418" s="8" t="s">
        <v>3536</v>
      </c>
      <c r="C1418" s="21" t="s">
        <v>2685</v>
      </c>
      <c r="D1418" s="21" t="s">
        <v>2465</v>
      </c>
      <c r="E1418" s="53">
        <v>756.0</v>
      </c>
      <c r="F1418" s="30">
        <v>814.0</v>
      </c>
      <c r="G1418" s="418"/>
      <c r="H1418" s="18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17"/>
      <c r="Z1418" s="6"/>
      <c r="AA1418" s="18"/>
      <c r="AB1418" s="33"/>
      <c r="AC1418" s="34"/>
      <c r="AD1418" s="18"/>
      <c r="AE1418" s="18"/>
    </row>
    <row r="1419">
      <c r="A1419" s="5" t="s">
        <v>3507</v>
      </c>
      <c r="B1419" s="8" t="s">
        <v>3536</v>
      </c>
      <c r="C1419" s="21" t="s">
        <v>2686</v>
      </c>
      <c r="D1419" s="21" t="s">
        <v>2577</v>
      </c>
      <c r="E1419" s="53">
        <v>672.419904</v>
      </c>
      <c r="F1419" s="30">
        <v>728.0</v>
      </c>
      <c r="G1419" s="418"/>
      <c r="H1419" s="18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17"/>
      <c r="Z1419" s="6"/>
      <c r="AA1419" s="18"/>
      <c r="AB1419" s="33"/>
      <c r="AC1419" s="34"/>
      <c r="AD1419" s="18"/>
      <c r="AE1419" s="18"/>
    </row>
    <row r="1420">
      <c r="A1420" s="5" t="s">
        <v>3507</v>
      </c>
      <c r="B1420" s="8" t="s">
        <v>3536</v>
      </c>
      <c r="C1420" s="21" t="s">
        <v>2687</v>
      </c>
      <c r="D1420" s="21" t="s">
        <v>2580</v>
      </c>
      <c r="E1420" s="53">
        <v>756.0</v>
      </c>
      <c r="F1420" s="30">
        <v>814.0</v>
      </c>
      <c r="G1420" s="418"/>
      <c r="H1420" s="18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17"/>
      <c r="Z1420" s="6"/>
      <c r="AA1420" s="18"/>
      <c r="AB1420" s="33"/>
      <c r="AC1420" s="34"/>
      <c r="AD1420" s="18"/>
      <c r="AE1420" s="18"/>
    </row>
    <row r="1421">
      <c r="A1421" s="5" t="s">
        <v>3507</v>
      </c>
      <c r="B1421" s="8" t="s">
        <v>3536</v>
      </c>
      <c r="C1421" s="21" t="s">
        <v>2688</v>
      </c>
      <c r="D1421" s="21" t="s">
        <v>913</v>
      </c>
      <c r="E1421" s="53">
        <v>1375.88</v>
      </c>
      <c r="F1421" s="30">
        <v>1486.0</v>
      </c>
      <c r="G1421" s="418"/>
      <c r="H1421" s="18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17"/>
      <c r="Z1421" s="6"/>
      <c r="AA1421" s="18"/>
      <c r="AB1421" s="33"/>
      <c r="AC1421" s="34"/>
      <c r="AD1421" s="18"/>
      <c r="AE1421" s="18"/>
    </row>
    <row r="1422">
      <c r="A1422" s="5" t="s">
        <v>3507</v>
      </c>
      <c r="B1422" s="8" t="s">
        <v>3536</v>
      </c>
      <c r="C1422" s="21" t="s">
        <v>1312</v>
      </c>
      <c r="D1422" s="21" t="s">
        <v>523</v>
      </c>
      <c r="E1422" s="53">
        <v>2117.88</v>
      </c>
      <c r="F1422" s="30">
        <v>2288.0</v>
      </c>
      <c r="G1422" s="418"/>
      <c r="H1422" s="18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17"/>
      <c r="Z1422" s="6"/>
      <c r="AA1422" s="18"/>
      <c r="AB1422" s="33"/>
      <c r="AC1422" s="34"/>
      <c r="AD1422" s="18"/>
      <c r="AE1422" s="18"/>
    </row>
    <row r="1423">
      <c r="A1423" s="5" t="s">
        <v>3507</v>
      </c>
      <c r="B1423" s="8" t="s">
        <v>3536</v>
      </c>
      <c r="C1423" s="21" t="s">
        <v>2689</v>
      </c>
      <c r="D1423" s="21" t="s">
        <v>2584</v>
      </c>
      <c r="E1423" s="53">
        <v>1795.64</v>
      </c>
      <c r="F1423" s="30">
        <v>1938.0</v>
      </c>
      <c r="G1423" s="418"/>
      <c r="H1423" s="18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17"/>
      <c r="Z1423" s="6"/>
      <c r="AA1423" s="18"/>
      <c r="AB1423" s="33"/>
      <c r="AC1423" s="34"/>
      <c r="AD1423" s="18"/>
      <c r="AE1423" s="18"/>
    </row>
    <row r="1424">
      <c r="A1424" s="5" t="s">
        <v>3507</v>
      </c>
      <c r="B1424" s="8" t="s">
        <v>3536</v>
      </c>
      <c r="C1424" s="21" t="s">
        <v>2691</v>
      </c>
      <c r="D1424" s="21" t="s">
        <v>719</v>
      </c>
      <c r="E1424" s="53">
        <v>260.0</v>
      </c>
      <c r="F1424" s="30">
        <v>278.0</v>
      </c>
      <c r="G1424" s="418"/>
      <c r="H1424" s="18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17"/>
      <c r="Z1424" s="6"/>
      <c r="AA1424" s="18"/>
      <c r="AB1424" s="33"/>
      <c r="AC1424" s="34"/>
      <c r="AD1424" s="18"/>
      <c r="AE1424" s="18"/>
    </row>
    <row r="1425">
      <c r="A1425" s="5" t="s">
        <v>3507</v>
      </c>
      <c r="B1425" s="8" t="s">
        <v>3536</v>
      </c>
      <c r="C1425" s="21" t="s">
        <v>2692</v>
      </c>
      <c r="D1425" s="21" t="s">
        <v>717</v>
      </c>
      <c r="E1425" s="53">
        <v>267.618624</v>
      </c>
      <c r="F1425" s="30">
        <v>288.0</v>
      </c>
      <c r="G1425" s="418"/>
      <c r="H1425" s="18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17"/>
      <c r="Z1425" s="6"/>
      <c r="AA1425" s="18"/>
      <c r="AB1425" s="33"/>
      <c r="AC1425" s="34"/>
      <c r="AD1425" s="18"/>
      <c r="AE1425" s="18"/>
    </row>
    <row r="1426">
      <c r="A1426" s="5" t="s">
        <v>3507</v>
      </c>
      <c r="B1426" s="8" t="s">
        <v>3536</v>
      </c>
      <c r="C1426" s="21" t="s">
        <v>2693</v>
      </c>
      <c r="D1426" s="21" t="s">
        <v>723</v>
      </c>
      <c r="E1426" s="53">
        <v>279.84000000000003</v>
      </c>
      <c r="F1426" s="30">
        <v>302.0</v>
      </c>
      <c r="G1426" s="418"/>
      <c r="H1426" s="18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17"/>
      <c r="Z1426" s="6"/>
      <c r="AA1426" s="18"/>
      <c r="AB1426" s="33"/>
      <c r="AC1426" s="34"/>
      <c r="AD1426" s="18"/>
      <c r="AE1426" s="18"/>
    </row>
    <row r="1427">
      <c r="A1427" s="5" t="s">
        <v>3507</v>
      </c>
      <c r="B1427" s="8" t="s">
        <v>3536</v>
      </c>
      <c r="C1427" s="21" t="s">
        <v>2694</v>
      </c>
      <c r="D1427" s="21" t="s">
        <v>395</v>
      </c>
      <c r="E1427" s="53">
        <v>250.16000000000003</v>
      </c>
      <c r="F1427" s="30">
        <v>272.0</v>
      </c>
      <c r="G1427" s="418"/>
      <c r="H1427" s="18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17"/>
      <c r="Z1427" s="6"/>
      <c r="AA1427" s="18"/>
      <c r="AB1427" s="33"/>
      <c r="AC1427" s="34"/>
      <c r="AD1427" s="18"/>
      <c r="AE1427" s="18"/>
    </row>
    <row r="1428">
      <c r="A1428" s="5" t="s">
        <v>3507</v>
      </c>
      <c r="B1428" s="8" t="s">
        <v>3536</v>
      </c>
      <c r="C1428" s="21" t="s">
        <v>2695</v>
      </c>
      <c r="D1428" s="21" t="s">
        <v>829</v>
      </c>
      <c r="E1428" s="53">
        <v>550.0</v>
      </c>
      <c r="F1428" s="30">
        <v>592.0</v>
      </c>
      <c r="G1428" s="418"/>
      <c r="H1428" s="18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17"/>
      <c r="Z1428" s="6"/>
      <c r="AA1428" s="18"/>
      <c r="AB1428" s="33"/>
      <c r="AC1428" s="34"/>
      <c r="AD1428" s="18"/>
      <c r="AE1428" s="18"/>
    </row>
    <row r="1429">
      <c r="A1429" s="5" t="s">
        <v>3507</v>
      </c>
      <c r="B1429" s="8" t="s">
        <v>3536</v>
      </c>
      <c r="C1429" s="21" t="s">
        <v>2696</v>
      </c>
      <c r="D1429" s="21" t="s">
        <v>663</v>
      </c>
      <c r="E1429" s="53">
        <v>416.0</v>
      </c>
      <c r="F1429" s="30">
        <v>448.0</v>
      </c>
      <c r="G1429" s="418"/>
      <c r="H1429" s="18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17"/>
      <c r="Z1429" s="6"/>
      <c r="AA1429" s="18"/>
      <c r="AB1429" s="33"/>
      <c r="AC1429" s="34"/>
      <c r="AD1429" s="18"/>
      <c r="AE1429" s="18"/>
    </row>
    <row r="1430">
      <c r="A1430" s="5" t="s">
        <v>3507</v>
      </c>
      <c r="B1430" s="8" t="s">
        <v>3536</v>
      </c>
      <c r="C1430" s="21" t="s">
        <v>2697</v>
      </c>
      <c r="D1430" s="21" t="s">
        <v>690</v>
      </c>
      <c r="E1430" s="53">
        <v>415.52000000000004</v>
      </c>
      <c r="F1430" s="30">
        <v>448.0</v>
      </c>
      <c r="G1430" s="418"/>
      <c r="H1430" s="18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17"/>
      <c r="Z1430" s="6"/>
      <c r="AA1430" s="18"/>
      <c r="AB1430" s="33"/>
      <c r="AC1430" s="34"/>
      <c r="AD1430" s="18"/>
      <c r="AE1430" s="18"/>
    </row>
    <row r="1431">
      <c r="A1431" s="5" t="s">
        <v>3507</v>
      </c>
      <c r="B1431" s="8" t="s">
        <v>3536</v>
      </c>
      <c r="C1431" s="21" t="s">
        <v>2698</v>
      </c>
      <c r="D1431" s="21" t="s">
        <v>2596</v>
      </c>
      <c r="E1431" s="53">
        <v>712.32</v>
      </c>
      <c r="F1431" s="30">
        <v>768.0</v>
      </c>
      <c r="G1431" s="418"/>
      <c r="H1431" s="18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17"/>
      <c r="Z1431" s="6"/>
      <c r="AA1431" s="18"/>
      <c r="AB1431" s="33"/>
      <c r="AC1431" s="34"/>
      <c r="AD1431" s="18"/>
      <c r="AE1431" s="18"/>
    </row>
    <row r="1432">
      <c r="A1432" s="5" t="s">
        <v>3507</v>
      </c>
      <c r="B1432" s="8" t="s">
        <v>3536</v>
      </c>
      <c r="C1432" s="21" t="s">
        <v>2699</v>
      </c>
      <c r="D1432" s="21" t="s">
        <v>2598</v>
      </c>
      <c r="E1432" s="53">
        <v>726.0</v>
      </c>
      <c r="F1432" s="30">
        <v>782.0</v>
      </c>
      <c r="G1432" s="418"/>
      <c r="H1432" s="18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17"/>
      <c r="Z1432" s="6"/>
      <c r="AA1432" s="18"/>
      <c r="AB1432" s="33"/>
      <c r="AC1432" s="34"/>
      <c r="AD1432" s="18"/>
      <c r="AE1432" s="18"/>
    </row>
    <row r="1433">
      <c r="A1433" s="5" t="s">
        <v>3507</v>
      </c>
      <c r="B1433" s="8" t="s">
        <v>3536</v>
      </c>
      <c r="C1433" s="21" t="s">
        <v>2700</v>
      </c>
      <c r="D1433" s="21" t="s">
        <v>731</v>
      </c>
      <c r="E1433" s="53">
        <v>422.0</v>
      </c>
      <c r="F1433" s="30">
        <v>454.0</v>
      </c>
      <c r="G1433" s="418"/>
      <c r="H1433" s="18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17"/>
      <c r="Z1433" s="6"/>
      <c r="AA1433" s="18"/>
      <c r="AB1433" s="33"/>
      <c r="AC1433" s="34"/>
      <c r="AD1433" s="18"/>
      <c r="AE1433" s="18"/>
    </row>
    <row r="1434">
      <c r="A1434" s="5" t="s">
        <v>3507</v>
      </c>
      <c r="B1434" s="8" t="s">
        <v>3536</v>
      </c>
      <c r="C1434" s="21" t="s">
        <v>2701</v>
      </c>
      <c r="D1434" s="21" t="s">
        <v>1145</v>
      </c>
      <c r="E1434" s="53">
        <v>1644.0</v>
      </c>
      <c r="F1434" s="30">
        <v>1774.0</v>
      </c>
      <c r="G1434" s="418"/>
      <c r="H1434" s="18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17"/>
      <c r="Z1434" s="6"/>
      <c r="AA1434" s="18"/>
      <c r="AB1434" s="33"/>
      <c r="AC1434" s="34"/>
      <c r="AD1434" s="18"/>
      <c r="AE1434" s="18"/>
    </row>
    <row r="1435">
      <c r="A1435" s="5" t="s">
        <v>3507</v>
      </c>
      <c r="B1435" s="8" t="s">
        <v>3537</v>
      </c>
      <c r="C1435" s="21" t="str">
        <f t="array" ref="C1435:F1462">'COLOUR WISE'!B609:E636</f>
        <v>121-FG</v>
      </c>
      <c r="D1435" s="21" t="s">
        <v>951</v>
      </c>
      <c r="E1435" s="53">
        <v>260.0</v>
      </c>
      <c r="F1435" s="30">
        <v>278.0</v>
      </c>
      <c r="G1435" s="418"/>
      <c r="H1435" s="18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17"/>
      <c r="Z1435" s="6"/>
      <c r="AA1435" s="18"/>
      <c r="AB1435" s="33"/>
      <c r="AC1435" s="34"/>
      <c r="AD1435" s="18"/>
      <c r="AE1435" s="18"/>
    </row>
    <row r="1436">
      <c r="A1436" s="5" t="s">
        <v>3507</v>
      </c>
      <c r="B1436" s="8" t="s">
        <v>3537</v>
      </c>
      <c r="C1436" s="21" t="s">
        <v>1442</v>
      </c>
      <c r="D1436" s="21" t="s">
        <v>748</v>
      </c>
      <c r="E1436" s="53">
        <v>272.0</v>
      </c>
      <c r="F1436" s="30">
        <v>294.0</v>
      </c>
      <c r="G1436" s="418"/>
      <c r="H1436" s="18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17"/>
      <c r="Z1436" s="6"/>
      <c r="AA1436" s="18"/>
      <c r="AB1436" s="33"/>
      <c r="AC1436" s="34"/>
      <c r="AD1436" s="18"/>
      <c r="AE1436" s="18"/>
    </row>
    <row r="1437">
      <c r="A1437" s="5" t="s">
        <v>3507</v>
      </c>
      <c r="B1437" s="8" t="s">
        <v>3537</v>
      </c>
      <c r="C1437" s="21" t="s">
        <v>1444</v>
      </c>
      <c r="D1437" s="21" t="s">
        <v>798</v>
      </c>
      <c r="E1437" s="53">
        <v>279.84000000000003</v>
      </c>
      <c r="F1437" s="30">
        <v>302.0</v>
      </c>
      <c r="G1437" s="418"/>
      <c r="H1437" s="18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17"/>
      <c r="Z1437" s="6"/>
      <c r="AA1437" s="18"/>
      <c r="AB1437" s="33"/>
      <c r="AC1437" s="34"/>
      <c r="AD1437" s="18"/>
      <c r="AE1437" s="18"/>
    </row>
    <row r="1438">
      <c r="A1438" s="5" t="s">
        <v>3507</v>
      </c>
      <c r="B1438" s="8" t="s">
        <v>3537</v>
      </c>
      <c r="C1438" s="21" t="s">
        <v>1445</v>
      </c>
      <c r="D1438" s="21" t="s">
        <v>306</v>
      </c>
      <c r="E1438" s="53">
        <v>290.10758400000003</v>
      </c>
      <c r="F1438" s="30">
        <v>314.0</v>
      </c>
      <c r="G1438" s="418"/>
      <c r="H1438" s="18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17"/>
      <c r="Z1438" s="6"/>
      <c r="AA1438" s="18"/>
      <c r="AB1438" s="33"/>
      <c r="AC1438" s="34"/>
      <c r="AD1438" s="18"/>
      <c r="AE1438" s="18"/>
    </row>
    <row r="1439">
      <c r="A1439" s="5" t="s">
        <v>3507</v>
      </c>
      <c r="B1439" s="8" t="s">
        <v>3537</v>
      </c>
      <c r="C1439" s="21" t="s">
        <v>1446</v>
      </c>
      <c r="D1439" s="21" t="s">
        <v>801</v>
      </c>
      <c r="E1439" s="53">
        <v>334.0</v>
      </c>
      <c r="F1439" s="30">
        <v>358.0</v>
      </c>
      <c r="G1439" s="418"/>
      <c r="H1439" s="18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17"/>
      <c r="Z1439" s="6"/>
      <c r="AA1439" s="18"/>
      <c r="AB1439" s="33"/>
      <c r="AC1439" s="34"/>
      <c r="AD1439" s="18"/>
      <c r="AE1439" s="18"/>
    </row>
    <row r="1440">
      <c r="A1440" s="5" t="s">
        <v>3507</v>
      </c>
      <c r="B1440" s="8" t="s">
        <v>3537</v>
      </c>
      <c r="C1440" s="21" t="s">
        <v>1448</v>
      </c>
      <c r="D1440" s="21" t="s">
        <v>803</v>
      </c>
      <c r="E1440" s="53">
        <v>322.1976</v>
      </c>
      <c r="F1440" s="30">
        <v>348.0</v>
      </c>
      <c r="G1440" s="418"/>
      <c r="H1440" s="18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17"/>
      <c r="Z1440" s="6"/>
      <c r="AA1440" s="18"/>
      <c r="AB1440" s="33"/>
      <c r="AC1440" s="34"/>
      <c r="AD1440" s="18"/>
      <c r="AE1440" s="18"/>
    </row>
    <row r="1441">
      <c r="A1441" s="5" t="s">
        <v>3507</v>
      </c>
      <c r="B1441" s="8" t="s">
        <v>3537</v>
      </c>
      <c r="C1441" s="21" t="s">
        <v>1450</v>
      </c>
      <c r="D1441" s="21" t="s">
        <v>339</v>
      </c>
      <c r="E1441" s="53">
        <v>334.0</v>
      </c>
      <c r="F1441" s="30">
        <v>358.0</v>
      </c>
      <c r="G1441" s="418"/>
      <c r="H1441" s="18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17"/>
      <c r="Z1441" s="6"/>
      <c r="AA1441" s="18"/>
      <c r="AB1441" s="33"/>
      <c r="AC1441" s="34"/>
      <c r="AD1441" s="18"/>
      <c r="AE1441" s="18"/>
    </row>
    <row r="1442">
      <c r="A1442" s="5" t="s">
        <v>3507</v>
      </c>
      <c r="B1442" s="8" t="s">
        <v>3537</v>
      </c>
      <c r="C1442" s="21" t="s">
        <v>1452</v>
      </c>
      <c r="D1442" s="21" t="s">
        <v>901</v>
      </c>
      <c r="E1442" s="53">
        <v>279.84000000000003</v>
      </c>
      <c r="F1442" s="30">
        <v>302.0</v>
      </c>
      <c r="G1442" s="418"/>
      <c r="H1442" s="18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17"/>
      <c r="Z1442" s="6"/>
      <c r="AA1442" s="18"/>
      <c r="AB1442" s="33"/>
      <c r="AC1442" s="34"/>
      <c r="AD1442" s="18"/>
      <c r="AE1442" s="18"/>
    </row>
    <row r="1443">
      <c r="A1443" s="5" t="s">
        <v>3507</v>
      </c>
      <c r="B1443" s="8" t="s">
        <v>3537</v>
      </c>
      <c r="C1443" s="21" t="s">
        <v>1453</v>
      </c>
      <c r="D1443" s="21" t="s">
        <v>808</v>
      </c>
      <c r="E1443" s="53">
        <v>557.726208</v>
      </c>
      <c r="F1443" s="30">
        <v>602.0</v>
      </c>
      <c r="G1443" s="418"/>
      <c r="H1443" s="18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17"/>
      <c r="Z1443" s="6"/>
      <c r="AA1443" s="18"/>
      <c r="AB1443" s="33"/>
      <c r="AC1443" s="34"/>
      <c r="AD1443" s="18"/>
      <c r="AE1443" s="18"/>
    </row>
    <row r="1444">
      <c r="A1444" s="5" t="s">
        <v>3507</v>
      </c>
      <c r="B1444" s="8" t="s">
        <v>3537</v>
      </c>
      <c r="C1444" s="21" t="s">
        <v>1455</v>
      </c>
      <c r="D1444" s="21" t="s">
        <v>939</v>
      </c>
      <c r="E1444" s="53">
        <v>351.92</v>
      </c>
      <c r="F1444" s="30">
        <v>378.0</v>
      </c>
      <c r="G1444" s="418"/>
      <c r="H1444" s="18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17"/>
      <c r="Z1444" s="6"/>
      <c r="AA1444" s="18"/>
      <c r="AB1444" s="33"/>
      <c r="AC1444" s="34"/>
      <c r="AD1444" s="18"/>
      <c r="AE1444" s="18"/>
    </row>
    <row r="1445">
      <c r="A1445" s="5" t="s">
        <v>3507</v>
      </c>
      <c r="B1445" s="8" t="s">
        <v>3537</v>
      </c>
      <c r="C1445" s="21" t="s">
        <v>1457</v>
      </c>
      <c r="D1445" s="21" t="s">
        <v>941</v>
      </c>
      <c r="E1445" s="53">
        <v>390.08000000000004</v>
      </c>
      <c r="F1445" s="30">
        <v>422.0</v>
      </c>
      <c r="G1445" s="418"/>
      <c r="H1445" s="18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17"/>
      <c r="Z1445" s="6"/>
      <c r="AA1445" s="18"/>
      <c r="AB1445" s="33"/>
      <c r="AC1445" s="34"/>
      <c r="AD1445" s="18"/>
      <c r="AE1445" s="18"/>
    </row>
    <row r="1446">
      <c r="A1446" s="5" t="s">
        <v>3507</v>
      </c>
      <c r="B1446" s="8" t="s">
        <v>3537</v>
      </c>
      <c r="C1446" s="21" t="s">
        <v>1458</v>
      </c>
      <c r="D1446" s="21" t="s">
        <v>1112</v>
      </c>
      <c r="E1446" s="53">
        <v>748.1904000000001</v>
      </c>
      <c r="F1446" s="30">
        <v>808.0</v>
      </c>
      <c r="G1446" s="418"/>
      <c r="H1446" s="18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17"/>
      <c r="Z1446" s="6"/>
      <c r="AA1446" s="18"/>
      <c r="AB1446" s="33"/>
      <c r="AC1446" s="34"/>
      <c r="AD1446" s="18"/>
      <c r="AE1446" s="18"/>
    </row>
    <row r="1447">
      <c r="A1447" s="5" t="s">
        <v>3507</v>
      </c>
      <c r="B1447" s="8" t="s">
        <v>3537</v>
      </c>
      <c r="C1447" s="21" t="s">
        <v>1459</v>
      </c>
      <c r="D1447" s="21" t="s">
        <v>1114</v>
      </c>
      <c r="E1447" s="53">
        <v>664.0</v>
      </c>
      <c r="F1447" s="30">
        <v>716.0</v>
      </c>
      <c r="G1447" s="418"/>
      <c r="H1447" s="18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17"/>
      <c r="Z1447" s="6"/>
      <c r="AA1447" s="18"/>
      <c r="AB1447" s="33"/>
      <c r="AC1447" s="34"/>
      <c r="AD1447" s="18"/>
      <c r="AE1447" s="18"/>
    </row>
    <row r="1448">
      <c r="A1448" s="5" t="s">
        <v>3507</v>
      </c>
      <c r="B1448" s="8" t="s">
        <v>3537</v>
      </c>
      <c r="C1448" s="21" t="s">
        <v>1461</v>
      </c>
      <c r="D1448" s="21" t="s">
        <v>1118</v>
      </c>
      <c r="E1448" s="53">
        <v>756.0</v>
      </c>
      <c r="F1448" s="30">
        <v>814.0</v>
      </c>
      <c r="G1448" s="418"/>
      <c r="H1448" s="18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17"/>
      <c r="Z1448" s="6"/>
      <c r="AA1448" s="18"/>
      <c r="AB1448" s="33"/>
      <c r="AC1448" s="34"/>
      <c r="AD1448" s="18"/>
      <c r="AE1448" s="18"/>
    </row>
    <row r="1449">
      <c r="A1449" s="5" t="s">
        <v>3507</v>
      </c>
      <c r="B1449" s="8" t="s">
        <v>3537</v>
      </c>
      <c r="C1449" s="21" t="s">
        <v>1462</v>
      </c>
      <c r="D1449" s="21" t="s">
        <v>913</v>
      </c>
      <c r="E1449" s="53">
        <v>1338.09312</v>
      </c>
      <c r="F1449" s="30">
        <v>1444.0</v>
      </c>
      <c r="G1449" s="418"/>
      <c r="H1449" s="18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17"/>
      <c r="Z1449" s="6"/>
      <c r="AA1449" s="18"/>
      <c r="AB1449" s="33"/>
      <c r="AC1449" s="34"/>
      <c r="AD1449" s="18"/>
      <c r="AE1449" s="18"/>
    </row>
    <row r="1450">
      <c r="A1450" s="5" t="s">
        <v>3507</v>
      </c>
      <c r="B1450" s="8" t="s">
        <v>3537</v>
      </c>
      <c r="C1450" s="21" t="s">
        <v>1463</v>
      </c>
      <c r="D1450" s="21" t="s">
        <v>523</v>
      </c>
      <c r="E1450" s="53">
        <v>2113.6400000000003</v>
      </c>
      <c r="F1450" s="30">
        <v>2284.0</v>
      </c>
      <c r="G1450" s="418"/>
      <c r="H1450" s="18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17"/>
      <c r="Z1450" s="6"/>
      <c r="AA1450" s="18"/>
      <c r="AB1450" s="33"/>
      <c r="AC1450" s="34"/>
      <c r="AD1450" s="18"/>
      <c r="AE1450" s="18"/>
    </row>
    <row r="1451">
      <c r="A1451" s="5" t="s">
        <v>3507</v>
      </c>
      <c r="B1451" s="8" t="s">
        <v>3537</v>
      </c>
      <c r="C1451" s="21" t="s">
        <v>1465</v>
      </c>
      <c r="D1451" s="21" t="s">
        <v>1124</v>
      </c>
      <c r="E1451" s="53">
        <v>1790.0</v>
      </c>
      <c r="F1451" s="30">
        <v>1932.0</v>
      </c>
      <c r="G1451" s="418"/>
      <c r="H1451" s="18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17"/>
      <c r="Z1451" s="6"/>
      <c r="AA1451" s="18"/>
      <c r="AB1451" s="33"/>
      <c r="AC1451" s="34"/>
      <c r="AD1451" s="18"/>
      <c r="AE1451" s="18"/>
    </row>
    <row r="1452">
      <c r="A1452" s="5" t="s">
        <v>3507</v>
      </c>
      <c r="B1452" s="8" t="s">
        <v>3537</v>
      </c>
      <c r="C1452" s="21" t="s">
        <v>1466</v>
      </c>
      <c r="D1452" s="21" t="s">
        <v>719</v>
      </c>
      <c r="E1452" s="53">
        <v>248.04000000000002</v>
      </c>
      <c r="F1452" s="30">
        <v>268.0</v>
      </c>
      <c r="G1452" s="418"/>
      <c r="H1452" s="18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17"/>
      <c r="Z1452" s="6"/>
      <c r="AA1452" s="18"/>
      <c r="AB1452" s="33"/>
      <c r="AC1452" s="34"/>
      <c r="AD1452" s="18"/>
      <c r="AE1452" s="18"/>
    </row>
    <row r="1453">
      <c r="A1453" s="5" t="s">
        <v>3507</v>
      </c>
      <c r="B1453" s="8" t="s">
        <v>3537</v>
      </c>
      <c r="C1453" s="21" t="s">
        <v>1467</v>
      </c>
      <c r="D1453" s="21" t="s">
        <v>717</v>
      </c>
      <c r="E1453" s="53">
        <v>248.04000000000002</v>
      </c>
      <c r="F1453" s="30">
        <v>268.0</v>
      </c>
      <c r="G1453" s="418"/>
      <c r="H1453" s="18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17"/>
      <c r="Z1453" s="6"/>
      <c r="AA1453" s="18"/>
      <c r="AB1453" s="33"/>
      <c r="AC1453" s="34"/>
      <c r="AD1453" s="18"/>
      <c r="AE1453" s="18"/>
    </row>
    <row r="1454">
      <c r="A1454" s="5" t="s">
        <v>3507</v>
      </c>
      <c r="B1454" s="8" t="s">
        <v>3537</v>
      </c>
      <c r="C1454" s="21" t="s">
        <v>1469</v>
      </c>
      <c r="D1454" s="21" t="s">
        <v>723</v>
      </c>
      <c r="E1454" s="53">
        <v>260.0</v>
      </c>
      <c r="F1454" s="30">
        <v>278.0</v>
      </c>
      <c r="G1454" s="418"/>
      <c r="H1454" s="18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17"/>
      <c r="Z1454" s="6"/>
      <c r="AA1454" s="18"/>
      <c r="AB1454" s="33"/>
      <c r="AC1454" s="34"/>
      <c r="AD1454" s="18"/>
      <c r="AE1454" s="18"/>
    </row>
    <row r="1455">
      <c r="A1455" s="5" t="s">
        <v>3507</v>
      </c>
      <c r="B1455" s="8" t="s">
        <v>3537</v>
      </c>
      <c r="C1455" s="21" t="s">
        <v>1471</v>
      </c>
      <c r="D1455" s="21" t="s">
        <v>978</v>
      </c>
      <c r="E1455" s="53">
        <v>236.0</v>
      </c>
      <c r="F1455" s="30">
        <v>258.0</v>
      </c>
      <c r="G1455" s="418"/>
      <c r="H1455" s="18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17"/>
      <c r="Z1455" s="6"/>
      <c r="AA1455" s="18"/>
      <c r="AB1455" s="33"/>
      <c r="AC1455" s="34"/>
      <c r="AD1455" s="18"/>
      <c r="AE1455" s="18"/>
    </row>
    <row r="1456">
      <c r="A1456" s="5" t="s">
        <v>3507</v>
      </c>
      <c r="B1456" s="8" t="s">
        <v>3537</v>
      </c>
      <c r="C1456" s="21" t="s">
        <v>1472</v>
      </c>
      <c r="D1456" s="21" t="s">
        <v>359</v>
      </c>
      <c r="E1456" s="53">
        <v>522.0</v>
      </c>
      <c r="F1456" s="30">
        <v>564.0</v>
      </c>
      <c r="G1456" s="418"/>
      <c r="H1456" s="18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17"/>
      <c r="Z1456" s="6"/>
      <c r="AA1456" s="18"/>
      <c r="AB1456" s="33"/>
      <c r="AC1456" s="34"/>
      <c r="AD1456" s="18"/>
      <c r="AE1456" s="18"/>
    </row>
    <row r="1457">
      <c r="A1457" s="5" t="s">
        <v>3507</v>
      </c>
      <c r="B1457" s="8" t="s">
        <v>3537</v>
      </c>
      <c r="C1457" s="21" t="s">
        <v>1474</v>
      </c>
      <c r="D1457" s="21" t="s">
        <v>928</v>
      </c>
      <c r="E1457" s="53">
        <v>398.05459200000007</v>
      </c>
      <c r="F1457" s="30">
        <v>432.0</v>
      </c>
      <c r="G1457" s="418"/>
      <c r="H1457" s="18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17"/>
      <c r="Z1457" s="6"/>
      <c r="AA1457" s="18"/>
      <c r="AB1457" s="33"/>
      <c r="AC1457" s="34"/>
      <c r="AD1457" s="18"/>
      <c r="AE1457" s="18"/>
    </row>
    <row r="1458">
      <c r="A1458" s="5" t="s">
        <v>3507</v>
      </c>
      <c r="B1458" s="8" t="s">
        <v>3537</v>
      </c>
      <c r="C1458" s="21" t="s">
        <v>1476</v>
      </c>
      <c r="D1458" s="21" t="s">
        <v>930</v>
      </c>
      <c r="E1458" s="53">
        <v>410.0</v>
      </c>
      <c r="F1458" s="30">
        <v>442.0</v>
      </c>
      <c r="G1458" s="418"/>
      <c r="H1458" s="18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17"/>
      <c r="Z1458" s="6"/>
      <c r="AA1458" s="18"/>
      <c r="AB1458" s="33"/>
      <c r="AC1458" s="34"/>
      <c r="AD1458" s="18"/>
      <c r="AE1458" s="18"/>
    </row>
    <row r="1459">
      <c r="A1459" s="5" t="s">
        <v>3507</v>
      </c>
      <c r="B1459" s="8" t="s">
        <v>3537</v>
      </c>
      <c r="C1459" s="21" t="s">
        <v>1477</v>
      </c>
      <c r="D1459" s="21" t="s">
        <v>1137</v>
      </c>
      <c r="E1459" s="53">
        <v>686.0</v>
      </c>
      <c r="F1459" s="30">
        <v>742.0</v>
      </c>
      <c r="G1459" s="418"/>
      <c r="H1459" s="18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17"/>
      <c r="Z1459" s="6"/>
      <c r="AA1459" s="18"/>
      <c r="AB1459" s="33"/>
      <c r="AC1459" s="34"/>
      <c r="AD1459" s="18"/>
      <c r="AE1459" s="18"/>
    </row>
    <row r="1460">
      <c r="A1460" s="5" t="s">
        <v>3507</v>
      </c>
      <c r="B1460" s="8" t="s">
        <v>3537</v>
      </c>
      <c r="C1460" s="21" t="s">
        <v>1479</v>
      </c>
      <c r="D1460" s="21" t="s">
        <v>1141</v>
      </c>
      <c r="E1460" s="53">
        <v>730.0</v>
      </c>
      <c r="F1460" s="30">
        <v>788.0</v>
      </c>
      <c r="G1460" s="418"/>
      <c r="H1460" s="18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17"/>
      <c r="Z1460" s="6"/>
      <c r="AA1460" s="18"/>
      <c r="AB1460" s="33"/>
      <c r="AC1460" s="34"/>
      <c r="AD1460" s="18"/>
      <c r="AE1460" s="18"/>
    </row>
    <row r="1461">
      <c r="A1461" s="5" t="s">
        <v>3507</v>
      </c>
      <c r="B1461" s="8" t="s">
        <v>3537</v>
      </c>
      <c r="C1461" s="21" t="s">
        <v>1481</v>
      </c>
      <c r="D1461" s="21" t="s">
        <v>731</v>
      </c>
      <c r="E1461" s="53">
        <v>425.9928</v>
      </c>
      <c r="F1461" s="30">
        <v>462.0</v>
      </c>
      <c r="G1461" s="418"/>
      <c r="H1461" s="18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17"/>
      <c r="Z1461" s="6"/>
      <c r="AA1461" s="18"/>
      <c r="AB1461" s="33"/>
      <c r="AC1461" s="34"/>
      <c r="AD1461" s="18"/>
      <c r="AE1461" s="18"/>
    </row>
    <row r="1462">
      <c r="A1462" s="5" t="s">
        <v>3507</v>
      </c>
      <c r="B1462" s="8" t="s">
        <v>3537</v>
      </c>
      <c r="C1462" s="21" t="s">
        <v>1483</v>
      </c>
      <c r="D1462" s="21" t="s">
        <v>1145</v>
      </c>
      <c r="E1462" s="53">
        <v>1592.1200000000001</v>
      </c>
      <c r="F1462" s="30">
        <v>1718.0</v>
      </c>
      <c r="G1462" s="418"/>
      <c r="H1462" s="18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17"/>
      <c r="Z1462" s="6"/>
      <c r="AA1462" s="18"/>
      <c r="AB1462" s="33"/>
      <c r="AC1462" s="34"/>
      <c r="AD1462" s="18"/>
      <c r="AE1462" s="18"/>
    </row>
    <row r="1463">
      <c r="A1463" s="5" t="s">
        <v>3507</v>
      </c>
      <c r="B1463" s="8" t="s">
        <v>3538</v>
      </c>
      <c r="C1463" s="21" t="str">
        <f t="array" ref="C1463:F1490">'COLOUR WISE'!B639:E666</f>
        <v>121-FB</v>
      </c>
      <c r="D1463" s="21" t="s">
        <v>951</v>
      </c>
      <c r="E1463" s="53">
        <v>260.0</v>
      </c>
      <c r="F1463" s="30">
        <v>278.0</v>
      </c>
      <c r="G1463" s="418"/>
      <c r="H1463" s="18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17"/>
      <c r="Z1463" s="6"/>
      <c r="AA1463" s="18"/>
      <c r="AB1463" s="33"/>
      <c r="AC1463" s="34"/>
      <c r="AD1463" s="18"/>
      <c r="AE1463" s="18"/>
    </row>
    <row r="1464">
      <c r="A1464" s="5" t="s">
        <v>3507</v>
      </c>
      <c r="B1464" s="8" t="s">
        <v>3538</v>
      </c>
      <c r="C1464" s="21" t="s">
        <v>1488</v>
      </c>
      <c r="D1464" s="21" t="s">
        <v>748</v>
      </c>
      <c r="E1464" s="53">
        <v>272.0</v>
      </c>
      <c r="F1464" s="30">
        <v>294.0</v>
      </c>
      <c r="G1464" s="418"/>
      <c r="H1464" s="18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17"/>
      <c r="Z1464" s="6"/>
      <c r="AA1464" s="18"/>
      <c r="AB1464" s="33"/>
      <c r="AC1464" s="34"/>
      <c r="AD1464" s="18"/>
      <c r="AE1464" s="18"/>
    </row>
    <row r="1465">
      <c r="A1465" s="5" t="s">
        <v>3507</v>
      </c>
      <c r="B1465" s="8" t="s">
        <v>3538</v>
      </c>
      <c r="C1465" s="21" t="s">
        <v>1490</v>
      </c>
      <c r="D1465" s="21" t="s">
        <v>798</v>
      </c>
      <c r="E1465" s="53">
        <v>279.84000000000003</v>
      </c>
      <c r="F1465" s="30">
        <v>302.0</v>
      </c>
      <c r="G1465" s="418"/>
      <c r="H1465" s="18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17"/>
      <c r="Z1465" s="6"/>
      <c r="AA1465" s="18"/>
      <c r="AB1465" s="33"/>
      <c r="AC1465" s="34"/>
      <c r="AD1465" s="18"/>
      <c r="AE1465" s="18"/>
    </row>
    <row r="1466">
      <c r="A1466" s="5" t="s">
        <v>3507</v>
      </c>
      <c r="B1466" s="8" t="s">
        <v>3538</v>
      </c>
      <c r="C1466" s="21" t="s">
        <v>1492</v>
      </c>
      <c r="D1466" s="21" t="s">
        <v>306</v>
      </c>
      <c r="E1466" s="53">
        <v>290.10758400000003</v>
      </c>
      <c r="F1466" s="30">
        <v>314.0</v>
      </c>
      <c r="G1466" s="418"/>
      <c r="H1466" s="18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17"/>
      <c r="Z1466" s="6"/>
      <c r="AA1466" s="18"/>
      <c r="AB1466" s="33"/>
      <c r="AC1466" s="34"/>
      <c r="AD1466" s="18"/>
      <c r="AE1466" s="18"/>
    </row>
    <row r="1467">
      <c r="A1467" s="5" t="s">
        <v>3507</v>
      </c>
      <c r="B1467" s="8" t="s">
        <v>3538</v>
      </c>
      <c r="C1467" s="21" t="s">
        <v>1493</v>
      </c>
      <c r="D1467" s="21" t="s">
        <v>801</v>
      </c>
      <c r="E1467" s="53">
        <v>334.0</v>
      </c>
      <c r="F1467" s="30">
        <v>358.0</v>
      </c>
      <c r="G1467" s="418"/>
      <c r="H1467" s="18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17"/>
      <c r="Z1467" s="6"/>
      <c r="AA1467" s="18"/>
      <c r="AB1467" s="33"/>
      <c r="AC1467" s="34"/>
      <c r="AD1467" s="18"/>
      <c r="AE1467" s="18"/>
    </row>
    <row r="1468">
      <c r="A1468" s="5" t="s">
        <v>3507</v>
      </c>
      <c r="B1468" s="8" t="s">
        <v>3538</v>
      </c>
      <c r="C1468" s="21" t="s">
        <v>1494</v>
      </c>
      <c r="D1468" s="21" t="s">
        <v>803</v>
      </c>
      <c r="E1468" s="53">
        <v>322.1976</v>
      </c>
      <c r="F1468" s="30">
        <v>348.0</v>
      </c>
      <c r="G1468" s="418"/>
      <c r="H1468" s="18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17"/>
      <c r="Z1468" s="6"/>
      <c r="AA1468" s="18"/>
      <c r="AB1468" s="33"/>
      <c r="AC1468" s="34"/>
      <c r="AD1468" s="18"/>
      <c r="AE1468" s="18"/>
    </row>
    <row r="1469">
      <c r="A1469" s="5" t="s">
        <v>3507</v>
      </c>
      <c r="B1469" s="8" t="s">
        <v>3538</v>
      </c>
      <c r="C1469" s="21" t="s">
        <v>1495</v>
      </c>
      <c r="D1469" s="21" t="s">
        <v>339</v>
      </c>
      <c r="E1469" s="53">
        <v>334.0</v>
      </c>
      <c r="F1469" s="30">
        <v>358.0</v>
      </c>
      <c r="G1469" s="418"/>
      <c r="H1469" s="18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17"/>
      <c r="Z1469" s="6"/>
      <c r="AA1469" s="18"/>
      <c r="AB1469" s="33"/>
      <c r="AC1469" s="34"/>
      <c r="AD1469" s="18"/>
      <c r="AE1469" s="18"/>
    </row>
    <row r="1470">
      <c r="A1470" s="5" t="s">
        <v>3507</v>
      </c>
      <c r="B1470" s="8" t="s">
        <v>3538</v>
      </c>
      <c r="C1470" s="21" t="s">
        <v>1497</v>
      </c>
      <c r="D1470" s="21" t="s">
        <v>901</v>
      </c>
      <c r="E1470" s="53">
        <v>279.84000000000003</v>
      </c>
      <c r="F1470" s="30">
        <v>302.0</v>
      </c>
      <c r="G1470" s="418"/>
      <c r="H1470" s="18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17"/>
      <c r="Z1470" s="6"/>
      <c r="AA1470" s="18"/>
      <c r="AB1470" s="33"/>
      <c r="AC1470" s="34"/>
      <c r="AD1470" s="18"/>
      <c r="AE1470" s="18"/>
    </row>
    <row r="1471">
      <c r="A1471" s="5" t="s">
        <v>3507</v>
      </c>
      <c r="B1471" s="8" t="s">
        <v>3538</v>
      </c>
      <c r="C1471" s="21" t="s">
        <v>1499</v>
      </c>
      <c r="D1471" s="21" t="s">
        <v>808</v>
      </c>
      <c r="E1471" s="53">
        <v>557.726208</v>
      </c>
      <c r="F1471" s="30">
        <v>602.0</v>
      </c>
      <c r="G1471" s="418"/>
      <c r="H1471" s="18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17"/>
      <c r="Z1471" s="6"/>
      <c r="AA1471" s="18"/>
      <c r="AB1471" s="33"/>
      <c r="AC1471" s="34"/>
      <c r="AD1471" s="18"/>
      <c r="AE1471" s="18"/>
    </row>
    <row r="1472">
      <c r="A1472" s="5" t="s">
        <v>3507</v>
      </c>
      <c r="B1472" s="8" t="s">
        <v>3538</v>
      </c>
      <c r="C1472" s="21" t="s">
        <v>1500</v>
      </c>
      <c r="D1472" s="21" t="s">
        <v>939</v>
      </c>
      <c r="E1472" s="53">
        <v>351.92</v>
      </c>
      <c r="F1472" s="30">
        <v>378.0</v>
      </c>
      <c r="G1472" s="418"/>
      <c r="H1472" s="18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17"/>
      <c r="Z1472" s="6"/>
      <c r="AA1472" s="18"/>
      <c r="AB1472" s="33"/>
      <c r="AC1472" s="34"/>
      <c r="AD1472" s="18"/>
      <c r="AE1472" s="18"/>
    </row>
    <row r="1473">
      <c r="A1473" s="5" t="s">
        <v>3507</v>
      </c>
      <c r="B1473" s="8" t="s">
        <v>3538</v>
      </c>
      <c r="C1473" s="21" t="s">
        <v>1502</v>
      </c>
      <c r="D1473" s="21" t="s">
        <v>941</v>
      </c>
      <c r="E1473" s="53">
        <v>390.08000000000004</v>
      </c>
      <c r="F1473" s="30">
        <v>422.0</v>
      </c>
      <c r="G1473" s="418"/>
      <c r="H1473" s="18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17"/>
      <c r="Z1473" s="6"/>
      <c r="AA1473" s="18"/>
      <c r="AB1473" s="33"/>
      <c r="AC1473" s="34"/>
      <c r="AD1473" s="18"/>
      <c r="AE1473" s="18"/>
    </row>
    <row r="1474">
      <c r="A1474" s="5" t="s">
        <v>3507</v>
      </c>
      <c r="B1474" s="8" t="s">
        <v>3538</v>
      </c>
      <c r="C1474" s="21" t="s">
        <v>1503</v>
      </c>
      <c r="D1474" s="21" t="s">
        <v>1112</v>
      </c>
      <c r="E1474" s="53">
        <v>748.1904000000001</v>
      </c>
      <c r="F1474" s="30">
        <v>808.0</v>
      </c>
      <c r="G1474" s="418"/>
      <c r="H1474" s="18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17"/>
      <c r="Z1474" s="6"/>
      <c r="AA1474" s="18"/>
      <c r="AB1474" s="33"/>
      <c r="AC1474" s="34"/>
      <c r="AD1474" s="18"/>
      <c r="AE1474" s="18"/>
    </row>
    <row r="1475">
      <c r="A1475" s="5" t="s">
        <v>3507</v>
      </c>
      <c r="B1475" s="8" t="s">
        <v>3538</v>
      </c>
      <c r="C1475" s="21" t="s">
        <v>1505</v>
      </c>
      <c r="D1475" s="21" t="s">
        <v>1114</v>
      </c>
      <c r="E1475" s="53">
        <v>664.0</v>
      </c>
      <c r="F1475" s="30">
        <v>716.0</v>
      </c>
      <c r="G1475" s="418"/>
      <c r="H1475" s="18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17"/>
      <c r="Z1475" s="6"/>
      <c r="AA1475" s="18"/>
      <c r="AB1475" s="33"/>
      <c r="AC1475" s="34"/>
      <c r="AD1475" s="18"/>
      <c r="AE1475" s="18"/>
    </row>
    <row r="1476">
      <c r="A1476" s="5" t="s">
        <v>3507</v>
      </c>
      <c r="B1476" s="8" t="s">
        <v>3538</v>
      </c>
      <c r="C1476" s="21" t="s">
        <v>1506</v>
      </c>
      <c r="D1476" s="21" t="s">
        <v>1118</v>
      </c>
      <c r="E1476" s="53">
        <v>756.0</v>
      </c>
      <c r="F1476" s="30">
        <v>814.0</v>
      </c>
      <c r="G1476" s="418"/>
      <c r="H1476" s="18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17"/>
      <c r="Z1476" s="6"/>
      <c r="AA1476" s="18"/>
      <c r="AB1476" s="33"/>
      <c r="AC1476" s="34"/>
      <c r="AD1476" s="18"/>
      <c r="AE1476" s="18"/>
    </row>
    <row r="1477">
      <c r="A1477" s="5" t="s">
        <v>3507</v>
      </c>
      <c r="B1477" s="8" t="s">
        <v>3538</v>
      </c>
      <c r="C1477" s="21" t="s">
        <v>1507</v>
      </c>
      <c r="D1477" s="21" t="s">
        <v>913</v>
      </c>
      <c r="E1477" s="53">
        <v>1338.09312</v>
      </c>
      <c r="F1477" s="30">
        <v>1444.0</v>
      </c>
      <c r="G1477" s="418"/>
      <c r="H1477" s="18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17"/>
      <c r="Z1477" s="6"/>
      <c r="AA1477" s="18"/>
      <c r="AB1477" s="33"/>
      <c r="AC1477" s="34"/>
      <c r="AD1477" s="18"/>
      <c r="AE1477" s="18"/>
    </row>
    <row r="1478">
      <c r="A1478" s="5" t="s">
        <v>3507</v>
      </c>
      <c r="B1478" s="8" t="s">
        <v>3538</v>
      </c>
      <c r="C1478" s="21" t="s">
        <v>1509</v>
      </c>
      <c r="D1478" s="21" t="s">
        <v>523</v>
      </c>
      <c r="E1478" s="53">
        <v>2113.6400000000003</v>
      </c>
      <c r="F1478" s="30">
        <v>2284.0</v>
      </c>
      <c r="G1478" s="418"/>
      <c r="H1478" s="18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17"/>
      <c r="Z1478" s="6"/>
      <c r="AA1478" s="18"/>
      <c r="AB1478" s="33"/>
      <c r="AC1478" s="34"/>
      <c r="AD1478" s="18"/>
      <c r="AE1478" s="18"/>
    </row>
    <row r="1479">
      <c r="A1479" s="5" t="s">
        <v>3507</v>
      </c>
      <c r="B1479" s="8" t="s">
        <v>3538</v>
      </c>
      <c r="C1479" s="21" t="s">
        <v>1510</v>
      </c>
      <c r="D1479" s="21" t="s">
        <v>1124</v>
      </c>
      <c r="E1479" s="53">
        <v>1790.0</v>
      </c>
      <c r="F1479" s="30">
        <v>1932.0</v>
      </c>
      <c r="G1479" s="418"/>
      <c r="H1479" s="18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17"/>
      <c r="Z1479" s="6"/>
      <c r="AA1479" s="18"/>
      <c r="AB1479" s="33"/>
      <c r="AC1479" s="34"/>
      <c r="AD1479" s="18"/>
      <c r="AE1479" s="18"/>
    </row>
    <row r="1480">
      <c r="A1480" s="5" t="s">
        <v>3507</v>
      </c>
      <c r="B1480" s="8" t="s">
        <v>3538</v>
      </c>
      <c r="C1480" s="21" t="s">
        <v>1511</v>
      </c>
      <c r="D1480" s="21" t="s">
        <v>719</v>
      </c>
      <c r="E1480" s="53">
        <v>248.04000000000002</v>
      </c>
      <c r="F1480" s="30">
        <v>268.0</v>
      </c>
      <c r="G1480" s="418"/>
      <c r="H1480" s="18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17"/>
      <c r="Z1480" s="6"/>
      <c r="AA1480" s="18"/>
      <c r="AB1480" s="33"/>
      <c r="AC1480" s="34"/>
      <c r="AD1480" s="18"/>
      <c r="AE1480" s="18"/>
    </row>
    <row r="1481">
      <c r="A1481" s="5" t="s">
        <v>3507</v>
      </c>
      <c r="B1481" s="8" t="s">
        <v>3538</v>
      </c>
      <c r="C1481" s="21" t="s">
        <v>1512</v>
      </c>
      <c r="D1481" s="21" t="s">
        <v>717</v>
      </c>
      <c r="E1481" s="53">
        <v>248.04000000000002</v>
      </c>
      <c r="F1481" s="30">
        <v>268.0</v>
      </c>
      <c r="G1481" s="418"/>
      <c r="H1481" s="18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17"/>
      <c r="Z1481" s="6"/>
      <c r="AA1481" s="18"/>
      <c r="AB1481" s="33"/>
      <c r="AC1481" s="34"/>
      <c r="AD1481" s="18"/>
      <c r="AE1481" s="18"/>
    </row>
    <row r="1482">
      <c r="A1482" s="5" t="s">
        <v>3507</v>
      </c>
      <c r="B1482" s="8" t="s">
        <v>3538</v>
      </c>
      <c r="C1482" s="21" t="s">
        <v>1514</v>
      </c>
      <c r="D1482" s="21" t="s">
        <v>723</v>
      </c>
      <c r="E1482" s="53">
        <v>260.0</v>
      </c>
      <c r="F1482" s="30">
        <v>278.0</v>
      </c>
      <c r="G1482" s="418"/>
      <c r="H1482" s="18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17"/>
      <c r="Z1482" s="6"/>
      <c r="AA1482" s="18"/>
      <c r="AB1482" s="33"/>
      <c r="AC1482" s="34"/>
      <c r="AD1482" s="18"/>
      <c r="AE1482" s="18"/>
    </row>
    <row r="1483">
      <c r="A1483" s="5" t="s">
        <v>3507</v>
      </c>
      <c r="B1483" s="8" t="s">
        <v>3538</v>
      </c>
      <c r="C1483" s="21" t="s">
        <v>1515</v>
      </c>
      <c r="D1483" s="21" t="s">
        <v>978</v>
      </c>
      <c r="E1483" s="53">
        <v>236.0</v>
      </c>
      <c r="F1483" s="30">
        <v>258.0</v>
      </c>
      <c r="G1483" s="418"/>
      <c r="H1483" s="18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17"/>
      <c r="Z1483" s="6"/>
      <c r="AA1483" s="18"/>
      <c r="AB1483" s="33"/>
      <c r="AC1483" s="34"/>
      <c r="AD1483" s="18"/>
      <c r="AE1483" s="18"/>
    </row>
    <row r="1484">
      <c r="A1484" s="5" t="s">
        <v>3507</v>
      </c>
      <c r="B1484" s="8" t="s">
        <v>3538</v>
      </c>
      <c r="C1484" s="21" t="s">
        <v>1517</v>
      </c>
      <c r="D1484" s="21" t="s">
        <v>359</v>
      </c>
      <c r="E1484" s="53">
        <v>522.0</v>
      </c>
      <c r="F1484" s="30">
        <v>564.0</v>
      </c>
      <c r="G1484" s="418"/>
      <c r="H1484" s="18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17"/>
      <c r="Z1484" s="6"/>
      <c r="AA1484" s="18"/>
      <c r="AB1484" s="33"/>
      <c r="AC1484" s="34"/>
      <c r="AD1484" s="18"/>
      <c r="AE1484" s="18"/>
    </row>
    <row r="1485">
      <c r="A1485" s="5" t="s">
        <v>3507</v>
      </c>
      <c r="B1485" s="8" t="s">
        <v>3538</v>
      </c>
      <c r="C1485" s="21" t="s">
        <v>1518</v>
      </c>
      <c r="D1485" s="21" t="s">
        <v>928</v>
      </c>
      <c r="E1485" s="53">
        <v>398.05459200000007</v>
      </c>
      <c r="F1485" s="30">
        <v>432.0</v>
      </c>
      <c r="G1485" s="418"/>
      <c r="H1485" s="18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17"/>
      <c r="Z1485" s="6"/>
      <c r="AA1485" s="18"/>
      <c r="AB1485" s="33"/>
      <c r="AC1485" s="34"/>
      <c r="AD1485" s="18"/>
      <c r="AE1485" s="18"/>
    </row>
    <row r="1486">
      <c r="A1486" s="5" t="s">
        <v>3507</v>
      </c>
      <c r="B1486" s="8" t="s">
        <v>3538</v>
      </c>
      <c r="C1486" s="21" t="s">
        <v>1520</v>
      </c>
      <c r="D1486" s="21" t="s">
        <v>930</v>
      </c>
      <c r="E1486" s="53">
        <v>410.0</v>
      </c>
      <c r="F1486" s="30">
        <v>442.0</v>
      </c>
      <c r="G1486" s="418"/>
      <c r="H1486" s="18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17"/>
      <c r="Z1486" s="6"/>
      <c r="AA1486" s="18"/>
      <c r="AB1486" s="33"/>
      <c r="AC1486" s="34"/>
      <c r="AD1486" s="18"/>
      <c r="AE1486" s="18"/>
    </row>
    <row r="1487">
      <c r="A1487" s="5" t="s">
        <v>3507</v>
      </c>
      <c r="B1487" s="8" t="s">
        <v>3538</v>
      </c>
      <c r="C1487" s="21" t="s">
        <v>1521</v>
      </c>
      <c r="D1487" s="21" t="s">
        <v>1137</v>
      </c>
      <c r="E1487" s="53">
        <v>686.0</v>
      </c>
      <c r="F1487" s="30">
        <v>742.0</v>
      </c>
      <c r="G1487" s="418"/>
      <c r="H1487" s="18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17"/>
      <c r="Z1487" s="6"/>
      <c r="AA1487" s="18"/>
      <c r="AB1487" s="33"/>
      <c r="AC1487" s="34"/>
      <c r="AD1487" s="18"/>
      <c r="AE1487" s="18"/>
    </row>
    <row r="1488">
      <c r="A1488" s="5" t="s">
        <v>3507</v>
      </c>
      <c r="B1488" s="8" t="s">
        <v>3538</v>
      </c>
      <c r="C1488" s="21" t="s">
        <v>1523</v>
      </c>
      <c r="D1488" s="21" t="s">
        <v>1141</v>
      </c>
      <c r="E1488" s="53">
        <v>730.0</v>
      </c>
      <c r="F1488" s="30">
        <v>788.0</v>
      </c>
      <c r="G1488" s="418"/>
      <c r="H1488" s="18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17"/>
      <c r="Z1488" s="6"/>
      <c r="AA1488" s="18"/>
      <c r="AB1488" s="33"/>
      <c r="AC1488" s="34"/>
      <c r="AD1488" s="18"/>
      <c r="AE1488" s="18"/>
    </row>
    <row r="1489">
      <c r="A1489" s="5" t="s">
        <v>3507</v>
      </c>
      <c r="B1489" s="8" t="s">
        <v>3538</v>
      </c>
      <c r="C1489" s="21" t="s">
        <v>1525</v>
      </c>
      <c r="D1489" s="21" t="s">
        <v>731</v>
      </c>
      <c r="E1489" s="53">
        <v>425.9928</v>
      </c>
      <c r="F1489" s="30">
        <v>462.0</v>
      </c>
      <c r="G1489" s="418"/>
      <c r="H1489" s="18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17"/>
      <c r="Z1489" s="6"/>
      <c r="AA1489" s="18"/>
      <c r="AB1489" s="33"/>
      <c r="AC1489" s="34"/>
      <c r="AD1489" s="18"/>
      <c r="AE1489" s="18"/>
    </row>
    <row r="1490">
      <c r="A1490" s="5" t="s">
        <v>3507</v>
      </c>
      <c r="B1490" s="8" t="s">
        <v>3538</v>
      </c>
      <c r="C1490" s="21" t="s">
        <v>1526</v>
      </c>
      <c r="D1490" s="21" t="s">
        <v>1145</v>
      </c>
      <c r="E1490" s="53">
        <v>1592.1200000000001</v>
      </c>
      <c r="F1490" s="30">
        <v>1718.0</v>
      </c>
      <c r="G1490" s="418"/>
      <c r="H1490" s="18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17"/>
      <c r="Z1490" s="6"/>
      <c r="AA1490" s="18"/>
      <c r="AB1490" s="33"/>
      <c r="AC1490" s="34"/>
      <c r="AD1490" s="18"/>
      <c r="AE1490" s="18"/>
    </row>
    <row r="1491">
      <c r="A1491" s="5" t="s">
        <v>3507</v>
      </c>
      <c r="B1491" s="8" t="s">
        <v>3539</v>
      </c>
      <c r="C1491" s="21" t="str">
        <f t="array" ref="C1491:F1507">'COLOUR WISE'!B701:E717</f>
        <v>123-DW</v>
      </c>
      <c r="D1491" s="21" t="s">
        <v>3169</v>
      </c>
      <c r="E1491" s="53">
        <v>493.96000000000004</v>
      </c>
      <c r="F1491" s="30">
        <v>534.0</v>
      </c>
      <c r="G1491" s="418"/>
      <c r="H1491" s="18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17"/>
      <c r="Z1491" s="6"/>
      <c r="AA1491" s="18"/>
      <c r="AB1491" s="33"/>
      <c r="AC1491" s="34"/>
      <c r="AD1491" s="18"/>
      <c r="AE1491" s="18"/>
    </row>
    <row r="1492">
      <c r="A1492" s="5" t="s">
        <v>3507</v>
      </c>
      <c r="B1492" s="8" t="s">
        <v>3539</v>
      </c>
      <c r="C1492" s="21" t="s">
        <v>2708</v>
      </c>
      <c r="D1492" s="21" t="s">
        <v>339</v>
      </c>
      <c r="E1492" s="53">
        <v>606.32</v>
      </c>
      <c r="F1492" s="30">
        <v>654.0</v>
      </c>
      <c r="G1492" s="418"/>
      <c r="H1492" s="18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17"/>
      <c r="Z1492" s="6"/>
      <c r="AA1492" s="18"/>
      <c r="AB1492" s="33"/>
      <c r="AC1492" s="34"/>
      <c r="AD1492" s="18"/>
      <c r="AE1492" s="18"/>
    </row>
    <row r="1493">
      <c r="A1493" s="5" t="s">
        <v>3507</v>
      </c>
      <c r="B1493" s="8" t="s">
        <v>3539</v>
      </c>
      <c r="C1493" s="21" t="s">
        <v>2709</v>
      </c>
      <c r="D1493" s="21" t="s">
        <v>363</v>
      </c>
      <c r="E1493" s="53">
        <v>516.0</v>
      </c>
      <c r="F1493" s="30">
        <v>558.0</v>
      </c>
      <c r="G1493" s="418"/>
      <c r="H1493" s="18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17"/>
      <c r="Z1493" s="6"/>
      <c r="AA1493" s="18"/>
      <c r="AB1493" s="33"/>
      <c r="AC1493" s="34"/>
      <c r="AD1493" s="18"/>
      <c r="AE1493" s="18"/>
    </row>
    <row r="1494">
      <c r="A1494" s="5" t="s">
        <v>3507</v>
      </c>
      <c r="B1494" s="8" t="s">
        <v>3539</v>
      </c>
      <c r="C1494" s="21" t="s">
        <v>2710</v>
      </c>
      <c r="D1494" s="253" t="s">
        <v>666</v>
      </c>
      <c r="E1494" s="53">
        <v>930.0</v>
      </c>
      <c r="F1494" s="30">
        <v>998.0</v>
      </c>
      <c r="G1494" s="418"/>
      <c r="H1494" s="18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17"/>
      <c r="Z1494" s="6"/>
      <c r="AA1494" s="18"/>
      <c r="AB1494" s="33"/>
      <c r="AC1494" s="34"/>
      <c r="AD1494" s="18"/>
      <c r="AE1494" s="18"/>
    </row>
    <row r="1495">
      <c r="A1495" s="5" t="s">
        <v>3507</v>
      </c>
      <c r="B1495" s="8" t="s">
        <v>3539</v>
      </c>
      <c r="C1495" s="21" t="s">
        <v>2711</v>
      </c>
      <c r="D1495" s="253" t="s">
        <v>682</v>
      </c>
      <c r="E1495" s="53">
        <v>666.0192000000001</v>
      </c>
      <c r="F1495" s="30">
        <v>718.0</v>
      </c>
      <c r="G1495" s="418"/>
      <c r="H1495" s="18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17"/>
      <c r="Z1495" s="6"/>
      <c r="AA1495" s="18"/>
      <c r="AB1495" s="33"/>
      <c r="AC1495" s="34"/>
      <c r="AD1495" s="18"/>
      <c r="AE1495" s="18"/>
    </row>
    <row r="1496">
      <c r="A1496" s="5" t="s">
        <v>3507</v>
      </c>
      <c r="B1496" s="8" t="s">
        <v>3539</v>
      </c>
      <c r="C1496" s="21" t="s">
        <v>1230</v>
      </c>
      <c r="D1496" s="21" t="s">
        <v>696</v>
      </c>
      <c r="E1496" s="53">
        <v>778.464</v>
      </c>
      <c r="F1496" s="30">
        <v>842.0</v>
      </c>
      <c r="G1496" s="418"/>
      <c r="H1496" s="18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17"/>
      <c r="Z1496" s="6"/>
      <c r="AA1496" s="18"/>
      <c r="AB1496" s="33"/>
      <c r="AC1496" s="34"/>
      <c r="AD1496" s="18"/>
      <c r="AE1496" s="18"/>
    </row>
    <row r="1497">
      <c r="A1497" s="5" t="s">
        <v>3507</v>
      </c>
      <c r="B1497" s="8" t="s">
        <v>3539</v>
      </c>
      <c r="C1497" s="21" t="s">
        <v>2712</v>
      </c>
      <c r="D1497" s="253" t="s">
        <v>692</v>
      </c>
      <c r="E1497" s="53">
        <v>998.0</v>
      </c>
      <c r="F1497" s="30">
        <v>1078.0</v>
      </c>
      <c r="G1497" s="418"/>
      <c r="H1497" s="18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17"/>
      <c r="Z1497" s="6"/>
      <c r="AA1497" s="18"/>
      <c r="AB1497" s="33"/>
      <c r="AC1497" s="34"/>
      <c r="AD1497" s="18"/>
      <c r="AE1497" s="18"/>
    </row>
    <row r="1498">
      <c r="A1498" s="5" t="s">
        <v>3507</v>
      </c>
      <c r="B1498" s="8" t="s">
        <v>3539</v>
      </c>
      <c r="C1498" s="21" t="s">
        <v>2713</v>
      </c>
      <c r="D1498" s="253" t="s">
        <v>2209</v>
      </c>
      <c r="E1498" s="53">
        <v>951.88</v>
      </c>
      <c r="F1498" s="30">
        <v>1026.0</v>
      </c>
      <c r="G1498" s="418"/>
      <c r="H1498" s="18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17"/>
      <c r="Z1498" s="6"/>
      <c r="AA1498" s="18"/>
      <c r="AB1498" s="33"/>
      <c r="AC1498" s="34"/>
      <c r="AD1498" s="18"/>
      <c r="AE1498" s="18"/>
    </row>
    <row r="1499">
      <c r="A1499" s="5" t="s">
        <v>3507</v>
      </c>
      <c r="B1499" s="8" t="s">
        <v>3539</v>
      </c>
      <c r="C1499" s="21" t="s">
        <v>2714</v>
      </c>
      <c r="D1499" s="253" t="s">
        <v>3197</v>
      </c>
      <c r="E1499" s="53">
        <v>998.0</v>
      </c>
      <c r="F1499" s="30">
        <v>1078.0</v>
      </c>
      <c r="G1499" s="418"/>
      <c r="H1499" s="18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17"/>
      <c r="Z1499" s="6"/>
      <c r="AA1499" s="18"/>
      <c r="AB1499" s="33"/>
      <c r="AC1499" s="34"/>
      <c r="AD1499" s="18"/>
      <c r="AE1499" s="18"/>
    </row>
    <row r="1500">
      <c r="A1500" s="5" t="s">
        <v>3507</v>
      </c>
      <c r="B1500" s="8" t="s">
        <v>3539</v>
      </c>
      <c r="C1500" s="21" t="s">
        <v>2715</v>
      </c>
      <c r="D1500" s="253" t="s">
        <v>913</v>
      </c>
      <c r="E1500" s="53">
        <v>1998.0</v>
      </c>
      <c r="F1500" s="30">
        <v>2168.0</v>
      </c>
      <c r="G1500" s="418"/>
      <c r="H1500" s="18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17"/>
      <c r="Z1500" s="6"/>
      <c r="AA1500" s="18"/>
      <c r="AB1500" s="33"/>
      <c r="AC1500" s="34"/>
      <c r="AD1500" s="18"/>
      <c r="AE1500" s="18"/>
    </row>
    <row r="1501">
      <c r="A1501" s="5" t="s">
        <v>3507</v>
      </c>
      <c r="B1501" s="8" t="s">
        <v>3539</v>
      </c>
      <c r="C1501" s="21" t="s">
        <v>2716</v>
      </c>
      <c r="D1501" s="253" t="s">
        <v>1949</v>
      </c>
      <c r="E1501" s="53">
        <v>1998.0</v>
      </c>
      <c r="F1501" s="30">
        <v>2168.0</v>
      </c>
      <c r="G1501" s="418"/>
      <c r="H1501" s="18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17"/>
      <c r="Z1501" s="6"/>
      <c r="AA1501" s="18"/>
      <c r="AB1501" s="33"/>
      <c r="AC1501" s="34"/>
      <c r="AD1501" s="18"/>
      <c r="AE1501" s="18"/>
    </row>
    <row r="1502">
      <c r="A1502" s="5" t="s">
        <v>3507</v>
      </c>
      <c r="B1502" s="8" t="s">
        <v>3539</v>
      </c>
      <c r="C1502" s="21" t="s">
        <v>1231</v>
      </c>
      <c r="D1502" s="21" t="s">
        <v>523</v>
      </c>
      <c r="E1502" s="53">
        <v>2778.0</v>
      </c>
      <c r="F1502" s="30">
        <v>2998.0</v>
      </c>
      <c r="G1502" s="418"/>
      <c r="H1502" s="18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17"/>
      <c r="Z1502" s="6"/>
      <c r="AA1502" s="18"/>
      <c r="AB1502" s="33"/>
      <c r="AC1502" s="34"/>
      <c r="AD1502" s="18"/>
      <c r="AE1502" s="18"/>
    </row>
    <row r="1503">
      <c r="A1503" s="5" t="s">
        <v>3507</v>
      </c>
      <c r="B1503" s="8" t="s">
        <v>3539</v>
      </c>
      <c r="C1503" s="21" t="s">
        <v>2717</v>
      </c>
      <c r="D1503" s="253" t="s">
        <v>3229</v>
      </c>
      <c r="E1503" s="53">
        <v>2454.0</v>
      </c>
      <c r="F1503" s="30">
        <v>2648.0</v>
      </c>
      <c r="G1503" s="418"/>
      <c r="H1503" s="18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17"/>
      <c r="Z1503" s="6"/>
      <c r="AA1503" s="18"/>
      <c r="AB1503" s="33"/>
      <c r="AC1503" s="34"/>
      <c r="AD1503" s="18"/>
      <c r="AE1503" s="18"/>
    </row>
    <row r="1504">
      <c r="A1504" s="5" t="s">
        <v>3507</v>
      </c>
      <c r="B1504" s="8" t="s">
        <v>3539</v>
      </c>
      <c r="C1504" s="21" t="s">
        <v>2718</v>
      </c>
      <c r="D1504" s="253" t="s">
        <v>395</v>
      </c>
      <c r="E1504" s="53">
        <v>474.0</v>
      </c>
      <c r="F1504" s="30">
        <v>512.0</v>
      </c>
      <c r="G1504" s="418"/>
      <c r="H1504" s="18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17"/>
      <c r="Z1504" s="6"/>
      <c r="AA1504" s="18"/>
      <c r="AB1504" s="33"/>
      <c r="AC1504" s="34"/>
      <c r="AD1504" s="18"/>
      <c r="AE1504" s="18"/>
    </row>
    <row r="1505">
      <c r="A1505" s="5" t="s">
        <v>3507</v>
      </c>
      <c r="B1505" s="8" t="s">
        <v>3539</v>
      </c>
      <c r="C1505" s="21" t="s">
        <v>2719</v>
      </c>
      <c r="D1505" s="253" t="s">
        <v>359</v>
      </c>
      <c r="E1505" s="53">
        <v>864.0</v>
      </c>
      <c r="F1505" s="30">
        <v>932.0</v>
      </c>
      <c r="G1505" s="418"/>
      <c r="H1505" s="18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17"/>
      <c r="Z1505" s="6"/>
      <c r="AA1505" s="18"/>
      <c r="AB1505" s="33"/>
      <c r="AC1505" s="34"/>
      <c r="AD1505" s="18"/>
      <c r="AE1505" s="18"/>
    </row>
    <row r="1506">
      <c r="A1506" s="5" t="s">
        <v>3507</v>
      </c>
      <c r="B1506" s="8" t="s">
        <v>3539</v>
      </c>
      <c r="C1506" s="21" t="s">
        <v>2720</v>
      </c>
      <c r="D1506" s="253" t="s">
        <v>3272</v>
      </c>
      <c r="E1506" s="53">
        <v>841.64</v>
      </c>
      <c r="F1506" s="30">
        <v>908.0</v>
      </c>
      <c r="G1506" s="418"/>
      <c r="H1506" s="18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17"/>
      <c r="Z1506" s="6"/>
      <c r="AA1506" s="18"/>
      <c r="AB1506" s="33"/>
      <c r="AC1506" s="34"/>
      <c r="AD1506" s="18"/>
      <c r="AE1506" s="18"/>
    </row>
    <row r="1507">
      <c r="A1507" s="5" t="s">
        <v>3507</v>
      </c>
      <c r="B1507" s="8" t="s">
        <v>3539</v>
      </c>
      <c r="C1507" s="21" t="s">
        <v>2722</v>
      </c>
      <c r="D1507" s="21" t="s">
        <v>1145</v>
      </c>
      <c r="E1507" s="53">
        <v>2398.0</v>
      </c>
      <c r="F1507" s="30">
        <v>2592.0</v>
      </c>
      <c r="G1507" s="418"/>
      <c r="H1507" s="18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17"/>
      <c r="Z1507" s="6"/>
      <c r="AA1507" s="18"/>
      <c r="AB1507" s="33"/>
      <c r="AC1507" s="34"/>
      <c r="AD1507" s="18"/>
      <c r="AE1507" s="18"/>
    </row>
    <row r="1508">
      <c r="A1508" s="5" t="s">
        <v>3507</v>
      </c>
      <c r="B1508" s="8" t="s">
        <v>3540</v>
      </c>
      <c r="C1508" s="21" t="str">
        <f t="array" ref="C1508:F1524">'COLOUR WISE'!B720:E736</f>
        <v>123-DG</v>
      </c>
      <c r="D1508" s="21" t="s">
        <v>3169</v>
      </c>
      <c r="E1508" s="53">
        <v>493.96000000000004</v>
      </c>
      <c r="F1508" s="30">
        <v>534.0</v>
      </c>
      <c r="G1508" s="418"/>
      <c r="H1508" s="18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17"/>
      <c r="Z1508" s="6"/>
      <c r="AA1508" s="18"/>
      <c r="AB1508" s="33"/>
      <c r="AC1508" s="34"/>
      <c r="AD1508" s="18"/>
      <c r="AE1508" s="18"/>
    </row>
    <row r="1509">
      <c r="A1509" s="5" t="s">
        <v>3507</v>
      </c>
      <c r="B1509" s="8" t="s">
        <v>3540</v>
      </c>
      <c r="C1509" s="21" t="s">
        <v>2725</v>
      </c>
      <c r="D1509" s="21" t="s">
        <v>339</v>
      </c>
      <c r="E1509" s="53">
        <v>606.32</v>
      </c>
      <c r="F1509" s="30">
        <v>654.0</v>
      </c>
      <c r="G1509" s="418"/>
      <c r="H1509" s="18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17"/>
      <c r="Z1509" s="6"/>
      <c r="AA1509" s="18"/>
      <c r="AB1509" s="33"/>
      <c r="AC1509" s="34"/>
      <c r="AD1509" s="18"/>
      <c r="AE1509" s="18"/>
    </row>
    <row r="1510">
      <c r="A1510" s="5" t="s">
        <v>3507</v>
      </c>
      <c r="B1510" s="8" t="s">
        <v>3540</v>
      </c>
      <c r="C1510" s="21" t="s">
        <v>2726</v>
      </c>
      <c r="D1510" s="21" t="s">
        <v>363</v>
      </c>
      <c r="E1510" s="53">
        <v>516.0</v>
      </c>
      <c r="F1510" s="30">
        <v>558.0</v>
      </c>
      <c r="G1510" s="418"/>
      <c r="H1510" s="18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17"/>
      <c r="Z1510" s="6"/>
      <c r="AA1510" s="18"/>
      <c r="AB1510" s="33"/>
      <c r="AC1510" s="34"/>
      <c r="AD1510" s="18"/>
      <c r="AE1510" s="18"/>
    </row>
    <row r="1511">
      <c r="A1511" s="5" t="s">
        <v>3507</v>
      </c>
      <c r="B1511" s="8" t="s">
        <v>3540</v>
      </c>
      <c r="C1511" s="21" t="s">
        <v>2727</v>
      </c>
      <c r="D1511" s="253" t="s">
        <v>666</v>
      </c>
      <c r="E1511" s="53">
        <v>930.0</v>
      </c>
      <c r="F1511" s="30">
        <v>998.0</v>
      </c>
      <c r="G1511" s="418"/>
      <c r="H1511" s="18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17"/>
      <c r="Z1511" s="6"/>
      <c r="AA1511" s="18"/>
      <c r="AB1511" s="33"/>
      <c r="AC1511" s="34"/>
      <c r="AD1511" s="18"/>
      <c r="AE1511" s="18"/>
    </row>
    <row r="1512">
      <c r="A1512" s="5" t="s">
        <v>3507</v>
      </c>
      <c r="B1512" s="8" t="s">
        <v>3540</v>
      </c>
      <c r="C1512" s="21" t="s">
        <v>2728</v>
      </c>
      <c r="D1512" s="253" t="s">
        <v>682</v>
      </c>
      <c r="E1512" s="53">
        <v>666.0192000000001</v>
      </c>
      <c r="F1512" s="30">
        <v>718.0</v>
      </c>
      <c r="G1512" s="418"/>
      <c r="H1512" s="18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17"/>
      <c r="Z1512" s="6"/>
      <c r="AA1512" s="18"/>
      <c r="AB1512" s="33"/>
      <c r="AC1512" s="34"/>
      <c r="AD1512" s="18"/>
      <c r="AE1512" s="18"/>
    </row>
    <row r="1513">
      <c r="A1513" s="5" t="s">
        <v>3507</v>
      </c>
      <c r="B1513" s="8" t="s">
        <v>3540</v>
      </c>
      <c r="C1513" s="21" t="s">
        <v>1236</v>
      </c>
      <c r="D1513" s="21" t="s">
        <v>696</v>
      </c>
      <c r="E1513" s="53">
        <v>778.464</v>
      </c>
      <c r="F1513" s="30">
        <v>842.0</v>
      </c>
      <c r="G1513" s="418"/>
      <c r="H1513" s="18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17"/>
      <c r="Z1513" s="6"/>
      <c r="AA1513" s="18"/>
      <c r="AB1513" s="33"/>
      <c r="AC1513" s="34"/>
      <c r="AD1513" s="18"/>
      <c r="AE1513" s="18"/>
    </row>
    <row r="1514">
      <c r="A1514" s="5" t="s">
        <v>3507</v>
      </c>
      <c r="B1514" s="8" t="s">
        <v>3540</v>
      </c>
      <c r="C1514" s="21" t="s">
        <v>2729</v>
      </c>
      <c r="D1514" s="253" t="s">
        <v>692</v>
      </c>
      <c r="E1514" s="53">
        <v>998.0</v>
      </c>
      <c r="F1514" s="30">
        <v>1078.0</v>
      </c>
      <c r="G1514" s="418"/>
      <c r="H1514" s="18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17"/>
      <c r="Z1514" s="6"/>
      <c r="AA1514" s="18"/>
      <c r="AB1514" s="33"/>
      <c r="AC1514" s="34"/>
      <c r="AD1514" s="18"/>
      <c r="AE1514" s="18"/>
    </row>
    <row r="1515">
      <c r="A1515" s="5" t="s">
        <v>3507</v>
      </c>
      <c r="B1515" s="8" t="s">
        <v>3540</v>
      </c>
      <c r="C1515" s="21" t="s">
        <v>2730</v>
      </c>
      <c r="D1515" s="253" t="s">
        <v>2209</v>
      </c>
      <c r="E1515" s="53">
        <v>951.88</v>
      </c>
      <c r="F1515" s="30">
        <v>1026.0</v>
      </c>
      <c r="G1515" s="418"/>
      <c r="H1515" s="18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17"/>
      <c r="Z1515" s="6"/>
      <c r="AA1515" s="18"/>
      <c r="AB1515" s="33"/>
      <c r="AC1515" s="34"/>
      <c r="AD1515" s="18"/>
      <c r="AE1515" s="18"/>
    </row>
    <row r="1516">
      <c r="A1516" s="5" t="s">
        <v>3507</v>
      </c>
      <c r="B1516" s="8" t="s">
        <v>3540</v>
      </c>
      <c r="C1516" s="21" t="s">
        <v>2731</v>
      </c>
      <c r="D1516" s="253" t="s">
        <v>3197</v>
      </c>
      <c r="E1516" s="53">
        <v>998.0</v>
      </c>
      <c r="F1516" s="30">
        <v>1078.0</v>
      </c>
      <c r="G1516" s="418"/>
      <c r="H1516" s="18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17"/>
      <c r="Z1516" s="6"/>
      <c r="AA1516" s="18"/>
      <c r="AB1516" s="33"/>
      <c r="AC1516" s="34"/>
      <c r="AD1516" s="18"/>
      <c r="AE1516" s="18"/>
    </row>
    <row r="1517">
      <c r="A1517" s="5" t="s">
        <v>3507</v>
      </c>
      <c r="B1517" s="8" t="s">
        <v>3540</v>
      </c>
      <c r="C1517" s="21" t="s">
        <v>2732</v>
      </c>
      <c r="D1517" s="253" t="s">
        <v>913</v>
      </c>
      <c r="E1517" s="53">
        <v>1998.0</v>
      </c>
      <c r="F1517" s="30">
        <v>2168.0</v>
      </c>
      <c r="G1517" s="418"/>
      <c r="H1517" s="18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17"/>
      <c r="Z1517" s="6"/>
      <c r="AA1517" s="18"/>
      <c r="AB1517" s="33"/>
      <c r="AC1517" s="34"/>
      <c r="AD1517" s="18"/>
      <c r="AE1517" s="18"/>
    </row>
    <row r="1518">
      <c r="A1518" s="5" t="s">
        <v>3507</v>
      </c>
      <c r="B1518" s="8" t="s">
        <v>3540</v>
      </c>
      <c r="C1518" s="21" t="s">
        <v>2733</v>
      </c>
      <c r="D1518" s="253" t="s">
        <v>1949</v>
      </c>
      <c r="E1518" s="53">
        <v>1998.0</v>
      </c>
      <c r="F1518" s="30">
        <v>2168.0</v>
      </c>
      <c r="G1518" s="418"/>
      <c r="H1518" s="18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17"/>
      <c r="Z1518" s="6"/>
      <c r="AA1518" s="18"/>
      <c r="AB1518" s="33"/>
      <c r="AC1518" s="34"/>
      <c r="AD1518" s="18"/>
      <c r="AE1518" s="18"/>
    </row>
    <row r="1519">
      <c r="A1519" s="5" t="s">
        <v>3507</v>
      </c>
      <c r="B1519" s="8" t="s">
        <v>3540</v>
      </c>
      <c r="C1519" s="21" t="s">
        <v>1238</v>
      </c>
      <c r="D1519" s="21" t="s">
        <v>523</v>
      </c>
      <c r="E1519" s="53">
        <v>2778.0</v>
      </c>
      <c r="F1519" s="30">
        <v>2998.0</v>
      </c>
      <c r="G1519" s="418"/>
      <c r="H1519" s="18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17"/>
      <c r="Z1519" s="6"/>
      <c r="AA1519" s="18"/>
      <c r="AB1519" s="33"/>
      <c r="AC1519" s="34"/>
      <c r="AD1519" s="18"/>
      <c r="AE1519" s="18"/>
    </row>
    <row r="1520">
      <c r="A1520" s="5" t="s">
        <v>3507</v>
      </c>
      <c r="B1520" s="8" t="s">
        <v>3540</v>
      </c>
      <c r="C1520" s="21" t="s">
        <v>2734</v>
      </c>
      <c r="D1520" s="253" t="s">
        <v>3229</v>
      </c>
      <c r="E1520" s="53">
        <v>2454.0</v>
      </c>
      <c r="F1520" s="30">
        <v>2648.0</v>
      </c>
      <c r="G1520" s="418"/>
      <c r="H1520" s="18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17"/>
      <c r="Z1520" s="6"/>
      <c r="AA1520" s="18"/>
      <c r="AB1520" s="33"/>
      <c r="AC1520" s="34"/>
      <c r="AD1520" s="18"/>
      <c r="AE1520" s="18"/>
    </row>
    <row r="1521">
      <c r="A1521" s="5" t="s">
        <v>3507</v>
      </c>
      <c r="B1521" s="8" t="s">
        <v>3540</v>
      </c>
      <c r="C1521" s="21" t="s">
        <v>2735</v>
      </c>
      <c r="D1521" s="253" t="s">
        <v>395</v>
      </c>
      <c r="E1521" s="53">
        <v>474.0</v>
      </c>
      <c r="F1521" s="30">
        <v>512.0</v>
      </c>
      <c r="G1521" s="418"/>
      <c r="H1521" s="18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17"/>
      <c r="Z1521" s="6"/>
      <c r="AA1521" s="18"/>
      <c r="AB1521" s="33"/>
      <c r="AC1521" s="34"/>
      <c r="AD1521" s="18"/>
      <c r="AE1521" s="18"/>
    </row>
    <row r="1522">
      <c r="A1522" s="5" t="s">
        <v>3507</v>
      </c>
      <c r="B1522" s="8" t="s">
        <v>3540</v>
      </c>
      <c r="C1522" s="21" t="s">
        <v>2736</v>
      </c>
      <c r="D1522" s="253" t="s">
        <v>359</v>
      </c>
      <c r="E1522" s="53">
        <v>864.0</v>
      </c>
      <c r="F1522" s="30">
        <v>932.0</v>
      </c>
      <c r="G1522" s="418"/>
      <c r="H1522" s="18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17"/>
      <c r="Z1522" s="6"/>
      <c r="AA1522" s="18"/>
      <c r="AB1522" s="33"/>
      <c r="AC1522" s="34"/>
      <c r="AD1522" s="18"/>
      <c r="AE1522" s="18"/>
    </row>
    <row r="1523">
      <c r="A1523" s="5" t="s">
        <v>3507</v>
      </c>
      <c r="B1523" s="8" t="s">
        <v>3540</v>
      </c>
      <c r="C1523" s="21" t="s">
        <v>2737</v>
      </c>
      <c r="D1523" s="253" t="s">
        <v>3272</v>
      </c>
      <c r="E1523" s="53">
        <v>841.64</v>
      </c>
      <c r="F1523" s="30">
        <v>908.0</v>
      </c>
      <c r="G1523" s="418"/>
      <c r="H1523" s="18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17"/>
      <c r="Z1523" s="6"/>
      <c r="AA1523" s="18"/>
      <c r="AB1523" s="33"/>
      <c r="AC1523" s="34"/>
      <c r="AD1523" s="18"/>
      <c r="AE1523" s="18"/>
    </row>
    <row r="1524">
      <c r="A1524" s="5" t="s">
        <v>3507</v>
      </c>
      <c r="B1524" s="8" t="s">
        <v>3540</v>
      </c>
      <c r="C1524" s="21" t="s">
        <v>2738</v>
      </c>
      <c r="D1524" s="21" t="s">
        <v>1145</v>
      </c>
      <c r="E1524" s="53">
        <v>2398.0</v>
      </c>
      <c r="F1524" s="30">
        <v>2592.0</v>
      </c>
      <c r="G1524" s="418"/>
      <c r="H1524" s="18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17"/>
      <c r="Z1524" s="6"/>
      <c r="AA1524" s="18"/>
      <c r="AB1524" s="33"/>
      <c r="AC1524" s="34"/>
      <c r="AD1524" s="18"/>
      <c r="AE1524" s="18"/>
    </row>
    <row r="1525">
      <c r="A1525" s="5" t="s">
        <v>3507</v>
      </c>
      <c r="B1525" s="8" t="s">
        <v>3541</v>
      </c>
      <c r="C1525" s="21" t="str">
        <f t="array" ref="C1525:F1541">'COLOUR WISE'!B739:E755</f>
        <v>123-DR</v>
      </c>
      <c r="D1525" s="21" t="s">
        <v>3169</v>
      </c>
      <c r="E1525" s="53">
        <v>493.96000000000004</v>
      </c>
      <c r="F1525" s="30">
        <v>534.0</v>
      </c>
      <c r="G1525" s="418"/>
      <c r="H1525" s="18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17"/>
      <c r="Z1525" s="6"/>
      <c r="AA1525" s="18"/>
      <c r="AB1525" s="33"/>
      <c r="AC1525" s="34"/>
      <c r="AD1525" s="18"/>
      <c r="AE1525" s="18"/>
    </row>
    <row r="1526">
      <c r="A1526" s="5" t="s">
        <v>3507</v>
      </c>
      <c r="B1526" s="8" t="s">
        <v>3541</v>
      </c>
      <c r="C1526" s="21" t="s">
        <v>2741</v>
      </c>
      <c r="D1526" s="21" t="s">
        <v>339</v>
      </c>
      <c r="E1526" s="53">
        <v>606.32</v>
      </c>
      <c r="F1526" s="30">
        <v>654.0</v>
      </c>
      <c r="G1526" s="418"/>
      <c r="H1526" s="18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17"/>
      <c r="Z1526" s="6"/>
      <c r="AA1526" s="18"/>
      <c r="AB1526" s="33"/>
      <c r="AC1526" s="34"/>
      <c r="AD1526" s="18"/>
      <c r="AE1526" s="18"/>
    </row>
    <row r="1527">
      <c r="A1527" s="5" t="s">
        <v>3507</v>
      </c>
      <c r="B1527" s="8" t="s">
        <v>3541</v>
      </c>
      <c r="C1527" s="21" t="s">
        <v>2742</v>
      </c>
      <c r="D1527" s="21" t="s">
        <v>363</v>
      </c>
      <c r="E1527" s="53">
        <v>516.0</v>
      </c>
      <c r="F1527" s="30">
        <v>558.0</v>
      </c>
      <c r="G1527" s="418"/>
      <c r="H1527" s="18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17"/>
      <c r="Z1527" s="6"/>
      <c r="AA1527" s="18"/>
      <c r="AB1527" s="33"/>
      <c r="AC1527" s="34"/>
      <c r="AD1527" s="18"/>
      <c r="AE1527" s="18"/>
    </row>
    <row r="1528">
      <c r="A1528" s="5" t="s">
        <v>3507</v>
      </c>
      <c r="B1528" s="8" t="s">
        <v>3541</v>
      </c>
      <c r="C1528" s="21" t="s">
        <v>2743</v>
      </c>
      <c r="D1528" s="253" t="s">
        <v>666</v>
      </c>
      <c r="E1528" s="53">
        <v>930.0</v>
      </c>
      <c r="F1528" s="30">
        <v>998.0</v>
      </c>
      <c r="G1528" s="418"/>
      <c r="H1528" s="18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17"/>
      <c r="Z1528" s="6"/>
      <c r="AA1528" s="18"/>
      <c r="AB1528" s="33"/>
      <c r="AC1528" s="34"/>
      <c r="AD1528" s="18"/>
      <c r="AE1528" s="18"/>
    </row>
    <row r="1529">
      <c r="A1529" s="5" t="s">
        <v>3507</v>
      </c>
      <c r="B1529" s="8" t="s">
        <v>3541</v>
      </c>
      <c r="C1529" s="21" t="s">
        <v>2744</v>
      </c>
      <c r="D1529" s="253" t="s">
        <v>682</v>
      </c>
      <c r="E1529" s="53">
        <v>666.0192000000001</v>
      </c>
      <c r="F1529" s="30">
        <v>718.0</v>
      </c>
      <c r="G1529" s="418"/>
      <c r="H1529" s="18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17"/>
      <c r="Z1529" s="6"/>
      <c r="AA1529" s="18"/>
      <c r="AB1529" s="33"/>
      <c r="AC1529" s="34"/>
      <c r="AD1529" s="18"/>
      <c r="AE1529" s="18"/>
    </row>
    <row r="1530">
      <c r="A1530" s="5" t="s">
        <v>3507</v>
      </c>
      <c r="B1530" s="8" t="s">
        <v>3541</v>
      </c>
      <c r="C1530" s="21" t="s">
        <v>1243</v>
      </c>
      <c r="D1530" s="21" t="s">
        <v>696</v>
      </c>
      <c r="E1530" s="53">
        <v>778.464</v>
      </c>
      <c r="F1530" s="30">
        <v>842.0</v>
      </c>
      <c r="G1530" s="418"/>
      <c r="H1530" s="18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17"/>
      <c r="Z1530" s="6"/>
      <c r="AA1530" s="18"/>
      <c r="AB1530" s="33"/>
      <c r="AC1530" s="34"/>
      <c r="AD1530" s="18"/>
      <c r="AE1530" s="18"/>
    </row>
    <row r="1531">
      <c r="A1531" s="5" t="s">
        <v>3507</v>
      </c>
      <c r="B1531" s="8" t="s">
        <v>3541</v>
      </c>
      <c r="C1531" s="21" t="s">
        <v>2745</v>
      </c>
      <c r="D1531" s="253" t="s">
        <v>692</v>
      </c>
      <c r="E1531" s="53">
        <v>998.0</v>
      </c>
      <c r="F1531" s="30">
        <v>1078.0</v>
      </c>
      <c r="G1531" s="418"/>
      <c r="H1531" s="18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17"/>
      <c r="Z1531" s="6"/>
      <c r="AA1531" s="18"/>
      <c r="AB1531" s="33"/>
      <c r="AC1531" s="34"/>
      <c r="AD1531" s="18"/>
      <c r="AE1531" s="18"/>
    </row>
    <row r="1532">
      <c r="A1532" s="5" t="s">
        <v>3507</v>
      </c>
      <c r="B1532" s="8" t="s">
        <v>3541</v>
      </c>
      <c r="C1532" s="21" t="s">
        <v>2746</v>
      </c>
      <c r="D1532" s="253" t="s">
        <v>2209</v>
      </c>
      <c r="E1532" s="53">
        <v>951.88</v>
      </c>
      <c r="F1532" s="30">
        <v>1026.0</v>
      </c>
      <c r="G1532" s="418"/>
      <c r="H1532" s="18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17"/>
      <c r="Z1532" s="6"/>
      <c r="AA1532" s="18"/>
      <c r="AB1532" s="33"/>
      <c r="AC1532" s="34"/>
      <c r="AD1532" s="18"/>
      <c r="AE1532" s="18"/>
    </row>
    <row r="1533">
      <c r="A1533" s="5" t="s">
        <v>3507</v>
      </c>
      <c r="B1533" s="8" t="s">
        <v>3541</v>
      </c>
      <c r="C1533" s="21" t="s">
        <v>2747</v>
      </c>
      <c r="D1533" s="253" t="s">
        <v>3197</v>
      </c>
      <c r="E1533" s="53">
        <v>998.0</v>
      </c>
      <c r="F1533" s="30">
        <v>1078.0</v>
      </c>
      <c r="G1533" s="418"/>
      <c r="H1533" s="18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17"/>
      <c r="Z1533" s="6"/>
      <c r="AA1533" s="18"/>
      <c r="AB1533" s="33"/>
      <c r="AC1533" s="34"/>
      <c r="AD1533" s="18"/>
      <c r="AE1533" s="18"/>
    </row>
    <row r="1534">
      <c r="A1534" s="5" t="s">
        <v>3507</v>
      </c>
      <c r="B1534" s="8" t="s">
        <v>3541</v>
      </c>
      <c r="C1534" s="21" t="s">
        <v>2748</v>
      </c>
      <c r="D1534" s="253" t="s">
        <v>913</v>
      </c>
      <c r="E1534" s="53">
        <v>1998.0</v>
      </c>
      <c r="F1534" s="30">
        <v>2168.0</v>
      </c>
      <c r="G1534" s="418"/>
      <c r="H1534" s="18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17"/>
      <c r="Z1534" s="6"/>
      <c r="AA1534" s="18"/>
      <c r="AB1534" s="33"/>
      <c r="AC1534" s="34"/>
      <c r="AD1534" s="18"/>
      <c r="AE1534" s="18"/>
    </row>
    <row r="1535">
      <c r="A1535" s="5" t="s">
        <v>3507</v>
      </c>
      <c r="B1535" s="8" t="s">
        <v>3541</v>
      </c>
      <c r="C1535" s="21" t="s">
        <v>2749</v>
      </c>
      <c r="D1535" s="253" t="s">
        <v>1949</v>
      </c>
      <c r="E1535" s="53">
        <v>1998.0</v>
      </c>
      <c r="F1535" s="30">
        <v>2168.0</v>
      </c>
      <c r="G1535" s="418"/>
      <c r="H1535" s="18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17"/>
      <c r="Z1535" s="6"/>
      <c r="AA1535" s="18"/>
      <c r="AB1535" s="33"/>
      <c r="AC1535" s="34"/>
      <c r="AD1535" s="18"/>
      <c r="AE1535" s="18"/>
    </row>
    <row r="1536">
      <c r="A1536" s="5" t="s">
        <v>3507</v>
      </c>
      <c r="B1536" s="8" t="s">
        <v>3541</v>
      </c>
      <c r="C1536" s="21" t="s">
        <v>1245</v>
      </c>
      <c r="D1536" s="21" t="s">
        <v>523</v>
      </c>
      <c r="E1536" s="53">
        <v>2778.0</v>
      </c>
      <c r="F1536" s="30">
        <v>2998.0</v>
      </c>
      <c r="G1536" s="418"/>
      <c r="H1536" s="18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17"/>
      <c r="Z1536" s="6"/>
      <c r="AA1536" s="18"/>
      <c r="AB1536" s="33"/>
      <c r="AC1536" s="34"/>
      <c r="AD1536" s="18"/>
      <c r="AE1536" s="18"/>
    </row>
    <row r="1537">
      <c r="A1537" s="5" t="s">
        <v>3507</v>
      </c>
      <c r="B1537" s="8" t="s">
        <v>3541</v>
      </c>
      <c r="C1537" s="21" t="s">
        <v>2750</v>
      </c>
      <c r="D1537" s="253" t="s">
        <v>3229</v>
      </c>
      <c r="E1537" s="53">
        <v>2454.0</v>
      </c>
      <c r="F1537" s="30">
        <v>2648.0</v>
      </c>
      <c r="G1537" s="418"/>
      <c r="H1537" s="18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17"/>
      <c r="Z1537" s="6"/>
      <c r="AA1537" s="18"/>
      <c r="AB1537" s="33"/>
      <c r="AC1537" s="34"/>
      <c r="AD1537" s="18"/>
      <c r="AE1537" s="18"/>
    </row>
    <row r="1538">
      <c r="A1538" s="5" t="s">
        <v>3507</v>
      </c>
      <c r="B1538" s="8" t="s">
        <v>3541</v>
      </c>
      <c r="C1538" s="21" t="s">
        <v>2751</v>
      </c>
      <c r="D1538" s="253" t="s">
        <v>395</v>
      </c>
      <c r="E1538" s="53">
        <v>474.0</v>
      </c>
      <c r="F1538" s="30">
        <v>512.0</v>
      </c>
      <c r="G1538" s="418"/>
      <c r="H1538" s="18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17"/>
      <c r="Z1538" s="6"/>
      <c r="AA1538" s="18"/>
      <c r="AB1538" s="33"/>
      <c r="AC1538" s="34"/>
      <c r="AD1538" s="18"/>
      <c r="AE1538" s="18"/>
    </row>
    <row r="1539">
      <c r="A1539" s="5" t="s">
        <v>3507</v>
      </c>
      <c r="B1539" s="8" t="s">
        <v>3541</v>
      </c>
      <c r="C1539" s="21" t="s">
        <v>2752</v>
      </c>
      <c r="D1539" s="253" t="s">
        <v>359</v>
      </c>
      <c r="E1539" s="53">
        <v>864.0</v>
      </c>
      <c r="F1539" s="30">
        <v>932.0</v>
      </c>
      <c r="G1539" s="418"/>
      <c r="H1539" s="18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17"/>
      <c r="Z1539" s="6"/>
      <c r="AA1539" s="18"/>
      <c r="AB1539" s="33"/>
      <c r="AC1539" s="34"/>
      <c r="AD1539" s="18"/>
      <c r="AE1539" s="18"/>
    </row>
    <row r="1540">
      <c r="A1540" s="5" t="s">
        <v>3507</v>
      </c>
      <c r="B1540" s="8" t="s">
        <v>3541</v>
      </c>
      <c r="C1540" s="21" t="s">
        <v>2753</v>
      </c>
      <c r="D1540" s="253" t="s">
        <v>3272</v>
      </c>
      <c r="E1540" s="53">
        <v>841.64</v>
      </c>
      <c r="F1540" s="30">
        <v>908.0</v>
      </c>
      <c r="G1540" s="418"/>
      <c r="H1540" s="18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17"/>
      <c r="Z1540" s="6"/>
      <c r="AA1540" s="18"/>
      <c r="AB1540" s="33"/>
      <c r="AC1540" s="34"/>
      <c r="AD1540" s="18"/>
      <c r="AE1540" s="18"/>
    </row>
    <row r="1541">
      <c r="A1541" s="5" t="s">
        <v>3507</v>
      </c>
      <c r="B1541" s="8" t="s">
        <v>3541</v>
      </c>
      <c r="C1541" s="21" t="s">
        <v>2754</v>
      </c>
      <c r="D1541" s="21" t="s">
        <v>1145</v>
      </c>
      <c r="E1541" s="53">
        <v>2398.0</v>
      </c>
      <c r="F1541" s="30">
        <v>2592.0</v>
      </c>
      <c r="G1541" s="418"/>
      <c r="H1541" s="18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17"/>
      <c r="Z1541" s="6"/>
      <c r="AA1541" s="18"/>
      <c r="AB1541" s="33"/>
      <c r="AC1541" s="34"/>
      <c r="AD1541" s="18"/>
      <c r="AE1541" s="18"/>
    </row>
    <row r="1542">
      <c r="A1542" s="5" t="s">
        <v>3507</v>
      </c>
      <c r="B1542" s="8" t="s">
        <v>3542</v>
      </c>
      <c r="C1542" s="21" t="str">
        <f t="array" ref="C1542:F1558">'COLOUR WISE'!B758:E774</f>
        <v>123-DP</v>
      </c>
      <c r="D1542" s="21" t="s">
        <v>3169</v>
      </c>
      <c r="E1542" s="53">
        <v>493.96000000000004</v>
      </c>
      <c r="F1542" s="30">
        <v>534.0</v>
      </c>
      <c r="G1542" s="418"/>
      <c r="H1542" s="18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17"/>
      <c r="Z1542" s="6"/>
      <c r="AA1542" s="18"/>
      <c r="AB1542" s="33"/>
      <c r="AC1542" s="34"/>
      <c r="AD1542" s="18"/>
      <c r="AE1542" s="18"/>
    </row>
    <row r="1543">
      <c r="A1543" s="5" t="s">
        <v>3507</v>
      </c>
      <c r="B1543" s="8" t="s">
        <v>3542</v>
      </c>
      <c r="C1543" s="21" t="s">
        <v>2757</v>
      </c>
      <c r="D1543" s="21" t="s">
        <v>339</v>
      </c>
      <c r="E1543" s="53">
        <v>606.32</v>
      </c>
      <c r="F1543" s="30">
        <v>654.0</v>
      </c>
      <c r="G1543" s="418"/>
      <c r="H1543" s="18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17"/>
      <c r="Z1543" s="6"/>
      <c r="AA1543" s="18"/>
      <c r="AB1543" s="33"/>
      <c r="AC1543" s="34"/>
      <c r="AD1543" s="18"/>
      <c r="AE1543" s="18"/>
    </row>
    <row r="1544">
      <c r="A1544" s="5" t="s">
        <v>3507</v>
      </c>
      <c r="B1544" s="8" t="s">
        <v>3542</v>
      </c>
      <c r="C1544" s="21" t="s">
        <v>2758</v>
      </c>
      <c r="D1544" s="21" t="s">
        <v>363</v>
      </c>
      <c r="E1544" s="53">
        <v>516.0</v>
      </c>
      <c r="F1544" s="30">
        <v>558.0</v>
      </c>
      <c r="G1544" s="418"/>
      <c r="H1544" s="18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17"/>
      <c r="Z1544" s="6"/>
      <c r="AA1544" s="18"/>
      <c r="AB1544" s="33"/>
      <c r="AC1544" s="34"/>
      <c r="AD1544" s="18"/>
      <c r="AE1544" s="18"/>
    </row>
    <row r="1545">
      <c r="A1545" s="5" t="s">
        <v>3507</v>
      </c>
      <c r="B1545" s="8" t="s">
        <v>3542</v>
      </c>
      <c r="C1545" s="21" t="s">
        <v>2759</v>
      </c>
      <c r="D1545" s="253" t="s">
        <v>666</v>
      </c>
      <c r="E1545" s="53">
        <v>930.0</v>
      </c>
      <c r="F1545" s="30">
        <v>998.0</v>
      </c>
      <c r="G1545" s="418"/>
      <c r="H1545" s="18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17"/>
      <c r="Z1545" s="6"/>
      <c r="AA1545" s="18"/>
      <c r="AB1545" s="33"/>
      <c r="AC1545" s="34"/>
      <c r="AD1545" s="18"/>
      <c r="AE1545" s="18"/>
    </row>
    <row r="1546">
      <c r="A1546" s="5" t="s">
        <v>3507</v>
      </c>
      <c r="B1546" s="8" t="s">
        <v>3542</v>
      </c>
      <c r="C1546" s="21" t="s">
        <v>2760</v>
      </c>
      <c r="D1546" s="253" t="s">
        <v>682</v>
      </c>
      <c r="E1546" s="53">
        <v>666.0192000000001</v>
      </c>
      <c r="F1546" s="30">
        <v>718.0</v>
      </c>
      <c r="G1546" s="418"/>
      <c r="H1546" s="18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17"/>
      <c r="Z1546" s="6"/>
      <c r="AA1546" s="18"/>
      <c r="AB1546" s="33"/>
      <c r="AC1546" s="34"/>
      <c r="AD1546" s="18"/>
      <c r="AE1546" s="18"/>
    </row>
    <row r="1547">
      <c r="A1547" s="5" t="s">
        <v>3507</v>
      </c>
      <c r="B1547" s="8" t="s">
        <v>3542</v>
      </c>
      <c r="C1547" s="21" t="s">
        <v>1250</v>
      </c>
      <c r="D1547" s="21" t="s">
        <v>696</v>
      </c>
      <c r="E1547" s="53">
        <v>778.464</v>
      </c>
      <c r="F1547" s="30">
        <v>842.0</v>
      </c>
      <c r="G1547" s="418"/>
      <c r="H1547" s="18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17"/>
      <c r="Z1547" s="6"/>
      <c r="AA1547" s="18"/>
      <c r="AB1547" s="33"/>
      <c r="AC1547" s="34"/>
      <c r="AD1547" s="18"/>
      <c r="AE1547" s="18"/>
    </row>
    <row r="1548">
      <c r="A1548" s="5" t="s">
        <v>3507</v>
      </c>
      <c r="B1548" s="8" t="s">
        <v>3542</v>
      </c>
      <c r="C1548" s="21" t="s">
        <v>2761</v>
      </c>
      <c r="D1548" s="253" t="s">
        <v>692</v>
      </c>
      <c r="E1548" s="53">
        <v>998.0</v>
      </c>
      <c r="F1548" s="30">
        <v>1078.0</v>
      </c>
      <c r="G1548" s="418"/>
      <c r="H1548" s="18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17"/>
      <c r="Z1548" s="6"/>
      <c r="AA1548" s="18"/>
      <c r="AB1548" s="33"/>
      <c r="AC1548" s="34"/>
      <c r="AD1548" s="18"/>
      <c r="AE1548" s="18"/>
    </row>
    <row r="1549">
      <c r="A1549" s="5" t="s">
        <v>3507</v>
      </c>
      <c r="B1549" s="8" t="s">
        <v>3542</v>
      </c>
      <c r="C1549" s="21" t="s">
        <v>2762</v>
      </c>
      <c r="D1549" s="253" t="s">
        <v>2209</v>
      </c>
      <c r="E1549" s="53">
        <v>951.88</v>
      </c>
      <c r="F1549" s="30">
        <v>1026.0</v>
      </c>
      <c r="G1549" s="418"/>
      <c r="H1549" s="18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17"/>
      <c r="Z1549" s="6"/>
      <c r="AA1549" s="18"/>
      <c r="AB1549" s="33"/>
      <c r="AC1549" s="34"/>
      <c r="AD1549" s="18"/>
      <c r="AE1549" s="18"/>
    </row>
    <row r="1550">
      <c r="A1550" s="5" t="s">
        <v>3507</v>
      </c>
      <c r="B1550" s="8" t="s">
        <v>3542</v>
      </c>
      <c r="C1550" s="21" t="s">
        <v>2763</v>
      </c>
      <c r="D1550" s="253" t="s">
        <v>3197</v>
      </c>
      <c r="E1550" s="53">
        <v>998.0</v>
      </c>
      <c r="F1550" s="30">
        <v>1078.0</v>
      </c>
      <c r="G1550" s="418"/>
      <c r="H1550" s="18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17"/>
      <c r="Z1550" s="6"/>
      <c r="AA1550" s="18"/>
      <c r="AB1550" s="33"/>
      <c r="AC1550" s="34"/>
      <c r="AD1550" s="18"/>
      <c r="AE1550" s="18"/>
    </row>
    <row r="1551">
      <c r="A1551" s="5" t="s">
        <v>3507</v>
      </c>
      <c r="B1551" s="8" t="s">
        <v>3542</v>
      </c>
      <c r="C1551" s="21" t="s">
        <v>2764</v>
      </c>
      <c r="D1551" s="253" t="s">
        <v>913</v>
      </c>
      <c r="E1551" s="53">
        <v>1998.0</v>
      </c>
      <c r="F1551" s="30">
        <v>2168.0</v>
      </c>
      <c r="G1551" s="418"/>
      <c r="H1551" s="18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17"/>
      <c r="Z1551" s="6"/>
      <c r="AA1551" s="18"/>
      <c r="AB1551" s="33"/>
      <c r="AC1551" s="34"/>
      <c r="AD1551" s="18"/>
      <c r="AE1551" s="18"/>
    </row>
    <row r="1552">
      <c r="A1552" s="5" t="s">
        <v>3507</v>
      </c>
      <c r="B1552" s="8" t="s">
        <v>3542</v>
      </c>
      <c r="C1552" s="21" t="s">
        <v>2765</v>
      </c>
      <c r="D1552" s="253" t="s">
        <v>1949</v>
      </c>
      <c r="E1552" s="53">
        <v>1998.0</v>
      </c>
      <c r="F1552" s="30">
        <v>2168.0</v>
      </c>
      <c r="G1552" s="418"/>
      <c r="H1552" s="18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17"/>
      <c r="Z1552" s="6"/>
      <c r="AA1552" s="18"/>
      <c r="AB1552" s="33"/>
      <c r="AC1552" s="34"/>
      <c r="AD1552" s="18"/>
      <c r="AE1552" s="18"/>
    </row>
    <row r="1553">
      <c r="A1553" s="5" t="s">
        <v>3507</v>
      </c>
      <c r="B1553" s="8" t="s">
        <v>3542</v>
      </c>
      <c r="C1553" s="21" t="s">
        <v>1251</v>
      </c>
      <c r="D1553" s="21" t="s">
        <v>523</v>
      </c>
      <c r="E1553" s="53">
        <v>2778.0</v>
      </c>
      <c r="F1553" s="30">
        <v>2998.0</v>
      </c>
      <c r="G1553" s="418"/>
      <c r="H1553" s="18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17"/>
      <c r="Z1553" s="6"/>
      <c r="AA1553" s="18"/>
      <c r="AB1553" s="33"/>
      <c r="AC1553" s="34"/>
      <c r="AD1553" s="18"/>
      <c r="AE1553" s="18"/>
    </row>
    <row r="1554">
      <c r="A1554" s="5" t="s">
        <v>3507</v>
      </c>
      <c r="B1554" s="8" t="s">
        <v>3542</v>
      </c>
      <c r="C1554" s="21" t="s">
        <v>2766</v>
      </c>
      <c r="D1554" s="253" t="s">
        <v>3229</v>
      </c>
      <c r="E1554" s="53">
        <v>2454.0</v>
      </c>
      <c r="F1554" s="30">
        <v>2648.0</v>
      </c>
      <c r="G1554" s="418"/>
      <c r="H1554" s="18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17"/>
      <c r="Z1554" s="6"/>
      <c r="AA1554" s="18"/>
      <c r="AB1554" s="33"/>
      <c r="AC1554" s="34"/>
      <c r="AD1554" s="18"/>
      <c r="AE1554" s="18"/>
    </row>
    <row r="1555">
      <c r="A1555" s="5" t="s">
        <v>3507</v>
      </c>
      <c r="B1555" s="8" t="s">
        <v>3542</v>
      </c>
      <c r="C1555" s="21" t="s">
        <v>2767</v>
      </c>
      <c r="D1555" s="253" t="s">
        <v>395</v>
      </c>
      <c r="E1555" s="53">
        <v>474.0</v>
      </c>
      <c r="F1555" s="30">
        <v>512.0</v>
      </c>
      <c r="G1555" s="418"/>
      <c r="H1555" s="18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17"/>
      <c r="Z1555" s="6"/>
      <c r="AA1555" s="18"/>
      <c r="AB1555" s="33"/>
      <c r="AC1555" s="34"/>
      <c r="AD1555" s="18"/>
      <c r="AE1555" s="18"/>
    </row>
    <row r="1556">
      <c r="A1556" s="5" t="s">
        <v>3507</v>
      </c>
      <c r="B1556" s="8" t="s">
        <v>3542</v>
      </c>
      <c r="C1556" s="21" t="s">
        <v>2768</v>
      </c>
      <c r="D1556" s="253" t="s">
        <v>359</v>
      </c>
      <c r="E1556" s="53">
        <v>864.0</v>
      </c>
      <c r="F1556" s="30">
        <v>932.0</v>
      </c>
      <c r="G1556" s="418"/>
      <c r="H1556" s="18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17"/>
      <c r="Z1556" s="6"/>
      <c r="AA1556" s="18"/>
      <c r="AB1556" s="33"/>
      <c r="AC1556" s="34"/>
      <c r="AD1556" s="18"/>
      <c r="AE1556" s="18"/>
    </row>
    <row r="1557">
      <c r="A1557" s="5" t="s">
        <v>3507</v>
      </c>
      <c r="B1557" s="8" t="s">
        <v>3542</v>
      </c>
      <c r="C1557" s="21" t="s">
        <v>2769</v>
      </c>
      <c r="D1557" s="253" t="s">
        <v>3272</v>
      </c>
      <c r="E1557" s="53">
        <v>841.64</v>
      </c>
      <c r="F1557" s="30">
        <v>908.0</v>
      </c>
      <c r="G1557" s="418"/>
      <c r="H1557" s="18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17"/>
      <c r="Z1557" s="6"/>
      <c r="AA1557" s="18"/>
      <c r="AB1557" s="33"/>
      <c r="AC1557" s="34"/>
      <c r="AD1557" s="18"/>
      <c r="AE1557" s="18"/>
    </row>
    <row r="1558">
      <c r="A1558" s="5" t="s">
        <v>3507</v>
      </c>
      <c r="B1558" s="8" t="s">
        <v>3542</v>
      </c>
      <c r="C1558" s="21" t="s">
        <v>2770</v>
      </c>
      <c r="D1558" s="21" t="s">
        <v>1145</v>
      </c>
      <c r="E1558" s="53">
        <v>2398.0</v>
      </c>
      <c r="F1558" s="30">
        <v>2592.0</v>
      </c>
      <c r="G1558" s="418"/>
      <c r="H1558" s="18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17"/>
      <c r="Z1558" s="6"/>
      <c r="AA1558" s="18"/>
      <c r="AB1558" s="33"/>
      <c r="AC1558" s="34"/>
      <c r="AD1558" s="18"/>
      <c r="AE1558" s="18"/>
    </row>
    <row r="1559">
      <c r="A1559" s="5" t="s">
        <v>3507</v>
      </c>
      <c r="B1559" s="8" t="s">
        <v>3543</v>
      </c>
      <c r="C1559" s="21" t="str">
        <f t="array" ref="C1559:F1575">'COLOUR WISE'!B777:E793</f>
        <v>123-DB</v>
      </c>
      <c r="D1559" s="21" t="s">
        <v>3169</v>
      </c>
      <c r="E1559" s="53">
        <v>493.96000000000004</v>
      </c>
      <c r="F1559" s="30">
        <v>534.0</v>
      </c>
      <c r="G1559" s="418"/>
      <c r="H1559" s="18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17"/>
      <c r="Z1559" s="6"/>
      <c r="AA1559" s="18"/>
      <c r="AB1559" s="33"/>
      <c r="AC1559" s="34"/>
      <c r="AD1559" s="18"/>
      <c r="AE1559" s="18"/>
    </row>
    <row r="1560">
      <c r="A1560" s="5" t="s">
        <v>3507</v>
      </c>
      <c r="B1560" s="8" t="s">
        <v>3543</v>
      </c>
      <c r="C1560" s="21" t="s">
        <v>2773</v>
      </c>
      <c r="D1560" s="21" t="s">
        <v>339</v>
      </c>
      <c r="E1560" s="53">
        <v>606.32</v>
      </c>
      <c r="F1560" s="30">
        <v>654.0</v>
      </c>
      <c r="G1560" s="418"/>
      <c r="H1560" s="18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17"/>
      <c r="Z1560" s="6"/>
      <c r="AA1560" s="18"/>
      <c r="AB1560" s="33"/>
      <c r="AC1560" s="34"/>
      <c r="AD1560" s="18"/>
      <c r="AE1560" s="18"/>
    </row>
    <row r="1561">
      <c r="A1561" s="5" t="s">
        <v>3507</v>
      </c>
      <c r="B1561" s="8" t="s">
        <v>3543</v>
      </c>
      <c r="C1561" s="21" t="s">
        <v>2774</v>
      </c>
      <c r="D1561" s="21" t="s">
        <v>363</v>
      </c>
      <c r="E1561" s="53">
        <v>516.0</v>
      </c>
      <c r="F1561" s="30">
        <v>558.0</v>
      </c>
      <c r="G1561" s="418"/>
      <c r="H1561" s="18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17"/>
      <c r="Z1561" s="6"/>
      <c r="AA1561" s="18"/>
      <c r="AB1561" s="33"/>
      <c r="AC1561" s="34"/>
      <c r="AD1561" s="18"/>
      <c r="AE1561" s="18"/>
    </row>
    <row r="1562">
      <c r="A1562" s="5" t="s">
        <v>3507</v>
      </c>
      <c r="B1562" s="8" t="s">
        <v>3543</v>
      </c>
      <c r="C1562" s="21" t="s">
        <v>2775</v>
      </c>
      <c r="D1562" s="253" t="s">
        <v>666</v>
      </c>
      <c r="E1562" s="53">
        <v>930.0</v>
      </c>
      <c r="F1562" s="30">
        <v>998.0</v>
      </c>
      <c r="G1562" s="418"/>
      <c r="H1562" s="18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17"/>
      <c r="Z1562" s="6"/>
      <c r="AA1562" s="18"/>
      <c r="AB1562" s="33"/>
      <c r="AC1562" s="34"/>
      <c r="AD1562" s="18"/>
      <c r="AE1562" s="18"/>
    </row>
    <row r="1563">
      <c r="A1563" s="5" t="s">
        <v>3507</v>
      </c>
      <c r="B1563" s="8" t="s">
        <v>3543</v>
      </c>
      <c r="C1563" s="21" t="s">
        <v>2776</v>
      </c>
      <c r="D1563" s="253" t="s">
        <v>682</v>
      </c>
      <c r="E1563" s="53">
        <v>666.0192000000001</v>
      </c>
      <c r="F1563" s="30">
        <v>718.0</v>
      </c>
      <c r="G1563" s="418"/>
      <c r="H1563" s="18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17"/>
      <c r="Z1563" s="6"/>
      <c r="AA1563" s="18"/>
      <c r="AB1563" s="33"/>
      <c r="AC1563" s="34"/>
      <c r="AD1563" s="18"/>
      <c r="AE1563" s="18"/>
    </row>
    <row r="1564">
      <c r="A1564" s="5" t="s">
        <v>3507</v>
      </c>
      <c r="B1564" s="8" t="s">
        <v>3543</v>
      </c>
      <c r="C1564" s="21" t="s">
        <v>1254</v>
      </c>
      <c r="D1564" s="21" t="s">
        <v>696</v>
      </c>
      <c r="E1564" s="53">
        <v>778.464</v>
      </c>
      <c r="F1564" s="30">
        <v>842.0</v>
      </c>
      <c r="G1564" s="418"/>
      <c r="H1564" s="18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17"/>
      <c r="Z1564" s="6"/>
      <c r="AA1564" s="18"/>
      <c r="AB1564" s="33"/>
      <c r="AC1564" s="34"/>
      <c r="AD1564" s="18"/>
      <c r="AE1564" s="18"/>
    </row>
    <row r="1565">
      <c r="A1565" s="5" t="s">
        <v>3507</v>
      </c>
      <c r="B1565" s="8" t="s">
        <v>3543</v>
      </c>
      <c r="C1565" s="21" t="s">
        <v>2777</v>
      </c>
      <c r="D1565" s="253" t="s">
        <v>692</v>
      </c>
      <c r="E1565" s="53">
        <v>998.0</v>
      </c>
      <c r="F1565" s="30">
        <v>1078.0</v>
      </c>
      <c r="G1565" s="418"/>
      <c r="H1565" s="18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17"/>
      <c r="Z1565" s="6"/>
      <c r="AA1565" s="18"/>
      <c r="AB1565" s="33"/>
      <c r="AC1565" s="34"/>
      <c r="AD1565" s="18"/>
      <c r="AE1565" s="18"/>
    </row>
    <row r="1566">
      <c r="A1566" s="5" t="s">
        <v>3507</v>
      </c>
      <c r="B1566" s="8" t="s">
        <v>3543</v>
      </c>
      <c r="C1566" s="21" t="s">
        <v>2778</v>
      </c>
      <c r="D1566" s="253" t="s">
        <v>2209</v>
      </c>
      <c r="E1566" s="53">
        <v>951.88</v>
      </c>
      <c r="F1566" s="30">
        <v>1026.0</v>
      </c>
      <c r="G1566" s="418"/>
      <c r="H1566" s="18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17"/>
      <c r="Z1566" s="6"/>
      <c r="AA1566" s="18"/>
      <c r="AB1566" s="33"/>
      <c r="AC1566" s="34"/>
      <c r="AD1566" s="18"/>
      <c r="AE1566" s="18"/>
    </row>
    <row r="1567">
      <c r="A1567" s="5" t="s">
        <v>3507</v>
      </c>
      <c r="B1567" s="8" t="s">
        <v>3543</v>
      </c>
      <c r="C1567" s="21" t="s">
        <v>2779</v>
      </c>
      <c r="D1567" s="253" t="s">
        <v>3197</v>
      </c>
      <c r="E1567" s="53">
        <v>998.0</v>
      </c>
      <c r="F1567" s="30">
        <v>1078.0</v>
      </c>
      <c r="G1567" s="418"/>
      <c r="H1567" s="18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17"/>
      <c r="Z1567" s="6"/>
      <c r="AA1567" s="18"/>
      <c r="AB1567" s="33"/>
      <c r="AC1567" s="34"/>
      <c r="AD1567" s="18"/>
      <c r="AE1567" s="18"/>
    </row>
    <row r="1568">
      <c r="A1568" s="5" t="s">
        <v>3507</v>
      </c>
      <c r="B1568" s="8" t="s">
        <v>3543</v>
      </c>
      <c r="C1568" s="21" t="s">
        <v>2780</v>
      </c>
      <c r="D1568" s="253" t="s">
        <v>913</v>
      </c>
      <c r="E1568" s="53">
        <v>1998.0</v>
      </c>
      <c r="F1568" s="30">
        <v>2168.0</v>
      </c>
      <c r="G1568" s="418"/>
      <c r="H1568" s="18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17"/>
      <c r="Z1568" s="6"/>
      <c r="AA1568" s="18"/>
      <c r="AB1568" s="33"/>
      <c r="AC1568" s="34"/>
      <c r="AD1568" s="18"/>
      <c r="AE1568" s="18"/>
    </row>
    <row r="1569">
      <c r="A1569" s="5" t="s">
        <v>3507</v>
      </c>
      <c r="B1569" s="8" t="s">
        <v>3543</v>
      </c>
      <c r="C1569" s="21" t="s">
        <v>2781</v>
      </c>
      <c r="D1569" s="253" t="s">
        <v>1949</v>
      </c>
      <c r="E1569" s="53">
        <v>1998.0</v>
      </c>
      <c r="F1569" s="30">
        <v>2168.0</v>
      </c>
      <c r="G1569" s="418"/>
      <c r="H1569" s="18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17"/>
      <c r="Z1569" s="6"/>
      <c r="AA1569" s="18"/>
      <c r="AB1569" s="33"/>
      <c r="AC1569" s="34"/>
      <c r="AD1569" s="18"/>
      <c r="AE1569" s="18"/>
    </row>
    <row r="1570">
      <c r="A1570" s="5" t="s">
        <v>3507</v>
      </c>
      <c r="B1570" s="8" t="s">
        <v>3543</v>
      </c>
      <c r="C1570" s="21" t="s">
        <v>1255</v>
      </c>
      <c r="D1570" s="21" t="s">
        <v>523</v>
      </c>
      <c r="E1570" s="53">
        <v>2778.0</v>
      </c>
      <c r="F1570" s="30">
        <v>2998.0</v>
      </c>
      <c r="G1570" s="418"/>
      <c r="H1570" s="18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17"/>
      <c r="Z1570" s="6"/>
      <c r="AA1570" s="18"/>
      <c r="AB1570" s="33"/>
      <c r="AC1570" s="34"/>
      <c r="AD1570" s="18"/>
      <c r="AE1570" s="18"/>
    </row>
    <row r="1571">
      <c r="A1571" s="5" t="s">
        <v>3507</v>
      </c>
      <c r="B1571" s="8" t="s">
        <v>3543</v>
      </c>
      <c r="C1571" s="21" t="s">
        <v>2782</v>
      </c>
      <c r="D1571" s="253" t="s">
        <v>3229</v>
      </c>
      <c r="E1571" s="53">
        <v>2454.0</v>
      </c>
      <c r="F1571" s="30">
        <v>2648.0</v>
      </c>
      <c r="G1571" s="418"/>
      <c r="H1571" s="18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17"/>
      <c r="Z1571" s="6"/>
      <c r="AA1571" s="18"/>
      <c r="AB1571" s="33"/>
      <c r="AC1571" s="34"/>
      <c r="AD1571" s="18"/>
      <c r="AE1571" s="18"/>
    </row>
    <row r="1572">
      <c r="A1572" s="5" t="s">
        <v>3507</v>
      </c>
      <c r="B1572" s="8" t="s">
        <v>3543</v>
      </c>
      <c r="C1572" s="21" t="s">
        <v>2783</v>
      </c>
      <c r="D1572" s="253" t="s">
        <v>395</v>
      </c>
      <c r="E1572" s="53">
        <v>474.0</v>
      </c>
      <c r="F1572" s="30">
        <v>512.0</v>
      </c>
      <c r="G1572" s="418"/>
      <c r="H1572" s="18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17"/>
      <c r="Z1572" s="6"/>
      <c r="AA1572" s="18"/>
      <c r="AB1572" s="33"/>
      <c r="AC1572" s="34"/>
      <c r="AD1572" s="18"/>
      <c r="AE1572" s="18"/>
    </row>
    <row r="1573">
      <c r="A1573" s="5" t="s">
        <v>3507</v>
      </c>
      <c r="B1573" s="8" t="s">
        <v>3543</v>
      </c>
      <c r="C1573" s="21" t="s">
        <v>2784</v>
      </c>
      <c r="D1573" s="253" t="s">
        <v>359</v>
      </c>
      <c r="E1573" s="53">
        <v>864.0</v>
      </c>
      <c r="F1573" s="30">
        <v>932.0</v>
      </c>
      <c r="G1573" s="418"/>
      <c r="H1573" s="18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17"/>
      <c r="Z1573" s="6"/>
      <c r="AA1573" s="18"/>
      <c r="AB1573" s="33"/>
      <c r="AC1573" s="34"/>
      <c r="AD1573" s="18"/>
      <c r="AE1573" s="18"/>
    </row>
    <row r="1574">
      <c r="A1574" s="5" t="s">
        <v>3507</v>
      </c>
      <c r="B1574" s="8" t="s">
        <v>3543</v>
      </c>
      <c r="C1574" s="21" t="s">
        <v>2785</v>
      </c>
      <c r="D1574" s="253" t="s">
        <v>3272</v>
      </c>
      <c r="E1574" s="53">
        <v>841.64</v>
      </c>
      <c r="F1574" s="30">
        <v>908.0</v>
      </c>
      <c r="G1574" s="418"/>
      <c r="H1574" s="18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17"/>
      <c r="Z1574" s="6"/>
      <c r="AA1574" s="18"/>
      <c r="AB1574" s="33"/>
      <c r="AC1574" s="34"/>
      <c r="AD1574" s="18"/>
      <c r="AE1574" s="18"/>
    </row>
    <row r="1575">
      <c r="A1575" s="5" t="s">
        <v>3507</v>
      </c>
      <c r="B1575" s="8" t="s">
        <v>3543</v>
      </c>
      <c r="C1575" s="21" t="s">
        <v>2786</v>
      </c>
      <c r="D1575" s="21" t="s">
        <v>1145</v>
      </c>
      <c r="E1575" s="53">
        <v>2398.0</v>
      </c>
      <c r="F1575" s="30">
        <v>2592.0</v>
      </c>
      <c r="G1575" s="418"/>
      <c r="H1575" s="18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17"/>
      <c r="Z1575" s="6"/>
      <c r="AA1575" s="18"/>
      <c r="AB1575" s="33"/>
      <c r="AC1575" s="34"/>
      <c r="AD1575" s="18"/>
      <c r="AE1575" s="18"/>
    </row>
    <row r="1576">
      <c r="A1576" s="5" t="s">
        <v>3507</v>
      </c>
      <c r="B1576" s="8" t="s">
        <v>3543</v>
      </c>
      <c r="C1576" s="21" t="str">
        <f t="array" ref="C1576:F1593">'COLOUR WISE'!B796:E813</f>
        <v>121-IR</v>
      </c>
      <c r="D1576" s="21" t="s">
        <v>773</v>
      </c>
      <c r="E1576" s="53">
        <v>421.88</v>
      </c>
      <c r="F1576" s="30">
        <v>458.0</v>
      </c>
      <c r="G1576" s="418"/>
      <c r="H1576" s="18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17"/>
      <c r="Z1576" s="6"/>
      <c r="AA1576" s="18"/>
      <c r="AB1576" s="33"/>
      <c r="AC1576" s="34"/>
      <c r="AD1576" s="18"/>
      <c r="AE1576" s="18"/>
    </row>
    <row r="1577">
      <c r="A1577" s="5" t="s">
        <v>3507</v>
      </c>
      <c r="B1577" s="8" t="s">
        <v>3544</v>
      </c>
      <c r="C1577" s="21" t="s">
        <v>2792</v>
      </c>
      <c r="D1577" s="21" t="s">
        <v>748</v>
      </c>
      <c r="E1577" s="53">
        <v>462.16</v>
      </c>
      <c r="F1577" s="30">
        <v>498.0</v>
      </c>
      <c r="G1577" s="418"/>
      <c r="H1577" s="18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17"/>
      <c r="Z1577" s="6"/>
      <c r="AA1577" s="18"/>
      <c r="AB1577" s="33"/>
      <c r="AC1577" s="34"/>
      <c r="AD1577" s="18"/>
      <c r="AE1577" s="18"/>
    </row>
    <row r="1578">
      <c r="A1578" s="5" t="s">
        <v>3507</v>
      </c>
      <c r="B1578" s="8" t="s">
        <v>3544</v>
      </c>
      <c r="C1578" s="21" t="s">
        <v>2793</v>
      </c>
      <c r="D1578" s="21" t="s">
        <v>306</v>
      </c>
      <c r="E1578" s="53">
        <v>506.0</v>
      </c>
      <c r="F1578" s="30">
        <v>546.0</v>
      </c>
      <c r="G1578" s="418"/>
      <c r="H1578" s="18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17"/>
      <c r="Z1578" s="6"/>
      <c r="AA1578" s="18"/>
      <c r="AB1578" s="33"/>
      <c r="AC1578" s="34"/>
      <c r="AD1578" s="18"/>
      <c r="AE1578" s="18"/>
    </row>
    <row r="1579">
      <c r="A1579" s="5" t="s">
        <v>3507</v>
      </c>
      <c r="B1579" s="8" t="s">
        <v>3544</v>
      </c>
      <c r="C1579" s="21" t="s">
        <v>2794</v>
      </c>
      <c r="D1579" s="21" t="s">
        <v>2460</v>
      </c>
      <c r="E1579" s="53">
        <v>524.0</v>
      </c>
      <c r="F1579" s="30">
        <v>566.0</v>
      </c>
      <c r="G1579" s="418"/>
      <c r="H1579" s="18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17"/>
      <c r="Z1579" s="6"/>
      <c r="AA1579" s="18"/>
      <c r="AB1579" s="33"/>
      <c r="AC1579" s="34"/>
      <c r="AD1579" s="18"/>
      <c r="AE1579" s="18"/>
    </row>
    <row r="1580">
      <c r="A1580" s="5" t="s">
        <v>3507</v>
      </c>
      <c r="B1580" s="8" t="s">
        <v>3544</v>
      </c>
      <c r="C1580" s="21" t="s">
        <v>2797</v>
      </c>
      <c r="D1580" s="21" t="s">
        <v>666</v>
      </c>
      <c r="E1580" s="53">
        <v>896.0</v>
      </c>
      <c r="F1580" s="30">
        <v>968.0</v>
      </c>
      <c r="G1580" s="418"/>
      <c r="H1580" s="18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17"/>
      <c r="Z1580" s="6"/>
      <c r="AA1580" s="18"/>
      <c r="AB1580" s="33"/>
      <c r="AC1580" s="34"/>
      <c r="AD1580" s="18"/>
      <c r="AE1580" s="18"/>
    </row>
    <row r="1581">
      <c r="A1581" s="5" t="s">
        <v>3507</v>
      </c>
      <c r="B1581" s="8" t="s">
        <v>3544</v>
      </c>
      <c r="C1581" s="21" t="s">
        <v>2799</v>
      </c>
      <c r="D1581" s="21" t="s">
        <v>682</v>
      </c>
      <c r="E1581" s="53">
        <v>640.0704000000001</v>
      </c>
      <c r="F1581" s="30">
        <v>692.0</v>
      </c>
      <c r="G1581" s="418"/>
      <c r="H1581" s="18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17"/>
      <c r="Z1581" s="6"/>
      <c r="AA1581" s="18"/>
      <c r="AB1581" s="33"/>
      <c r="AC1581" s="34"/>
      <c r="AD1581" s="18"/>
      <c r="AE1581" s="18"/>
    </row>
    <row r="1582">
      <c r="A1582" s="5" t="s">
        <v>3507</v>
      </c>
      <c r="B1582" s="8" t="s">
        <v>3544</v>
      </c>
      <c r="C1582" s="21" t="s">
        <v>2801</v>
      </c>
      <c r="D1582" s="21" t="s">
        <v>781</v>
      </c>
      <c r="E1582" s="53">
        <v>640.0704000000001</v>
      </c>
      <c r="F1582" s="30">
        <v>692.0</v>
      </c>
      <c r="G1582" s="418"/>
      <c r="H1582" s="18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17"/>
      <c r="Z1582" s="6"/>
      <c r="AA1582" s="18"/>
      <c r="AB1582" s="33"/>
      <c r="AC1582" s="34"/>
      <c r="AD1582" s="18"/>
      <c r="AE1582" s="18"/>
    </row>
    <row r="1583">
      <c r="A1583" s="5" t="s">
        <v>3507</v>
      </c>
      <c r="B1583" s="8" t="s">
        <v>3544</v>
      </c>
      <c r="C1583" s="21" t="s">
        <v>2802</v>
      </c>
      <c r="D1583" s="21" t="s">
        <v>2465</v>
      </c>
      <c r="E1583" s="53">
        <v>945.5200000000001</v>
      </c>
      <c r="F1583" s="30">
        <v>1022.0</v>
      </c>
      <c r="G1583" s="418"/>
      <c r="H1583" s="18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17"/>
      <c r="Z1583" s="6"/>
      <c r="AA1583" s="18"/>
      <c r="AB1583" s="33"/>
      <c r="AC1583" s="34"/>
      <c r="AD1583" s="18"/>
      <c r="AE1583" s="18"/>
    </row>
    <row r="1584">
      <c r="A1584" s="5" t="s">
        <v>3507</v>
      </c>
      <c r="B1584" s="8" t="s">
        <v>3544</v>
      </c>
      <c r="C1584" s="21" t="s">
        <v>2803</v>
      </c>
      <c r="D1584" s="253" t="s">
        <v>2209</v>
      </c>
      <c r="E1584" s="53">
        <v>968.0</v>
      </c>
      <c r="F1584" s="30">
        <v>1046.0</v>
      </c>
      <c r="G1584" s="418"/>
      <c r="H1584" s="18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17"/>
      <c r="Z1584" s="6"/>
      <c r="AA1584" s="18"/>
      <c r="AB1584" s="33"/>
      <c r="AC1584" s="34"/>
      <c r="AD1584" s="18"/>
      <c r="AE1584" s="18"/>
    </row>
    <row r="1585">
      <c r="A1585" s="5" t="s">
        <v>3507</v>
      </c>
      <c r="B1585" s="8" t="s">
        <v>3544</v>
      </c>
      <c r="C1585" s="21" t="s">
        <v>2804</v>
      </c>
      <c r="D1585" s="21" t="s">
        <v>2468</v>
      </c>
      <c r="E1585" s="53">
        <v>968.0</v>
      </c>
      <c r="F1585" s="30">
        <v>1046.0</v>
      </c>
      <c r="G1585" s="418"/>
      <c r="H1585" s="18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17"/>
      <c r="Z1585" s="6"/>
      <c r="AA1585" s="18"/>
      <c r="AB1585" s="33"/>
      <c r="AC1585" s="34"/>
      <c r="AD1585" s="18"/>
      <c r="AE1585" s="18"/>
    </row>
    <row r="1586">
      <c r="A1586" s="5" t="s">
        <v>3507</v>
      </c>
      <c r="B1586" s="8" t="s">
        <v>3544</v>
      </c>
      <c r="C1586" s="21" t="s">
        <v>1318</v>
      </c>
      <c r="D1586" s="21" t="s">
        <v>523</v>
      </c>
      <c r="E1586" s="53">
        <v>2753.88</v>
      </c>
      <c r="F1586" s="30">
        <v>2966.0</v>
      </c>
      <c r="G1586" s="418"/>
      <c r="H1586" s="18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17"/>
      <c r="Z1586" s="6"/>
      <c r="AA1586" s="18"/>
      <c r="AB1586" s="33"/>
      <c r="AC1586" s="34"/>
      <c r="AD1586" s="18"/>
      <c r="AE1586" s="18"/>
    </row>
    <row r="1587">
      <c r="A1587" s="5" t="s">
        <v>3507</v>
      </c>
      <c r="B1587" s="8" t="s">
        <v>3544</v>
      </c>
      <c r="C1587" s="21" t="s">
        <v>2806</v>
      </c>
      <c r="D1587" s="21" t="s">
        <v>1124</v>
      </c>
      <c r="E1587" s="53">
        <v>2429.52</v>
      </c>
      <c r="F1587" s="30">
        <v>2626.0</v>
      </c>
      <c r="G1587" s="418"/>
      <c r="H1587" s="18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17"/>
      <c r="Z1587" s="6"/>
      <c r="AA1587" s="18"/>
      <c r="AB1587" s="33"/>
      <c r="AC1587" s="34"/>
      <c r="AD1587" s="18"/>
      <c r="AE1587" s="18"/>
    </row>
    <row r="1588">
      <c r="A1588" s="5" t="s">
        <v>3507</v>
      </c>
      <c r="B1588" s="8" t="s">
        <v>3544</v>
      </c>
      <c r="C1588" s="21" t="s">
        <v>2807</v>
      </c>
      <c r="D1588" s="21" t="s">
        <v>395</v>
      </c>
      <c r="E1588" s="53">
        <v>422.0</v>
      </c>
      <c r="F1588" s="30">
        <v>458.0</v>
      </c>
      <c r="G1588" s="418"/>
      <c r="H1588" s="18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17"/>
      <c r="Z1588" s="6"/>
      <c r="AA1588" s="18"/>
      <c r="AB1588" s="33"/>
      <c r="AC1588" s="34"/>
      <c r="AD1588" s="18"/>
      <c r="AE1588" s="18"/>
    </row>
    <row r="1589">
      <c r="A1589" s="5" t="s">
        <v>3507</v>
      </c>
      <c r="B1589" s="8" t="s">
        <v>3544</v>
      </c>
      <c r="C1589" s="21" t="s">
        <v>2808</v>
      </c>
      <c r="D1589" s="21" t="s">
        <v>359</v>
      </c>
      <c r="E1589" s="53">
        <v>841.64</v>
      </c>
      <c r="F1589" s="30">
        <v>908.0</v>
      </c>
      <c r="G1589" s="418"/>
      <c r="H1589" s="18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17"/>
      <c r="Z1589" s="6"/>
      <c r="AA1589" s="18"/>
      <c r="AB1589" s="33"/>
      <c r="AC1589" s="34"/>
      <c r="AD1589" s="18"/>
      <c r="AE1589" s="18"/>
    </row>
    <row r="1590">
      <c r="A1590" s="5" t="s">
        <v>3507</v>
      </c>
      <c r="B1590" s="8" t="s">
        <v>3544</v>
      </c>
      <c r="C1590" s="21" t="s">
        <v>2809</v>
      </c>
      <c r="D1590" s="21" t="s">
        <v>1137</v>
      </c>
      <c r="E1590" s="53">
        <v>832.0</v>
      </c>
      <c r="F1590" s="30">
        <v>898.0</v>
      </c>
      <c r="G1590" s="418"/>
      <c r="H1590" s="18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17"/>
      <c r="Z1590" s="6"/>
      <c r="AA1590" s="18"/>
      <c r="AB1590" s="33"/>
      <c r="AC1590" s="34"/>
      <c r="AD1590" s="18"/>
      <c r="AE1590" s="18"/>
    </row>
    <row r="1591">
      <c r="A1591" s="5" t="s">
        <v>3507</v>
      </c>
      <c r="B1591" s="8" t="s">
        <v>3544</v>
      </c>
      <c r="C1591" s="21" t="s">
        <v>2810</v>
      </c>
      <c r="D1591" s="21" t="s">
        <v>1141</v>
      </c>
      <c r="E1591" s="53">
        <v>998.0</v>
      </c>
      <c r="F1591" s="30">
        <v>1086.0</v>
      </c>
      <c r="G1591" s="418"/>
      <c r="H1591" s="18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17"/>
      <c r="Z1591" s="6"/>
      <c r="AA1591" s="18"/>
      <c r="AB1591" s="33"/>
      <c r="AC1591" s="34"/>
      <c r="AD1591" s="18"/>
      <c r="AE1591" s="18"/>
    </row>
    <row r="1592">
      <c r="A1592" s="5" t="s">
        <v>3507</v>
      </c>
      <c r="B1592" s="8" t="s">
        <v>3544</v>
      </c>
      <c r="C1592" s="21" t="s">
        <v>2811</v>
      </c>
      <c r="D1592" s="21" t="s">
        <v>1145</v>
      </c>
      <c r="E1592" s="53">
        <v>1992.0</v>
      </c>
      <c r="F1592" s="30">
        <v>2148.0</v>
      </c>
      <c r="G1592" s="418"/>
      <c r="H1592" s="18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17"/>
      <c r="Z1592" s="6"/>
      <c r="AA1592" s="18"/>
      <c r="AB1592" s="33"/>
      <c r="AC1592" s="34"/>
      <c r="AD1592" s="18"/>
      <c r="AE1592" s="18"/>
    </row>
    <row r="1593">
      <c r="A1593" s="5" t="s">
        <v>3507</v>
      </c>
      <c r="B1593" s="8" t="s">
        <v>3544</v>
      </c>
      <c r="C1593" s="21" t="s">
        <v>2812</v>
      </c>
      <c r="D1593" s="21" t="s">
        <v>2219</v>
      </c>
      <c r="E1593" s="53">
        <v>2336.2400000000002</v>
      </c>
      <c r="F1593" s="30">
        <v>2526.0</v>
      </c>
      <c r="G1593" s="418"/>
      <c r="H1593" s="18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17"/>
      <c r="Z1593" s="6"/>
      <c r="AA1593" s="18"/>
      <c r="AB1593" s="33"/>
      <c r="AC1593" s="34"/>
      <c r="AD1593" s="18"/>
      <c r="AE1593" s="18"/>
    </row>
    <row r="1594">
      <c r="A1594" s="5" t="s">
        <v>3507</v>
      </c>
      <c r="B1594" s="8" t="s">
        <v>3545</v>
      </c>
      <c r="C1594" s="21" t="str">
        <f t="array" ref="C1594:F1611">'COLOUR WISE'!B816:E833</f>
        <v>121-IG</v>
      </c>
      <c r="D1594" s="21" t="s">
        <v>773</v>
      </c>
      <c r="E1594" s="53">
        <v>421.88</v>
      </c>
      <c r="F1594" s="30">
        <v>458.0</v>
      </c>
      <c r="G1594" s="418"/>
      <c r="H1594" s="18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17"/>
      <c r="Z1594" s="6"/>
      <c r="AA1594" s="18"/>
      <c r="AB1594" s="33"/>
      <c r="AC1594" s="34"/>
      <c r="AD1594" s="18"/>
      <c r="AE1594" s="18"/>
    </row>
    <row r="1595">
      <c r="A1595" s="5" t="s">
        <v>3507</v>
      </c>
      <c r="B1595" s="8" t="s">
        <v>3545</v>
      </c>
      <c r="C1595" s="21" t="s">
        <v>2815</v>
      </c>
      <c r="D1595" s="21" t="s">
        <v>748</v>
      </c>
      <c r="E1595" s="53">
        <v>462.16</v>
      </c>
      <c r="F1595" s="30">
        <v>498.0</v>
      </c>
      <c r="G1595" s="418"/>
      <c r="H1595" s="18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17"/>
      <c r="Z1595" s="6"/>
      <c r="AA1595" s="18"/>
      <c r="AB1595" s="33"/>
      <c r="AC1595" s="34"/>
      <c r="AD1595" s="18"/>
      <c r="AE1595" s="18"/>
    </row>
    <row r="1596">
      <c r="A1596" s="5" t="s">
        <v>3507</v>
      </c>
      <c r="B1596" s="8" t="s">
        <v>3545</v>
      </c>
      <c r="C1596" s="21" t="s">
        <v>2816</v>
      </c>
      <c r="D1596" s="21" t="s">
        <v>306</v>
      </c>
      <c r="E1596" s="53">
        <v>506.0</v>
      </c>
      <c r="F1596" s="30">
        <v>546.0</v>
      </c>
      <c r="G1596" s="418"/>
      <c r="H1596" s="18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17"/>
      <c r="Z1596" s="6"/>
      <c r="AA1596" s="18"/>
      <c r="AB1596" s="33"/>
      <c r="AC1596" s="34"/>
      <c r="AD1596" s="18"/>
      <c r="AE1596" s="18"/>
    </row>
    <row r="1597">
      <c r="A1597" s="5" t="s">
        <v>3507</v>
      </c>
      <c r="B1597" s="8" t="s">
        <v>3545</v>
      </c>
      <c r="C1597" s="21" t="s">
        <v>2817</v>
      </c>
      <c r="D1597" s="21" t="s">
        <v>2460</v>
      </c>
      <c r="E1597" s="53">
        <v>524.0</v>
      </c>
      <c r="F1597" s="30">
        <v>566.0</v>
      </c>
      <c r="G1597" s="418"/>
      <c r="H1597" s="18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17"/>
      <c r="Z1597" s="6"/>
      <c r="AA1597" s="18"/>
      <c r="AB1597" s="33"/>
      <c r="AC1597" s="34"/>
      <c r="AD1597" s="18"/>
      <c r="AE1597" s="18"/>
    </row>
    <row r="1598">
      <c r="A1598" s="5" t="s">
        <v>3507</v>
      </c>
      <c r="B1598" s="8" t="s">
        <v>3545</v>
      </c>
      <c r="C1598" s="21" t="s">
        <v>2818</v>
      </c>
      <c r="D1598" s="21" t="s">
        <v>666</v>
      </c>
      <c r="E1598" s="53">
        <v>896.0</v>
      </c>
      <c r="F1598" s="30">
        <v>968.0</v>
      </c>
      <c r="G1598" s="418"/>
      <c r="H1598" s="18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17"/>
      <c r="Z1598" s="6"/>
      <c r="AA1598" s="18"/>
      <c r="AB1598" s="33"/>
      <c r="AC1598" s="34"/>
      <c r="AD1598" s="18"/>
      <c r="AE1598" s="18"/>
    </row>
    <row r="1599">
      <c r="A1599" s="5" t="s">
        <v>3507</v>
      </c>
      <c r="B1599" s="8" t="s">
        <v>3545</v>
      </c>
      <c r="C1599" s="21" t="s">
        <v>2819</v>
      </c>
      <c r="D1599" s="21" t="s">
        <v>682</v>
      </c>
      <c r="E1599" s="53">
        <v>640.0704000000001</v>
      </c>
      <c r="F1599" s="30">
        <v>692.0</v>
      </c>
      <c r="G1599" s="418"/>
      <c r="H1599" s="18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17"/>
      <c r="Z1599" s="6"/>
      <c r="AA1599" s="18"/>
      <c r="AB1599" s="33"/>
      <c r="AC1599" s="34"/>
      <c r="AD1599" s="18"/>
      <c r="AE1599" s="18"/>
    </row>
    <row r="1600">
      <c r="A1600" s="5" t="s">
        <v>3507</v>
      </c>
      <c r="B1600" s="8" t="s">
        <v>3545</v>
      </c>
      <c r="C1600" s="21" t="s">
        <v>2820</v>
      </c>
      <c r="D1600" s="21" t="s">
        <v>781</v>
      </c>
      <c r="E1600" s="53">
        <v>640.0704000000001</v>
      </c>
      <c r="F1600" s="30">
        <v>692.0</v>
      </c>
      <c r="G1600" s="418"/>
      <c r="H1600" s="18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17"/>
      <c r="Z1600" s="6"/>
      <c r="AA1600" s="18"/>
      <c r="AB1600" s="33"/>
      <c r="AC1600" s="34"/>
      <c r="AD1600" s="18"/>
      <c r="AE1600" s="18"/>
    </row>
    <row r="1601">
      <c r="A1601" s="5" t="s">
        <v>3507</v>
      </c>
      <c r="B1601" s="8" t="s">
        <v>3545</v>
      </c>
      <c r="C1601" s="21" t="s">
        <v>2821</v>
      </c>
      <c r="D1601" s="21" t="s">
        <v>2465</v>
      </c>
      <c r="E1601" s="53">
        <v>945.5200000000001</v>
      </c>
      <c r="F1601" s="30">
        <v>1022.0</v>
      </c>
      <c r="G1601" s="418"/>
      <c r="H1601" s="18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17"/>
      <c r="Z1601" s="6"/>
      <c r="AA1601" s="18"/>
      <c r="AB1601" s="33"/>
      <c r="AC1601" s="34"/>
      <c r="AD1601" s="18"/>
      <c r="AE1601" s="18"/>
    </row>
    <row r="1602">
      <c r="A1602" s="5" t="s">
        <v>3507</v>
      </c>
      <c r="B1602" s="8" t="s">
        <v>3545</v>
      </c>
      <c r="C1602" s="21" t="s">
        <v>2822</v>
      </c>
      <c r="D1602" s="253" t="s">
        <v>2209</v>
      </c>
      <c r="E1602" s="53">
        <v>968.0</v>
      </c>
      <c r="F1602" s="30">
        <v>1046.0</v>
      </c>
      <c r="G1602" s="418"/>
      <c r="H1602" s="18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17"/>
      <c r="Z1602" s="6"/>
      <c r="AA1602" s="18"/>
      <c r="AB1602" s="33"/>
      <c r="AC1602" s="34"/>
      <c r="AD1602" s="18"/>
      <c r="AE1602" s="18"/>
    </row>
    <row r="1603">
      <c r="A1603" s="5" t="s">
        <v>3507</v>
      </c>
      <c r="B1603" s="8" t="s">
        <v>3545</v>
      </c>
      <c r="C1603" s="21" t="s">
        <v>2823</v>
      </c>
      <c r="D1603" s="21" t="s">
        <v>2468</v>
      </c>
      <c r="E1603" s="53">
        <v>968.0</v>
      </c>
      <c r="F1603" s="30">
        <v>1046.0</v>
      </c>
      <c r="G1603" s="418"/>
      <c r="H1603" s="18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17"/>
      <c r="Z1603" s="6"/>
      <c r="AA1603" s="18"/>
      <c r="AB1603" s="33"/>
      <c r="AC1603" s="34"/>
      <c r="AD1603" s="18"/>
      <c r="AE1603" s="18"/>
    </row>
    <row r="1604">
      <c r="A1604" s="5" t="s">
        <v>3507</v>
      </c>
      <c r="B1604" s="8" t="s">
        <v>3545</v>
      </c>
      <c r="C1604" s="21" t="s">
        <v>1322</v>
      </c>
      <c r="D1604" s="21" t="s">
        <v>523</v>
      </c>
      <c r="E1604" s="53">
        <v>2753.88</v>
      </c>
      <c r="F1604" s="30">
        <v>2966.0</v>
      </c>
      <c r="G1604" s="418"/>
      <c r="H1604" s="18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17"/>
      <c r="Z1604" s="6"/>
      <c r="AA1604" s="18"/>
      <c r="AB1604" s="33"/>
      <c r="AC1604" s="34"/>
      <c r="AD1604" s="18"/>
      <c r="AE1604" s="18"/>
    </row>
    <row r="1605">
      <c r="A1605" s="5" t="s">
        <v>3507</v>
      </c>
      <c r="B1605" s="8" t="s">
        <v>3545</v>
      </c>
      <c r="C1605" s="21" t="s">
        <v>2824</v>
      </c>
      <c r="D1605" s="21" t="s">
        <v>1124</v>
      </c>
      <c r="E1605" s="53">
        <v>2429.52</v>
      </c>
      <c r="F1605" s="30">
        <v>2626.0</v>
      </c>
      <c r="G1605" s="418"/>
      <c r="H1605" s="18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17"/>
      <c r="Z1605" s="6"/>
      <c r="AA1605" s="18"/>
      <c r="AB1605" s="33"/>
      <c r="AC1605" s="34"/>
      <c r="AD1605" s="18"/>
      <c r="AE1605" s="18"/>
    </row>
    <row r="1606">
      <c r="A1606" s="5" t="s">
        <v>3507</v>
      </c>
      <c r="B1606" s="8" t="s">
        <v>3545</v>
      </c>
      <c r="C1606" s="21" t="s">
        <v>2825</v>
      </c>
      <c r="D1606" s="21" t="s">
        <v>395</v>
      </c>
      <c r="E1606" s="53">
        <v>422.0</v>
      </c>
      <c r="F1606" s="30">
        <v>458.0</v>
      </c>
      <c r="G1606" s="418"/>
      <c r="H1606" s="18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17"/>
      <c r="Z1606" s="6"/>
      <c r="AA1606" s="18"/>
      <c r="AB1606" s="33"/>
      <c r="AC1606" s="34"/>
      <c r="AD1606" s="18"/>
      <c r="AE1606" s="18"/>
    </row>
    <row r="1607">
      <c r="A1607" s="5" t="s">
        <v>3507</v>
      </c>
      <c r="B1607" s="8" t="s">
        <v>3545</v>
      </c>
      <c r="C1607" s="21" t="s">
        <v>2826</v>
      </c>
      <c r="D1607" s="21" t="s">
        <v>359</v>
      </c>
      <c r="E1607" s="53">
        <v>841.64</v>
      </c>
      <c r="F1607" s="30">
        <v>908.0</v>
      </c>
      <c r="G1607" s="418"/>
      <c r="H1607" s="18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17"/>
      <c r="Z1607" s="6"/>
      <c r="AA1607" s="18"/>
      <c r="AB1607" s="33"/>
      <c r="AC1607" s="34"/>
      <c r="AD1607" s="18"/>
      <c r="AE1607" s="18"/>
    </row>
    <row r="1608">
      <c r="A1608" s="5" t="s">
        <v>3507</v>
      </c>
      <c r="B1608" s="8" t="s">
        <v>3545</v>
      </c>
      <c r="C1608" s="21" t="s">
        <v>2827</v>
      </c>
      <c r="D1608" s="21" t="s">
        <v>1137</v>
      </c>
      <c r="E1608" s="53">
        <v>832.0</v>
      </c>
      <c r="F1608" s="30">
        <v>898.0</v>
      </c>
      <c r="G1608" s="418"/>
      <c r="H1608" s="18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17"/>
      <c r="Z1608" s="6"/>
      <c r="AA1608" s="18"/>
      <c r="AB1608" s="33"/>
      <c r="AC1608" s="34"/>
      <c r="AD1608" s="18"/>
      <c r="AE1608" s="18"/>
    </row>
    <row r="1609">
      <c r="A1609" s="5" t="s">
        <v>3507</v>
      </c>
      <c r="B1609" s="8" t="s">
        <v>3545</v>
      </c>
      <c r="C1609" s="21" t="s">
        <v>2828</v>
      </c>
      <c r="D1609" s="21" t="s">
        <v>1141</v>
      </c>
      <c r="E1609" s="53">
        <v>998.0</v>
      </c>
      <c r="F1609" s="30">
        <v>1086.0</v>
      </c>
      <c r="G1609" s="418"/>
      <c r="H1609" s="18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17"/>
      <c r="Z1609" s="6"/>
      <c r="AA1609" s="18"/>
      <c r="AB1609" s="33"/>
      <c r="AC1609" s="34"/>
      <c r="AD1609" s="18"/>
      <c r="AE1609" s="18"/>
    </row>
    <row r="1610">
      <c r="A1610" s="5" t="s">
        <v>3507</v>
      </c>
      <c r="B1610" s="8" t="s">
        <v>3545</v>
      </c>
      <c r="C1610" s="21" t="s">
        <v>2829</v>
      </c>
      <c r="D1610" s="21" t="s">
        <v>1145</v>
      </c>
      <c r="E1610" s="53">
        <v>1992.0</v>
      </c>
      <c r="F1610" s="30">
        <v>2148.0</v>
      </c>
      <c r="G1610" s="418"/>
      <c r="H1610" s="18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17"/>
      <c r="Z1610" s="6"/>
      <c r="AA1610" s="18"/>
      <c r="AB1610" s="33"/>
      <c r="AC1610" s="34"/>
      <c r="AD1610" s="18"/>
      <c r="AE1610" s="18"/>
    </row>
    <row r="1611">
      <c r="A1611" s="5" t="s">
        <v>3507</v>
      </c>
      <c r="B1611" s="8" t="s">
        <v>3545</v>
      </c>
      <c r="C1611" s="21" t="s">
        <v>2830</v>
      </c>
      <c r="D1611" s="21" t="s">
        <v>2219</v>
      </c>
      <c r="E1611" s="53">
        <v>2336.2400000000002</v>
      </c>
      <c r="F1611" s="30">
        <v>2526.0</v>
      </c>
      <c r="G1611" s="418"/>
      <c r="H1611" s="18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17"/>
      <c r="Z1611" s="6"/>
      <c r="AA1611" s="18"/>
      <c r="AB1611" s="33"/>
      <c r="AC1611" s="34"/>
      <c r="AD1611" s="18"/>
      <c r="AE1611" s="18"/>
    </row>
    <row r="1612">
      <c r="A1612" s="5" t="s">
        <v>3507</v>
      </c>
      <c r="B1612" s="8" t="s">
        <v>3546</v>
      </c>
      <c r="C1612" s="21" t="str">
        <f t="array" ref="C1612:F1629">'COLOUR WISE'!B836:E853</f>
        <v>121-IW</v>
      </c>
      <c r="D1612" s="21" t="s">
        <v>773</v>
      </c>
      <c r="E1612" s="53">
        <v>421.88</v>
      </c>
      <c r="F1612" s="30">
        <v>458.0</v>
      </c>
      <c r="G1612" s="418"/>
      <c r="H1612" s="18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17"/>
      <c r="Z1612" s="6"/>
      <c r="AA1612" s="18"/>
      <c r="AB1612" s="33"/>
      <c r="AC1612" s="34"/>
      <c r="AD1612" s="18"/>
      <c r="AE1612" s="18"/>
    </row>
    <row r="1613">
      <c r="A1613" s="5" t="s">
        <v>3507</v>
      </c>
      <c r="B1613" s="8" t="s">
        <v>3546</v>
      </c>
      <c r="C1613" s="21" t="s">
        <v>2833</v>
      </c>
      <c r="D1613" s="21" t="s">
        <v>748</v>
      </c>
      <c r="E1613" s="53">
        <v>462.16</v>
      </c>
      <c r="F1613" s="30">
        <v>498.0</v>
      </c>
      <c r="G1613" s="418"/>
      <c r="H1613" s="18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17"/>
      <c r="Z1613" s="6"/>
      <c r="AA1613" s="18"/>
      <c r="AB1613" s="33"/>
      <c r="AC1613" s="34"/>
      <c r="AD1613" s="18"/>
      <c r="AE1613" s="18"/>
    </row>
    <row r="1614">
      <c r="A1614" s="5" t="s">
        <v>3507</v>
      </c>
      <c r="B1614" s="8" t="s">
        <v>3546</v>
      </c>
      <c r="C1614" s="21" t="s">
        <v>2834</v>
      </c>
      <c r="D1614" s="21" t="s">
        <v>306</v>
      </c>
      <c r="E1614" s="53">
        <v>506.0</v>
      </c>
      <c r="F1614" s="30">
        <v>546.0</v>
      </c>
      <c r="G1614" s="418"/>
      <c r="H1614" s="18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17"/>
      <c r="Z1614" s="6"/>
      <c r="AA1614" s="18"/>
      <c r="AB1614" s="33"/>
      <c r="AC1614" s="34"/>
      <c r="AD1614" s="18"/>
      <c r="AE1614" s="18"/>
    </row>
    <row r="1615">
      <c r="A1615" s="5" t="s">
        <v>3507</v>
      </c>
      <c r="B1615" s="8" t="s">
        <v>3546</v>
      </c>
      <c r="C1615" s="21" t="s">
        <v>2835</v>
      </c>
      <c r="D1615" s="21" t="s">
        <v>2460</v>
      </c>
      <c r="E1615" s="53">
        <v>524.0</v>
      </c>
      <c r="F1615" s="30">
        <v>566.0</v>
      </c>
      <c r="G1615" s="418"/>
      <c r="H1615" s="18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17"/>
      <c r="Z1615" s="6"/>
      <c r="AA1615" s="18"/>
      <c r="AB1615" s="33"/>
      <c r="AC1615" s="34"/>
      <c r="AD1615" s="18"/>
      <c r="AE1615" s="18"/>
    </row>
    <row r="1616">
      <c r="A1616" s="5" t="s">
        <v>3507</v>
      </c>
      <c r="B1616" s="8" t="s">
        <v>3546</v>
      </c>
      <c r="C1616" s="21" t="s">
        <v>2836</v>
      </c>
      <c r="D1616" s="21" t="s">
        <v>666</v>
      </c>
      <c r="E1616" s="53">
        <v>896.0</v>
      </c>
      <c r="F1616" s="30">
        <v>968.0</v>
      </c>
      <c r="G1616" s="418"/>
      <c r="H1616" s="18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17"/>
      <c r="Z1616" s="6"/>
      <c r="AA1616" s="18"/>
      <c r="AB1616" s="33"/>
      <c r="AC1616" s="34"/>
      <c r="AD1616" s="18"/>
      <c r="AE1616" s="18"/>
    </row>
    <row r="1617">
      <c r="A1617" s="5" t="s">
        <v>3507</v>
      </c>
      <c r="B1617" s="8" t="s">
        <v>3546</v>
      </c>
      <c r="C1617" s="21" t="s">
        <v>2837</v>
      </c>
      <c r="D1617" s="21" t="s">
        <v>682</v>
      </c>
      <c r="E1617" s="53">
        <v>640.0704000000001</v>
      </c>
      <c r="F1617" s="30">
        <v>692.0</v>
      </c>
      <c r="G1617" s="418"/>
      <c r="H1617" s="18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17"/>
      <c r="Z1617" s="6"/>
      <c r="AA1617" s="18"/>
      <c r="AB1617" s="33"/>
      <c r="AC1617" s="34"/>
      <c r="AD1617" s="18"/>
      <c r="AE1617" s="18"/>
    </row>
    <row r="1618">
      <c r="A1618" s="5" t="s">
        <v>3507</v>
      </c>
      <c r="B1618" s="8" t="s">
        <v>3546</v>
      </c>
      <c r="C1618" s="21" t="s">
        <v>2838</v>
      </c>
      <c r="D1618" s="21" t="s">
        <v>781</v>
      </c>
      <c r="E1618" s="53">
        <v>640.0704000000001</v>
      </c>
      <c r="F1618" s="30">
        <v>692.0</v>
      </c>
      <c r="G1618" s="418"/>
      <c r="H1618" s="18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17"/>
      <c r="Z1618" s="6"/>
      <c r="AA1618" s="18"/>
      <c r="AB1618" s="33"/>
      <c r="AC1618" s="34"/>
      <c r="AD1618" s="18"/>
      <c r="AE1618" s="18"/>
    </row>
    <row r="1619">
      <c r="A1619" s="5" t="s">
        <v>3507</v>
      </c>
      <c r="B1619" s="8" t="s">
        <v>3546</v>
      </c>
      <c r="C1619" s="21" t="s">
        <v>2839</v>
      </c>
      <c r="D1619" s="21" t="s">
        <v>2465</v>
      </c>
      <c r="E1619" s="53">
        <v>945.5200000000001</v>
      </c>
      <c r="F1619" s="30">
        <v>1022.0</v>
      </c>
      <c r="G1619" s="418"/>
      <c r="H1619" s="18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17"/>
      <c r="Z1619" s="6"/>
      <c r="AA1619" s="18"/>
      <c r="AB1619" s="33"/>
      <c r="AC1619" s="34"/>
      <c r="AD1619" s="18"/>
      <c r="AE1619" s="18"/>
    </row>
    <row r="1620">
      <c r="A1620" s="5" t="s">
        <v>3507</v>
      </c>
      <c r="B1620" s="8" t="s">
        <v>3546</v>
      </c>
      <c r="C1620" s="21" t="s">
        <v>2841</v>
      </c>
      <c r="D1620" s="253" t="s">
        <v>2209</v>
      </c>
      <c r="E1620" s="53">
        <v>968.0</v>
      </c>
      <c r="F1620" s="30">
        <v>1046.0</v>
      </c>
      <c r="G1620" s="418"/>
      <c r="H1620" s="18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17"/>
      <c r="Z1620" s="6"/>
      <c r="AA1620" s="18"/>
      <c r="AB1620" s="33"/>
      <c r="AC1620" s="34"/>
      <c r="AD1620" s="18"/>
      <c r="AE1620" s="18"/>
    </row>
    <row r="1621">
      <c r="A1621" s="5" t="s">
        <v>3507</v>
      </c>
      <c r="B1621" s="8" t="s">
        <v>3546</v>
      </c>
      <c r="C1621" s="21" t="s">
        <v>2842</v>
      </c>
      <c r="D1621" s="21" t="s">
        <v>2468</v>
      </c>
      <c r="E1621" s="53">
        <v>968.0</v>
      </c>
      <c r="F1621" s="30">
        <v>1046.0</v>
      </c>
      <c r="G1621" s="418"/>
      <c r="H1621" s="18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17"/>
      <c r="Z1621" s="6"/>
      <c r="AA1621" s="18"/>
      <c r="AB1621" s="33"/>
      <c r="AC1621" s="34"/>
      <c r="AD1621" s="18"/>
      <c r="AE1621" s="18"/>
    </row>
    <row r="1622">
      <c r="A1622" s="5" t="s">
        <v>3507</v>
      </c>
      <c r="B1622" s="8" t="s">
        <v>3546</v>
      </c>
      <c r="C1622" s="21" t="s">
        <v>1325</v>
      </c>
      <c r="D1622" s="21" t="s">
        <v>523</v>
      </c>
      <c r="E1622" s="53">
        <v>2753.88</v>
      </c>
      <c r="F1622" s="30">
        <v>2966.0</v>
      </c>
      <c r="G1622" s="418"/>
      <c r="H1622" s="18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17"/>
      <c r="Z1622" s="6"/>
      <c r="AA1622" s="18"/>
      <c r="AB1622" s="33"/>
      <c r="AC1622" s="34"/>
      <c r="AD1622" s="18"/>
      <c r="AE1622" s="18"/>
    </row>
    <row r="1623">
      <c r="A1623" s="5" t="s">
        <v>3507</v>
      </c>
      <c r="B1623" s="8" t="s">
        <v>3546</v>
      </c>
      <c r="C1623" s="21" t="s">
        <v>2843</v>
      </c>
      <c r="D1623" s="21" t="s">
        <v>1124</v>
      </c>
      <c r="E1623" s="53">
        <v>2429.52</v>
      </c>
      <c r="F1623" s="30">
        <v>2626.0</v>
      </c>
      <c r="G1623" s="418"/>
      <c r="H1623" s="18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17"/>
      <c r="Z1623" s="6"/>
      <c r="AA1623" s="18"/>
      <c r="AB1623" s="33"/>
      <c r="AC1623" s="34"/>
      <c r="AD1623" s="18"/>
      <c r="AE1623" s="18"/>
    </row>
    <row r="1624">
      <c r="A1624" s="5" t="s">
        <v>3507</v>
      </c>
      <c r="B1624" s="8" t="s">
        <v>3546</v>
      </c>
      <c r="C1624" s="21" t="s">
        <v>2845</v>
      </c>
      <c r="D1624" s="21" t="s">
        <v>395</v>
      </c>
      <c r="E1624" s="53">
        <v>422.0</v>
      </c>
      <c r="F1624" s="30">
        <v>458.0</v>
      </c>
      <c r="G1624" s="418"/>
      <c r="H1624" s="18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17"/>
      <c r="Z1624" s="6"/>
      <c r="AA1624" s="18"/>
      <c r="AB1624" s="33"/>
      <c r="AC1624" s="34"/>
      <c r="AD1624" s="18"/>
      <c r="AE1624" s="18"/>
    </row>
    <row r="1625">
      <c r="A1625" s="5" t="s">
        <v>3507</v>
      </c>
      <c r="B1625" s="8" t="s">
        <v>3546</v>
      </c>
      <c r="C1625" s="21" t="s">
        <v>2849</v>
      </c>
      <c r="D1625" s="21" t="s">
        <v>359</v>
      </c>
      <c r="E1625" s="53">
        <v>841.64</v>
      </c>
      <c r="F1625" s="30">
        <v>908.0</v>
      </c>
      <c r="G1625" s="418"/>
      <c r="H1625" s="18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17"/>
      <c r="Z1625" s="6"/>
      <c r="AA1625" s="18"/>
      <c r="AB1625" s="33"/>
      <c r="AC1625" s="34"/>
      <c r="AD1625" s="18"/>
      <c r="AE1625" s="18"/>
    </row>
    <row r="1626">
      <c r="A1626" s="5" t="s">
        <v>3507</v>
      </c>
      <c r="B1626" s="8" t="s">
        <v>3546</v>
      </c>
      <c r="C1626" s="21" t="s">
        <v>2850</v>
      </c>
      <c r="D1626" s="21" t="s">
        <v>1137</v>
      </c>
      <c r="E1626" s="53">
        <v>832.0</v>
      </c>
      <c r="F1626" s="30">
        <v>898.0</v>
      </c>
      <c r="G1626" s="418"/>
      <c r="H1626" s="18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17"/>
      <c r="Z1626" s="6"/>
      <c r="AA1626" s="18"/>
      <c r="AB1626" s="33"/>
      <c r="AC1626" s="34"/>
      <c r="AD1626" s="18"/>
      <c r="AE1626" s="18"/>
    </row>
    <row r="1627">
      <c r="A1627" s="5" t="s">
        <v>3507</v>
      </c>
      <c r="B1627" s="8" t="s">
        <v>3546</v>
      </c>
      <c r="C1627" s="21" t="s">
        <v>2851</v>
      </c>
      <c r="D1627" s="21" t="s">
        <v>1141</v>
      </c>
      <c r="E1627" s="53">
        <v>998.0</v>
      </c>
      <c r="F1627" s="30">
        <v>1086.0</v>
      </c>
      <c r="G1627" s="418"/>
      <c r="H1627" s="18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17"/>
      <c r="Z1627" s="6"/>
      <c r="AA1627" s="18"/>
      <c r="AB1627" s="33"/>
      <c r="AC1627" s="34"/>
      <c r="AD1627" s="18"/>
      <c r="AE1627" s="18"/>
    </row>
    <row r="1628">
      <c r="A1628" s="5" t="s">
        <v>3507</v>
      </c>
      <c r="B1628" s="8" t="s">
        <v>3546</v>
      </c>
      <c r="C1628" s="21" t="s">
        <v>2852</v>
      </c>
      <c r="D1628" s="21" t="s">
        <v>1145</v>
      </c>
      <c r="E1628" s="53">
        <v>1992.0</v>
      </c>
      <c r="F1628" s="30">
        <v>2148.0</v>
      </c>
      <c r="G1628" s="418"/>
      <c r="H1628" s="18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17"/>
      <c r="Z1628" s="6"/>
      <c r="AA1628" s="18"/>
      <c r="AB1628" s="33"/>
      <c r="AC1628" s="34"/>
      <c r="AD1628" s="18"/>
      <c r="AE1628" s="18"/>
    </row>
    <row r="1629">
      <c r="A1629" s="5" t="s">
        <v>3507</v>
      </c>
      <c r="B1629" s="8" t="s">
        <v>3546</v>
      </c>
      <c r="C1629" s="21" t="s">
        <v>2853</v>
      </c>
      <c r="D1629" s="21" t="s">
        <v>2219</v>
      </c>
      <c r="E1629" s="53">
        <v>2336.2400000000002</v>
      </c>
      <c r="F1629" s="30">
        <v>2526.0</v>
      </c>
      <c r="G1629" s="418"/>
      <c r="H1629" s="18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17"/>
      <c r="Z1629" s="6"/>
      <c r="AA1629" s="18"/>
      <c r="AB1629" s="33"/>
      <c r="AC1629" s="34"/>
      <c r="AD1629" s="18"/>
      <c r="AE1629" s="18"/>
    </row>
    <row r="1630">
      <c r="A1630" s="5" t="s">
        <v>3507</v>
      </c>
      <c r="B1630" s="8" t="s">
        <v>3547</v>
      </c>
      <c r="C1630" s="21" t="str">
        <f t="array" ref="C1630:F1647">'COLOUR WISE'!B856:E873</f>
        <v>121-IP</v>
      </c>
      <c r="D1630" s="21" t="s">
        <v>773</v>
      </c>
      <c r="E1630" s="53">
        <v>421.88</v>
      </c>
      <c r="F1630" s="30">
        <v>458.0</v>
      </c>
      <c r="G1630" s="418"/>
      <c r="H1630" s="18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17"/>
      <c r="Z1630" s="6"/>
      <c r="AA1630" s="18"/>
      <c r="AB1630" s="33"/>
      <c r="AC1630" s="34"/>
      <c r="AD1630" s="18"/>
      <c r="AE1630" s="18"/>
    </row>
    <row r="1631">
      <c r="A1631" s="5" t="s">
        <v>3507</v>
      </c>
      <c r="B1631" s="8" t="s">
        <v>3547</v>
      </c>
      <c r="C1631" s="21" t="s">
        <v>2856</v>
      </c>
      <c r="D1631" s="21" t="s">
        <v>748</v>
      </c>
      <c r="E1631" s="53">
        <v>462.16</v>
      </c>
      <c r="F1631" s="30">
        <v>498.0</v>
      </c>
      <c r="G1631" s="418"/>
      <c r="H1631" s="18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17"/>
      <c r="Z1631" s="6"/>
      <c r="AA1631" s="18"/>
      <c r="AB1631" s="33"/>
      <c r="AC1631" s="34"/>
      <c r="AD1631" s="18"/>
      <c r="AE1631" s="18"/>
    </row>
    <row r="1632">
      <c r="A1632" s="5" t="s">
        <v>3507</v>
      </c>
      <c r="B1632" s="8" t="s">
        <v>3547</v>
      </c>
      <c r="C1632" s="21" t="s">
        <v>2857</v>
      </c>
      <c r="D1632" s="21" t="s">
        <v>306</v>
      </c>
      <c r="E1632" s="53">
        <v>506.0</v>
      </c>
      <c r="F1632" s="30">
        <v>546.0</v>
      </c>
      <c r="G1632" s="418"/>
      <c r="H1632" s="18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17"/>
      <c r="Z1632" s="6"/>
      <c r="AA1632" s="18"/>
      <c r="AB1632" s="33"/>
      <c r="AC1632" s="34"/>
      <c r="AD1632" s="18"/>
      <c r="AE1632" s="18"/>
    </row>
    <row r="1633">
      <c r="A1633" s="5" t="s">
        <v>3507</v>
      </c>
      <c r="B1633" s="8" t="s">
        <v>3547</v>
      </c>
      <c r="C1633" s="21" t="s">
        <v>2858</v>
      </c>
      <c r="D1633" s="21" t="s">
        <v>2460</v>
      </c>
      <c r="E1633" s="53">
        <v>524.0</v>
      </c>
      <c r="F1633" s="30">
        <v>566.0</v>
      </c>
      <c r="G1633" s="418"/>
      <c r="H1633" s="18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17"/>
      <c r="Z1633" s="6"/>
      <c r="AA1633" s="18"/>
      <c r="AB1633" s="33"/>
      <c r="AC1633" s="34"/>
      <c r="AD1633" s="18"/>
      <c r="AE1633" s="18"/>
    </row>
    <row r="1634">
      <c r="A1634" s="5" t="s">
        <v>3507</v>
      </c>
      <c r="B1634" s="8" t="s">
        <v>3547</v>
      </c>
      <c r="C1634" s="21" t="s">
        <v>2859</v>
      </c>
      <c r="D1634" s="21" t="s">
        <v>666</v>
      </c>
      <c r="E1634" s="53">
        <v>896.0</v>
      </c>
      <c r="F1634" s="30">
        <v>968.0</v>
      </c>
      <c r="G1634" s="418"/>
      <c r="H1634" s="18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17"/>
      <c r="Z1634" s="6"/>
      <c r="AA1634" s="18"/>
      <c r="AB1634" s="33"/>
      <c r="AC1634" s="34"/>
      <c r="AD1634" s="18"/>
      <c r="AE1634" s="18"/>
    </row>
    <row r="1635">
      <c r="A1635" s="5" t="s">
        <v>3507</v>
      </c>
      <c r="B1635" s="8" t="s">
        <v>3547</v>
      </c>
      <c r="C1635" s="21" t="s">
        <v>2860</v>
      </c>
      <c r="D1635" s="21" t="s">
        <v>682</v>
      </c>
      <c r="E1635" s="53">
        <v>640.0704000000001</v>
      </c>
      <c r="F1635" s="30">
        <v>692.0</v>
      </c>
      <c r="G1635" s="418"/>
      <c r="H1635" s="18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17"/>
      <c r="Z1635" s="6"/>
      <c r="AA1635" s="18"/>
      <c r="AB1635" s="33"/>
      <c r="AC1635" s="34"/>
      <c r="AD1635" s="18"/>
      <c r="AE1635" s="18"/>
    </row>
    <row r="1636">
      <c r="A1636" s="5" t="s">
        <v>3507</v>
      </c>
      <c r="B1636" s="8" t="s">
        <v>3547</v>
      </c>
      <c r="C1636" s="21" t="s">
        <v>2863</v>
      </c>
      <c r="D1636" s="21" t="s">
        <v>781</v>
      </c>
      <c r="E1636" s="53">
        <v>640.0704000000001</v>
      </c>
      <c r="F1636" s="30">
        <v>692.0</v>
      </c>
      <c r="G1636" s="418"/>
      <c r="H1636" s="18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17"/>
      <c r="Z1636" s="6"/>
      <c r="AA1636" s="18"/>
      <c r="AB1636" s="33"/>
      <c r="AC1636" s="34"/>
      <c r="AD1636" s="18"/>
      <c r="AE1636" s="18"/>
    </row>
    <row r="1637">
      <c r="A1637" s="5" t="s">
        <v>3507</v>
      </c>
      <c r="B1637" s="8" t="s">
        <v>3547</v>
      </c>
      <c r="C1637" s="21" t="s">
        <v>2866</v>
      </c>
      <c r="D1637" s="21" t="s">
        <v>2465</v>
      </c>
      <c r="E1637" s="53">
        <v>945.5200000000001</v>
      </c>
      <c r="F1637" s="30">
        <v>1022.0</v>
      </c>
      <c r="G1637" s="418"/>
      <c r="H1637" s="18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17"/>
      <c r="Z1637" s="6"/>
      <c r="AA1637" s="18"/>
      <c r="AB1637" s="33"/>
      <c r="AC1637" s="34"/>
      <c r="AD1637" s="18"/>
      <c r="AE1637" s="18"/>
    </row>
    <row r="1638">
      <c r="A1638" s="5" t="s">
        <v>3507</v>
      </c>
      <c r="B1638" s="8" t="s">
        <v>3547</v>
      </c>
      <c r="C1638" s="21" t="s">
        <v>2867</v>
      </c>
      <c r="D1638" s="253" t="s">
        <v>2209</v>
      </c>
      <c r="E1638" s="53">
        <v>968.0</v>
      </c>
      <c r="F1638" s="30">
        <v>1046.0</v>
      </c>
      <c r="G1638" s="418"/>
      <c r="H1638" s="18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17"/>
      <c r="Z1638" s="6"/>
      <c r="AA1638" s="18"/>
      <c r="AB1638" s="33"/>
      <c r="AC1638" s="34"/>
      <c r="AD1638" s="18"/>
      <c r="AE1638" s="18"/>
    </row>
    <row r="1639">
      <c r="A1639" s="5" t="s">
        <v>3507</v>
      </c>
      <c r="B1639" s="8" t="s">
        <v>3547</v>
      </c>
      <c r="C1639" s="21" t="s">
        <v>2868</v>
      </c>
      <c r="D1639" s="21" t="s">
        <v>2468</v>
      </c>
      <c r="E1639" s="53">
        <v>968.0</v>
      </c>
      <c r="F1639" s="30">
        <v>1046.0</v>
      </c>
      <c r="G1639" s="418"/>
      <c r="H1639" s="18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17"/>
      <c r="Z1639" s="6"/>
      <c r="AA1639" s="18"/>
      <c r="AB1639" s="33"/>
      <c r="AC1639" s="34"/>
      <c r="AD1639" s="18"/>
      <c r="AE1639" s="18"/>
    </row>
    <row r="1640">
      <c r="A1640" s="5" t="s">
        <v>3507</v>
      </c>
      <c r="B1640" s="8" t="s">
        <v>3547</v>
      </c>
      <c r="C1640" s="21" t="s">
        <v>1329</v>
      </c>
      <c r="D1640" s="21" t="s">
        <v>523</v>
      </c>
      <c r="E1640" s="53">
        <v>2753.88</v>
      </c>
      <c r="F1640" s="30">
        <v>2966.0</v>
      </c>
      <c r="G1640" s="418"/>
      <c r="H1640" s="18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17"/>
      <c r="Z1640" s="6"/>
      <c r="AA1640" s="18"/>
      <c r="AB1640" s="33"/>
      <c r="AC1640" s="34"/>
      <c r="AD1640" s="18"/>
      <c r="AE1640" s="18"/>
    </row>
    <row r="1641">
      <c r="A1641" s="5" t="s">
        <v>3507</v>
      </c>
      <c r="B1641" s="8" t="s">
        <v>3547</v>
      </c>
      <c r="C1641" s="21" t="s">
        <v>2869</v>
      </c>
      <c r="D1641" s="21" t="s">
        <v>1124</v>
      </c>
      <c r="E1641" s="53">
        <v>2429.52</v>
      </c>
      <c r="F1641" s="30">
        <v>2626.0</v>
      </c>
      <c r="G1641" s="418"/>
      <c r="H1641" s="18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17"/>
      <c r="Z1641" s="6"/>
      <c r="AA1641" s="18"/>
      <c r="AB1641" s="33"/>
      <c r="AC1641" s="34"/>
      <c r="AD1641" s="18"/>
      <c r="AE1641" s="18"/>
    </row>
    <row r="1642">
      <c r="A1642" s="5" t="s">
        <v>3507</v>
      </c>
      <c r="B1642" s="8" t="s">
        <v>3547</v>
      </c>
      <c r="C1642" s="21" t="s">
        <v>2870</v>
      </c>
      <c r="D1642" s="21" t="s">
        <v>395</v>
      </c>
      <c r="E1642" s="53">
        <v>422.0</v>
      </c>
      <c r="F1642" s="30">
        <v>458.0</v>
      </c>
      <c r="G1642" s="418"/>
      <c r="H1642" s="18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17"/>
      <c r="Z1642" s="6"/>
      <c r="AA1642" s="18"/>
      <c r="AB1642" s="33"/>
      <c r="AC1642" s="34"/>
      <c r="AD1642" s="18"/>
      <c r="AE1642" s="18"/>
    </row>
    <row r="1643">
      <c r="A1643" s="5" t="s">
        <v>3507</v>
      </c>
      <c r="B1643" s="8" t="s">
        <v>3547</v>
      </c>
      <c r="C1643" s="21" t="s">
        <v>2871</v>
      </c>
      <c r="D1643" s="21" t="s">
        <v>359</v>
      </c>
      <c r="E1643" s="53">
        <v>841.64</v>
      </c>
      <c r="F1643" s="30">
        <v>908.0</v>
      </c>
      <c r="G1643" s="418"/>
      <c r="H1643" s="18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17"/>
      <c r="Z1643" s="6"/>
      <c r="AA1643" s="18"/>
      <c r="AB1643" s="33"/>
      <c r="AC1643" s="34"/>
      <c r="AD1643" s="18"/>
      <c r="AE1643" s="18"/>
    </row>
    <row r="1644">
      <c r="A1644" s="5" t="s">
        <v>3507</v>
      </c>
      <c r="B1644" s="8" t="s">
        <v>3547</v>
      </c>
      <c r="C1644" s="21" t="s">
        <v>2875</v>
      </c>
      <c r="D1644" s="21" t="s">
        <v>1137</v>
      </c>
      <c r="E1644" s="53">
        <v>832.0</v>
      </c>
      <c r="F1644" s="30">
        <v>898.0</v>
      </c>
      <c r="G1644" s="418"/>
      <c r="H1644" s="18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17"/>
      <c r="Z1644" s="6"/>
      <c r="AA1644" s="18"/>
      <c r="AB1644" s="33"/>
      <c r="AC1644" s="34"/>
      <c r="AD1644" s="18"/>
      <c r="AE1644" s="18"/>
    </row>
    <row r="1645">
      <c r="A1645" s="5" t="s">
        <v>3507</v>
      </c>
      <c r="B1645" s="8" t="s">
        <v>3547</v>
      </c>
      <c r="C1645" s="21" t="s">
        <v>2877</v>
      </c>
      <c r="D1645" s="21" t="s">
        <v>1141</v>
      </c>
      <c r="E1645" s="53">
        <v>998.0</v>
      </c>
      <c r="F1645" s="30">
        <v>1086.0</v>
      </c>
      <c r="G1645" s="418"/>
      <c r="H1645" s="18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17"/>
      <c r="Z1645" s="6"/>
      <c r="AA1645" s="18"/>
      <c r="AB1645" s="33"/>
      <c r="AC1645" s="34"/>
      <c r="AD1645" s="18"/>
      <c r="AE1645" s="18"/>
    </row>
    <row r="1646">
      <c r="A1646" s="5" t="s">
        <v>3507</v>
      </c>
      <c r="B1646" s="8" t="s">
        <v>3547</v>
      </c>
      <c r="C1646" s="21" t="s">
        <v>2878</v>
      </c>
      <c r="D1646" s="21" t="s">
        <v>1145</v>
      </c>
      <c r="E1646" s="53">
        <v>1992.0</v>
      </c>
      <c r="F1646" s="30">
        <v>2148.0</v>
      </c>
      <c r="G1646" s="418"/>
      <c r="H1646" s="18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17"/>
      <c r="Z1646" s="6"/>
      <c r="AA1646" s="18"/>
      <c r="AB1646" s="33"/>
      <c r="AC1646" s="34"/>
      <c r="AD1646" s="18"/>
      <c r="AE1646" s="18"/>
    </row>
    <row r="1647">
      <c r="A1647" s="5" t="s">
        <v>3507</v>
      </c>
      <c r="B1647" s="8" t="s">
        <v>3547</v>
      </c>
      <c r="C1647" s="21" t="s">
        <v>2879</v>
      </c>
      <c r="D1647" s="21" t="s">
        <v>2219</v>
      </c>
      <c r="E1647" s="53">
        <v>2336.2400000000002</v>
      </c>
      <c r="F1647" s="30">
        <v>2526.0</v>
      </c>
      <c r="G1647" s="418"/>
      <c r="H1647" s="18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17"/>
      <c r="Z1647" s="6"/>
      <c r="AA1647" s="18"/>
      <c r="AB1647" s="33"/>
      <c r="AC1647" s="34"/>
      <c r="AD1647" s="18"/>
      <c r="AE1647" s="18"/>
    </row>
    <row r="1648">
      <c r="A1648" s="5" t="s">
        <v>3507</v>
      </c>
      <c r="B1648" s="8" t="s">
        <v>3548</v>
      </c>
      <c r="C1648" s="21" t="str">
        <f t="array" ref="C1648:F1663">'COLOUR WISE'!B876:E891</f>
        <v>121-VG</v>
      </c>
      <c r="D1648" s="21" t="s">
        <v>306</v>
      </c>
      <c r="E1648" s="53">
        <v>266.20000000000005</v>
      </c>
      <c r="F1648" s="30">
        <v>288.0</v>
      </c>
      <c r="G1648" s="418"/>
      <c r="H1648" s="18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17"/>
      <c r="Z1648" s="6"/>
      <c r="AA1648" s="18"/>
      <c r="AB1648" s="33"/>
      <c r="AC1648" s="34"/>
      <c r="AD1648" s="18"/>
      <c r="AE1648" s="18"/>
    </row>
    <row r="1649">
      <c r="A1649" s="5" t="s">
        <v>3507</v>
      </c>
      <c r="B1649" s="8" t="s">
        <v>3548</v>
      </c>
      <c r="C1649" s="21" t="s">
        <v>1336</v>
      </c>
      <c r="D1649" s="21" t="s">
        <v>748</v>
      </c>
      <c r="E1649" s="53">
        <v>280.0</v>
      </c>
      <c r="F1649" s="30">
        <v>302.0</v>
      </c>
      <c r="G1649" s="418"/>
      <c r="H1649" s="18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17"/>
      <c r="Z1649" s="6"/>
      <c r="AA1649" s="18"/>
      <c r="AB1649" s="33"/>
      <c r="AC1649" s="34"/>
      <c r="AD1649" s="18"/>
      <c r="AE1649" s="18"/>
    </row>
    <row r="1650">
      <c r="A1650" s="5" t="s">
        <v>3507</v>
      </c>
      <c r="B1650" s="8" t="s">
        <v>3548</v>
      </c>
      <c r="C1650" s="21" t="s">
        <v>2897</v>
      </c>
      <c r="D1650" s="21" t="s">
        <v>751</v>
      </c>
      <c r="E1650" s="53">
        <v>368.0</v>
      </c>
      <c r="F1650" s="30">
        <v>398.0</v>
      </c>
      <c r="G1650" s="418"/>
      <c r="H1650" s="18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17"/>
      <c r="Z1650" s="6"/>
      <c r="AA1650" s="18"/>
      <c r="AB1650" s="33"/>
      <c r="AC1650" s="34"/>
      <c r="AD1650" s="18"/>
      <c r="AE1650" s="18"/>
    </row>
    <row r="1651">
      <c r="A1651" s="5" t="s">
        <v>3507</v>
      </c>
      <c r="B1651" s="8" t="s">
        <v>3548</v>
      </c>
      <c r="C1651" s="21" t="s">
        <v>2898</v>
      </c>
      <c r="D1651" s="21" t="s">
        <v>363</v>
      </c>
      <c r="E1651" s="53">
        <v>314.16</v>
      </c>
      <c r="F1651" s="30">
        <v>338.0</v>
      </c>
      <c r="G1651" s="418"/>
      <c r="H1651" s="18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17"/>
      <c r="Z1651" s="6"/>
      <c r="AA1651" s="18"/>
      <c r="AB1651" s="33"/>
      <c r="AC1651" s="34"/>
      <c r="AD1651" s="18"/>
      <c r="AE1651" s="18"/>
    </row>
    <row r="1652">
      <c r="A1652" s="5" t="s">
        <v>3507</v>
      </c>
      <c r="B1652" s="8" t="s">
        <v>3548</v>
      </c>
      <c r="C1652" s="21" t="s">
        <v>2901</v>
      </c>
      <c r="D1652" s="21" t="s">
        <v>378</v>
      </c>
      <c r="E1652" s="53">
        <v>570.0</v>
      </c>
      <c r="F1652" s="30">
        <v>614.0</v>
      </c>
      <c r="G1652" s="418"/>
      <c r="H1652" s="18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17"/>
      <c r="Z1652" s="6"/>
      <c r="AA1652" s="18"/>
      <c r="AB1652" s="33"/>
      <c r="AC1652" s="34"/>
      <c r="AD1652" s="18"/>
      <c r="AE1652" s="18"/>
    </row>
    <row r="1653">
      <c r="A1653" s="5" t="s">
        <v>3507</v>
      </c>
      <c r="B1653" s="8" t="s">
        <v>3548</v>
      </c>
      <c r="C1653" s="21" t="s">
        <v>2904</v>
      </c>
      <c r="D1653" s="21" t="s">
        <v>416</v>
      </c>
      <c r="E1653" s="53">
        <v>366.0</v>
      </c>
      <c r="F1653" s="30">
        <v>394.0</v>
      </c>
      <c r="G1653" s="418"/>
      <c r="H1653" s="18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17"/>
      <c r="Z1653" s="6"/>
      <c r="AA1653" s="18"/>
      <c r="AB1653" s="33"/>
      <c r="AC1653" s="34"/>
      <c r="AD1653" s="18"/>
      <c r="AE1653" s="18"/>
    </row>
    <row r="1654">
      <c r="A1654" s="5" t="s">
        <v>3507</v>
      </c>
      <c r="B1654" s="8" t="s">
        <v>3548</v>
      </c>
      <c r="C1654" s="21" t="s">
        <v>2905</v>
      </c>
      <c r="D1654" s="21" t="s">
        <v>692</v>
      </c>
      <c r="E1654" s="53">
        <v>740.0</v>
      </c>
      <c r="F1654" s="30">
        <v>798.0</v>
      </c>
      <c r="G1654" s="418"/>
      <c r="H1654" s="18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17"/>
      <c r="Z1654" s="6"/>
      <c r="AA1654" s="18"/>
      <c r="AB1654" s="33"/>
      <c r="AC1654" s="34"/>
      <c r="AD1654" s="18"/>
      <c r="AE1654" s="18"/>
    </row>
    <row r="1655">
      <c r="A1655" s="5" t="s">
        <v>3507</v>
      </c>
      <c r="B1655" s="8" t="s">
        <v>3548</v>
      </c>
      <c r="C1655" s="21" t="s">
        <v>2906</v>
      </c>
      <c r="D1655" s="21" t="s">
        <v>3488</v>
      </c>
      <c r="E1655" s="53">
        <v>674.0</v>
      </c>
      <c r="F1655" s="30">
        <v>728.0</v>
      </c>
      <c r="G1655" s="418"/>
      <c r="H1655" s="18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17"/>
      <c r="Z1655" s="6"/>
      <c r="AA1655" s="18"/>
      <c r="AB1655" s="33"/>
      <c r="AC1655" s="34"/>
      <c r="AD1655" s="18"/>
      <c r="AE1655" s="18"/>
    </row>
    <row r="1656">
      <c r="A1656" s="5" t="s">
        <v>3507</v>
      </c>
      <c r="B1656" s="8" t="s">
        <v>3548</v>
      </c>
      <c r="C1656" s="21" t="s">
        <v>2907</v>
      </c>
      <c r="D1656" s="21" t="s">
        <v>2468</v>
      </c>
      <c r="E1656" s="53">
        <v>740.0</v>
      </c>
      <c r="F1656" s="30">
        <v>798.0</v>
      </c>
      <c r="G1656" s="418"/>
      <c r="H1656" s="18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17"/>
      <c r="Z1656" s="6"/>
      <c r="AA1656" s="18"/>
      <c r="AB1656" s="33"/>
      <c r="AC1656" s="34"/>
      <c r="AD1656" s="18"/>
      <c r="AE1656" s="18"/>
    </row>
    <row r="1657">
      <c r="A1657" s="5" t="s">
        <v>3507</v>
      </c>
      <c r="B1657" s="8" t="s">
        <v>3548</v>
      </c>
      <c r="C1657" s="21" t="s">
        <v>2910</v>
      </c>
      <c r="D1657" s="21" t="s">
        <v>913</v>
      </c>
      <c r="E1657" s="53">
        <v>1390.0</v>
      </c>
      <c r="F1657" s="30">
        <v>1498.0</v>
      </c>
      <c r="G1657" s="418"/>
      <c r="H1657" s="18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17"/>
      <c r="Z1657" s="6"/>
      <c r="AA1657" s="18"/>
      <c r="AB1657" s="33"/>
      <c r="AC1657" s="34"/>
      <c r="AD1657" s="18"/>
      <c r="AE1657" s="18"/>
    </row>
    <row r="1658">
      <c r="A1658" s="5" t="s">
        <v>3507</v>
      </c>
      <c r="B1658" s="8" t="s">
        <v>3548</v>
      </c>
      <c r="C1658" s="21" t="s">
        <v>2913</v>
      </c>
      <c r="D1658" s="21" t="s">
        <v>1949</v>
      </c>
      <c r="E1658" s="53">
        <v>1280.4</v>
      </c>
      <c r="F1658" s="30">
        <v>1384.0</v>
      </c>
      <c r="G1658" s="418"/>
      <c r="H1658" s="18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17"/>
      <c r="Z1658" s="6"/>
      <c r="AA1658" s="18"/>
      <c r="AB1658" s="33"/>
      <c r="AC1658" s="34"/>
      <c r="AD1658" s="18"/>
      <c r="AE1658" s="18"/>
    </row>
    <row r="1659">
      <c r="A1659" s="5" t="s">
        <v>3507</v>
      </c>
      <c r="B1659" s="8" t="s">
        <v>3548</v>
      </c>
      <c r="C1659" s="21" t="s">
        <v>2914</v>
      </c>
      <c r="D1659" s="21" t="s">
        <v>1598</v>
      </c>
      <c r="E1659" s="53">
        <v>1680.3072</v>
      </c>
      <c r="F1659" s="30">
        <v>1814.0</v>
      </c>
      <c r="G1659" s="418"/>
      <c r="H1659" s="18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17"/>
      <c r="Z1659" s="6"/>
      <c r="AA1659" s="18"/>
      <c r="AB1659" s="33"/>
      <c r="AC1659" s="34"/>
      <c r="AD1659" s="18"/>
      <c r="AE1659" s="18"/>
    </row>
    <row r="1660">
      <c r="A1660" s="5" t="s">
        <v>3507</v>
      </c>
      <c r="B1660" s="8" t="s">
        <v>3548</v>
      </c>
      <c r="C1660" s="21" t="s">
        <v>2915</v>
      </c>
      <c r="D1660" s="21" t="s">
        <v>395</v>
      </c>
      <c r="E1660" s="53">
        <v>259.6</v>
      </c>
      <c r="F1660" s="30">
        <v>282.0</v>
      </c>
      <c r="G1660" s="418"/>
      <c r="H1660" s="18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17"/>
      <c r="Z1660" s="6"/>
      <c r="AA1660" s="18"/>
      <c r="AB1660" s="33"/>
      <c r="AC1660" s="34"/>
      <c r="AD1660" s="18"/>
      <c r="AE1660" s="18"/>
    </row>
    <row r="1661">
      <c r="A1661" s="5" t="s">
        <v>3507</v>
      </c>
      <c r="B1661" s="8" t="s">
        <v>3548</v>
      </c>
      <c r="C1661" s="21" t="s">
        <v>2916</v>
      </c>
      <c r="D1661" s="21" t="s">
        <v>359</v>
      </c>
      <c r="E1661" s="53">
        <v>560.0</v>
      </c>
      <c r="F1661" s="30">
        <v>598.0</v>
      </c>
      <c r="G1661" s="418"/>
      <c r="H1661" s="18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17"/>
      <c r="Z1661" s="6"/>
      <c r="AA1661" s="18"/>
      <c r="AB1661" s="33"/>
      <c r="AC1661" s="34"/>
      <c r="AD1661" s="18"/>
      <c r="AE1661" s="18"/>
    </row>
    <row r="1662">
      <c r="A1662" s="5" t="s">
        <v>3507</v>
      </c>
      <c r="B1662" s="8" t="s">
        <v>3548</v>
      </c>
      <c r="C1662" s="21" t="s">
        <v>2918</v>
      </c>
      <c r="D1662" s="21" t="s">
        <v>1137</v>
      </c>
      <c r="E1662" s="53">
        <v>670.0</v>
      </c>
      <c r="F1662" s="30">
        <v>724.0</v>
      </c>
      <c r="G1662" s="418"/>
      <c r="H1662" s="18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17"/>
      <c r="Z1662" s="6"/>
      <c r="AA1662" s="18"/>
      <c r="AB1662" s="33"/>
      <c r="AC1662" s="34"/>
      <c r="AD1662" s="18"/>
      <c r="AE1662" s="18"/>
    </row>
    <row r="1663">
      <c r="A1663" s="5" t="s">
        <v>3507</v>
      </c>
      <c r="B1663" s="8" t="s">
        <v>3548</v>
      </c>
      <c r="C1663" s="21" t="s">
        <v>2921</v>
      </c>
      <c r="D1663" s="21" t="s">
        <v>731</v>
      </c>
      <c r="E1663" s="53">
        <v>432.0</v>
      </c>
      <c r="F1663" s="30">
        <v>466.0</v>
      </c>
      <c r="G1663" s="418"/>
      <c r="H1663" s="18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17"/>
      <c r="Z1663" s="6"/>
      <c r="AA1663" s="18"/>
      <c r="AB1663" s="33"/>
      <c r="AC1663" s="34"/>
      <c r="AD1663" s="18"/>
      <c r="AE1663" s="18"/>
    </row>
    <row r="1664">
      <c r="A1664" s="5" t="s">
        <v>3507</v>
      </c>
      <c r="B1664" s="8" t="s">
        <v>3549</v>
      </c>
      <c r="C1664" s="21" t="str">
        <f t="array" ref="C1664:F1679">'COLOUR WISE'!B894:E909</f>
        <v>121-VW</v>
      </c>
      <c r="D1664" s="21" t="s">
        <v>306</v>
      </c>
      <c r="E1664" s="53">
        <v>266.20000000000005</v>
      </c>
      <c r="F1664" s="30">
        <v>288.0</v>
      </c>
      <c r="G1664" s="418"/>
      <c r="H1664" s="18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17"/>
      <c r="Z1664" s="6"/>
      <c r="AA1664" s="18"/>
      <c r="AB1664" s="33"/>
      <c r="AC1664" s="34"/>
      <c r="AD1664" s="18"/>
      <c r="AE1664" s="18"/>
    </row>
    <row r="1665">
      <c r="A1665" s="5" t="s">
        <v>3507</v>
      </c>
      <c r="B1665" s="8" t="s">
        <v>3549</v>
      </c>
      <c r="C1665" s="21" t="s">
        <v>1340</v>
      </c>
      <c r="D1665" s="21" t="s">
        <v>748</v>
      </c>
      <c r="E1665" s="53">
        <v>280.0</v>
      </c>
      <c r="F1665" s="30">
        <v>302.0</v>
      </c>
      <c r="G1665" s="418"/>
      <c r="H1665" s="18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17"/>
      <c r="Z1665" s="6"/>
      <c r="AA1665" s="18"/>
      <c r="AB1665" s="33"/>
      <c r="AC1665" s="34"/>
      <c r="AD1665" s="18"/>
      <c r="AE1665" s="18"/>
    </row>
    <row r="1666">
      <c r="A1666" s="5" t="s">
        <v>3507</v>
      </c>
      <c r="B1666" s="8" t="s">
        <v>3549</v>
      </c>
      <c r="C1666" s="21" t="s">
        <v>2924</v>
      </c>
      <c r="D1666" s="21" t="s">
        <v>751</v>
      </c>
      <c r="E1666" s="53">
        <v>368.0</v>
      </c>
      <c r="F1666" s="30">
        <v>398.0</v>
      </c>
      <c r="G1666" s="418"/>
      <c r="H1666" s="18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17"/>
      <c r="Z1666" s="6"/>
      <c r="AA1666" s="18"/>
      <c r="AB1666" s="33"/>
      <c r="AC1666" s="34"/>
      <c r="AD1666" s="18"/>
      <c r="AE1666" s="18"/>
    </row>
    <row r="1667">
      <c r="A1667" s="5" t="s">
        <v>3507</v>
      </c>
      <c r="B1667" s="8" t="s">
        <v>3549</v>
      </c>
      <c r="C1667" s="21" t="s">
        <v>2927</v>
      </c>
      <c r="D1667" s="21" t="s">
        <v>363</v>
      </c>
      <c r="E1667" s="53">
        <v>314.16</v>
      </c>
      <c r="F1667" s="30">
        <v>338.0</v>
      </c>
      <c r="G1667" s="418"/>
      <c r="H1667" s="18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17"/>
      <c r="Z1667" s="6"/>
      <c r="AA1667" s="18"/>
      <c r="AB1667" s="33"/>
      <c r="AC1667" s="34"/>
      <c r="AD1667" s="18"/>
      <c r="AE1667" s="18"/>
    </row>
    <row r="1668">
      <c r="A1668" s="5" t="s">
        <v>3507</v>
      </c>
      <c r="B1668" s="8" t="s">
        <v>3549</v>
      </c>
      <c r="C1668" s="21" t="s">
        <v>2930</v>
      </c>
      <c r="D1668" s="21" t="s">
        <v>378</v>
      </c>
      <c r="E1668" s="53">
        <v>570.0</v>
      </c>
      <c r="F1668" s="30">
        <v>614.0</v>
      </c>
      <c r="G1668" s="418"/>
      <c r="H1668" s="18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17"/>
      <c r="Z1668" s="6"/>
      <c r="AA1668" s="18"/>
      <c r="AB1668" s="33"/>
      <c r="AC1668" s="34"/>
      <c r="AD1668" s="18"/>
      <c r="AE1668" s="18"/>
    </row>
    <row r="1669">
      <c r="A1669" s="5" t="s">
        <v>3507</v>
      </c>
      <c r="B1669" s="8" t="s">
        <v>3549</v>
      </c>
      <c r="C1669" s="21" t="s">
        <v>2931</v>
      </c>
      <c r="D1669" s="21" t="s">
        <v>416</v>
      </c>
      <c r="E1669" s="53">
        <v>366.0</v>
      </c>
      <c r="F1669" s="30">
        <v>394.0</v>
      </c>
      <c r="G1669" s="418"/>
      <c r="H1669" s="18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17"/>
      <c r="Z1669" s="6"/>
      <c r="AA1669" s="18"/>
      <c r="AB1669" s="33"/>
      <c r="AC1669" s="34"/>
      <c r="AD1669" s="18"/>
      <c r="AE1669" s="18"/>
    </row>
    <row r="1670">
      <c r="A1670" s="5" t="s">
        <v>3507</v>
      </c>
      <c r="B1670" s="8" t="s">
        <v>3549</v>
      </c>
      <c r="C1670" s="21" t="s">
        <v>2932</v>
      </c>
      <c r="D1670" s="21" t="s">
        <v>692</v>
      </c>
      <c r="E1670" s="53">
        <v>740.0</v>
      </c>
      <c r="F1670" s="30">
        <v>798.0</v>
      </c>
      <c r="G1670" s="418"/>
      <c r="H1670" s="18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17"/>
      <c r="Z1670" s="6"/>
      <c r="AA1670" s="18"/>
      <c r="AB1670" s="33"/>
      <c r="AC1670" s="34"/>
      <c r="AD1670" s="18"/>
      <c r="AE1670" s="18"/>
    </row>
    <row r="1671">
      <c r="A1671" s="5" t="s">
        <v>3507</v>
      </c>
      <c r="B1671" s="8" t="s">
        <v>3549</v>
      </c>
      <c r="C1671" s="21" t="s">
        <v>2933</v>
      </c>
      <c r="D1671" s="21" t="s">
        <v>3488</v>
      </c>
      <c r="E1671" s="53">
        <v>674.0</v>
      </c>
      <c r="F1671" s="30">
        <v>728.0</v>
      </c>
      <c r="G1671" s="418"/>
      <c r="H1671" s="18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17"/>
      <c r="Z1671" s="6"/>
      <c r="AA1671" s="18"/>
      <c r="AB1671" s="33"/>
      <c r="AC1671" s="34"/>
      <c r="AD1671" s="18"/>
      <c r="AE1671" s="18"/>
    </row>
    <row r="1672">
      <c r="A1672" s="5" t="s">
        <v>3507</v>
      </c>
      <c r="B1672" s="8" t="s">
        <v>3549</v>
      </c>
      <c r="C1672" s="21" t="s">
        <v>2934</v>
      </c>
      <c r="D1672" s="21" t="s">
        <v>2468</v>
      </c>
      <c r="E1672" s="53">
        <v>740.0</v>
      </c>
      <c r="F1672" s="30">
        <v>798.0</v>
      </c>
      <c r="G1672" s="418"/>
      <c r="H1672" s="18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17"/>
      <c r="Z1672" s="6"/>
      <c r="AA1672" s="18"/>
      <c r="AB1672" s="33"/>
      <c r="AC1672" s="34"/>
      <c r="AD1672" s="18"/>
      <c r="AE1672" s="18"/>
    </row>
    <row r="1673">
      <c r="A1673" s="5" t="s">
        <v>3507</v>
      </c>
      <c r="B1673" s="8" t="s">
        <v>3549</v>
      </c>
      <c r="C1673" s="21" t="s">
        <v>2935</v>
      </c>
      <c r="D1673" s="21" t="s">
        <v>913</v>
      </c>
      <c r="E1673" s="53">
        <v>1390.0</v>
      </c>
      <c r="F1673" s="30">
        <v>1498.0</v>
      </c>
      <c r="G1673" s="418"/>
      <c r="H1673" s="18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17"/>
      <c r="Z1673" s="6"/>
      <c r="AA1673" s="18"/>
      <c r="AB1673" s="33"/>
      <c r="AC1673" s="34"/>
      <c r="AD1673" s="18"/>
      <c r="AE1673" s="18"/>
    </row>
    <row r="1674">
      <c r="A1674" s="5" t="s">
        <v>3507</v>
      </c>
      <c r="B1674" s="8" t="s">
        <v>3549</v>
      </c>
      <c r="C1674" s="21" t="s">
        <v>2936</v>
      </c>
      <c r="D1674" s="21" t="s">
        <v>1949</v>
      </c>
      <c r="E1674" s="53">
        <v>1280.4</v>
      </c>
      <c r="F1674" s="30">
        <v>1384.0</v>
      </c>
      <c r="G1674" s="418"/>
      <c r="H1674" s="18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17"/>
      <c r="Z1674" s="6"/>
      <c r="AA1674" s="18"/>
      <c r="AB1674" s="33"/>
      <c r="AC1674" s="34"/>
      <c r="AD1674" s="18"/>
      <c r="AE1674" s="18"/>
    </row>
    <row r="1675">
      <c r="A1675" s="5" t="s">
        <v>3507</v>
      </c>
      <c r="B1675" s="8" t="s">
        <v>3549</v>
      </c>
      <c r="C1675" s="21" t="s">
        <v>2937</v>
      </c>
      <c r="D1675" s="21" t="s">
        <v>1598</v>
      </c>
      <c r="E1675" s="53">
        <v>1680.3072</v>
      </c>
      <c r="F1675" s="30">
        <v>1814.0</v>
      </c>
      <c r="G1675" s="418"/>
      <c r="H1675" s="18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17"/>
      <c r="Z1675" s="6"/>
      <c r="AA1675" s="18"/>
      <c r="AB1675" s="33"/>
      <c r="AC1675" s="34"/>
      <c r="AD1675" s="18"/>
      <c r="AE1675" s="18"/>
    </row>
    <row r="1676">
      <c r="A1676" s="5" t="s">
        <v>3507</v>
      </c>
      <c r="B1676" s="8" t="s">
        <v>3549</v>
      </c>
      <c r="C1676" s="21" t="s">
        <v>2938</v>
      </c>
      <c r="D1676" s="21" t="s">
        <v>395</v>
      </c>
      <c r="E1676" s="53">
        <v>259.6</v>
      </c>
      <c r="F1676" s="30">
        <v>282.0</v>
      </c>
      <c r="G1676" s="418"/>
      <c r="H1676" s="18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17"/>
      <c r="Z1676" s="6"/>
      <c r="AA1676" s="18"/>
      <c r="AB1676" s="33"/>
      <c r="AC1676" s="34"/>
      <c r="AD1676" s="18"/>
      <c r="AE1676" s="18"/>
    </row>
    <row r="1677">
      <c r="A1677" s="5" t="s">
        <v>3507</v>
      </c>
      <c r="B1677" s="8" t="s">
        <v>3549</v>
      </c>
      <c r="C1677" s="21" t="s">
        <v>2940</v>
      </c>
      <c r="D1677" s="21" t="s">
        <v>359</v>
      </c>
      <c r="E1677" s="53">
        <v>560.0</v>
      </c>
      <c r="F1677" s="30">
        <v>598.0</v>
      </c>
      <c r="G1677" s="418"/>
      <c r="H1677" s="18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17"/>
      <c r="Z1677" s="6"/>
      <c r="AA1677" s="18"/>
      <c r="AB1677" s="33"/>
      <c r="AC1677" s="34"/>
      <c r="AD1677" s="18"/>
      <c r="AE1677" s="18"/>
    </row>
    <row r="1678">
      <c r="A1678" s="5" t="s">
        <v>3507</v>
      </c>
      <c r="B1678" s="8" t="s">
        <v>3549</v>
      </c>
      <c r="C1678" s="21" t="s">
        <v>2941</v>
      </c>
      <c r="D1678" s="21" t="s">
        <v>1137</v>
      </c>
      <c r="E1678" s="53">
        <v>670.0</v>
      </c>
      <c r="F1678" s="30">
        <v>724.0</v>
      </c>
      <c r="G1678" s="418"/>
      <c r="H1678" s="18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17"/>
      <c r="Z1678" s="6"/>
      <c r="AA1678" s="18"/>
      <c r="AB1678" s="33"/>
      <c r="AC1678" s="34"/>
      <c r="AD1678" s="18"/>
      <c r="AE1678" s="18"/>
    </row>
    <row r="1679">
      <c r="A1679" s="5" t="s">
        <v>3507</v>
      </c>
      <c r="B1679" s="8" t="s">
        <v>3549</v>
      </c>
      <c r="C1679" s="21" t="s">
        <v>2943</v>
      </c>
      <c r="D1679" s="21" t="s">
        <v>731</v>
      </c>
      <c r="E1679" s="53">
        <v>432.0</v>
      </c>
      <c r="F1679" s="30">
        <v>466.0</v>
      </c>
      <c r="G1679" s="418"/>
      <c r="H1679" s="18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17"/>
      <c r="Z1679" s="6"/>
      <c r="AA1679" s="18"/>
      <c r="AB1679" s="33"/>
      <c r="AC1679" s="34"/>
      <c r="AD1679" s="18"/>
      <c r="AE1679" s="18"/>
    </row>
    <row r="1680">
      <c r="A1680" s="5" t="s">
        <v>3507</v>
      </c>
      <c r="B1680" s="8" t="s">
        <v>3550</v>
      </c>
      <c r="C1680" s="21" t="str">
        <f t="array" ref="C1680:F1695">'COLOUR WISE'!B912:E927</f>
        <v>121-VR</v>
      </c>
      <c r="D1680" s="21" t="s">
        <v>306</v>
      </c>
      <c r="E1680" s="53">
        <v>266.20000000000005</v>
      </c>
      <c r="F1680" s="30">
        <v>288.0</v>
      </c>
      <c r="G1680" s="418"/>
      <c r="H1680" s="18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17"/>
      <c r="Z1680" s="6"/>
      <c r="AA1680" s="18"/>
      <c r="AB1680" s="33"/>
      <c r="AC1680" s="34"/>
      <c r="AD1680" s="18"/>
      <c r="AE1680" s="18"/>
    </row>
    <row r="1681">
      <c r="A1681" s="5" t="s">
        <v>3507</v>
      </c>
      <c r="B1681" s="8" t="s">
        <v>3550</v>
      </c>
      <c r="C1681" s="21" t="s">
        <v>1344</v>
      </c>
      <c r="D1681" s="21" t="s">
        <v>748</v>
      </c>
      <c r="E1681" s="53">
        <v>280.0</v>
      </c>
      <c r="F1681" s="30">
        <v>302.0</v>
      </c>
      <c r="G1681" s="418"/>
      <c r="H1681" s="18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17"/>
      <c r="Z1681" s="6"/>
      <c r="AA1681" s="18"/>
      <c r="AB1681" s="33"/>
      <c r="AC1681" s="34"/>
      <c r="AD1681" s="18"/>
      <c r="AE1681" s="18"/>
    </row>
    <row r="1682">
      <c r="A1682" s="5" t="s">
        <v>3507</v>
      </c>
      <c r="B1682" s="8" t="s">
        <v>3550</v>
      </c>
      <c r="C1682" s="21" t="s">
        <v>2949</v>
      </c>
      <c r="D1682" s="21" t="s">
        <v>751</v>
      </c>
      <c r="E1682" s="53">
        <v>368.0</v>
      </c>
      <c r="F1682" s="30">
        <v>398.0</v>
      </c>
      <c r="G1682" s="418"/>
      <c r="H1682" s="18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17"/>
      <c r="Z1682" s="6"/>
      <c r="AA1682" s="18"/>
      <c r="AB1682" s="33"/>
      <c r="AC1682" s="34"/>
      <c r="AD1682" s="18"/>
      <c r="AE1682" s="18"/>
    </row>
    <row r="1683">
      <c r="A1683" s="5" t="s">
        <v>3507</v>
      </c>
      <c r="B1683" s="8" t="s">
        <v>3550</v>
      </c>
      <c r="C1683" s="21" t="s">
        <v>2950</v>
      </c>
      <c r="D1683" s="21" t="s">
        <v>363</v>
      </c>
      <c r="E1683" s="53">
        <v>314.16</v>
      </c>
      <c r="F1683" s="30">
        <v>338.0</v>
      </c>
      <c r="G1683" s="418"/>
      <c r="H1683" s="18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17"/>
      <c r="Z1683" s="6"/>
      <c r="AA1683" s="18"/>
      <c r="AB1683" s="33"/>
      <c r="AC1683" s="34"/>
      <c r="AD1683" s="18"/>
      <c r="AE1683" s="18"/>
    </row>
    <row r="1684">
      <c r="A1684" s="5" t="s">
        <v>3507</v>
      </c>
      <c r="B1684" s="8" t="s">
        <v>3550</v>
      </c>
      <c r="C1684" s="21" t="s">
        <v>2951</v>
      </c>
      <c r="D1684" s="21" t="s">
        <v>378</v>
      </c>
      <c r="E1684" s="53">
        <v>570.0</v>
      </c>
      <c r="F1684" s="30">
        <v>614.0</v>
      </c>
      <c r="G1684" s="418"/>
      <c r="H1684" s="18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17"/>
      <c r="Z1684" s="6"/>
      <c r="AA1684" s="18"/>
      <c r="AB1684" s="33"/>
      <c r="AC1684" s="34"/>
      <c r="AD1684" s="18"/>
      <c r="AE1684" s="18"/>
    </row>
    <row r="1685">
      <c r="A1685" s="5" t="s">
        <v>3507</v>
      </c>
      <c r="B1685" s="8" t="s">
        <v>3550</v>
      </c>
      <c r="C1685" s="21" t="s">
        <v>2952</v>
      </c>
      <c r="D1685" s="21" t="s">
        <v>416</v>
      </c>
      <c r="E1685" s="53">
        <v>366.0</v>
      </c>
      <c r="F1685" s="30">
        <v>394.0</v>
      </c>
      <c r="G1685" s="418"/>
      <c r="H1685" s="18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17"/>
      <c r="Z1685" s="6"/>
      <c r="AA1685" s="18"/>
      <c r="AB1685" s="33"/>
      <c r="AC1685" s="34"/>
      <c r="AD1685" s="18"/>
      <c r="AE1685" s="18"/>
    </row>
    <row r="1686">
      <c r="A1686" s="5" t="s">
        <v>3507</v>
      </c>
      <c r="B1686" s="8" t="s">
        <v>3550</v>
      </c>
      <c r="C1686" s="21" t="s">
        <v>2953</v>
      </c>
      <c r="D1686" s="21" t="s">
        <v>692</v>
      </c>
      <c r="E1686" s="53">
        <v>740.0</v>
      </c>
      <c r="F1686" s="30">
        <v>798.0</v>
      </c>
      <c r="G1686" s="418"/>
      <c r="H1686" s="18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17"/>
      <c r="Z1686" s="6"/>
      <c r="AA1686" s="18"/>
      <c r="AB1686" s="33"/>
      <c r="AC1686" s="34"/>
      <c r="AD1686" s="18"/>
      <c r="AE1686" s="18"/>
    </row>
    <row r="1687">
      <c r="A1687" s="5" t="s">
        <v>3507</v>
      </c>
      <c r="B1687" s="8" t="s">
        <v>3550</v>
      </c>
      <c r="C1687" s="21" t="s">
        <v>2954</v>
      </c>
      <c r="D1687" s="21" t="s">
        <v>3488</v>
      </c>
      <c r="E1687" s="53">
        <v>674.0</v>
      </c>
      <c r="F1687" s="30">
        <v>728.0</v>
      </c>
      <c r="G1687" s="418"/>
      <c r="H1687" s="18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17"/>
      <c r="Z1687" s="6"/>
      <c r="AA1687" s="18"/>
      <c r="AB1687" s="33"/>
      <c r="AC1687" s="34"/>
      <c r="AD1687" s="18"/>
      <c r="AE1687" s="18"/>
    </row>
    <row r="1688">
      <c r="A1688" s="5" t="s">
        <v>3507</v>
      </c>
      <c r="B1688" s="8" t="s">
        <v>3550</v>
      </c>
      <c r="C1688" s="21" t="s">
        <v>2955</v>
      </c>
      <c r="D1688" s="21" t="s">
        <v>2468</v>
      </c>
      <c r="E1688" s="53">
        <v>740.0</v>
      </c>
      <c r="F1688" s="30">
        <v>798.0</v>
      </c>
      <c r="G1688" s="418"/>
      <c r="H1688" s="18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17"/>
      <c r="Z1688" s="6"/>
      <c r="AA1688" s="18"/>
      <c r="AB1688" s="33"/>
      <c r="AC1688" s="34"/>
      <c r="AD1688" s="18"/>
      <c r="AE1688" s="18"/>
    </row>
    <row r="1689">
      <c r="A1689" s="5" t="s">
        <v>3507</v>
      </c>
      <c r="B1689" s="8" t="s">
        <v>3550</v>
      </c>
      <c r="C1689" s="21" t="s">
        <v>2956</v>
      </c>
      <c r="D1689" s="21" t="s">
        <v>913</v>
      </c>
      <c r="E1689" s="53">
        <v>1390.0</v>
      </c>
      <c r="F1689" s="30">
        <v>1498.0</v>
      </c>
      <c r="G1689" s="418"/>
      <c r="H1689" s="18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17"/>
      <c r="Z1689" s="6"/>
      <c r="AA1689" s="18"/>
      <c r="AB1689" s="33"/>
      <c r="AC1689" s="34"/>
      <c r="AD1689" s="18"/>
      <c r="AE1689" s="18"/>
    </row>
    <row r="1690">
      <c r="A1690" s="5" t="s">
        <v>3507</v>
      </c>
      <c r="B1690" s="8" t="s">
        <v>3550</v>
      </c>
      <c r="C1690" s="21" t="s">
        <v>2957</v>
      </c>
      <c r="D1690" s="21" t="s">
        <v>1949</v>
      </c>
      <c r="E1690" s="53">
        <v>1280.4</v>
      </c>
      <c r="F1690" s="30">
        <v>1384.0</v>
      </c>
      <c r="G1690" s="418"/>
      <c r="H1690" s="18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17"/>
      <c r="Z1690" s="6"/>
      <c r="AA1690" s="18"/>
      <c r="AB1690" s="33"/>
      <c r="AC1690" s="34"/>
      <c r="AD1690" s="18"/>
      <c r="AE1690" s="18"/>
    </row>
    <row r="1691">
      <c r="A1691" s="5" t="s">
        <v>3507</v>
      </c>
      <c r="B1691" s="8" t="s">
        <v>3550</v>
      </c>
      <c r="C1691" s="21" t="s">
        <v>2958</v>
      </c>
      <c r="D1691" s="21" t="s">
        <v>1598</v>
      </c>
      <c r="E1691" s="53">
        <v>1680.3072</v>
      </c>
      <c r="F1691" s="30">
        <v>1814.0</v>
      </c>
      <c r="G1691" s="418"/>
      <c r="H1691" s="18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17"/>
      <c r="Z1691" s="6"/>
      <c r="AA1691" s="18"/>
      <c r="AB1691" s="33"/>
      <c r="AC1691" s="34"/>
      <c r="AD1691" s="18"/>
      <c r="AE1691" s="18"/>
    </row>
    <row r="1692">
      <c r="A1692" s="5" t="s">
        <v>3507</v>
      </c>
      <c r="B1692" s="8" t="s">
        <v>3550</v>
      </c>
      <c r="C1692" s="21" t="s">
        <v>2960</v>
      </c>
      <c r="D1692" s="21" t="s">
        <v>395</v>
      </c>
      <c r="E1692" s="53">
        <v>259.6</v>
      </c>
      <c r="F1692" s="30">
        <v>282.0</v>
      </c>
      <c r="G1692" s="418"/>
      <c r="H1692" s="18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17"/>
      <c r="Z1692" s="6"/>
      <c r="AA1692" s="18"/>
      <c r="AB1692" s="33"/>
      <c r="AC1692" s="34"/>
      <c r="AD1692" s="18"/>
      <c r="AE1692" s="18"/>
    </row>
    <row r="1693">
      <c r="A1693" s="5" t="s">
        <v>3507</v>
      </c>
      <c r="B1693" s="8" t="s">
        <v>3550</v>
      </c>
      <c r="C1693" s="21" t="s">
        <v>2962</v>
      </c>
      <c r="D1693" s="21" t="s">
        <v>359</v>
      </c>
      <c r="E1693" s="53">
        <v>560.0</v>
      </c>
      <c r="F1693" s="30">
        <v>598.0</v>
      </c>
      <c r="G1693" s="418"/>
      <c r="H1693" s="18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17"/>
      <c r="Z1693" s="6"/>
      <c r="AA1693" s="18"/>
      <c r="AB1693" s="33"/>
      <c r="AC1693" s="34"/>
      <c r="AD1693" s="18"/>
      <c r="AE1693" s="18"/>
    </row>
    <row r="1694">
      <c r="A1694" s="5" t="s">
        <v>3507</v>
      </c>
      <c r="B1694" s="8" t="s">
        <v>3550</v>
      </c>
      <c r="C1694" s="21" t="s">
        <v>2963</v>
      </c>
      <c r="D1694" s="21" t="s">
        <v>1137</v>
      </c>
      <c r="E1694" s="53">
        <v>670.0</v>
      </c>
      <c r="F1694" s="30">
        <v>724.0</v>
      </c>
      <c r="G1694" s="418"/>
      <c r="H1694" s="18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17"/>
      <c r="Z1694" s="6"/>
      <c r="AA1694" s="18"/>
      <c r="AB1694" s="33"/>
      <c r="AC1694" s="34"/>
      <c r="AD1694" s="18"/>
      <c r="AE1694" s="18"/>
    </row>
    <row r="1695">
      <c r="A1695" s="5" t="s">
        <v>3507</v>
      </c>
      <c r="B1695" s="8" t="s">
        <v>3550</v>
      </c>
      <c r="C1695" s="21" t="s">
        <v>2964</v>
      </c>
      <c r="D1695" s="21" t="s">
        <v>731</v>
      </c>
      <c r="E1695" s="53">
        <v>432.0</v>
      </c>
      <c r="F1695" s="30">
        <v>466.0</v>
      </c>
      <c r="G1695" s="418"/>
      <c r="H1695" s="18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17"/>
      <c r="Z1695" s="6"/>
      <c r="AA1695" s="18"/>
      <c r="AB1695" s="33"/>
      <c r="AC1695" s="34"/>
      <c r="AD1695" s="18"/>
      <c r="AE1695" s="18"/>
    </row>
    <row r="1696">
      <c r="A1696" s="5" t="s">
        <v>3507</v>
      </c>
      <c r="B1696" s="8" t="s">
        <v>3551</v>
      </c>
      <c r="C1696" s="21" t="str">
        <f t="array" ref="C1696:F1711">'COLOUR WISE'!B930:E945</f>
        <v>121-VP</v>
      </c>
      <c r="D1696" s="21" t="s">
        <v>306</v>
      </c>
      <c r="E1696" s="53">
        <v>266.20000000000005</v>
      </c>
      <c r="F1696" s="30">
        <v>288.0</v>
      </c>
      <c r="G1696" s="418"/>
      <c r="H1696" s="18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17"/>
      <c r="Z1696" s="6"/>
      <c r="AA1696" s="18"/>
      <c r="AB1696" s="33"/>
      <c r="AC1696" s="34"/>
      <c r="AD1696" s="18"/>
      <c r="AE1696" s="18"/>
    </row>
    <row r="1697">
      <c r="A1697" s="5" t="s">
        <v>3507</v>
      </c>
      <c r="B1697" s="8" t="s">
        <v>3551</v>
      </c>
      <c r="C1697" s="21" t="s">
        <v>1348</v>
      </c>
      <c r="D1697" s="21" t="s">
        <v>748</v>
      </c>
      <c r="E1697" s="53">
        <v>280.0</v>
      </c>
      <c r="F1697" s="30">
        <v>302.0</v>
      </c>
      <c r="G1697" s="418"/>
      <c r="H1697" s="18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17"/>
      <c r="Z1697" s="6"/>
      <c r="AA1697" s="18"/>
      <c r="AB1697" s="33"/>
      <c r="AC1697" s="34"/>
      <c r="AD1697" s="18"/>
      <c r="AE1697" s="18"/>
    </row>
    <row r="1698">
      <c r="A1698" s="5" t="s">
        <v>3507</v>
      </c>
      <c r="B1698" s="8" t="s">
        <v>3551</v>
      </c>
      <c r="C1698" s="21" t="s">
        <v>2970</v>
      </c>
      <c r="D1698" s="21" t="s">
        <v>751</v>
      </c>
      <c r="E1698" s="53">
        <v>368.0</v>
      </c>
      <c r="F1698" s="30">
        <v>398.0</v>
      </c>
      <c r="G1698" s="418"/>
      <c r="H1698" s="18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17"/>
      <c r="Z1698" s="6"/>
      <c r="AA1698" s="18"/>
      <c r="AB1698" s="33"/>
      <c r="AC1698" s="34"/>
      <c r="AD1698" s="18"/>
      <c r="AE1698" s="18"/>
    </row>
    <row r="1699">
      <c r="A1699" s="5" t="s">
        <v>3507</v>
      </c>
      <c r="B1699" s="8" t="s">
        <v>3551</v>
      </c>
      <c r="C1699" s="21" t="s">
        <v>2971</v>
      </c>
      <c r="D1699" s="21" t="s">
        <v>363</v>
      </c>
      <c r="E1699" s="53">
        <v>314.16</v>
      </c>
      <c r="F1699" s="30">
        <v>338.0</v>
      </c>
      <c r="G1699" s="418"/>
      <c r="H1699" s="18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17"/>
      <c r="Z1699" s="6"/>
      <c r="AA1699" s="18"/>
      <c r="AB1699" s="33"/>
      <c r="AC1699" s="34"/>
      <c r="AD1699" s="18"/>
      <c r="AE1699" s="18"/>
    </row>
    <row r="1700">
      <c r="A1700" s="5" t="s">
        <v>3507</v>
      </c>
      <c r="B1700" s="8" t="s">
        <v>3551</v>
      </c>
      <c r="C1700" s="21" t="s">
        <v>2972</v>
      </c>
      <c r="D1700" s="21" t="s">
        <v>378</v>
      </c>
      <c r="E1700" s="53">
        <v>570.0</v>
      </c>
      <c r="F1700" s="30">
        <v>614.0</v>
      </c>
      <c r="G1700" s="418"/>
      <c r="H1700" s="18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17"/>
      <c r="Z1700" s="6"/>
      <c r="AA1700" s="18"/>
      <c r="AB1700" s="33"/>
      <c r="AC1700" s="34"/>
      <c r="AD1700" s="18"/>
      <c r="AE1700" s="18"/>
    </row>
    <row r="1701">
      <c r="A1701" s="5" t="s">
        <v>3507</v>
      </c>
      <c r="B1701" s="8" t="s">
        <v>3551</v>
      </c>
      <c r="C1701" s="21" t="s">
        <v>2973</v>
      </c>
      <c r="D1701" s="21" t="s">
        <v>416</v>
      </c>
      <c r="E1701" s="53">
        <v>366.0</v>
      </c>
      <c r="F1701" s="30">
        <v>394.0</v>
      </c>
      <c r="G1701" s="418"/>
      <c r="H1701" s="18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17"/>
      <c r="Z1701" s="6"/>
      <c r="AA1701" s="18"/>
      <c r="AB1701" s="33"/>
      <c r="AC1701" s="34"/>
      <c r="AD1701" s="18"/>
      <c r="AE1701" s="18"/>
    </row>
    <row r="1702">
      <c r="A1702" s="5" t="s">
        <v>3507</v>
      </c>
      <c r="B1702" s="8" t="s">
        <v>3551</v>
      </c>
      <c r="C1702" s="21" t="s">
        <v>2975</v>
      </c>
      <c r="D1702" s="21" t="s">
        <v>692</v>
      </c>
      <c r="E1702" s="53">
        <v>740.0</v>
      </c>
      <c r="F1702" s="30">
        <v>798.0</v>
      </c>
      <c r="G1702" s="418"/>
      <c r="H1702" s="18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17"/>
      <c r="Z1702" s="6"/>
      <c r="AA1702" s="18"/>
      <c r="AB1702" s="33"/>
      <c r="AC1702" s="34"/>
      <c r="AD1702" s="18"/>
      <c r="AE1702" s="18"/>
    </row>
    <row r="1703">
      <c r="A1703" s="5" t="s">
        <v>3507</v>
      </c>
      <c r="B1703" s="8" t="s">
        <v>3551</v>
      </c>
      <c r="C1703" s="21" t="s">
        <v>2977</v>
      </c>
      <c r="D1703" s="21" t="s">
        <v>3488</v>
      </c>
      <c r="E1703" s="53">
        <v>674.0</v>
      </c>
      <c r="F1703" s="30">
        <v>728.0</v>
      </c>
      <c r="G1703" s="418"/>
      <c r="H1703" s="18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17"/>
      <c r="Z1703" s="6"/>
      <c r="AA1703" s="18"/>
      <c r="AB1703" s="33"/>
      <c r="AC1703" s="34"/>
      <c r="AD1703" s="18"/>
      <c r="AE1703" s="18"/>
    </row>
    <row r="1704">
      <c r="A1704" s="5" t="s">
        <v>3507</v>
      </c>
      <c r="B1704" s="8" t="s">
        <v>3551</v>
      </c>
      <c r="C1704" s="21" t="s">
        <v>2978</v>
      </c>
      <c r="D1704" s="21" t="s">
        <v>2468</v>
      </c>
      <c r="E1704" s="53">
        <v>740.0</v>
      </c>
      <c r="F1704" s="30">
        <v>798.0</v>
      </c>
      <c r="G1704" s="418"/>
      <c r="H1704" s="18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17"/>
      <c r="Z1704" s="6"/>
      <c r="AA1704" s="18"/>
      <c r="AB1704" s="33"/>
      <c r="AC1704" s="34"/>
      <c r="AD1704" s="18"/>
      <c r="AE1704" s="18"/>
    </row>
    <row r="1705">
      <c r="A1705" s="5" t="s">
        <v>3507</v>
      </c>
      <c r="B1705" s="8" t="s">
        <v>3551</v>
      </c>
      <c r="C1705" s="21" t="s">
        <v>2979</v>
      </c>
      <c r="D1705" s="21" t="s">
        <v>913</v>
      </c>
      <c r="E1705" s="53">
        <v>1390.0</v>
      </c>
      <c r="F1705" s="30">
        <v>1498.0</v>
      </c>
      <c r="G1705" s="418"/>
      <c r="H1705" s="18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17"/>
      <c r="Z1705" s="6"/>
      <c r="AA1705" s="18"/>
      <c r="AB1705" s="33"/>
      <c r="AC1705" s="34"/>
      <c r="AD1705" s="18"/>
      <c r="AE1705" s="18"/>
    </row>
    <row r="1706">
      <c r="A1706" s="5" t="s">
        <v>3507</v>
      </c>
      <c r="B1706" s="8" t="s">
        <v>3551</v>
      </c>
      <c r="C1706" s="21" t="s">
        <v>2980</v>
      </c>
      <c r="D1706" s="21" t="s">
        <v>1949</v>
      </c>
      <c r="E1706" s="53">
        <v>1280.4</v>
      </c>
      <c r="F1706" s="30">
        <v>1384.0</v>
      </c>
      <c r="G1706" s="418"/>
      <c r="H1706" s="18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17"/>
      <c r="Z1706" s="6"/>
      <c r="AA1706" s="18"/>
      <c r="AB1706" s="33"/>
      <c r="AC1706" s="34"/>
      <c r="AD1706" s="18"/>
      <c r="AE1706" s="18"/>
    </row>
    <row r="1707">
      <c r="A1707" s="5" t="s">
        <v>3507</v>
      </c>
      <c r="B1707" s="8" t="s">
        <v>3551</v>
      </c>
      <c r="C1707" s="21" t="s">
        <v>2981</v>
      </c>
      <c r="D1707" s="21" t="s">
        <v>1598</v>
      </c>
      <c r="E1707" s="53">
        <v>1680.3072</v>
      </c>
      <c r="F1707" s="30">
        <v>1814.0</v>
      </c>
      <c r="G1707" s="418"/>
      <c r="H1707" s="18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17"/>
      <c r="Z1707" s="6"/>
      <c r="AA1707" s="18"/>
      <c r="AB1707" s="33"/>
      <c r="AC1707" s="34"/>
      <c r="AD1707" s="18"/>
      <c r="AE1707" s="18"/>
    </row>
    <row r="1708">
      <c r="A1708" s="5" t="s">
        <v>3507</v>
      </c>
      <c r="B1708" s="8" t="s">
        <v>3551</v>
      </c>
      <c r="C1708" s="21" t="s">
        <v>2984</v>
      </c>
      <c r="D1708" s="21" t="s">
        <v>395</v>
      </c>
      <c r="E1708" s="53">
        <v>259.6</v>
      </c>
      <c r="F1708" s="30">
        <v>282.0</v>
      </c>
      <c r="G1708" s="418"/>
      <c r="H1708" s="18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17"/>
      <c r="Z1708" s="6"/>
      <c r="AA1708" s="18"/>
      <c r="AB1708" s="33"/>
      <c r="AC1708" s="34"/>
      <c r="AD1708" s="18"/>
      <c r="AE1708" s="18"/>
    </row>
    <row r="1709">
      <c r="A1709" s="5" t="s">
        <v>3507</v>
      </c>
      <c r="B1709" s="8" t="s">
        <v>3551</v>
      </c>
      <c r="C1709" s="21" t="s">
        <v>2985</v>
      </c>
      <c r="D1709" s="21" t="s">
        <v>359</v>
      </c>
      <c r="E1709" s="53">
        <v>560.0</v>
      </c>
      <c r="F1709" s="30">
        <v>598.0</v>
      </c>
      <c r="G1709" s="418"/>
      <c r="H1709" s="18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17"/>
      <c r="Z1709" s="6"/>
      <c r="AA1709" s="18"/>
      <c r="AB1709" s="33"/>
      <c r="AC1709" s="34"/>
      <c r="AD1709" s="18"/>
      <c r="AE1709" s="18"/>
    </row>
    <row r="1710">
      <c r="A1710" s="5" t="s">
        <v>3507</v>
      </c>
      <c r="B1710" s="8" t="s">
        <v>3551</v>
      </c>
      <c r="C1710" s="21" t="s">
        <v>2986</v>
      </c>
      <c r="D1710" s="21" t="s">
        <v>1137</v>
      </c>
      <c r="E1710" s="53">
        <v>670.0</v>
      </c>
      <c r="F1710" s="30">
        <v>724.0</v>
      </c>
      <c r="G1710" s="418"/>
      <c r="H1710" s="18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17"/>
      <c r="Z1710" s="6"/>
      <c r="AA1710" s="18"/>
      <c r="AB1710" s="33"/>
      <c r="AC1710" s="34"/>
      <c r="AD1710" s="18"/>
      <c r="AE1710" s="18"/>
    </row>
    <row r="1711">
      <c r="A1711" s="5" t="s">
        <v>3507</v>
      </c>
      <c r="B1711" s="8" t="s">
        <v>3551</v>
      </c>
      <c r="C1711" s="21" t="s">
        <v>2987</v>
      </c>
      <c r="D1711" s="21" t="s">
        <v>731</v>
      </c>
      <c r="E1711" s="53">
        <v>432.0</v>
      </c>
      <c r="F1711" s="30">
        <v>466.0</v>
      </c>
      <c r="G1711" s="418"/>
      <c r="H1711" s="18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17"/>
      <c r="Z1711" s="6"/>
      <c r="AA1711" s="18"/>
      <c r="AB1711" s="33"/>
      <c r="AC1711" s="34"/>
      <c r="AD1711" s="18"/>
      <c r="AE1711" s="18"/>
    </row>
    <row r="1712">
      <c r="A1712" s="5" t="s">
        <v>3507</v>
      </c>
      <c r="B1712" s="8" t="s">
        <v>3552</v>
      </c>
      <c r="C1712" s="21" t="str">
        <f t="array" ref="C1712:F1729">'COLOUR WISE'!B948:E965</f>
        <v>121-SR</v>
      </c>
      <c r="D1712" s="21" t="s">
        <v>798</v>
      </c>
      <c r="E1712" s="53">
        <v>239.56</v>
      </c>
      <c r="F1712" s="30">
        <v>258.0</v>
      </c>
      <c r="G1712" s="418"/>
      <c r="H1712" s="18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17"/>
      <c r="Z1712" s="6"/>
      <c r="AA1712" s="18"/>
      <c r="AB1712" s="33"/>
      <c r="AC1712" s="34"/>
      <c r="AD1712" s="18"/>
      <c r="AE1712" s="18"/>
    </row>
    <row r="1713">
      <c r="A1713" s="5" t="s">
        <v>3507</v>
      </c>
      <c r="B1713" s="8" t="s">
        <v>3552</v>
      </c>
      <c r="C1713" s="21" t="s">
        <v>1357</v>
      </c>
      <c r="D1713" s="21" t="s">
        <v>748</v>
      </c>
      <c r="E1713" s="53">
        <v>252.28</v>
      </c>
      <c r="F1713" s="30">
        <v>272.0</v>
      </c>
      <c r="G1713" s="418"/>
      <c r="H1713" s="18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17"/>
      <c r="Z1713" s="6"/>
      <c r="AA1713" s="18"/>
      <c r="AB1713" s="33"/>
      <c r="AC1713" s="34"/>
      <c r="AD1713" s="18"/>
      <c r="AE1713" s="18"/>
    </row>
    <row r="1714">
      <c r="A1714" s="5" t="s">
        <v>3507</v>
      </c>
      <c r="B1714" s="8" t="s">
        <v>3552</v>
      </c>
      <c r="C1714" s="21" t="s">
        <v>3007</v>
      </c>
      <c r="D1714" s="21" t="s">
        <v>751</v>
      </c>
      <c r="E1714" s="53">
        <v>313.76</v>
      </c>
      <c r="F1714" s="30">
        <v>342.0</v>
      </c>
      <c r="G1714" s="418"/>
      <c r="H1714" s="18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17"/>
      <c r="Z1714" s="6"/>
      <c r="AA1714" s="18"/>
      <c r="AB1714" s="33"/>
      <c r="AC1714" s="34"/>
      <c r="AD1714" s="18"/>
      <c r="AE1714" s="18"/>
    </row>
    <row r="1715">
      <c r="A1715" s="5" t="s">
        <v>3507</v>
      </c>
      <c r="B1715" s="8" t="s">
        <v>3552</v>
      </c>
      <c r="C1715" s="21" t="s">
        <v>3008</v>
      </c>
      <c r="D1715" s="21" t="s">
        <v>339</v>
      </c>
      <c r="E1715" s="53">
        <v>332.0</v>
      </c>
      <c r="F1715" s="30">
        <v>358.0</v>
      </c>
      <c r="G1715" s="418"/>
      <c r="H1715" s="18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17"/>
      <c r="Z1715" s="6"/>
      <c r="AA1715" s="18"/>
      <c r="AB1715" s="33"/>
      <c r="AC1715" s="34"/>
      <c r="AD1715" s="18"/>
      <c r="AE1715" s="18"/>
    </row>
    <row r="1716">
      <c r="A1716" s="5" t="s">
        <v>3507</v>
      </c>
      <c r="B1716" s="8" t="s">
        <v>3552</v>
      </c>
      <c r="C1716" s="21" t="s">
        <v>3009</v>
      </c>
      <c r="D1716" s="21" t="s">
        <v>363</v>
      </c>
      <c r="E1716" s="53">
        <v>287.85868800000003</v>
      </c>
      <c r="F1716" s="30">
        <v>312.0</v>
      </c>
      <c r="G1716" s="418"/>
      <c r="H1716" s="18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17"/>
      <c r="Z1716" s="6"/>
      <c r="AA1716" s="18"/>
      <c r="AB1716" s="33"/>
      <c r="AC1716" s="34"/>
      <c r="AD1716" s="18"/>
      <c r="AE1716" s="18"/>
    </row>
    <row r="1717">
      <c r="A1717" s="5" t="s">
        <v>3507</v>
      </c>
      <c r="B1717" s="8" t="s">
        <v>3552</v>
      </c>
      <c r="C1717" s="21" t="s">
        <v>3010</v>
      </c>
      <c r="D1717" s="21" t="s">
        <v>3011</v>
      </c>
      <c r="E1717" s="53">
        <v>484.0</v>
      </c>
      <c r="F1717" s="30">
        <v>522.0</v>
      </c>
      <c r="G1717" s="418"/>
      <c r="H1717" s="18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17"/>
      <c r="Z1717" s="6"/>
      <c r="AA1717" s="18"/>
      <c r="AB1717" s="33"/>
      <c r="AC1717" s="34"/>
      <c r="AD1717" s="18"/>
      <c r="AE1717" s="18"/>
    </row>
    <row r="1718">
      <c r="A1718" s="5" t="s">
        <v>3507</v>
      </c>
      <c r="B1718" s="8" t="s">
        <v>3552</v>
      </c>
      <c r="C1718" s="21" t="s">
        <v>3012</v>
      </c>
      <c r="D1718" s="21" t="s">
        <v>416</v>
      </c>
      <c r="E1718" s="53">
        <v>334.0</v>
      </c>
      <c r="F1718" s="30">
        <v>358.0</v>
      </c>
      <c r="G1718" s="418"/>
      <c r="H1718" s="18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17"/>
      <c r="Z1718" s="6"/>
      <c r="AA1718" s="18"/>
      <c r="AB1718" s="33"/>
      <c r="AC1718" s="34"/>
      <c r="AD1718" s="18"/>
      <c r="AE1718" s="18"/>
    </row>
    <row r="1719">
      <c r="A1719" s="5" t="s">
        <v>3507</v>
      </c>
      <c r="B1719" s="8" t="s">
        <v>3552</v>
      </c>
      <c r="C1719" s="21" t="s">
        <v>3013</v>
      </c>
      <c r="D1719" s="21" t="s">
        <v>2465</v>
      </c>
      <c r="E1719" s="53">
        <v>664.0</v>
      </c>
      <c r="F1719" s="30">
        <v>716.0</v>
      </c>
      <c r="G1719" s="418"/>
      <c r="H1719" s="18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17"/>
      <c r="Z1719" s="6"/>
      <c r="AA1719" s="18"/>
      <c r="AB1719" s="33"/>
      <c r="AC1719" s="34"/>
      <c r="AD1719" s="18"/>
      <c r="AE1719" s="18"/>
    </row>
    <row r="1720">
      <c r="A1720" s="5" t="s">
        <v>3507</v>
      </c>
      <c r="B1720" s="8" t="s">
        <v>3552</v>
      </c>
      <c r="C1720" s="21" t="s">
        <v>3014</v>
      </c>
      <c r="D1720" s="21" t="s">
        <v>3488</v>
      </c>
      <c r="E1720" s="53">
        <v>608.44</v>
      </c>
      <c r="F1720" s="30">
        <v>658.0</v>
      </c>
      <c r="G1720" s="418"/>
      <c r="H1720" s="18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17"/>
      <c r="Z1720" s="6"/>
      <c r="AA1720" s="18"/>
      <c r="AB1720" s="33"/>
      <c r="AC1720" s="34"/>
      <c r="AD1720" s="18"/>
      <c r="AE1720" s="18"/>
    </row>
    <row r="1721">
      <c r="A1721" s="5" t="s">
        <v>3507</v>
      </c>
      <c r="B1721" s="8" t="s">
        <v>3552</v>
      </c>
      <c r="C1721" s="21" t="s">
        <v>3015</v>
      </c>
      <c r="D1721" s="21" t="s">
        <v>2580</v>
      </c>
      <c r="E1721" s="53">
        <v>686.0</v>
      </c>
      <c r="F1721" s="30">
        <v>738.0</v>
      </c>
      <c r="G1721" s="418"/>
      <c r="H1721" s="18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17"/>
      <c r="Z1721" s="6"/>
      <c r="AA1721" s="18"/>
      <c r="AB1721" s="33"/>
      <c r="AC1721" s="34"/>
      <c r="AD1721" s="18"/>
      <c r="AE1721" s="18"/>
    </row>
    <row r="1722">
      <c r="A1722" s="5" t="s">
        <v>3507</v>
      </c>
      <c r="B1722" s="8" t="s">
        <v>3552</v>
      </c>
      <c r="C1722" s="21" t="s">
        <v>3016</v>
      </c>
      <c r="D1722" s="21" t="s">
        <v>913</v>
      </c>
      <c r="E1722" s="53">
        <v>1338.09312</v>
      </c>
      <c r="F1722" s="30">
        <v>1446.0</v>
      </c>
      <c r="G1722" s="418"/>
      <c r="H1722" s="18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17"/>
      <c r="Z1722" s="6"/>
      <c r="AA1722" s="18"/>
      <c r="AB1722" s="33"/>
      <c r="AC1722" s="34"/>
      <c r="AD1722" s="18"/>
      <c r="AE1722" s="18"/>
    </row>
    <row r="1723">
      <c r="A1723" s="5" t="s">
        <v>3507</v>
      </c>
      <c r="B1723" s="8" t="s">
        <v>3552</v>
      </c>
      <c r="C1723" s="21" t="s">
        <v>3019</v>
      </c>
      <c r="D1723" s="21" t="s">
        <v>1949</v>
      </c>
      <c r="E1723" s="53">
        <v>1280.48</v>
      </c>
      <c r="F1723" s="30">
        <v>1384.0</v>
      </c>
      <c r="G1723" s="418"/>
      <c r="H1723" s="18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17"/>
      <c r="Z1723" s="6"/>
      <c r="AA1723" s="18"/>
      <c r="AB1723" s="33"/>
      <c r="AC1723" s="34"/>
      <c r="AD1723" s="18"/>
      <c r="AE1723" s="18"/>
    </row>
    <row r="1724">
      <c r="A1724" s="5" t="s">
        <v>3507</v>
      </c>
      <c r="B1724" s="8" t="s">
        <v>3552</v>
      </c>
      <c r="C1724" s="21" t="s">
        <v>1358</v>
      </c>
      <c r="D1724" s="21" t="s">
        <v>523</v>
      </c>
      <c r="E1724" s="53">
        <v>1998.0</v>
      </c>
      <c r="F1724" s="30">
        <v>2158.0</v>
      </c>
      <c r="G1724" s="418"/>
      <c r="H1724" s="18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17"/>
      <c r="Z1724" s="6"/>
      <c r="AA1724" s="18"/>
      <c r="AB1724" s="33"/>
      <c r="AC1724" s="34"/>
      <c r="AD1724" s="18"/>
      <c r="AE1724" s="18"/>
    </row>
    <row r="1725">
      <c r="A1725" s="5" t="s">
        <v>3507</v>
      </c>
      <c r="B1725" s="8" t="s">
        <v>3552</v>
      </c>
      <c r="C1725" s="21" t="s">
        <v>3020</v>
      </c>
      <c r="D1725" s="21" t="s">
        <v>3493</v>
      </c>
      <c r="E1725" s="53">
        <v>1678.0</v>
      </c>
      <c r="F1725" s="30">
        <v>1808.0</v>
      </c>
      <c r="G1725" s="418"/>
      <c r="H1725" s="18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17"/>
      <c r="Z1725" s="6"/>
      <c r="AA1725" s="18"/>
      <c r="AB1725" s="33"/>
      <c r="AC1725" s="34"/>
      <c r="AD1725" s="18"/>
      <c r="AE1725" s="18"/>
    </row>
    <row r="1726">
      <c r="A1726" s="5" t="s">
        <v>3507</v>
      </c>
      <c r="B1726" s="8" t="s">
        <v>3552</v>
      </c>
      <c r="C1726" s="21" t="s">
        <v>3021</v>
      </c>
      <c r="D1726" s="21" t="s">
        <v>395</v>
      </c>
      <c r="E1726" s="53">
        <v>250.16000000000003</v>
      </c>
      <c r="F1726" s="30">
        <v>268.0</v>
      </c>
      <c r="G1726" s="418"/>
      <c r="H1726" s="18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17"/>
      <c r="Z1726" s="6"/>
      <c r="AA1726" s="18"/>
      <c r="AB1726" s="33"/>
      <c r="AC1726" s="34"/>
      <c r="AD1726" s="18"/>
      <c r="AE1726" s="18"/>
    </row>
    <row r="1727">
      <c r="A1727" s="5" t="s">
        <v>3507</v>
      </c>
      <c r="B1727" s="8" t="s">
        <v>3552</v>
      </c>
      <c r="C1727" s="21" t="s">
        <v>3022</v>
      </c>
      <c r="D1727" s="21" t="s">
        <v>829</v>
      </c>
      <c r="E1727" s="53">
        <v>447.530304</v>
      </c>
      <c r="F1727" s="30">
        <v>482.0</v>
      </c>
      <c r="G1727" s="418"/>
      <c r="H1727" s="18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17"/>
      <c r="Z1727" s="6"/>
      <c r="AA1727" s="18"/>
      <c r="AB1727" s="33"/>
      <c r="AC1727" s="34"/>
      <c r="AD1727" s="18"/>
      <c r="AE1727" s="18"/>
    </row>
    <row r="1728">
      <c r="A1728" s="5" t="s">
        <v>3507</v>
      </c>
      <c r="B1728" s="8" t="s">
        <v>3552</v>
      </c>
      <c r="C1728" s="21" t="s">
        <v>3023</v>
      </c>
      <c r="D1728" s="21" t="s">
        <v>2596</v>
      </c>
      <c r="E1728" s="53">
        <v>629.69088</v>
      </c>
      <c r="F1728" s="30">
        <v>678.0</v>
      </c>
      <c r="G1728" s="418"/>
      <c r="H1728" s="18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17"/>
      <c r="Z1728" s="6"/>
      <c r="AA1728" s="18"/>
      <c r="AB1728" s="33"/>
      <c r="AC1728" s="34"/>
      <c r="AD1728" s="18"/>
      <c r="AE1728" s="18"/>
    </row>
    <row r="1729">
      <c r="A1729" s="5" t="s">
        <v>3507</v>
      </c>
      <c r="B1729" s="8" t="s">
        <v>3552</v>
      </c>
      <c r="C1729" s="21" t="s">
        <v>3026</v>
      </c>
      <c r="D1729" s="21" t="s">
        <v>731</v>
      </c>
      <c r="E1729" s="53">
        <v>383.72</v>
      </c>
      <c r="F1729" s="30">
        <v>416.0</v>
      </c>
      <c r="G1729" s="418"/>
      <c r="H1729" s="18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17"/>
      <c r="Z1729" s="6"/>
      <c r="AA1729" s="18"/>
      <c r="AB1729" s="33"/>
      <c r="AC1729" s="34"/>
      <c r="AD1729" s="18"/>
      <c r="AE1729" s="18"/>
    </row>
    <row r="1730">
      <c r="A1730" s="5" t="s">
        <v>3507</v>
      </c>
      <c r="B1730" s="8" t="s">
        <v>3553</v>
      </c>
      <c r="C1730" s="21" t="str">
        <f t="array" ref="C1730:F1747">'COLOUR WISE'!B968:E985</f>
        <v>121-SW</v>
      </c>
      <c r="D1730" s="21" t="s">
        <v>306</v>
      </c>
      <c r="E1730" s="53">
        <v>239.56</v>
      </c>
      <c r="F1730" s="30">
        <v>258.0</v>
      </c>
      <c r="G1730" s="418"/>
      <c r="H1730" s="18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17"/>
      <c r="Z1730" s="6"/>
      <c r="AA1730" s="18"/>
      <c r="AB1730" s="33"/>
      <c r="AC1730" s="34"/>
      <c r="AD1730" s="18"/>
      <c r="AE1730" s="18"/>
    </row>
    <row r="1731">
      <c r="A1731" s="5" t="s">
        <v>3507</v>
      </c>
      <c r="B1731" s="8" t="s">
        <v>3553</v>
      </c>
      <c r="C1731" s="21" t="s">
        <v>1361</v>
      </c>
      <c r="D1731" s="21" t="s">
        <v>748</v>
      </c>
      <c r="E1731" s="53">
        <v>252.28</v>
      </c>
      <c r="F1731" s="30">
        <v>272.0</v>
      </c>
      <c r="G1731" s="418"/>
      <c r="H1731" s="18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17"/>
      <c r="Z1731" s="6"/>
      <c r="AA1731" s="18"/>
      <c r="AB1731" s="33"/>
      <c r="AC1731" s="34"/>
      <c r="AD1731" s="18"/>
      <c r="AE1731" s="18"/>
    </row>
    <row r="1732">
      <c r="A1732" s="5" t="s">
        <v>3507</v>
      </c>
      <c r="B1732" s="8" t="s">
        <v>3553</v>
      </c>
      <c r="C1732" s="21" t="s">
        <v>3029</v>
      </c>
      <c r="D1732" s="21" t="s">
        <v>751</v>
      </c>
      <c r="E1732" s="53">
        <v>313.76</v>
      </c>
      <c r="F1732" s="30">
        <v>342.0</v>
      </c>
      <c r="G1732" s="418"/>
      <c r="H1732" s="18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17"/>
      <c r="Z1732" s="6"/>
      <c r="AA1732" s="18"/>
      <c r="AB1732" s="33"/>
      <c r="AC1732" s="34"/>
      <c r="AD1732" s="18"/>
      <c r="AE1732" s="18"/>
    </row>
    <row r="1733">
      <c r="A1733" s="5" t="s">
        <v>3507</v>
      </c>
      <c r="B1733" s="8" t="s">
        <v>3553</v>
      </c>
      <c r="C1733" s="21" t="s">
        <v>3030</v>
      </c>
      <c r="D1733" s="21" t="s">
        <v>339</v>
      </c>
      <c r="E1733" s="53">
        <v>332.0</v>
      </c>
      <c r="F1733" s="30">
        <v>358.0</v>
      </c>
      <c r="G1733" s="418"/>
      <c r="H1733" s="18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17"/>
      <c r="Z1733" s="6"/>
      <c r="AA1733" s="18"/>
      <c r="AB1733" s="33"/>
      <c r="AC1733" s="34"/>
      <c r="AD1733" s="18"/>
      <c r="AE1733" s="18"/>
    </row>
    <row r="1734">
      <c r="A1734" s="5" t="s">
        <v>3507</v>
      </c>
      <c r="B1734" s="8" t="s">
        <v>3553</v>
      </c>
      <c r="C1734" s="21" t="s">
        <v>3033</v>
      </c>
      <c r="D1734" s="21" t="s">
        <v>363</v>
      </c>
      <c r="E1734" s="53">
        <v>287.85868800000003</v>
      </c>
      <c r="F1734" s="30">
        <v>312.0</v>
      </c>
      <c r="G1734" s="418"/>
      <c r="H1734" s="18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17"/>
      <c r="Z1734" s="6"/>
      <c r="AA1734" s="18"/>
      <c r="AB1734" s="33"/>
      <c r="AC1734" s="34"/>
      <c r="AD1734" s="18"/>
      <c r="AE1734" s="18"/>
    </row>
    <row r="1735">
      <c r="A1735" s="5" t="s">
        <v>3507</v>
      </c>
      <c r="B1735" s="8" t="s">
        <v>3553</v>
      </c>
      <c r="C1735" s="21" t="s">
        <v>3034</v>
      </c>
      <c r="D1735" s="21" t="s">
        <v>808</v>
      </c>
      <c r="E1735" s="53">
        <v>484.0</v>
      </c>
      <c r="F1735" s="30">
        <v>522.0</v>
      </c>
      <c r="G1735" s="418"/>
      <c r="H1735" s="18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17"/>
      <c r="Z1735" s="6"/>
      <c r="AA1735" s="18"/>
      <c r="AB1735" s="33"/>
      <c r="AC1735" s="34"/>
      <c r="AD1735" s="18"/>
      <c r="AE1735" s="18"/>
    </row>
    <row r="1736">
      <c r="A1736" s="5" t="s">
        <v>3507</v>
      </c>
      <c r="B1736" s="8" t="s">
        <v>3553</v>
      </c>
      <c r="C1736" s="21" t="s">
        <v>3035</v>
      </c>
      <c r="D1736" s="21" t="s">
        <v>416</v>
      </c>
      <c r="E1736" s="53">
        <v>334.0</v>
      </c>
      <c r="F1736" s="30">
        <v>358.0</v>
      </c>
      <c r="G1736" s="418"/>
      <c r="H1736" s="18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17"/>
      <c r="Z1736" s="6"/>
      <c r="AA1736" s="18"/>
      <c r="AB1736" s="33"/>
      <c r="AC1736" s="34"/>
      <c r="AD1736" s="18"/>
      <c r="AE1736" s="18"/>
    </row>
    <row r="1737">
      <c r="A1737" s="5" t="s">
        <v>3507</v>
      </c>
      <c r="B1737" s="8" t="s">
        <v>3553</v>
      </c>
      <c r="C1737" s="21" t="s">
        <v>3036</v>
      </c>
      <c r="D1737" s="21" t="s">
        <v>2465</v>
      </c>
      <c r="E1737" s="53">
        <v>664.0</v>
      </c>
      <c r="F1737" s="30">
        <v>716.0</v>
      </c>
      <c r="G1737" s="418"/>
      <c r="H1737" s="18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17"/>
      <c r="Z1737" s="6"/>
      <c r="AA1737" s="18"/>
      <c r="AB1737" s="33"/>
      <c r="AC1737" s="34"/>
      <c r="AD1737" s="18"/>
      <c r="AE1737" s="18"/>
    </row>
    <row r="1738">
      <c r="A1738" s="5" t="s">
        <v>3507</v>
      </c>
      <c r="B1738" s="8" t="s">
        <v>3553</v>
      </c>
      <c r="C1738" s="21" t="s">
        <v>3037</v>
      </c>
      <c r="D1738" s="21" t="s">
        <v>3038</v>
      </c>
      <c r="E1738" s="53">
        <v>608.44</v>
      </c>
      <c r="F1738" s="30">
        <v>658.0</v>
      </c>
      <c r="G1738" s="418"/>
      <c r="H1738" s="18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17"/>
      <c r="Z1738" s="6"/>
      <c r="AA1738" s="18"/>
      <c r="AB1738" s="33"/>
      <c r="AC1738" s="34"/>
      <c r="AD1738" s="18"/>
      <c r="AE1738" s="18"/>
    </row>
    <row r="1739">
      <c r="A1739" s="5" t="s">
        <v>3507</v>
      </c>
      <c r="B1739" s="8" t="s">
        <v>3553</v>
      </c>
      <c r="C1739" s="21" t="s">
        <v>3039</v>
      </c>
      <c r="D1739" s="21" t="s">
        <v>2580</v>
      </c>
      <c r="E1739" s="53">
        <v>686.0</v>
      </c>
      <c r="F1739" s="30">
        <v>738.0</v>
      </c>
      <c r="G1739" s="418"/>
      <c r="H1739" s="18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17"/>
      <c r="Z1739" s="6"/>
      <c r="AA1739" s="18"/>
      <c r="AB1739" s="33"/>
      <c r="AC1739" s="34"/>
      <c r="AD1739" s="18"/>
      <c r="AE1739" s="18"/>
    </row>
    <row r="1740">
      <c r="A1740" s="5" t="s">
        <v>3507</v>
      </c>
      <c r="B1740" s="8" t="s">
        <v>3553</v>
      </c>
      <c r="C1740" s="21" t="s">
        <v>3041</v>
      </c>
      <c r="D1740" s="21" t="s">
        <v>913</v>
      </c>
      <c r="E1740" s="53">
        <v>1338.09312</v>
      </c>
      <c r="F1740" s="30">
        <v>1446.0</v>
      </c>
      <c r="G1740" s="418"/>
      <c r="H1740" s="18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17"/>
      <c r="Z1740" s="6"/>
      <c r="AA1740" s="18"/>
      <c r="AB1740" s="33"/>
      <c r="AC1740" s="34"/>
      <c r="AD1740" s="18"/>
      <c r="AE1740" s="18"/>
    </row>
    <row r="1741">
      <c r="A1741" s="5" t="s">
        <v>3507</v>
      </c>
      <c r="B1741" s="8" t="s">
        <v>3553</v>
      </c>
      <c r="C1741" s="21" t="s">
        <v>3042</v>
      </c>
      <c r="D1741" s="21" t="s">
        <v>1949</v>
      </c>
      <c r="E1741" s="53">
        <v>1280.48</v>
      </c>
      <c r="F1741" s="30">
        <v>1384.0</v>
      </c>
      <c r="G1741" s="418"/>
      <c r="H1741" s="18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17"/>
      <c r="Z1741" s="6"/>
      <c r="AA1741" s="18"/>
      <c r="AB1741" s="33"/>
      <c r="AC1741" s="34"/>
      <c r="AD1741" s="18"/>
      <c r="AE1741" s="18"/>
    </row>
    <row r="1742">
      <c r="A1742" s="5" t="s">
        <v>3507</v>
      </c>
      <c r="B1742" s="8" t="s">
        <v>3553</v>
      </c>
      <c r="C1742" s="21" t="s">
        <v>1364</v>
      </c>
      <c r="D1742" s="21" t="s">
        <v>523</v>
      </c>
      <c r="E1742" s="53">
        <v>1998.0</v>
      </c>
      <c r="F1742" s="30">
        <v>2158.0</v>
      </c>
      <c r="G1742" s="418"/>
      <c r="H1742" s="18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17"/>
      <c r="Z1742" s="6"/>
      <c r="AA1742" s="18"/>
      <c r="AB1742" s="33"/>
      <c r="AC1742" s="34"/>
      <c r="AD1742" s="18"/>
      <c r="AE1742" s="18"/>
    </row>
    <row r="1743">
      <c r="A1743" s="5" t="s">
        <v>3507</v>
      </c>
      <c r="B1743" s="8" t="s">
        <v>3553</v>
      </c>
      <c r="C1743" s="21" t="s">
        <v>3044</v>
      </c>
      <c r="D1743" s="21" t="s">
        <v>1598</v>
      </c>
      <c r="E1743" s="53">
        <v>1678.0</v>
      </c>
      <c r="F1743" s="30">
        <v>1808.0</v>
      </c>
      <c r="G1743" s="418"/>
      <c r="H1743" s="18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17"/>
      <c r="Z1743" s="6"/>
      <c r="AA1743" s="18"/>
      <c r="AB1743" s="33"/>
      <c r="AC1743" s="34"/>
      <c r="AD1743" s="18"/>
      <c r="AE1743" s="18"/>
    </row>
    <row r="1744">
      <c r="A1744" s="5" t="s">
        <v>3507</v>
      </c>
      <c r="B1744" s="8" t="s">
        <v>3553</v>
      </c>
      <c r="C1744" s="21" t="s">
        <v>3045</v>
      </c>
      <c r="D1744" s="21" t="s">
        <v>395</v>
      </c>
      <c r="E1744" s="53">
        <v>250.16000000000003</v>
      </c>
      <c r="F1744" s="30">
        <v>268.0</v>
      </c>
      <c r="G1744" s="418"/>
      <c r="H1744" s="18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17"/>
      <c r="Z1744" s="6"/>
      <c r="AA1744" s="18"/>
      <c r="AB1744" s="33"/>
      <c r="AC1744" s="34"/>
      <c r="AD1744" s="18"/>
      <c r="AE1744" s="18"/>
    </row>
    <row r="1745">
      <c r="A1745" s="5" t="s">
        <v>3507</v>
      </c>
      <c r="B1745" s="8" t="s">
        <v>3553</v>
      </c>
      <c r="C1745" s="21" t="s">
        <v>3047</v>
      </c>
      <c r="D1745" s="21" t="s">
        <v>829</v>
      </c>
      <c r="E1745" s="53">
        <v>447.530304</v>
      </c>
      <c r="F1745" s="30">
        <v>482.0</v>
      </c>
      <c r="G1745" s="418"/>
      <c r="H1745" s="18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17"/>
      <c r="Z1745" s="6"/>
      <c r="AA1745" s="18"/>
      <c r="AB1745" s="33"/>
      <c r="AC1745" s="34"/>
      <c r="AD1745" s="18"/>
      <c r="AE1745" s="18"/>
    </row>
    <row r="1746">
      <c r="A1746" s="5" t="s">
        <v>3507</v>
      </c>
      <c r="B1746" s="8" t="s">
        <v>3553</v>
      </c>
      <c r="C1746" s="21" t="s">
        <v>3050</v>
      </c>
      <c r="D1746" s="21" t="s">
        <v>2596</v>
      </c>
      <c r="E1746" s="53">
        <v>629.69088</v>
      </c>
      <c r="F1746" s="30">
        <v>678.0</v>
      </c>
      <c r="G1746" s="418"/>
      <c r="H1746" s="18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17"/>
      <c r="Z1746" s="6"/>
      <c r="AA1746" s="18"/>
      <c r="AB1746" s="33"/>
      <c r="AC1746" s="34"/>
      <c r="AD1746" s="18"/>
      <c r="AE1746" s="18"/>
    </row>
    <row r="1747">
      <c r="A1747" s="5" t="s">
        <v>3507</v>
      </c>
      <c r="B1747" s="8" t="s">
        <v>3553</v>
      </c>
      <c r="C1747" s="21" t="s">
        <v>3051</v>
      </c>
      <c r="D1747" s="21" t="s">
        <v>731</v>
      </c>
      <c r="E1747" s="53">
        <v>383.72</v>
      </c>
      <c r="F1747" s="30">
        <v>416.0</v>
      </c>
      <c r="G1747" s="418"/>
      <c r="H1747" s="18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17"/>
      <c r="Z1747" s="6"/>
      <c r="AA1747" s="18"/>
      <c r="AB1747" s="33"/>
      <c r="AC1747" s="34"/>
      <c r="AD1747" s="18"/>
      <c r="AE1747" s="18"/>
    </row>
    <row r="1748">
      <c r="A1748" s="5" t="s">
        <v>3507</v>
      </c>
      <c r="B1748" s="8" t="s">
        <v>3554</v>
      </c>
      <c r="C1748" s="21" t="str">
        <f t="array" ref="C1748:F1765">'COLOUR WISE'!B988:E1005</f>
        <v>121-SG</v>
      </c>
      <c r="D1748" s="21" t="s">
        <v>306</v>
      </c>
      <c r="E1748" s="53">
        <v>239.56</v>
      </c>
      <c r="F1748" s="30">
        <v>258.0</v>
      </c>
      <c r="G1748" s="418"/>
      <c r="H1748" s="18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17"/>
      <c r="Z1748" s="6"/>
      <c r="AA1748" s="18"/>
      <c r="AB1748" s="33"/>
      <c r="AC1748" s="34"/>
      <c r="AD1748" s="18"/>
      <c r="AE1748" s="18"/>
    </row>
    <row r="1749">
      <c r="A1749" s="5" t="s">
        <v>3507</v>
      </c>
      <c r="B1749" s="8" t="s">
        <v>3554</v>
      </c>
      <c r="C1749" s="21" t="s">
        <v>1367</v>
      </c>
      <c r="D1749" s="21" t="s">
        <v>748</v>
      </c>
      <c r="E1749" s="53">
        <v>252.28</v>
      </c>
      <c r="F1749" s="30">
        <v>272.0</v>
      </c>
      <c r="G1749" s="418"/>
      <c r="H1749" s="18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17"/>
      <c r="Z1749" s="6"/>
      <c r="AA1749" s="18"/>
      <c r="AB1749" s="33"/>
      <c r="AC1749" s="34"/>
      <c r="AD1749" s="18"/>
      <c r="AE1749" s="18"/>
    </row>
    <row r="1750">
      <c r="A1750" s="5" t="s">
        <v>3507</v>
      </c>
      <c r="B1750" s="8" t="s">
        <v>3554</v>
      </c>
      <c r="C1750" s="21" t="s">
        <v>3056</v>
      </c>
      <c r="D1750" s="21" t="s">
        <v>751</v>
      </c>
      <c r="E1750" s="53">
        <v>313.76</v>
      </c>
      <c r="F1750" s="30">
        <v>342.0</v>
      </c>
      <c r="G1750" s="418"/>
      <c r="H1750" s="18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17"/>
      <c r="Z1750" s="6"/>
      <c r="AA1750" s="18"/>
      <c r="AB1750" s="33"/>
      <c r="AC1750" s="34"/>
      <c r="AD1750" s="18"/>
      <c r="AE1750" s="18"/>
    </row>
    <row r="1751">
      <c r="A1751" s="5" t="s">
        <v>3507</v>
      </c>
      <c r="B1751" s="8" t="s">
        <v>3554</v>
      </c>
      <c r="C1751" s="21" t="s">
        <v>3057</v>
      </c>
      <c r="D1751" s="21" t="s">
        <v>339</v>
      </c>
      <c r="E1751" s="53">
        <v>332.0</v>
      </c>
      <c r="F1751" s="30">
        <v>358.0</v>
      </c>
      <c r="G1751" s="418"/>
      <c r="H1751" s="18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17"/>
      <c r="Z1751" s="6"/>
      <c r="AA1751" s="18"/>
      <c r="AB1751" s="33"/>
      <c r="AC1751" s="34"/>
      <c r="AD1751" s="18"/>
      <c r="AE1751" s="18"/>
    </row>
    <row r="1752">
      <c r="A1752" s="5" t="s">
        <v>3507</v>
      </c>
      <c r="B1752" s="8" t="s">
        <v>3554</v>
      </c>
      <c r="C1752" s="21" t="s">
        <v>3058</v>
      </c>
      <c r="D1752" s="21" t="s">
        <v>363</v>
      </c>
      <c r="E1752" s="53">
        <v>287.85868800000003</v>
      </c>
      <c r="F1752" s="30">
        <v>312.0</v>
      </c>
      <c r="G1752" s="418"/>
      <c r="H1752" s="18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17"/>
      <c r="Z1752" s="6"/>
      <c r="AA1752" s="18"/>
      <c r="AB1752" s="33"/>
      <c r="AC1752" s="34"/>
      <c r="AD1752" s="18"/>
      <c r="AE1752" s="18"/>
    </row>
    <row r="1753">
      <c r="A1753" s="5" t="s">
        <v>3507</v>
      </c>
      <c r="B1753" s="8" t="s">
        <v>3554</v>
      </c>
      <c r="C1753" s="21" t="s">
        <v>3059</v>
      </c>
      <c r="D1753" s="21" t="s">
        <v>808</v>
      </c>
      <c r="E1753" s="53">
        <v>484.0</v>
      </c>
      <c r="F1753" s="30">
        <v>522.0</v>
      </c>
      <c r="G1753" s="418"/>
      <c r="H1753" s="18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17"/>
      <c r="Z1753" s="6"/>
      <c r="AA1753" s="18"/>
      <c r="AB1753" s="33"/>
      <c r="AC1753" s="34"/>
      <c r="AD1753" s="18"/>
      <c r="AE1753" s="18"/>
    </row>
    <row r="1754">
      <c r="A1754" s="5" t="s">
        <v>3507</v>
      </c>
      <c r="B1754" s="8" t="s">
        <v>3554</v>
      </c>
      <c r="C1754" s="21" t="s">
        <v>3060</v>
      </c>
      <c r="D1754" s="21" t="s">
        <v>416</v>
      </c>
      <c r="E1754" s="53">
        <v>334.0</v>
      </c>
      <c r="F1754" s="30">
        <v>358.0</v>
      </c>
      <c r="G1754" s="418"/>
      <c r="H1754" s="18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17"/>
      <c r="Z1754" s="6"/>
      <c r="AA1754" s="18"/>
      <c r="AB1754" s="33"/>
      <c r="AC1754" s="34"/>
      <c r="AD1754" s="18"/>
      <c r="AE1754" s="18"/>
    </row>
    <row r="1755">
      <c r="A1755" s="5" t="s">
        <v>3507</v>
      </c>
      <c r="B1755" s="8" t="s">
        <v>3554</v>
      </c>
      <c r="C1755" s="21" t="s">
        <v>3063</v>
      </c>
      <c r="D1755" s="21" t="s">
        <v>2465</v>
      </c>
      <c r="E1755" s="53">
        <v>664.0</v>
      </c>
      <c r="F1755" s="30">
        <v>716.0</v>
      </c>
      <c r="G1755" s="418"/>
      <c r="H1755" s="18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17"/>
      <c r="Z1755" s="6"/>
      <c r="AA1755" s="18"/>
      <c r="AB1755" s="33"/>
      <c r="AC1755" s="34"/>
      <c r="AD1755" s="18"/>
      <c r="AE1755" s="18"/>
    </row>
    <row r="1756">
      <c r="A1756" s="5" t="s">
        <v>3507</v>
      </c>
      <c r="B1756" s="8" t="s">
        <v>3554</v>
      </c>
      <c r="C1756" s="21" t="s">
        <v>3065</v>
      </c>
      <c r="D1756" s="21" t="s">
        <v>3038</v>
      </c>
      <c r="E1756" s="53">
        <v>608.44</v>
      </c>
      <c r="F1756" s="30">
        <v>658.0</v>
      </c>
      <c r="G1756" s="418"/>
      <c r="H1756" s="18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17"/>
      <c r="Z1756" s="6"/>
      <c r="AA1756" s="18"/>
      <c r="AB1756" s="33"/>
      <c r="AC1756" s="34"/>
      <c r="AD1756" s="18"/>
      <c r="AE1756" s="18"/>
    </row>
    <row r="1757">
      <c r="A1757" s="5" t="s">
        <v>3507</v>
      </c>
      <c r="B1757" s="8" t="s">
        <v>3554</v>
      </c>
      <c r="C1757" s="21" t="s">
        <v>3066</v>
      </c>
      <c r="D1757" s="21" t="s">
        <v>2580</v>
      </c>
      <c r="E1757" s="53">
        <v>686.0</v>
      </c>
      <c r="F1757" s="30">
        <v>738.0</v>
      </c>
      <c r="G1757" s="418"/>
      <c r="H1757" s="18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17"/>
      <c r="Z1757" s="6"/>
      <c r="AA1757" s="18"/>
      <c r="AB1757" s="33"/>
      <c r="AC1757" s="34"/>
      <c r="AD1757" s="18"/>
      <c r="AE1757" s="18"/>
    </row>
    <row r="1758">
      <c r="A1758" s="5" t="s">
        <v>3507</v>
      </c>
      <c r="B1758" s="8" t="s">
        <v>3554</v>
      </c>
      <c r="C1758" s="21" t="s">
        <v>3067</v>
      </c>
      <c r="D1758" s="21" t="s">
        <v>913</v>
      </c>
      <c r="E1758" s="53">
        <v>1338.09312</v>
      </c>
      <c r="F1758" s="30">
        <v>1446.0</v>
      </c>
      <c r="G1758" s="418"/>
      <c r="H1758" s="18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17"/>
      <c r="Z1758" s="6"/>
      <c r="AA1758" s="18"/>
      <c r="AB1758" s="33"/>
      <c r="AC1758" s="34"/>
      <c r="AD1758" s="18"/>
      <c r="AE1758" s="18"/>
    </row>
    <row r="1759">
      <c r="A1759" s="5" t="s">
        <v>3507</v>
      </c>
      <c r="B1759" s="8" t="s">
        <v>3554</v>
      </c>
      <c r="C1759" s="21" t="s">
        <v>3069</v>
      </c>
      <c r="D1759" s="21" t="s">
        <v>1949</v>
      </c>
      <c r="E1759" s="53">
        <v>1280.48</v>
      </c>
      <c r="F1759" s="30">
        <v>1384.0</v>
      </c>
      <c r="G1759" s="418"/>
      <c r="H1759" s="18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17"/>
      <c r="Z1759" s="6"/>
      <c r="AA1759" s="18"/>
      <c r="AB1759" s="33"/>
      <c r="AC1759" s="34"/>
      <c r="AD1759" s="18"/>
      <c r="AE1759" s="18"/>
    </row>
    <row r="1760">
      <c r="A1760" s="5" t="s">
        <v>3507</v>
      </c>
      <c r="B1760" s="8" t="s">
        <v>3554</v>
      </c>
      <c r="C1760" s="21" t="s">
        <v>1371</v>
      </c>
      <c r="D1760" s="21" t="s">
        <v>523</v>
      </c>
      <c r="E1760" s="53">
        <v>1998.0</v>
      </c>
      <c r="F1760" s="30">
        <v>2158.0</v>
      </c>
      <c r="G1760" s="418"/>
      <c r="H1760" s="18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17"/>
      <c r="Z1760" s="6"/>
      <c r="AA1760" s="18"/>
      <c r="AB1760" s="33"/>
      <c r="AC1760" s="34"/>
      <c r="AD1760" s="18"/>
      <c r="AE1760" s="18"/>
    </row>
    <row r="1761">
      <c r="A1761" s="5" t="s">
        <v>3507</v>
      </c>
      <c r="B1761" s="8" t="s">
        <v>3554</v>
      </c>
      <c r="C1761" s="21" t="s">
        <v>3070</v>
      </c>
      <c r="D1761" s="21" t="s">
        <v>1598</v>
      </c>
      <c r="E1761" s="53">
        <v>1678.0</v>
      </c>
      <c r="F1761" s="30">
        <v>1808.0</v>
      </c>
      <c r="G1761" s="418"/>
      <c r="H1761" s="18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17"/>
      <c r="Z1761" s="6"/>
      <c r="AA1761" s="18"/>
      <c r="AB1761" s="33"/>
      <c r="AC1761" s="34"/>
      <c r="AD1761" s="18"/>
      <c r="AE1761" s="18"/>
    </row>
    <row r="1762">
      <c r="A1762" s="5" t="s">
        <v>3507</v>
      </c>
      <c r="B1762" s="8" t="s">
        <v>3554</v>
      </c>
      <c r="C1762" s="21" t="s">
        <v>3071</v>
      </c>
      <c r="D1762" s="21" t="s">
        <v>395</v>
      </c>
      <c r="E1762" s="53">
        <v>250.16000000000003</v>
      </c>
      <c r="F1762" s="30">
        <v>268.0</v>
      </c>
      <c r="G1762" s="418"/>
      <c r="H1762" s="18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17"/>
      <c r="Z1762" s="6"/>
      <c r="AA1762" s="18"/>
      <c r="AB1762" s="33"/>
      <c r="AC1762" s="34"/>
      <c r="AD1762" s="18"/>
      <c r="AE1762" s="18"/>
    </row>
    <row r="1763">
      <c r="A1763" s="5" t="s">
        <v>3507</v>
      </c>
      <c r="B1763" s="8" t="s">
        <v>3554</v>
      </c>
      <c r="C1763" s="21" t="s">
        <v>3073</v>
      </c>
      <c r="D1763" s="21" t="s">
        <v>829</v>
      </c>
      <c r="E1763" s="53">
        <v>447.530304</v>
      </c>
      <c r="F1763" s="30">
        <v>482.0</v>
      </c>
      <c r="G1763" s="418"/>
      <c r="H1763" s="18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17"/>
      <c r="Z1763" s="6"/>
      <c r="AA1763" s="18"/>
      <c r="AB1763" s="33"/>
      <c r="AC1763" s="34"/>
      <c r="AD1763" s="18"/>
      <c r="AE1763" s="18"/>
    </row>
    <row r="1764">
      <c r="A1764" s="5" t="s">
        <v>3507</v>
      </c>
      <c r="B1764" s="8" t="s">
        <v>3554</v>
      </c>
      <c r="C1764" s="21" t="s">
        <v>3076</v>
      </c>
      <c r="D1764" s="21" t="s">
        <v>2596</v>
      </c>
      <c r="E1764" s="53">
        <v>629.69088</v>
      </c>
      <c r="F1764" s="30">
        <v>678.0</v>
      </c>
      <c r="G1764" s="418"/>
      <c r="H1764" s="18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17"/>
      <c r="Z1764" s="6"/>
      <c r="AA1764" s="18"/>
      <c r="AB1764" s="33"/>
      <c r="AC1764" s="34"/>
      <c r="AD1764" s="18"/>
      <c r="AE1764" s="18"/>
    </row>
    <row r="1765">
      <c r="A1765" s="5" t="s">
        <v>3507</v>
      </c>
      <c r="B1765" s="8" t="s">
        <v>3554</v>
      </c>
      <c r="C1765" s="21" t="s">
        <v>3077</v>
      </c>
      <c r="D1765" s="21" t="s">
        <v>731</v>
      </c>
      <c r="E1765" s="53">
        <v>383.72</v>
      </c>
      <c r="F1765" s="30">
        <v>416.0</v>
      </c>
      <c r="G1765" s="418"/>
      <c r="H1765" s="18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17"/>
      <c r="Z1765" s="6"/>
      <c r="AA1765" s="18"/>
      <c r="AB1765" s="33"/>
      <c r="AC1765" s="34"/>
      <c r="AD1765" s="18"/>
      <c r="AE1765" s="18"/>
    </row>
    <row r="1766">
      <c r="A1766" s="5" t="s">
        <v>3507</v>
      </c>
      <c r="B1766" s="8" t="s">
        <v>3555</v>
      </c>
      <c r="C1766" s="21" t="str">
        <f t="array" ref="C1766:F1783">'COLOUR WISE'!B1008:E1025</f>
        <v>121-SP</v>
      </c>
      <c r="D1766" s="21" t="s">
        <v>306</v>
      </c>
      <c r="E1766" s="53">
        <v>239.56</v>
      </c>
      <c r="F1766" s="30">
        <v>258.0</v>
      </c>
      <c r="G1766" s="418"/>
      <c r="H1766" s="18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17"/>
      <c r="Z1766" s="6"/>
      <c r="AA1766" s="18"/>
      <c r="AB1766" s="33"/>
      <c r="AC1766" s="34"/>
      <c r="AD1766" s="18"/>
      <c r="AE1766" s="18"/>
    </row>
    <row r="1767">
      <c r="A1767" s="5" t="s">
        <v>3507</v>
      </c>
      <c r="B1767" s="8" t="s">
        <v>3555</v>
      </c>
      <c r="C1767" s="21" t="s">
        <v>1374</v>
      </c>
      <c r="D1767" s="21" t="s">
        <v>748</v>
      </c>
      <c r="E1767" s="53">
        <v>252.28</v>
      </c>
      <c r="F1767" s="30">
        <v>272.0</v>
      </c>
      <c r="G1767" s="418"/>
      <c r="H1767" s="18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17"/>
      <c r="Z1767" s="6"/>
      <c r="AA1767" s="18"/>
      <c r="AB1767" s="33"/>
      <c r="AC1767" s="34"/>
      <c r="AD1767" s="18"/>
      <c r="AE1767" s="18"/>
    </row>
    <row r="1768">
      <c r="A1768" s="5" t="s">
        <v>3507</v>
      </c>
      <c r="B1768" s="8" t="s">
        <v>3555</v>
      </c>
      <c r="C1768" s="21" t="s">
        <v>3080</v>
      </c>
      <c r="D1768" s="21" t="s">
        <v>751</v>
      </c>
      <c r="E1768" s="53">
        <v>313.76</v>
      </c>
      <c r="F1768" s="30">
        <v>342.0</v>
      </c>
      <c r="G1768" s="418"/>
      <c r="H1768" s="18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17"/>
      <c r="Z1768" s="6"/>
      <c r="AA1768" s="18"/>
      <c r="AB1768" s="33"/>
      <c r="AC1768" s="34"/>
      <c r="AD1768" s="18"/>
      <c r="AE1768" s="18"/>
    </row>
    <row r="1769">
      <c r="A1769" s="5" t="s">
        <v>3507</v>
      </c>
      <c r="B1769" s="8" t="s">
        <v>3555</v>
      </c>
      <c r="C1769" s="21" t="s">
        <v>3082</v>
      </c>
      <c r="D1769" s="21" t="s">
        <v>339</v>
      </c>
      <c r="E1769" s="53">
        <v>332.0</v>
      </c>
      <c r="F1769" s="30">
        <v>358.0</v>
      </c>
      <c r="G1769" s="418"/>
      <c r="H1769" s="18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17"/>
      <c r="Z1769" s="6"/>
      <c r="AA1769" s="18"/>
      <c r="AB1769" s="33"/>
      <c r="AC1769" s="34"/>
      <c r="AD1769" s="18"/>
      <c r="AE1769" s="18"/>
    </row>
    <row r="1770">
      <c r="A1770" s="5" t="s">
        <v>3507</v>
      </c>
      <c r="B1770" s="8" t="s">
        <v>3555</v>
      </c>
      <c r="C1770" s="21" t="s">
        <v>3083</v>
      </c>
      <c r="D1770" s="21" t="s">
        <v>363</v>
      </c>
      <c r="E1770" s="53">
        <v>287.85868800000003</v>
      </c>
      <c r="F1770" s="30">
        <v>312.0</v>
      </c>
      <c r="G1770" s="418"/>
      <c r="H1770" s="18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17"/>
      <c r="Z1770" s="6"/>
      <c r="AA1770" s="18"/>
      <c r="AB1770" s="33"/>
      <c r="AC1770" s="34"/>
      <c r="AD1770" s="18"/>
      <c r="AE1770" s="18"/>
    </row>
    <row r="1771">
      <c r="A1771" s="5" t="s">
        <v>3507</v>
      </c>
      <c r="B1771" s="8" t="s">
        <v>3555</v>
      </c>
      <c r="C1771" s="21" t="s">
        <v>3084</v>
      </c>
      <c r="D1771" s="21" t="s">
        <v>808</v>
      </c>
      <c r="E1771" s="53">
        <v>484.0</v>
      </c>
      <c r="F1771" s="30">
        <v>522.0</v>
      </c>
      <c r="G1771" s="418"/>
      <c r="H1771" s="18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17"/>
      <c r="Z1771" s="6"/>
      <c r="AA1771" s="18"/>
      <c r="AB1771" s="33"/>
      <c r="AC1771" s="34"/>
      <c r="AD1771" s="18"/>
      <c r="AE1771" s="18"/>
    </row>
    <row r="1772">
      <c r="A1772" s="5" t="s">
        <v>3507</v>
      </c>
      <c r="B1772" s="8" t="s">
        <v>3555</v>
      </c>
      <c r="C1772" s="21" t="s">
        <v>3085</v>
      </c>
      <c r="D1772" s="21" t="s">
        <v>416</v>
      </c>
      <c r="E1772" s="53">
        <v>334.0</v>
      </c>
      <c r="F1772" s="30">
        <v>358.0</v>
      </c>
      <c r="G1772" s="418"/>
      <c r="H1772" s="18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17"/>
      <c r="Z1772" s="6"/>
      <c r="AA1772" s="18"/>
      <c r="AB1772" s="33"/>
      <c r="AC1772" s="34"/>
      <c r="AD1772" s="18"/>
      <c r="AE1772" s="18"/>
    </row>
    <row r="1773">
      <c r="A1773" s="5" t="s">
        <v>3507</v>
      </c>
      <c r="B1773" s="8" t="s">
        <v>3555</v>
      </c>
      <c r="C1773" s="21" t="s">
        <v>3086</v>
      </c>
      <c r="D1773" s="21" t="s">
        <v>2465</v>
      </c>
      <c r="E1773" s="53">
        <v>664.0</v>
      </c>
      <c r="F1773" s="30">
        <v>716.0</v>
      </c>
      <c r="G1773" s="418"/>
      <c r="H1773" s="18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17"/>
      <c r="Z1773" s="6"/>
      <c r="AA1773" s="18"/>
      <c r="AB1773" s="33"/>
      <c r="AC1773" s="34"/>
      <c r="AD1773" s="18"/>
      <c r="AE1773" s="18"/>
    </row>
    <row r="1774">
      <c r="A1774" s="5" t="s">
        <v>3507</v>
      </c>
      <c r="B1774" s="8" t="s">
        <v>3555</v>
      </c>
      <c r="C1774" s="21" t="s">
        <v>3088</v>
      </c>
      <c r="D1774" s="21" t="s">
        <v>3038</v>
      </c>
      <c r="E1774" s="53">
        <v>608.44</v>
      </c>
      <c r="F1774" s="30">
        <v>658.0</v>
      </c>
      <c r="G1774" s="418"/>
      <c r="H1774" s="18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17"/>
      <c r="Z1774" s="6"/>
      <c r="AA1774" s="18"/>
      <c r="AB1774" s="33"/>
      <c r="AC1774" s="34"/>
      <c r="AD1774" s="18"/>
      <c r="AE1774" s="18"/>
    </row>
    <row r="1775">
      <c r="A1775" s="5" t="s">
        <v>3507</v>
      </c>
      <c r="B1775" s="8" t="s">
        <v>3555</v>
      </c>
      <c r="C1775" s="21" t="s">
        <v>3089</v>
      </c>
      <c r="D1775" s="21" t="s">
        <v>2580</v>
      </c>
      <c r="E1775" s="53">
        <v>686.0</v>
      </c>
      <c r="F1775" s="30">
        <v>738.0</v>
      </c>
      <c r="G1775" s="418"/>
      <c r="H1775" s="18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17"/>
      <c r="Z1775" s="6"/>
      <c r="AA1775" s="18"/>
      <c r="AB1775" s="33"/>
      <c r="AC1775" s="34"/>
      <c r="AD1775" s="18"/>
      <c r="AE1775" s="18"/>
    </row>
    <row r="1776">
      <c r="A1776" s="5" t="s">
        <v>3507</v>
      </c>
      <c r="B1776" s="8" t="s">
        <v>3555</v>
      </c>
      <c r="C1776" s="21" t="s">
        <v>3090</v>
      </c>
      <c r="D1776" s="21" t="s">
        <v>913</v>
      </c>
      <c r="E1776" s="53">
        <v>1338.09312</v>
      </c>
      <c r="F1776" s="30">
        <v>1446.0</v>
      </c>
      <c r="G1776" s="418"/>
      <c r="H1776" s="18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17"/>
      <c r="Z1776" s="6"/>
      <c r="AA1776" s="18"/>
      <c r="AB1776" s="33"/>
      <c r="AC1776" s="34"/>
      <c r="AD1776" s="18"/>
      <c r="AE1776" s="18"/>
    </row>
    <row r="1777">
      <c r="A1777" s="5" t="s">
        <v>3507</v>
      </c>
      <c r="B1777" s="8" t="s">
        <v>3555</v>
      </c>
      <c r="C1777" s="21" t="s">
        <v>3091</v>
      </c>
      <c r="D1777" s="21" t="s">
        <v>1949</v>
      </c>
      <c r="E1777" s="53">
        <v>1280.48</v>
      </c>
      <c r="F1777" s="30">
        <v>1384.0</v>
      </c>
      <c r="G1777" s="418"/>
      <c r="H1777" s="18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17"/>
      <c r="Z1777" s="6"/>
      <c r="AA1777" s="18"/>
      <c r="AB1777" s="33"/>
      <c r="AC1777" s="34"/>
      <c r="AD1777" s="18"/>
      <c r="AE1777" s="18"/>
    </row>
    <row r="1778">
      <c r="A1778" s="5" t="s">
        <v>3507</v>
      </c>
      <c r="B1778" s="8" t="s">
        <v>3555</v>
      </c>
      <c r="C1778" s="21" t="s">
        <v>1377</v>
      </c>
      <c r="D1778" s="21" t="s">
        <v>523</v>
      </c>
      <c r="E1778" s="53">
        <v>1998.0</v>
      </c>
      <c r="F1778" s="30">
        <v>2158.0</v>
      </c>
      <c r="G1778" s="418"/>
      <c r="H1778" s="18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17"/>
      <c r="Z1778" s="6"/>
      <c r="AA1778" s="18"/>
      <c r="AB1778" s="33"/>
      <c r="AC1778" s="34"/>
      <c r="AD1778" s="18"/>
      <c r="AE1778" s="18"/>
    </row>
    <row r="1779">
      <c r="A1779" s="5" t="s">
        <v>3507</v>
      </c>
      <c r="B1779" s="8" t="s">
        <v>3555</v>
      </c>
      <c r="C1779" s="21" t="s">
        <v>3092</v>
      </c>
      <c r="D1779" s="21" t="s">
        <v>1598</v>
      </c>
      <c r="E1779" s="53">
        <v>1678.0</v>
      </c>
      <c r="F1779" s="30">
        <v>1808.0</v>
      </c>
      <c r="G1779" s="418"/>
      <c r="H1779" s="18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17"/>
      <c r="Z1779" s="6"/>
      <c r="AA1779" s="18"/>
      <c r="AB1779" s="33"/>
      <c r="AC1779" s="34"/>
      <c r="AD1779" s="18"/>
      <c r="AE1779" s="18"/>
    </row>
    <row r="1780">
      <c r="A1780" s="5" t="s">
        <v>3507</v>
      </c>
      <c r="B1780" s="8" t="s">
        <v>3555</v>
      </c>
      <c r="C1780" s="21" t="s">
        <v>3094</v>
      </c>
      <c r="D1780" s="21" t="s">
        <v>395</v>
      </c>
      <c r="E1780" s="53">
        <v>250.16000000000003</v>
      </c>
      <c r="F1780" s="30">
        <v>268.0</v>
      </c>
      <c r="G1780" s="418"/>
      <c r="H1780" s="18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17"/>
      <c r="Z1780" s="6"/>
      <c r="AA1780" s="18"/>
      <c r="AB1780" s="33"/>
      <c r="AC1780" s="34"/>
      <c r="AD1780" s="18"/>
      <c r="AE1780" s="18"/>
    </row>
    <row r="1781">
      <c r="A1781" s="5" t="s">
        <v>3507</v>
      </c>
      <c r="B1781" s="8" t="s">
        <v>3555</v>
      </c>
      <c r="C1781" s="21" t="s">
        <v>3095</v>
      </c>
      <c r="D1781" s="21" t="s">
        <v>829</v>
      </c>
      <c r="E1781" s="53">
        <v>447.530304</v>
      </c>
      <c r="F1781" s="30">
        <v>482.0</v>
      </c>
      <c r="G1781" s="418"/>
      <c r="H1781" s="18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17"/>
      <c r="Z1781" s="6"/>
      <c r="AA1781" s="18"/>
      <c r="AB1781" s="33"/>
      <c r="AC1781" s="34"/>
      <c r="AD1781" s="18"/>
      <c r="AE1781" s="18"/>
    </row>
    <row r="1782">
      <c r="A1782" s="5" t="s">
        <v>3507</v>
      </c>
      <c r="B1782" s="8" t="s">
        <v>3555</v>
      </c>
      <c r="C1782" s="21" t="s">
        <v>3096</v>
      </c>
      <c r="D1782" s="21" t="s">
        <v>2596</v>
      </c>
      <c r="E1782" s="53">
        <v>629.69088</v>
      </c>
      <c r="F1782" s="30">
        <v>678.0</v>
      </c>
      <c r="G1782" s="418"/>
      <c r="H1782" s="18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17"/>
      <c r="Z1782" s="6"/>
      <c r="AA1782" s="18"/>
      <c r="AB1782" s="33"/>
      <c r="AC1782" s="34"/>
      <c r="AD1782" s="18"/>
      <c r="AE1782" s="18"/>
    </row>
    <row r="1783">
      <c r="A1783" s="5" t="s">
        <v>3507</v>
      </c>
      <c r="B1783" s="8" t="s">
        <v>3555</v>
      </c>
      <c r="C1783" s="21" t="s">
        <v>3097</v>
      </c>
      <c r="D1783" s="21" t="s">
        <v>731</v>
      </c>
      <c r="E1783" s="53">
        <v>383.72</v>
      </c>
      <c r="F1783" s="30">
        <v>416.0</v>
      </c>
      <c r="G1783" s="418"/>
      <c r="H1783" s="18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17"/>
      <c r="Z1783" s="6"/>
      <c r="AA1783" s="18"/>
      <c r="AB1783" s="33"/>
      <c r="AC1783" s="34"/>
      <c r="AD1783" s="18"/>
      <c r="AE1783" s="18"/>
    </row>
    <row r="1784">
      <c r="A1784" s="5" t="s">
        <v>3507</v>
      </c>
      <c r="B1784" s="8" t="s">
        <v>3556</v>
      </c>
      <c r="C1784" s="21" t="str">
        <f t="array" ref="C1784:F1794">'COLOUR WISE'!B1028:E1038</f>
        <v>1813-W</v>
      </c>
      <c r="D1784" s="21" t="s">
        <v>3207</v>
      </c>
      <c r="E1784" s="53">
        <v>308.0</v>
      </c>
      <c r="F1784" s="30">
        <v>336.0</v>
      </c>
      <c r="G1784" s="418"/>
      <c r="H1784" s="18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17"/>
      <c r="Z1784" s="6"/>
      <c r="AA1784" s="18"/>
      <c r="AB1784" s="33"/>
      <c r="AC1784" s="34"/>
      <c r="AD1784" s="18"/>
      <c r="AE1784" s="18"/>
    </row>
    <row r="1785">
      <c r="A1785" s="5" t="s">
        <v>3507</v>
      </c>
      <c r="B1785" s="8" t="s">
        <v>3556</v>
      </c>
      <c r="C1785" s="21" t="s">
        <v>3210</v>
      </c>
      <c r="D1785" s="21" t="s">
        <v>1708</v>
      </c>
      <c r="E1785" s="53">
        <v>474.0</v>
      </c>
      <c r="F1785" s="30">
        <v>512.0</v>
      </c>
      <c r="G1785" s="418"/>
      <c r="H1785" s="18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17"/>
      <c r="Z1785" s="6"/>
      <c r="AA1785" s="18"/>
      <c r="AB1785" s="33"/>
      <c r="AC1785" s="34"/>
      <c r="AD1785" s="18"/>
      <c r="AE1785" s="18"/>
    </row>
    <row r="1786">
      <c r="A1786" s="5" t="s">
        <v>3507</v>
      </c>
      <c r="B1786" s="8" t="s">
        <v>3556</v>
      </c>
      <c r="C1786" s="21" t="s">
        <v>3211</v>
      </c>
      <c r="D1786" s="21" t="s">
        <v>1700</v>
      </c>
      <c r="E1786" s="53">
        <v>496.08000000000004</v>
      </c>
      <c r="F1786" s="30">
        <v>536.0</v>
      </c>
      <c r="G1786" s="418"/>
      <c r="H1786" s="18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17"/>
      <c r="Z1786" s="6"/>
      <c r="AA1786" s="18"/>
      <c r="AB1786" s="33"/>
      <c r="AC1786" s="34"/>
      <c r="AD1786" s="18"/>
      <c r="AE1786" s="18"/>
    </row>
    <row r="1787">
      <c r="A1787" s="5" t="s">
        <v>3507</v>
      </c>
      <c r="B1787" s="8" t="s">
        <v>3556</v>
      </c>
      <c r="C1787" s="21" t="s">
        <v>3212</v>
      </c>
      <c r="D1787" s="21" t="s">
        <v>1667</v>
      </c>
      <c r="E1787" s="53">
        <v>322.1976</v>
      </c>
      <c r="F1787" s="30">
        <v>348.0</v>
      </c>
      <c r="G1787" s="418"/>
      <c r="H1787" s="18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17"/>
      <c r="Z1787" s="6"/>
      <c r="AA1787" s="18"/>
      <c r="AB1787" s="33"/>
      <c r="AC1787" s="34"/>
      <c r="AD1787" s="18"/>
      <c r="AE1787" s="18"/>
    </row>
    <row r="1788">
      <c r="A1788" s="5" t="s">
        <v>3507</v>
      </c>
      <c r="B1788" s="8" t="s">
        <v>3556</v>
      </c>
      <c r="C1788" s="21" t="s">
        <v>3213</v>
      </c>
      <c r="D1788" s="21" t="s">
        <v>1710</v>
      </c>
      <c r="E1788" s="53">
        <v>486.0</v>
      </c>
      <c r="F1788" s="30">
        <v>526.0</v>
      </c>
      <c r="G1788" s="418"/>
      <c r="H1788" s="18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17"/>
      <c r="Z1788" s="6"/>
      <c r="AA1788" s="18"/>
      <c r="AB1788" s="33"/>
      <c r="AC1788" s="34"/>
      <c r="AD1788" s="18"/>
      <c r="AE1788" s="18"/>
    </row>
    <row r="1789">
      <c r="A1789" s="5" t="s">
        <v>3507</v>
      </c>
      <c r="B1789" s="8" t="s">
        <v>3556</v>
      </c>
      <c r="C1789" s="21" t="s">
        <v>3214</v>
      </c>
      <c r="D1789" s="21" t="s">
        <v>1712</v>
      </c>
      <c r="E1789" s="53">
        <v>510.49939200000006</v>
      </c>
      <c r="F1789" s="30">
        <v>554.0</v>
      </c>
      <c r="G1789" s="418"/>
      <c r="H1789" s="18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17"/>
      <c r="Z1789" s="6"/>
      <c r="AA1789" s="18"/>
      <c r="AB1789" s="33"/>
      <c r="AC1789" s="34"/>
      <c r="AD1789" s="18"/>
      <c r="AE1789" s="18"/>
    </row>
    <row r="1790">
      <c r="A1790" s="5" t="s">
        <v>3507</v>
      </c>
      <c r="B1790" s="8" t="s">
        <v>3556</v>
      </c>
      <c r="C1790" s="21" t="s">
        <v>3217</v>
      </c>
      <c r="D1790" s="21" t="s">
        <v>1671</v>
      </c>
      <c r="E1790" s="53">
        <v>538.4376</v>
      </c>
      <c r="F1790" s="30">
        <v>582.0</v>
      </c>
      <c r="G1790" s="418"/>
      <c r="H1790" s="18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17"/>
      <c r="Z1790" s="6"/>
      <c r="AA1790" s="18"/>
      <c r="AB1790" s="33"/>
      <c r="AC1790" s="34"/>
      <c r="AD1790" s="18"/>
      <c r="AE1790" s="18"/>
    </row>
    <row r="1791">
      <c r="A1791" s="5" t="s">
        <v>3507</v>
      </c>
      <c r="B1791" s="8" t="s">
        <v>3556</v>
      </c>
      <c r="C1791" s="21" t="s">
        <v>3219</v>
      </c>
      <c r="D1791" s="21" t="s">
        <v>1728</v>
      </c>
      <c r="E1791" s="53">
        <v>618.0</v>
      </c>
      <c r="F1791" s="30">
        <v>666.0</v>
      </c>
      <c r="G1791" s="418"/>
      <c r="H1791" s="18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17"/>
      <c r="Z1791" s="6"/>
      <c r="AA1791" s="18"/>
      <c r="AB1791" s="33"/>
      <c r="AC1791" s="34"/>
      <c r="AD1791" s="18"/>
      <c r="AE1791" s="18"/>
    </row>
    <row r="1792">
      <c r="A1792" s="5" t="s">
        <v>3507</v>
      </c>
      <c r="B1792" s="8" t="s">
        <v>3556</v>
      </c>
      <c r="C1792" s="21" t="s">
        <v>3220</v>
      </c>
      <c r="D1792" s="21" t="s">
        <v>1730</v>
      </c>
      <c r="E1792" s="53">
        <v>692.0</v>
      </c>
      <c r="F1792" s="30">
        <v>746.0</v>
      </c>
      <c r="G1792" s="418"/>
      <c r="H1792" s="18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17"/>
      <c r="Z1792" s="6"/>
      <c r="AA1792" s="18"/>
      <c r="AB1792" s="33"/>
      <c r="AC1792" s="34"/>
      <c r="AD1792" s="18"/>
      <c r="AE1792" s="18"/>
    </row>
    <row r="1793">
      <c r="A1793" s="5" t="s">
        <v>3507</v>
      </c>
      <c r="B1793" s="8" t="s">
        <v>3556</v>
      </c>
      <c r="C1793" s="21" t="s">
        <v>3221</v>
      </c>
      <c r="D1793" s="21" t="s">
        <v>1731</v>
      </c>
      <c r="E1793" s="53">
        <v>378.0</v>
      </c>
      <c r="F1793" s="30">
        <v>408.0</v>
      </c>
      <c r="G1793" s="418"/>
      <c r="H1793" s="18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17"/>
      <c r="Z1793" s="6"/>
      <c r="AA1793" s="18"/>
      <c r="AB1793" s="33"/>
      <c r="AC1793" s="34"/>
      <c r="AD1793" s="18"/>
      <c r="AE1793" s="18"/>
    </row>
    <row r="1794">
      <c r="A1794" s="5" t="s">
        <v>3507</v>
      </c>
      <c r="B1794" s="8" t="s">
        <v>3556</v>
      </c>
      <c r="C1794" s="21" t="s">
        <v>3222</v>
      </c>
      <c r="D1794" s="21" t="s">
        <v>1679</v>
      </c>
      <c r="E1794" s="53">
        <v>326.08992</v>
      </c>
      <c r="F1794" s="30">
        <v>352.0</v>
      </c>
      <c r="G1794" s="418"/>
      <c r="H1794" s="18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17"/>
      <c r="Z1794" s="6"/>
      <c r="AA1794" s="18"/>
      <c r="AB1794" s="33"/>
      <c r="AC1794" s="34"/>
      <c r="AD1794" s="18"/>
      <c r="AE1794" s="18"/>
    </row>
    <row r="1795">
      <c r="A1795" s="5" t="s">
        <v>3507</v>
      </c>
      <c r="B1795" s="8" t="s">
        <v>3557</v>
      </c>
      <c r="C1795" s="21" t="str">
        <f t="array" ref="C1795:F1805">'COLOUR WISE'!B1041:E1051</f>
        <v>1813-G</v>
      </c>
      <c r="D1795" s="21" t="s">
        <v>3207</v>
      </c>
      <c r="E1795" s="53">
        <v>308.0</v>
      </c>
      <c r="F1795" s="30">
        <v>336.0</v>
      </c>
      <c r="G1795" s="418"/>
      <c r="H1795" s="18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17"/>
      <c r="Z1795" s="6"/>
      <c r="AA1795" s="18"/>
      <c r="AB1795" s="33"/>
      <c r="AC1795" s="34"/>
      <c r="AD1795" s="18"/>
      <c r="AE1795" s="18"/>
    </row>
    <row r="1796">
      <c r="A1796" s="5" t="s">
        <v>3507</v>
      </c>
      <c r="B1796" s="8" t="s">
        <v>3557</v>
      </c>
      <c r="C1796" s="21" t="s">
        <v>3225</v>
      </c>
      <c r="D1796" s="21" t="s">
        <v>1708</v>
      </c>
      <c r="E1796" s="53">
        <v>474.0</v>
      </c>
      <c r="F1796" s="30">
        <v>512.0</v>
      </c>
      <c r="G1796" s="418"/>
      <c r="H1796" s="18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17"/>
      <c r="Z1796" s="6"/>
      <c r="AA1796" s="18"/>
      <c r="AB1796" s="33"/>
      <c r="AC1796" s="34"/>
      <c r="AD1796" s="18"/>
      <c r="AE1796" s="18"/>
    </row>
    <row r="1797">
      <c r="A1797" s="5" t="s">
        <v>3507</v>
      </c>
      <c r="B1797" s="8" t="s">
        <v>3557</v>
      </c>
      <c r="C1797" s="21" t="s">
        <v>3226</v>
      </c>
      <c r="D1797" s="21" t="s">
        <v>1700</v>
      </c>
      <c r="E1797" s="53">
        <v>496.08000000000004</v>
      </c>
      <c r="F1797" s="30">
        <v>536.0</v>
      </c>
      <c r="G1797" s="418"/>
      <c r="H1797" s="18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17"/>
      <c r="Z1797" s="6"/>
      <c r="AA1797" s="18"/>
      <c r="AB1797" s="33"/>
      <c r="AC1797" s="34"/>
      <c r="AD1797" s="18"/>
      <c r="AE1797" s="18"/>
    </row>
    <row r="1798">
      <c r="A1798" s="5" t="s">
        <v>3507</v>
      </c>
      <c r="B1798" s="8" t="s">
        <v>3557</v>
      </c>
      <c r="C1798" s="21" t="s">
        <v>3227</v>
      </c>
      <c r="D1798" s="21" t="s">
        <v>1667</v>
      </c>
      <c r="E1798" s="53">
        <v>322.1976</v>
      </c>
      <c r="F1798" s="30">
        <v>348.0</v>
      </c>
      <c r="G1798" s="418"/>
      <c r="H1798" s="18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17"/>
      <c r="Z1798" s="6"/>
      <c r="AA1798" s="18"/>
      <c r="AB1798" s="33"/>
      <c r="AC1798" s="34"/>
      <c r="AD1798" s="18"/>
      <c r="AE1798" s="18"/>
    </row>
    <row r="1799">
      <c r="A1799" s="5" t="s">
        <v>3507</v>
      </c>
      <c r="B1799" s="8" t="s">
        <v>3557</v>
      </c>
      <c r="C1799" s="21" t="s">
        <v>3230</v>
      </c>
      <c r="D1799" s="21" t="s">
        <v>1710</v>
      </c>
      <c r="E1799" s="53">
        <v>486.0</v>
      </c>
      <c r="F1799" s="30">
        <v>526.0</v>
      </c>
      <c r="G1799" s="418"/>
      <c r="H1799" s="18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17"/>
      <c r="Z1799" s="6"/>
      <c r="AA1799" s="18"/>
      <c r="AB1799" s="33"/>
      <c r="AC1799" s="34"/>
      <c r="AD1799" s="18"/>
      <c r="AE1799" s="18"/>
    </row>
    <row r="1800">
      <c r="A1800" s="5" t="s">
        <v>3507</v>
      </c>
      <c r="B1800" s="8" t="s">
        <v>3557</v>
      </c>
      <c r="C1800" s="21" t="s">
        <v>3231</v>
      </c>
      <c r="D1800" s="21" t="s">
        <v>1712</v>
      </c>
      <c r="E1800" s="53">
        <v>510.49939200000006</v>
      </c>
      <c r="F1800" s="30">
        <v>554.0</v>
      </c>
      <c r="G1800" s="418"/>
      <c r="H1800" s="18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17"/>
      <c r="Z1800" s="6"/>
      <c r="AA1800" s="18"/>
      <c r="AB1800" s="33"/>
      <c r="AC1800" s="34"/>
      <c r="AD1800" s="18"/>
      <c r="AE1800" s="18"/>
    </row>
    <row r="1801">
      <c r="A1801" s="5" t="s">
        <v>3507</v>
      </c>
      <c r="B1801" s="8" t="s">
        <v>3557</v>
      </c>
      <c r="C1801" s="21" t="s">
        <v>3234</v>
      </c>
      <c r="D1801" s="21" t="s">
        <v>1671</v>
      </c>
      <c r="E1801" s="53">
        <v>538.4376</v>
      </c>
      <c r="F1801" s="30">
        <v>582.0</v>
      </c>
      <c r="G1801" s="418"/>
      <c r="H1801" s="18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17"/>
      <c r="Z1801" s="6"/>
      <c r="AA1801" s="18"/>
      <c r="AB1801" s="33"/>
      <c r="AC1801" s="34"/>
      <c r="AD1801" s="18"/>
      <c r="AE1801" s="18"/>
    </row>
    <row r="1802">
      <c r="A1802" s="5" t="s">
        <v>3507</v>
      </c>
      <c r="B1802" s="8" t="s">
        <v>3557</v>
      </c>
      <c r="C1802" s="21" t="s">
        <v>3235</v>
      </c>
      <c r="D1802" s="21" t="s">
        <v>1728</v>
      </c>
      <c r="E1802" s="53">
        <v>618.0</v>
      </c>
      <c r="F1802" s="30">
        <v>666.0</v>
      </c>
      <c r="G1802" s="418"/>
      <c r="H1802" s="18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17"/>
      <c r="Z1802" s="6"/>
      <c r="AA1802" s="18"/>
      <c r="AB1802" s="33"/>
      <c r="AC1802" s="34"/>
      <c r="AD1802" s="18"/>
      <c r="AE1802" s="18"/>
    </row>
    <row r="1803">
      <c r="A1803" s="5" t="s">
        <v>3507</v>
      </c>
      <c r="B1803" s="8" t="s">
        <v>3557</v>
      </c>
      <c r="C1803" s="21" t="s">
        <v>3236</v>
      </c>
      <c r="D1803" s="21" t="s">
        <v>1730</v>
      </c>
      <c r="E1803" s="53">
        <v>692.0</v>
      </c>
      <c r="F1803" s="30">
        <v>746.0</v>
      </c>
      <c r="G1803" s="418"/>
      <c r="H1803" s="18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17"/>
      <c r="Z1803" s="6"/>
      <c r="AA1803" s="18"/>
      <c r="AB1803" s="33"/>
      <c r="AC1803" s="34"/>
      <c r="AD1803" s="18"/>
      <c r="AE1803" s="18"/>
    </row>
    <row r="1804">
      <c r="A1804" s="5" t="s">
        <v>3507</v>
      </c>
      <c r="B1804" s="8" t="s">
        <v>3557</v>
      </c>
      <c r="C1804" s="21" t="s">
        <v>3237</v>
      </c>
      <c r="D1804" s="21" t="s">
        <v>1731</v>
      </c>
      <c r="E1804" s="53">
        <v>378.0</v>
      </c>
      <c r="F1804" s="30">
        <v>408.0</v>
      </c>
      <c r="G1804" s="418"/>
      <c r="H1804" s="18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17"/>
      <c r="Z1804" s="6"/>
      <c r="AA1804" s="18"/>
      <c r="AB1804" s="33"/>
      <c r="AC1804" s="34"/>
      <c r="AD1804" s="18"/>
      <c r="AE1804" s="18"/>
    </row>
    <row r="1805">
      <c r="A1805" s="5" t="s">
        <v>3507</v>
      </c>
      <c r="B1805" s="8" t="s">
        <v>3557</v>
      </c>
      <c r="C1805" s="21" t="s">
        <v>3240</v>
      </c>
      <c r="D1805" s="21" t="s">
        <v>1679</v>
      </c>
      <c r="E1805" s="53">
        <v>326.08992</v>
      </c>
      <c r="F1805" s="30">
        <v>352.0</v>
      </c>
      <c r="G1805" s="418"/>
      <c r="H1805" s="18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17"/>
      <c r="Z1805" s="6"/>
      <c r="AA1805" s="18"/>
      <c r="AB1805" s="33"/>
      <c r="AC1805" s="34"/>
      <c r="AD1805" s="18"/>
      <c r="AE1805" s="18"/>
    </row>
    <row r="1806">
      <c r="A1806" s="5" t="s">
        <v>3507</v>
      </c>
      <c r="B1806" s="8" t="s">
        <v>3558</v>
      </c>
      <c r="C1806" s="21" t="str">
        <f t="array" ref="C1806:F1816">'COLOUR WISE'!B1054:E1064</f>
        <v>1813-R</v>
      </c>
      <c r="D1806" s="21" t="s">
        <v>3207</v>
      </c>
      <c r="E1806" s="53">
        <v>308.0</v>
      </c>
      <c r="F1806" s="30">
        <v>336.0</v>
      </c>
      <c r="G1806" s="418"/>
      <c r="H1806" s="18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17"/>
      <c r="Z1806" s="6"/>
      <c r="AA1806" s="18"/>
      <c r="AB1806" s="33"/>
      <c r="AC1806" s="34"/>
      <c r="AD1806" s="18"/>
      <c r="AE1806" s="18"/>
    </row>
    <row r="1807">
      <c r="A1807" s="5" t="s">
        <v>3507</v>
      </c>
      <c r="B1807" s="8" t="s">
        <v>3558</v>
      </c>
      <c r="C1807" s="21" t="s">
        <v>3243</v>
      </c>
      <c r="D1807" s="21" t="s">
        <v>1708</v>
      </c>
      <c r="E1807" s="53">
        <v>474.0</v>
      </c>
      <c r="F1807" s="30">
        <v>512.0</v>
      </c>
      <c r="G1807" s="418"/>
      <c r="H1807" s="18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17"/>
      <c r="Z1807" s="6"/>
      <c r="AA1807" s="18"/>
      <c r="AB1807" s="33"/>
      <c r="AC1807" s="34"/>
      <c r="AD1807" s="18"/>
      <c r="AE1807" s="18"/>
    </row>
    <row r="1808">
      <c r="A1808" s="5" t="s">
        <v>3507</v>
      </c>
      <c r="B1808" s="8" t="s">
        <v>3558</v>
      </c>
      <c r="C1808" s="21" t="s">
        <v>3244</v>
      </c>
      <c r="D1808" s="21" t="s">
        <v>1700</v>
      </c>
      <c r="E1808" s="53">
        <v>496.08000000000004</v>
      </c>
      <c r="F1808" s="30">
        <v>536.0</v>
      </c>
      <c r="G1808" s="418"/>
      <c r="H1808" s="18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17"/>
      <c r="Z1808" s="6"/>
      <c r="AA1808" s="18"/>
      <c r="AB1808" s="33"/>
      <c r="AC1808" s="34"/>
      <c r="AD1808" s="18"/>
      <c r="AE1808" s="18"/>
    </row>
    <row r="1809">
      <c r="A1809" s="5" t="s">
        <v>3507</v>
      </c>
      <c r="B1809" s="8" t="s">
        <v>3558</v>
      </c>
      <c r="C1809" s="21" t="s">
        <v>3247</v>
      </c>
      <c r="D1809" s="21" t="s">
        <v>1667</v>
      </c>
      <c r="E1809" s="53">
        <v>322.1976</v>
      </c>
      <c r="F1809" s="30">
        <v>348.0</v>
      </c>
      <c r="G1809" s="418"/>
      <c r="H1809" s="18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17"/>
      <c r="Z1809" s="6"/>
      <c r="AA1809" s="18"/>
      <c r="AB1809" s="33"/>
      <c r="AC1809" s="34"/>
      <c r="AD1809" s="18"/>
      <c r="AE1809" s="18"/>
    </row>
    <row r="1810">
      <c r="A1810" s="5" t="s">
        <v>3507</v>
      </c>
      <c r="B1810" s="8" t="s">
        <v>3558</v>
      </c>
      <c r="C1810" s="21" t="s">
        <v>3248</v>
      </c>
      <c r="D1810" s="21" t="s">
        <v>1710</v>
      </c>
      <c r="E1810" s="53">
        <v>486.0</v>
      </c>
      <c r="F1810" s="30">
        <v>526.0</v>
      </c>
      <c r="G1810" s="418"/>
      <c r="H1810" s="18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17"/>
      <c r="Z1810" s="6"/>
      <c r="AA1810" s="18"/>
      <c r="AB1810" s="33"/>
      <c r="AC1810" s="34"/>
      <c r="AD1810" s="18"/>
      <c r="AE1810" s="18"/>
    </row>
    <row r="1811">
      <c r="A1811" s="5" t="s">
        <v>3507</v>
      </c>
      <c r="B1811" s="8" t="s">
        <v>3558</v>
      </c>
      <c r="C1811" s="21" t="s">
        <v>3249</v>
      </c>
      <c r="D1811" s="21" t="s">
        <v>1712</v>
      </c>
      <c r="E1811" s="53">
        <v>510.49939200000006</v>
      </c>
      <c r="F1811" s="30">
        <v>554.0</v>
      </c>
      <c r="G1811" s="418"/>
      <c r="H1811" s="18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17"/>
      <c r="Z1811" s="6"/>
      <c r="AA1811" s="18"/>
      <c r="AB1811" s="33"/>
      <c r="AC1811" s="34"/>
      <c r="AD1811" s="18"/>
      <c r="AE1811" s="18"/>
    </row>
    <row r="1812">
      <c r="A1812" s="5" t="s">
        <v>3507</v>
      </c>
      <c r="B1812" s="8" t="s">
        <v>3558</v>
      </c>
      <c r="C1812" s="21" t="s">
        <v>3250</v>
      </c>
      <c r="D1812" s="21" t="s">
        <v>1671</v>
      </c>
      <c r="E1812" s="53">
        <v>538.4376</v>
      </c>
      <c r="F1812" s="30">
        <v>582.0</v>
      </c>
      <c r="G1812" s="418"/>
      <c r="H1812" s="18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17"/>
      <c r="Z1812" s="6"/>
      <c r="AA1812" s="18"/>
      <c r="AB1812" s="33"/>
      <c r="AC1812" s="34"/>
      <c r="AD1812" s="18"/>
      <c r="AE1812" s="18"/>
    </row>
    <row r="1813">
      <c r="A1813" s="5" t="s">
        <v>3507</v>
      </c>
      <c r="B1813" s="8" t="s">
        <v>3558</v>
      </c>
      <c r="C1813" s="21" t="s">
        <v>3251</v>
      </c>
      <c r="D1813" s="21" t="s">
        <v>1728</v>
      </c>
      <c r="E1813" s="53">
        <v>618.0</v>
      </c>
      <c r="F1813" s="30">
        <v>666.0</v>
      </c>
      <c r="G1813" s="418"/>
      <c r="H1813" s="18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17"/>
      <c r="Z1813" s="6"/>
      <c r="AA1813" s="18"/>
      <c r="AB1813" s="33"/>
      <c r="AC1813" s="34"/>
      <c r="AD1813" s="18"/>
      <c r="AE1813" s="18"/>
    </row>
    <row r="1814">
      <c r="A1814" s="5" t="s">
        <v>3507</v>
      </c>
      <c r="B1814" s="8" t="s">
        <v>3558</v>
      </c>
      <c r="C1814" s="21" t="s">
        <v>3252</v>
      </c>
      <c r="D1814" s="21" t="s">
        <v>1730</v>
      </c>
      <c r="E1814" s="53">
        <v>692.0</v>
      </c>
      <c r="F1814" s="30">
        <v>746.0</v>
      </c>
      <c r="G1814" s="418"/>
      <c r="H1814" s="18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17"/>
      <c r="Z1814" s="6"/>
      <c r="AA1814" s="18"/>
      <c r="AB1814" s="33"/>
      <c r="AC1814" s="34"/>
      <c r="AD1814" s="18"/>
      <c r="AE1814" s="18"/>
    </row>
    <row r="1815">
      <c r="A1815" s="5" t="s">
        <v>3507</v>
      </c>
      <c r="B1815" s="8" t="s">
        <v>3558</v>
      </c>
      <c r="C1815" s="21" t="s">
        <v>3253</v>
      </c>
      <c r="D1815" s="21" t="s">
        <v>1731</v>
      </c>
      <c r="E1815" s="53">
        <v>378.0</v>
      </c>
      <c r="F1815" s="30">
        <v>408.0</v>
      </c>
      <c r="G1815" s="418"/>
      <c r="H1815" s="18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17"/>
      <c r="Z1815" s="6"/>
      <c r="AA1815" s="18"/>
      <c r="AB1815" s="33"/>
      <c r="AC1815" s="34"/>
      <c r="AD1815" s="18"/>
      <c r="AE1815" s="18"/>
    </row>
    <row r="1816">
      <c r="A1816" s="5" t="s">
        <v>3507</v>
      </c>
      <c r="B1816" s="8" t="s">
        <v>3558</v>
      </c>
      <c r="C1816" s="21" t="s">
        <v>3254</v>
      </c>
      <c r="D1816" s="21" t="s">
        <v>1679</v>
      </c>
      <c r="E1816" s="53">
        <v>326.08992</v>
      </c>
      <c r="F1816" s="30">
        <v>352.0</v>
      </c>
      <c r="G1816" s="418"/>
      <c r="H1816" s="18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17"/>
      <c r="Z1816" s="6"/>
      <c r="AA1816" s="18"/>
      <c r="AB1816" s="33"/>
      <c r="AC1816" s="34"/>
      <c r="AD1816" s="18"/>
      <c r="AE1816" s="18"/>
    </row>
    <row r="1817">
      <c r="A1817" s="5" t="s">
        <v>3507</v>
      </c>
      <c r="B1817" s="8" t="s">
        <v>3559</v>
      </c>
      <c r="C1817" s="21" t="str">
        <f t="array" ref="C1817:F1827">'COLOUR WISE'!B1067:E1077</f>
        <v>1813-P</v>
      </c>
      <c r="D1817" s="21" t="s">
        <v>3207</v>
      </c>
      <c r="E1817" s="53">
        <v>308.0</v>
      </c>
      <c r="F1817" s="30">
        <v>336.0</v>
      </c>
      <c r="G1817" s="418"/>
      <c r="H1817" s="18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17"/>
      <c r="Z1817" s="6"/>
      <c r="AA1817" s="18"/>
      <c r="AB1817" s="33"/>
      <c r="AC1817" s="34"/>
      <c r="AD1817" s="18"/>
      <c r="AE1817" s="18"/>
    </row>
    <row r="1818">
      <c r="A1818" s="5" t="s">
        <v>3507</v>
      </c>
      <c r="B1818" s="8" t="s">
        <v>3559</v>
      </c>
      <c r="C1818" s="21" t="s">
        <v>3260</v>
      </c>
      <c r="D1818" s="21" t="s">
        <v>1708</v>
      </c>
      <c r="E1818" s="53">
        <v>474.0</v>
      </c>
      <c r="F1818" s="30">
        <v>512.0</v>
      </c>
      <c r="G1818" s="418"/>
      <c r="H1818" s="18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17"/>
      <c r="Z1818" s="6"/>
      <c r="AA1818" s="18"/>
      <c r="AB1818" s="33"/>
      <c r="AC1818" s="34"/>
      <c r="AD1818" s="18"/>
      <c r="AE1818" s="18"/>
    </row>
    <row r="1819">
      <c r="A1819" s="5" t="s">
        <v>3507</v>
      </c>
      <c r="B1819" s="8" t="s">
        <v>3559</v>
      </c>
      <c r="C1819" s="21" t="s">
        <v>3261</v>
      </c>
      <c r="D1819" s="21" t="s">
        <v>1700</v>
      </c>
      <c r="E1819" s="53">
        <v>496.08000000000004</v>
      </c>
      <c r="F1819" s="30">
        <v>536.0</v>
      </c>
      <c r="G1819" s="418"/>
      <c r="H1819" s="18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17"/>
      <c r="Z1819" s="6"/>
      <c r="AA1819" s="18"/>
      <c r="AB1819" s="33"/>
      <c r="AC1819" s="34"/>
      <c r="AD1819" s="18"/>
      <c r="AE1819" s="18"/>
    </row>
    <row r="1820">
      <c r="A1820" s="5" t="s">
        <v>3507</v>
      </c>
      <c r="B1820" s="8" t="s">
        <v>3559</v>
      </c>
      <c r="C1820" s="21" t="s">
        <v>3262</v>
      </c>
      <c r="D1820" s="21" t="s">
        <v>1667</v>
      </c>
      <c r="E1820" s="53">
        <v>322.1976</v>
      </c>
      <c r="F1820" s="30">
        <v>348.0</v>
      </c>
      <c r="G1820" s="418"/>
      <c r="H1820" s="18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17"/>
      <c r="Z1820" s="6"/>
      <c r="AA1820" s="18"/>
      <c r="AB1820" s="33"/>
      <c r="AC1820" s="34"/>
      <c r="AD1820" s="18"/>
      <c r="AE1820" s="18"/>
    </row>
    <row r="1821">
      <c r="A1821" s="5" t="s">
        <v>3507</v>
      </c>
      <c r="B1821" s="8" t="s">
        <v>3559</v>
      </c>
      <c r="C1821" s="21" t="s">
        <v>3263</v>
      </c>
      <c r="D1821" s="21" t="s">
        <v>1710</v>
      </c>
      <c r="E1821" s="53">
        <v>486.0</v>
      </c>
      <c r="F1821" s="30">
        <v>526.0</v>
      </c>
      <c r="G1821" s="418"/>
      <c r="H1821" s="18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17"/>
      <c r="Z1821" s="6"/>
      <c r="AA1821" s="18"/>
      <c r="AB1821" s="33"/>
      <c r="AC1821" s="34"/>
      <c r="AD1821" s="18"/>
      <c r="AE1821" s="18"/>
    </row>
    <row r="1822">
      <c r="A1822" s="5" t="s">
        <v>3507</v>
      </c>
      <c r="B1822" s="8" t="s">
        <v>3559</v>
      </c>
      <c r="C1822" s="21" t="s">
        <v>3264</v>
      </c>
      <c r="D1822" s="21" t="s">
        <v>1712</v>
      </c>
      <c r="E1822" s="53">
        <v>510.49939200000006</v>
      </c>
      <c r="F1822" s="30">
        <v>554.0</v>
      </c>
      <c r="G1822" s="418"/>
      <c r="H1822" s="18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17"/>
      <c r="Z1822" s="6"/>
      <c r="AA1822" s="18"/>
      <c r="AB1822" s="33"/>
      <c r="AC1822" s="34"/>
      <c r="AD1822" s="18"/>
      <c r="AE1822" s="18"/>
    </row>
    <row r="1823">
      <c r="A1823" s="5" t="s">
        <v>3507</v>
      </c>
      <c r="B1823" s="8" t="s">
        <v>3559</v>
      </c>
      <c r="C1823" s="21" t="s">
        <v>3265</v>
      </c>
      <c r="D1823" s="21" t="s">
        <v>1671</v>
      </c>
      <c r="E1823" s="53">
        <v>538.4376</v>
      </c>
      <c r="F1823" s="30">
        <v>582.0</v>
      </c>
      <c r="G1823" s="418"/>
      <c r="H1823" s="18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17"/>
      <c r="Z1823" s="6"/>
      <c r="AA1823" s="18"/>
      <c r="AB1823" s="33"/>
      <c r="AC1823" s="34"/>
      <c r="AD1823" s="18"/>
      <c r="AE1823" s="18"/>
    </row>
    <row r="1824">
      <c r="A1824" s="5" t="s">
        <v>3507</v>
      </c>
      <c r="B1824" s="8" t="s">
        <v>3559</v>
      </c>
      <c r="C1824" s="21" t="s">
        <v>3266</v>
      </c>
      <c r="D1824" s="21" t="s">
        <v>1728</v>
      </c>
      <c r="E1824" s="53">
        <v>618.0</v>
      </c>
      <c r="F1824" s="30">
        <v>666.0</v>
      </c>
      <c r="G1824" s="418"/>
      <c r="H1824" s="18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17"/>
      <c r="Z1824" s="6"/>
      <c r="AA1824" s="18"/>
      <c r="AB1824" s="33"/>
      <c r="AC1824" s="34"/>
      <c r="AD1824" s="18"/>
      <c r="AE1824" s="18"/>
    </row>
    <row r="1825">
      <c r="A1825" s="5" t="s">
        <v>3507</v>
      </c>
      <c r="B1825" s="8" t="s">
        <v>3559</v>
      </c>
      <c r="C1825" s="21" t="s">
        <v>3267</v>
      </c>
      <c r="D1825" s="21" t="s">
        <v>1730</v>
      </c>
      <c r="E1825" s="53">
        <v>692.0</v>
      </c>
      <c r="F1825" s="30">
        <v>746.0</v>
      </c>
      <c r="G1825" s="418"/>
      <c r="H1825" s="18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17"/>
      <c r="Z1825" s="6"/>
      <c r="AA1825" s="18"/>
      <c r="AB1825" s="33"/>
      <c r="AC1825" s="34"/>
      <c r="AD1825" s="18"/>
      <c r="AE1825" s="18"/>
    </row>
    <row r="1826">
      <c r="A1826" s="5" t="s">
        <v>3507</v>
      </c>
      <c r="B1826" s="8" t="s">
        <v>3559</v>
      </c>
      <c r="C1826" s="21" t="s">
        <v>3268</v>
      </c>
      <c r="D1826" s="21" t="s">
        <v>1731</v>
      </c>
      <c r="E1826" s="53">
        <v>378.0</v>
      </c>
      <c r="F1826" s="30">
        <v>408.0</v>
      </c>
      <c r="G1826" s="418"/>
      <c r="H1826" s="18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17"/>
      <c r="Z1826" s="6"/>
      <c r="AA1826" s="18"/>
      <c r="AB1826" s="33"/>
      <c r="AC1826" s="34"/>
      <c r="AD1826" s="18"/>
      <c r="AE1826" s="18"/>
    </row>
    <row r="1827">
      <c r="A1827" s="5" t="s">
        <v>3507</v>
      </c>
      <c r="B1827" s="8" t="s">
        <v>3559</v>
      </c>
      <c r="C1827" s="21" t="s">
        <v>3270</v>
      </c>
      <c r="D1827" s="21" t="s">
        <v>1679</v>
      </c>
      <c r="E1827" s="53">
        <v>326.08992</v>
      </c>
      <c r="F1827" s="30">
        <v>352.0</v>
      </c>
      <c r="G1827" s="418"/>
      <c r="H1827" s="18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17"/>
      <c r="Z1827" s="6"/>
      <c r="AA1827" s="18"/>
      <c r="AB1827" s="33"/>
      <c r="AC1827" s="34"/>
      <c r="AD1827" s="18"/>
      <c r="AE1827" s="18"/>
    </row>
    <row r="1828">
      <c r="A1828" s="5" t="s">
        <v>3507</v>
      </c>
      <c r="B1828" s="8" t="s">
        <v>3560</v>
      </c>
      <c r="C1828" s="21" t="str">
        <f t="array" ref="C1828:F1828">'COLOUR WISE'!B1080:E1080</f>
        <v>1821-CR</v>
      </c>
      <c r="D1828" s="21" t="s">
        <v>1706</v>
      </c>
      <c r="E1828" s="53">
        <v>756.0</v>
      </c>
      <c r="F1828" s="30">
        <v>814.0</v>
      </c>
      <c r="G1828" s="418"/>
      <c r="H1828" s="18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17"/>
      <c r="Z1828" s="6"/>
      <c r="AA1828" s="18"/>
      <c r="AB1828" s="33"/>
      <c r="AC1828" s="34"/>
      <c r="AD1828" s="18"/>
      <c r="AE1828" s="18"/>
    </row>
    <row r="1829">
      <c r="A1829" s="5" t="s">
        <v>3507</v>
      </c>
      <c r="B1829" s="8" t="s">
        <v>3561</v>
      </c>
      <c r="C1829" s="21" t="str">
        <f t="array" ref="C1829:F1829">'COLOUR WISE'!B1083:E1083</f>
        <v>1821-CW</v>
      </c>
      <c r="D1829" s="21" t="s">
        <v>1706</v>
      </c>
      <c r="E1829" s="53">
        <v>756.0</v>
      </c>
      <c r="F1829" s="30">
        <v>814.0</v>
      </c>
      <c r="G1829" s="418"/>
      <c r="H1829" s="18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17"/>
      <c r="Z1829" s="6"/>
      <c r="AA1829" s="18"/>
      <c r="AB1829" s="33"/>
      <c r="AC1829" s="34"/>
      <c r="AD1829" s="18"/>
      <c r="AE1829" s="18"/>
    </row>
    <row r="1830">
      <c r="A1830" s="5" t="s">
        <v>3507</v>
      </c>
      <c r="B1830" s="8" t="s">
        <v>3562</v>
      </c>
      <c r="C1830" s="21" t="str">
        <f t="array" ref="C1830:F1830">'COLOUR WISE'!B1086:E1086</f>
        <v>1821-CP</v>
      </c>
      <c r="D1830" s="21" t="s">
        <v>1706</v>
      </c>
      <c r="E1830" s="53">
        <v>756.0</v>
      </c>
      <c r="F1830" s="30">
        <v>814.0</v>
      </c>
      <c r="G1830" s="418"/>
      <c r="H1830" s="18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17"/>
      <c r="Z1830" s="6"/>
      <c r="AA1830" s="18"/>
      <c r="AB1830" s="33"/>
      <c r="AC1830" s="34"/>
      <c r="AD1830" s="18"/>
      <c r="AE1830" s="18"/>
    </row>
    <row r="1831">
      <c r="A1831" s="5" t="s">
        <v>3507</v>
      </c>
      <c r="B1831" s="8" t="s">
        <v>3563</v>
      </c>
      <c r="C1831" s="21" t="str">
        <f t="array" ref="C1831:F1831">'COLOUR WISE'!B1089:E1089</f>
        <v>1821-CG</v>
      </c>
      <c r="D1831" s="21" t="s">
        <v>1706</v>
      </c>
      <c r="E1831" s="53">
        <v>756.0</v>
      </c>
      <c r="F1831" s="30">
        <v>814.0</v>
      </c>
      <c r="G1831" s="418"/>
      <c r="H1831" s="18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17"/>
      <c r="Z1831" s="6"/>
      <c r="AA1831" s="18"/>
      <c r="AB1831" s="33"/>
      <c r="AC1831" s="34"/>
      <c r="AD1831" s="18"/>
      <c r="AE1831" s="18"/>
    </row>
    <row r="1832">
      <c r="A1832" s="15"/>
      <c r="B1832" s="57"/>
      <c r="C1832" s="62"/>
      <c r="D1832" s="62"/>
      <c r="E1832" s="419"/>
      <c r="F1832" s="61"/>
      <c r="G1832" s="18"/>
      <c r="H1832" s="18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17"/>
      <c r="Z1832" s="6"/>
      <c r="AA1832" s="18"/>
      <c r="AB1832" s="33"/>
      <c r="AC1832" s="34"/>
      <c r="AD1832" s="18"/>
      <c r="AE1832" s="18"/>
    </row>
  </sheetData>
  <autoFilter ref="$A$1:$I$1831"/>
  <conditionalFormatting sqref="C2:C1832">
    <cfRule type="expression" dxfId="0" priority="1">
      <formula>COUNTIF(C:C,C2)&gt;1</formula>
    </cfRule>
  </conditionalFormatting>
  <conditionalFormatting sqref="E2:E1832">
    <cfRule type="containsText" dxfId="1" priority="2" operator="containsText" text="NEW">
      <formula>NOT(ISERROR(SEARCH(("NEW"),(E2))))</formula>
    </cfRule>
  </conditionalFormatting>
  <printOptions gridLines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75" outlineLevelCol="1"/>
  <cols>
    <col customWidth="1" min="1" max="1" width="7.43"/>
    <col customWidth="1" min="2" max="2" width="11.71"/>
    <col customWidth="1" min="3" max="3" width="57.29"/>
    <col customWidth="1" min="4" max="4" width="6.29"/>
    <col customWidth="1" min="5" max="7" width="6.86"/>
    <col customWidth="1" min="8" max="8" width="7.0"/>
    <col customWidth="1" min="9" max="10" width="6.86"/>
    <col customWidth="1" min="11" max="11" width="7.29"/>
    <col customWidth="1" min="12" max="12" width="7.86"/>
    <col customWidth="1" min="13" max="13" width="8.86"/>
    <col customWidth="1" min="14" max="15" width="6.86"/>
    <col customWidth="1" min="16" max="16" width="9.14"/>
    <col customWidth="1" min="17" max="17" width="8.14"/>
    <col customWidth="1" min="18" max="18" width="10.43"/>
    <col customWidth="1" min="19" max="20" width="11.0"/>
    <col customWidth="1" min="21" max="21" width="11.43"/>
    <col customWidth="1" min="22" max="22" width="10.71"/>
    <col customWidth="1" min="23" max="23" width="9.14"/>
    <col customWidth="1" min="24" max="24" width="7.71"/>
    <col customWidth="1" min="25" max="25" width="11.29"/>
    <col customWidth="1" min="26" max="26" width="7.71"/>
    <col customWidth="1" min="27" max="28" width="7.43"/>
    <col customWidth="1" min="29" max="29" width="7.14"/>
  </cols>
  <sheetData>
    <row r="1" ht="6.0" customHeight="1">
      <c r="A1" s="3"/>
      <c r="B1" s="10"/>
      <c r="C1" s="10"/>
      <c r="D1" s="14"/>
      <c r="E1" s="14"/>
      <c r="F1" s="16">
        <v>1.1</v>
      </c>
      <c r="G1" s="16">
        <v>1.05</v>
      </c>
      <c r="H1" s="14"/>
      <c r="I1" s="14"/>
      <c r="J1" s="14"/>
      <c r="K1" s="14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14"/>
      <c r="AB1" s="20"/>
      <c r="AC1" s="20"/>
      <c r="AD1" s="20"/>
      <c r="AE1" s="20"/>
    </row>
    <row r="2">
      <c r="A2" s="3"/>
      <c r="B2" s="10"/>
      <c r="C2" s="10"/>
      <c r="D2" s="24" t="s">
        <v>26</v>
      </c>
      <c r="E2" s="25"/>
      <c r="F2" s="25"/>
      <c r="G2" s="25"/>
      <c r="H2" s="25"/>
      <c r="I2" s="25"/>
      <c r="J2" s="25"/>
      <c r="K2" s="25"/>
      <c r="L2" s="25"/>
      <c r="M2" s="27"/>
      <c r="N2" s="28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7"/>
      <c r="AD2" s="20"/>
      <c r="AE2" s="20"/>
    </row>
    <row r="3">
      <c r="A3" s="3"/>
      <c r="B3" s="10"/>
      <c r="C3" s="10"/>
      <c r="D3" s="31">
        <f t="shared" ref="D3:AC3" si="1">COUNT(D5:D999)</f>
        <v>19</v>
      </c>
      <c r="E3" s="31">
        <f t="shared" si="1"/>
        <v>18</v>
      </c>
      <c r="F3" s="31">
        <f t="shared" si="1"/>
        <v>16</v>
      </c>
      <c r="G3" s="31">
        <f t="shared" si="1"/>
        <v>18</v>
      </c>
      <c r="H3" s="31">
        <f t="shared" si="1"/>
        <v>17</v>
      </c>
      <c r="I3" s="31">
        <f t="shared" si="1"/>
        <v>17</v>
      </c>
      <c r="J3" s="31">
        <f t="shared" si="1"/>
        <v>17</v>
      </c>
      <c r="K3" s="31">
        <f t="shared" si="1"/>
        <v>18</v>
      </c>
      <c r="L3" s="31">
        <f t="shared" si="1"/>
        <v>27</v>
      </c>
      <c r="M3" s="31">
        <f t="shared" si="1"/>
        <v>25</v>
      </c>
      <c r="N3" s="35">
        <f t="shared" si="1"/>
        <v>15</v>
      </c>
      <c r="O3" s="35">
        <f t="shared" si="1"/>
        <v>16</v>
      </c>
      <c r="P3" s="35">
        <f t="shared" si="1"/>
        <v>20</v>
      </c>
      <c r="Q3" s="35">
        <f t="shared" si="1"/>
        <v>22</v>
      </c>
      <c r="R3" s="35">
        <f t="shared" si="1"/>
        <v>19</v>
      </c>
      <c r="S3" s="35">
        <f t="shared" si="1"/>
        <v>32</v>
      </c>
      <c r="T3" s="35">
        <f t="shared" si="1"/>
        <v>33</v>
      </c>
      <c r="U3" s="35">
        <f t="shared" si="1"/>
        <v>29</v>
      </c>
      <c r="V3" s="35">
        <f t="shared" si="1"/>
        <v>29</v>
      </c>
      <c r="W3" s="35">
        <f t="shared" si="1"/>
        <v>27</v>
      </c>
      <c r="X3" s="35">
        <f t="shared" si="1"/>
        <v>31</v>
      </c>
      <c r="Y3" s="35">
        <f t="shared" si="1"/>
        <v>29</v>
      </c>
      <c r="Z3" s="35">
        <f t="shared" si="1"/>
        <v>28</v>
      </c>
      <c r="AA3" s="35">
        <f t="shared" si="1"/>
        <v>28</v>
      </c>
      <c r="AB3" s="35">
        <f t="shared" si="1"/>
        <v>3</v>
      </c>
      <c r="AC3" s="35">
        <f t="shared" si="1"/>
        <v>3</v>
      </c>
      <c r="AD3" s="37"/>
      <c r="AE3" s="37"/>
    </row>
    <row r="4">
      <c r="A4" s="38" t="s">
        <v>96</v>
      </c>
      <c r="B4" s="40" t="s">
        <v>102</v>
      </c>
      <c r="C4" s="40" t="s">
        <v>107</v>
      </c>
      <c r="D4" s="41" t="s">
        <v>98</v>
      </c>
      <c r="E4" s="41" t="s">
        <v>104</v>
      </c>
      <c r="F4" s="41" t="s">
        <v>112</v>
      </c>
      <c r="G4" s="41" t="s">
        <v>76</v>
      </c>
      <c r="H4" s="41" t="s">
        <v>77</v>
      </c>
      <c r="I4" s="41" t="s">
        <v>81</v>
      </c>
      <c r="J4" s="41" t="s">
        <v>88</v>
      </c>
      <c r="K4" s="43" t="s">
        <v>36</v>
      </c>
      <c r="L4" s="41" t="s">
        <v>110</v>
      </c>
      <c r="M4" s="41" t="s">
        <v>114</v>
      </c>
      <c r="N4" s="45" t="s">
        <v>117</v>
      </c>
      <c r="O4" s="45" t="s">
        <v>118</v>
      </c>
      <c r="P4" s="45" t="s">
        <v>80</v>
      </c>
      <c r="Q4" s="45" t="s">
        <v>120</v>
      </c>
      <c r="R4" s="45" t="s">
        <v>121</v>
      </c>
      <c r="S4" s="47" t="s">
        <v>64</v>
      </c>
      <c r="T4" s="47" t="s">
        <v>65</v>
      </c>
      <c r="U4" s="45" t="s">
        <v>70</v>
      </c>
      <c r="V4" s="45" t="s">
        <v>126</v>
      </c>
      <c r="W4" s="45" t="s">
        <v>53</v>
      </c>
      <c r="X4" s="45" t="s">
        <v>62</v>
      </c>
      <c r="Y4" s="47" t="s">
        <v>50</v>
      </c>
      <c r="Z4" s="45" t="s">
        <v>57</v>
      </c>
      <c r="AA4" s="48" t="s">
        <v>128</v>
      </c>
      <c r="AB4" s="48" t="s">
        <v>129</v>
      </c>
      <c r="AC4" s="48" t="s">
        <v>130</v>
      </c>
      <c r="AD4" s="50"/>
      <c r="AE4" s="50"/>
    </row>
    <row r="5">
      <c r="A5" s="38">
        <v>1.0</v>
      </c>
      <c r="B5" s="40">
        <v>121.0</v>
      </c>
      <c r="C5" s="40" t="str">
        <f>VLOOKUP(B5,MASTER!$AC$16:$AD999,2,0)</f>
        <v>Bib Cock with Flange</v>
      </c>
      <c r="D5" s="52" t="str">
        <f>IFERROR(VLOOKUP(D$4&amp;$B5,MASTER!$Z$16:$AB999,3,0),"")</f>
        <v/>
      </c>
      <c r="E5" s="52">
        <f>IFERROR(VLOOKUP(E$4&amp;$B5,MASTER!$Z$16:$AB999,3,0),"")</f>
        <v>432</v>
      </c>
      <c r="F5" s="52">
        <f>IFERROR(VLOOKUP(F$4&amp;$B5,MASTER!$Z$16:$AB999,3,0),"")</f>
        <v>262</v>
      </c>
      <c r="G5" s="52">
        <f>IFERROR(VLOOKUP(G$4&amp;$B5,MASTER!$Z$16:$AB999,3,0),"")</f>
        <v>244</v>
      </c>
      <c r="H5" s="52">
        <f>IFERROR(VLOOKUP(H$4&amp;$B5,MASTER!$Z$16:$AB999,3,0),"")</f>
        <v>244</v>
      </c>
      <c r="I5" s="52">
        <f>IFERROR(VLOOKUP(I$4&amp;$B5,MASTER!$Z$16:$AB999,3,0),"")</f>
        <v>244</v>
      </c>
      <c r="J5" s="52">
        <f>IFERROR(VLOOKUP(J$4&amp;$B5,MASTER!$Z$16:$AB999,3,0),"")</f>
        <v>244</v>
      </c>
      <c r="K5" s="52">
        <f>IFERROR(VLOOKUP(K$4&amp;$B5,MASTER!$Z$16:$AB999,3,0),"")</f>
        <v>244</v>
      </c>
      <c r="L5" s="52">
        <f>IFERROR(VLOOKUP(L$4&amp;$B5,MASTER!$Z$16:$AB999,3,0),"")</f>
        <v>308</v>
      </c>
      <c r="M5" s="52" t="str">
        <f>IFERROR(VLOOKUP(M$4&amp;$B5,MASTER!$Z$16:$AB999,3,0),"")</f>
        <v/>
      </c>
      <c r="N5" s="52" t="str">
        <f>IFERROR(VLOOKUP(N$4&amp;$B5,MASTER!$Z$16:$AB999,3,0),"")</f>
        <v/>
      </c>
      <c r="O5" s="52" t="str">
        <f>IFERROR(VLOOKUP(O$4&amp;$B5,MASTER!$Z$16:$AB999,3,0),"")</f>
        <v/>
      </c>
      <c r="P5" s="52" t="str">
        <f>IFERROR(VLOOKUP(P$4&amp;$B5,MASTER!$Z$16:$AB999,3,0),"")</f>
        <v/>
      </c>
      <c r="Q5" s="52">
        <f>IFERROR(VLOOKUP(Q$4&amp;$B5,MASTER!$Z$16:$AB999,3,0),"")</f>
        <v>392</v>
      </c>
      <c r="R5" s="52">
        <f>IFERROR(VLOOKUP(R$4&amp;$B5,MASTER!$Z$16:$AB999,3,0),"")</f>
        <v>392</v>
      </c>
      <c r="S5" s="52">
        <f>IFERROR(VLOOKUP(S$4&amp;$B5,MASTER!$Z$16:$AB999,3,0),"")</f>
        <v>228</v>
      </c>
      <c r="T5" s="52">
        <f>IFERROR(VLOOKUP(T$4&amp;$B5,MASTER!$Z$16:$AB999,3,0),"")</f>
        <v>228</v>
      </c>
      <c r="U5" s="52">
        <f>IFERROR(VLOOKUP(U$4&amp;$B5,MASTER!$Z$16:$AB999,3,0),"")</f>
        <v>228</v>
      </c>
      <c r="V5" s="52">
        <f>IFERROR(VLOOKUP(V$4&amp;$B5,MASTER!$Z$16:$AB999,3,0),"")</f>
        <v>254</v>
      </c>
      <c r="W5" s="52">
        <f>IFERROR(VLOOKUP(W$4&amp;$B5,MASTER!$Z$16:$AB999,3,0),"")</f>
        <v>264</v>
      </c>
      <c r="X5" s="52">
        <f>IFERROR(VLOOKUP(X$4&amp;$B5,MASTER!$Z$16:$AB999,3,0),"")</f>
        <v>264</v>
      </c>
      <c r="Y5" s="52">
        <f>IFERROR(VLOOKUP(Y$4&amp;$B5,MASTER!$Z$16:$AB999,3,0),"")</f>
        <v>262</v>
      </c>
      <c r="Z5" s="52">
        <f>IFERROR(VLOOKUP(Z$4&amp;$B5,MASTER!$Z$16:$AB999,3,0),"")</f>
        <v>264</v>
      </c>
      <c r="AA5" s="52">
        <f>IFERROR(VLOOKUP(AA$4&amp;$B5,MASTER!$Z$16:$AB999,3,0),"")</f>
        <v>264</v>
      </c>
      <c r="AB5" s="52">
        <f>IFERROR(VLOOKUP(AB$4&amp;$B5,MASTER!$Z$16:$AB999,3,0),"")</f>
        <v>138</v>
      </c>
      <c r="AC5" s="52">
        <f>IFERROR(VLOOKUP(AC$4&amp;$B5,MASTER!$Z$16:$AB999,3,0),"")</f>
        <v>148</v>
      </c>
      <c r="AD5" s="56"/>
      <c r="AE5" s="56"/>
    </row>
    <row r="6">
      <c r="A6" s="38">
        <v>2.0</v>
      </c>
      <c r="B6" s="40" t="s">
        <v>208</v>
      </c>
      <c r="C6" s="40" t="str">
        <f>VLOOKUP(B6,MASTER!$AC$16:$AD999,2,0)</f>
        <v>Bib Cock (Foam Flow) with Flange</v>
      </c>
      <c r="D6" s="52" t="str">
        <f>IFERROR(VLOOKUP(D$4&amp;$B6,MASTER!$Z$16:$AB999,3,0),"")</f>
        <v/>
      </c>
      <c r="E6" s="52" t="str">
        <f>IFERROR(VLOOKUP(E$4&amp;$B6,MASTER!$Z$16:$AB999,3,0),"")</f>
        <v/>
      </c>
      <c r="F6" s="52">
        <f>IFERROR(VLOOKUP(F$4&amp;$B6,MASTER!$Z$16:$AB999,3,0),"")</f>
        <v>274</v>
      </c>
      <c r="G6" s="52">
        <f>IFERROR(VLOOKUP(G$4&amp;$B6,MASTER!$Z$16:$AB999,3,0),"")</f>
        <v>256</v>
      </c>
      <c r="H6" s="52">
        <f>IFERROR(VLOOKUP(H$4&amp;$B6,MASTER!$Z$16:$AB999,3,0),"")</f>
        <v>258</v>
      </c>
      <c r="I6" s="52">
        <f>IFERROR(VLOOKUP(I$4&amp;$B6,MASTER!$Z$16:$AB999,3,0),"")</f>
        <v>258</v>
      </c>
      <c r="J6" s="52">
        <f>IFERROR(VLOOKUP(J$4&amp;$B6,MASTER!$Z$16:$AB999,3,0),"")</f>
        <v>258</v>
      </c>
      <c r="K6" s="52">
        <f>IFERROR(VLOOKUP(K$4&amp;$B6,MASTER!$Z$16:$AB999,3,0),"")</f>
        <v>256</v>
      </c>
      <c r="L6" s="52">
        <f>IFERROR(VLOOKUP(L$4&amp;$B6,MASTER!$Z$16:$AB999,3,0),"")</f>
        <v>322</v>
      </c>
      <c r="M6" s="52" t="str">
        <f>IFERROR(VLOOKUP(M$4&amp;$B6,MASTER!$Z$16:$AB999,3,0),"")</f>
        <v/>
      </c>
      <c r="N6" s="52" t="str">
        <f>IFERROR(VLOOKUP(N$4&amp;$B6,MASTER!$Z$16:$AB999,3,0),"")</f>
        <v/>
      </c>
      <c r="O6" s="52" t="str">
        <f>IFERROR(VLOOKUP(O$4&amp;$B6,MASTER!$Z$16:$AB999,3,0),"")</f>
        <v/>
      </c>
      <c r="P6" s="52" t="str">
        <f>IFERROR(VLOOKUP(P$4&amp;$B6,MASTER!$Z$16:$AB999,3,0),"")</f>
        <v/>
      </c>
      <c r="Q6" s="52" t="str">
        <f>IFERROR(VLOOKUP(Q$4&amp;$B6,MASTER!$Z$16:$AB999,3,0),"")</f>
        <v/>
      </c>
      <c r="R6" s="52" t="str">
        <f>IFERROR(VLOOKUP(R$4&amp;$B6,MASTER!$Z$16:$AB999,3,0),"")</f>
        <v/>
      </c>
      <c r="S6" s="52">
        <f>IFERROR(VLOOKUP(S$4&amp;$B6,MASTER!$Z$16:$AB999,3,0),"")</f>
        <v>242</v>
      </c>
      <c r="T6" s="52">
        <f>IFERROR(VLOOKUP(T$4&amp;$B6,MASTER!$Z$16:$AB999,3,0),"")</f>
        <v>242</v>
      </c>
      <c r="U6" s="52">
        <f>IFERROR(VLOOKUP(U$4&amp;$B6,MASTER!$Z$16:$AB999,3,0),"")</f>
        <v>242</v>
      </c>
      <c r="V6" s="52">
        <f>IFERROR(VLOOKUP(V$4&amp;$B6,MASTER!$Z$16:$AB999,3,0),"")</f>
        <v>266</v>
      </c>
      <c r="W6" s="52">
        <f>IFERROR(VLOOKUP(W$4&amp;$B6,MASTER!$Z$16:$AB999,3,0),"")</f>
        <v>276</v>
      </c>
      <c r="X6" s="52">
        <f>IFERROR(VLOOKUP(X$4&amp;$B6,MASTER!$Z$16:$AB999,3,0),"")</f>
        <v>276</v>
      </c>
      <c r="Y6" s="52">
        <f>IFERROR(VLOOKUP(Y$4&amp;$B6,MASTER!$Z$16:$AB999,3,0),"")</f>
        <v>274</v>
      </c>
      <c r="Z6" s="52">
        <f>IFERROR(VLOOKUP(Z$4&amp;$B6,MASTER!$Z$16:$AB999,3,0),"")</f>
        <v>276</v>
      </c>
      <c r="AA6" s="52">
        <f>IFERROR(VLOOKUP(AA$4&amp;$B6,MASTER!$Z$16:$AB999,3,0),"")</f>
        <v>276</v>
      </c>
      <c r="AB6" s="52" t="str">
        <f>IFERROR(VLOOKUP(AB$4&amp;$B6,MASTER!$Z$16:$AB999,3,0),"")</f>
        <v/>
      </c>
      <c r="AC6" s="52" t="str">
        <f>IFERROR(VLOOKUP(AC$4&amp;$B6,MASTER!$Z$16:$AB999,3,0),"")</f>
        <v/>
      </c>
      <c r="AD6" s="56"/>
      <c r="AE6" s="56"/>
    </row>
    <row r="7">
      <c r="A7" s="38">
        <v>3.0</v>
      </c>
      <c r="B7" s="40">
        <v>122.0</v>
      </c>
      <c r="C7" s="40" t="str">
        <f>VLOOKUP(B7,MASTER!$AC$16:$AD999,2,0)</f>
        <v>Bib Cock (Foam Flow) with Flange</v>
      </c>
      <c r="D7" s="52" t="str">
        <f>IFERROR(VLOOKUP(D$4&amp;$B7,MASTER!$Z$16:$AB999,3,0),"")</f>
        <v/>
      </c>
      <c r="E7" s="52">
        <f>IFERROR(VLOOKUP(E$4&amp;$B7,MASTER!$Z$16:$AB999,3,0),"")</f>
        <v>472</v>
      </c>
      <c r="F7" s="52" t="str">
        <f>IFERROR(VLOOKUP(F$4&amp;$B7,MASTER!$Z$16:$AB999,3,0),"")</f>
        <v/>
      </c>
      <c r="G7" s="52" t="str">
        <f>IFERROR(VLOOKUP(G$4&amp;$B7,MASTER!$Z$16:$AB999,3,0),"")</f>
        <v/>
      </c>
      <c r="H7" s="52" t="str">
        <f>IFERROR(VLOOKUP(H$4&amp;$B7,MASTER!$Z$16:$AB999,3,0),"")</f>
        <v/>
      </c>
      <c r="I7" s="52" t="str">
        <f>IFERROR(VLOOKUP(I$4&amp;$B7,MASTER!$Z$16:$AB999,3,0),"")</f>
        <v/>
      </c>
      <c r="J7" s="52" t="str">
        <f>IFERROR(VLOOKUP(J$4&amp;$B7,MASTER!$Z$16:$AB999,3,0),"")</f>
        <v/>
      </c>
      <c r="K7" s="52" t="str">
        <f>IFERROR(VLOOKUP(K$4&amp;$B7,MASTER!$Z$16:$AB999,3,0),"")</f>
        <v/>
      </c>
      <c r="L7" s="52" t="str">
        <f>IFERROR(VLOOKUP(L$4&amp;$B7,MASTER!$Z$16:$AB999,3,0),"")</f>
        <v/>
      </c>
      <c r="M7" s="52" t="str">
        <f>IFERROR(VLOOKUP(M$4&amp;$B7,MASTER!$Z$16:$AB999,3,0),"")</f>
        <v/>
      </c>
      <c r="N7" s="52" t="str">
        <f>IFERROR(VLOOKUP(N$4&amp;$B7,MASTER!$Z$16:$AB999,3,0),"")</f>
        <v/>
      </c>
      <c r="O7" s="52" t="str">
        <f>IFERROR(VLOOKUP(O$4&amp;$B7,MASTER!$Z$16:$AB999,3,0),"")</f>
        <v/>
      </c>
      <c r="P7" s="52" t="str">
        <f>IFERROR(VLOOKUP(P$4&amp;$B7,MASTER!$Z$16:$AB999,3,0),"")</f>
        <v/>
      </c>
      <c r="Q7" s="52">
        <f>IFERROR(VLOOKUP(Q$4&amp;$B7,MASTER!$Z$16:$AB999,3,0),"")</f>
        <v>392</v>
      </c>
      <c r="R7" s="52">
        <f>IFERROR(VLOOKUP(R$4&amp;$B7,MASTER!$Z$16:$AB999,3,0),"")</f>
        <v>392</v>
      </c>
      <c r="S7" s="52">
        <f>IFERROR(VLOOKUP(S$4&amp;$B7,MASTER!$Z$16:$AB999,3,0),"")</f>
        <v>238</v>
      </c>
      <c r="T7" s="52" t="str">
        <f>IFERROR(VLOOKUP(T$4&amp;$B7,MASTER!$Z$16:$AB999,3,0),"")</f>
        <v/>
      </c>
      <c r="U7" s="52" t="str">
        <f>IFERROR(VLOOKUP(U$4&amp;$B7,MASTER!$Z$16:$AB999,3,0),"")</f>
        <v/>
      </c>
      <c r="V7" s="52" t="str">
        <f>IFERROR(VLOOKUP(V$4&amp;$B7,MASTER!$Z$16:$AB999,3,0),"")</f>
        <v/>
      </c>
      <c r="W7" s="52" t="str">
        <f>IFERROR(VLOOKUP(W$4&amp;$B7,MASTER!$Z$16:$AB999,3,0),"")</f>
        <v/>
      </c>
      <c r="X7" s="52" t="str">
        <f>IFERROR(VLOOKUP(X$4&amp;$B7,MASTER!$Z$16:$AB999,3,0),"")</f>
        <v/>
      </c>
      <c r="Y7" s="52" t="str">
        <f>IFERROR(VLOOKUP(Y$4&amp;$B7,MASTER!$Z$16:$AB999,3,0),"")</f>
        <v/>
      </c>
      <c r="Z7" s="52" t="str">
        <f>IFERROR(VLOOKUP(Z$4&amp;$B7,MASTER!$Z$16:$AB999,3,0),"")</f>
        <v/>
      </c>
      <c r="AA7" s="52" t="str">
        <f>IFERROR(VLOOKUP(AA$4&amp;$B7,MASTER!$Z$16:$AB999,3,0),"")</f>
        <v/>
      </c>
      <c r="AB7" s="52" t="str">
        <f>IFERROR(VLOOKUP(AB$4&amp;$B7,MASTER!$Z$16:$AB999,3,0),"")</f>
        <v/>
      </c>
      <c r="AC7" s="52" t="str">
        <f>IFERROR(VLOOKUP(AC$4&amp;$B7,MASTER!$Z$16:$AB999,3,0),"")</f>
        <v/>
      </c>
      <c r="AD7" s="56"/>
      <c r="AE7" s="56"/>
    </row>
    <row r="8">
      <c r="A8" s="38">
        <v>4.0</v>
      </c>
      <c r="B8" s="40">
        <v>123.0</v>
      </c>
      <c r="C8" s="40" t="str">
        <f>VLOOKUP(B8,MASTER!$AC$16:$AD999,2,0)</f>
        <v>Bib Cock Fancy with Flange</v>
      </c>
      <c r="D8" s="52">
        <f>IFERROR(VLOOKUP(D$4&amp;$B8,MASTER!$Z$16:$AB999,3,0),"")</f>
        <v>504</v>
      </c>
      <c r="E8" s="52">
        <f>IFERROR(VLOOKUP(E$4&amp;$B8,MASTER!$Z$16:$AB999,3,0),"")</f>
        <v>514</v>
      </c>
      <c r="F8" s="52" t="str">
        <f>IFERROR(VLOOKUP(F$4&amp;$B8,MASTER!$Z$16:$AB999,3,0),"")</f>
        <v/>
      </c>
      <c r="G8" s="52" t="str">
        <f>IFERROR(VLOOKUP(G$4&amp;$B8,MASTER!$Z$16:$AB999,3,0),"")</f>
        <v/>
      </c>
      <c r="H8" s="52" t="str">
        <f>IFERROR(VLOOKUP(H$4&amp;$B8,MASTER!$Z$16:$AB999,3,0),"")</f>
        <v/>
      </c>
      <c r="I8" s="52" t="str">
        <f>IFERROR(VLOOKUP(I$4&amp;$B8,MASTER!$Z$16:$AB999,3,0),"")</f>
        <v/>
      </c>
      <c r="J8" s="52" t="str">
        <f>IFERROR(VLOOKUP(J$4&amp;$B8,MASTER!$Z$16:$AB999,3,0),"")</f>
        <v/>
      </c>
      <c r="K8" s="52" t="str">
        <f>IFERROR(VLOOKUP(K$4&amp;$B8,MASTER!$Z$16:$AB999,3,0),"")</f>
        <v/>
      </c>
      <c r="L8" s="52">
        <f>IFERROR(VLOOKUP(L$4&amp;$B8,MASTER!$Z$16:$AB999,3,0),"")</f>
        <v>352</v>
      </c>
      <c r="M8" s="52">
        <f>IFERROR(VLOOKUP(M$4&amp;$B8,MASTER!$Z$16:$AB999,3,0),"")</f>
        <v>338</v>
      </c>
      <c r="N8" s="52">
        <f>IFERROR(VLOOKUP(N$4&amp;$B8,MASTER!$Z$16:$AB999,3,0),"")</f>
        <v>322</v>
      </c>
      <c r="O8" s="52">
        <f>IFERROR(VLOOKUP(O$4&amp;$B8,MASTER!$Z$16:$AB999,3,0),"")</f>
        <v>426</v>
      </c>
      <c r="P8" s="52">
        <f>IFERROR(VLOOKUP(P$4&amp;$B8,MASTER!$Z$16:$AB999,3,0),"")</f>
        <v>406</v>
      </c>
      <c r="Q8" s="52">
        <f>IFERROR(VLOOKUP(Q$4&amp;$B8,MASTER!$Z$16:$AB999,3,0),"")</f>
        <v>424</v>
      </c>
      <c r="R8" s="52">
        <f>IFERROR(VLOOKUP(R$4&amp;$B8,MASTER!$Z$16:$AB999,3,0),"")</f>
        <v>424</v>
      </c>
      <c r="S8" s="52">
        <f>IFERROR(VLOOKUP(S$4&amp;$B8,MASTER!$Z$16:$AB999,3,0),"")</f>
        <v>272</v>
      </c>
      <c r="T8" s="52">
        <f>IFERROR(VLOOKUP(T$4&amp;$B8,MASTER!$Z$16:$AB999,3,0),"")</f>
        <v>272</v>
      </c>
      <c r="U8" s="52">
        <f>IFERROR(VLOOKUP(U$4&amp;$B8,MASTER!$Z$16:$AB999,3,0),"")</f>
        <v>272</v>
      </c>
      <c r="V8" s="52">
        <f>IFERROR(VLOOKUP(V$4&amp;$B8,MASTER!$Z$16:$AB999,3,0),"")</f>
        <v>286</v>
      </c>
      <c r="W8" s="52">
        <f>IFERROR(VLOOKUP(W$4&amp;$B8,MASTER!$Z$16:$AB999,3,0),"")</f>
        <v>296</v>
      </c>
      <c r="X8" s="52">
        <f>IFERROR(VLOOKUP(X$4&amp;$B8,MASTER!$Z$16:$AB999,3,0),"")</f>
        <v>296</v>
      </c>
      <c r="Y8" s="52">
        <f>IFERROR(VLOOKUP(Y$4&amp;$B8,MASTER!$Z$16:$AB999,3,0),"")</f>
        <v>296</v>
      </c>
      <c r="Z8" s="52">
        <f>IFERROR(VLOOKUP(Z$4&amp;$B8,MASTER!$Z$16:$AB999,3,0),"")</f>
        <v>296</v>
      </c>
      <c r="AA8" s="52">
        <f>IFERROR(VLOOKUP(AA$4&amp;$B8,MASTER!$Z$16:$AB999,3,0),"")</f>
        <v>286</v>
      </c>
      <c r="AB8" s="52" t="str">
        <f>IFERROR(VLOOKUP(AB$4&amp;$B8,MASTER!$Z$16:$AB999,3,0),"")</f>
        <v/>
      </c>
      <c r="AC8" s="52" t="str">
        <f>IFERROR(VLOOKUP(AC$4&amp;$B8,MASTER!$Z$16:$AB999,3,0),"")</f>
        <v/>
      </c>
      <c r="AD8" s="56"/>
      <c r="AE8" s="56"/>
    </row>
    <row r="9">
      <c r="A9" s="38">
        <v>5.0</v>
      </c>
      <c r="B9" s="65" t="s">
        <v>471</v>
      </c>
      <c r="C9" s="40" t="str">
        <f>VLOOKUP(B9,MASTER!$AC$16:$AD999,2,0)</f>
        <v>Bib Cock Fancy (Foam Flow) with Flange</v>
      </c>
      <c r="D9" s="52" t="str">
        <f>IFERROR(VLOOKUP(D$4&amp;$B9,MASTER!$Z$16:$AB999,3,0),"")</f>
        <v/>
      </c>
      <c r="E9" s="52" t="str">
        <f>IFERROR(VLOOKUP(E$4&amp;$B9,MASTER!$Z$16:$AB999,3,0),"")</f>
        <v/>
      </c>
      <c r="F9" s="52" t="str">
        <f>IFERROR(VLOOKUP(F$4&amp;$B9,MASTER!$Z$16:$AB999,3,0),"")</f>
        <v/>
      </c>
      <c r="G9" s="52" t="str">
        <f>IFERROR(VLOOKUP(G$4&amp;$B9,MASTER!$Z$16:$AB999,3,0),"")</f>
        <v/>
      </c>
      <c r="H9" s="52" t="str">
        <f>IFERROR(VLOOKUP(H$4&amp;$B9,MASTER!$Z$16:$AB999,3,0),"")</f>
        <v/>
      </c>
      <c r="I9" s="52" t="str">
        <f>IFERROR(VLOOKUP(I$4&amp;$B9,MASTER!$Z$16:$AB999,3,0),"")</f>
        <v/>
      </c>
      <c r="J9" s="52" t="str">
        <f>IFERROR(VLOOKUP(J$4&amp;$B9,MASTER!$Z$16:$AB999,3,0),"")</f>
        <v/>
      </c>
      <c r="K9" s="52" t="str">
        <f>IFERROR(VLOOKUP(K$4&amp;$B9,MASTER!$Z$16:$AB999,3,0),"")</f>
        <v/>
      </c>
      <c r="L9" s="52">
        <f>IFERROR(VLOOKUP(L$4&amp;$B9,MASTER!$Z$16:$AB999,3,0),"")</f>
        <v>368</v>
      </c>
      <c r="M9" s="52">
        <f>IFERROR(VLOOKUP(M$4&amp;$B9,MASTER!$Z$16:$AB999,3,0),"")</f>
        <v>358</v>
      </c>
      <c r="N9" s="52" t="str">
        <f>IFERROR(VLOOKUP(N$4&amp;$B9,MASTER!$Z$16:$AB999,3,0),"")</f>
        <v/>
      </c>
      <c r="O9" s="52" t="str">
        <f>IFERROR(VLOOKUP(O$4&amp;$B9,MASTER!$Z$16:$AB999,3,0),"")</f>
        <v/>
      </c>
      <c r="P9" s="52" t="str">
        <f>IFERROR(VLOOKUP(P$4&amp;$B9,MASTER!$Z$16:$AB999,3,0),"")</f>
        <v/>
      </c>
      <c r="Q9" s="52" t="str">
        <f>IFERROR(VLOOKUP(Q$4&amp;$B9,MASTER!$Z$16:$AB999,3,0),"")</f>
        <v/>
      </c>
      <c r="R9" s="52" t="str">
        <f>IFERROR(VLOOKUP(R$4&amp;$B9,MASTER!$Z$16:$AB999,3,0),"")</f>
        <v/>
      </c>
      <c r="S9" s="52">
        <f>IFERROR(VLOOKUP(S$4&amp;$B9,MASTER!$Z$16:$AB999,3,0),"")</f>
        <v>284</v>
      </c>
      <c r="T9" s="52">
        <f>IFERROR(VLOOKUP(T$4&amp;$B9,MASTER!$Z$16:$AB999,3,0),"")</f>
        <v>284</v>
      </c>
      <c r="U9" s="52">
        <f>IFERROR(VLOOKUP(U$4&amp;$B9,MASTER!$Z$16:$AB999,3,0),"")</f>
        <v>284</v>
      </c>
      <c r="V9" s="52">
        <f>IFERROR(VLOOKUP(V$4&amp;$B9,MASTER!$Z$16:$AB999,3,0),"")</f>
        <v>296</v>
      </c>
      <c r="W9" s="52">
        <f>IFERROR(VLOOKUP(W$4&amp;$B9,MASTER!$Z$16:$AB999,3,0),"")</f>
        <v>306</v>
      </c>
      <c r="X9" s="52">
        <f>IFERROR(VLOOKUP(X$4&amp;$B9,MASTER!$Z$16:$AB999,3,0),"")</f>
        <v>306</v>
      </c>
      <c r="Y9" s="52">
        <f>IFERROR(VLOOKUP(Y$4&amp;$B9,MASTER!$Z$16:$AB999,3,0),"")</f>
        <v>304</v>
      </c>
      <c r="Z9" s="52">
        <f>IFERROR(VLOOKUP(Z$4&amp;$B9,MASTER!$Z$16:$AB999,3,0),"")</f>
        <v>306</v>
      </c>
      <c r="AA9" s="52">
        <f>IFERROR(VLOOKUP(AA$4&amp;$B9,MASTER!$Z$16:$AB999,3,0),"")</f>
        <v>296</v>
      </c>
      <c r="AB9" s="52" t="str">
        <f>IFERROR(VLOOKUP(AB$4&amp;$B9,MASTER!$Z$16:$AB999,3,0),"")</f>
        <v/>
      </c>
      <c r="AC9" s="52" t="str">
        <f>IFERROR(VLOOKUP(AC$4&amp;$B9,MASTER!$Z$16:$AB999,3,0),"")</f>
        <v/>
      </c>
      <c r="AD9" s="56"/>
      <c r="AE9" s="56"/>
    </row>
    <row r="10">
      <c r="A10" s="38">
        <v>6.0</v>
      </c>
      <c r="B10" s="65" t="s">
        <v>573</v>
      </c>
      <c r="C10" s="40" t="str">
        <f>VLOOKUP(B10,MASTER!$AC$16:$AD999,2,0)</f>
        <v>Bib Cock Fancy with New Flange &amp; Nipple</v>
      </c>
      <c r="D10" s="52" t="str">
        <f>IFERROR(VLOOKUP(D$4&amp;$B10,MASTER!$Z$16:$AB999,3,0),"")</f>
        <v/>
      </c>
      <c r="E10" s="52" t="str">
        <f>IFERROR(VLOOKUP(E$4&amp;$B10,MASTER!$Z$16:$AB999,3,0),"")</f>
        <v/>
      </c>
      <c r="F10" s="52" t="str">
        <f>IFERROR(VLOOKUP(F$4&amp;$B10,MASTER!$Z$16:$AB999,3,0),"")</f>
        <v/>
      </c>
      <c r="G10" s="52" t="str">
        <f>IFERROR(VLOOKUP(G$4&amp;$B10,MASTER!$Z$16:$AB999,3,0),"")</f>
        <v/>
      </c>
      <c r="H10" s="52" t="str">
        <f>IFERROR(VLOOKUP(H$4&amp;$B10,MASTER!$Z$16:$AB999,3,0),"")</f>
        <v/>
      </c>
      <c r="I10" s="52" t="str">
        <f>IFERROR(VLOOKUP(I$4&amp;$B10,MASTER!$Z$16:$AB999,3,0),"")</f>
        <v/>
      </c>
      <c r="J10" s="52" t="str">
        <f>IFERROR(VLOOKUP(J$4&amp;$B10,MASTER!$Z$16:$AB999,3,0),"")</f>
        <v/>
      </c>
      <c r="K10" s="52" t="str">
        <f>IFERROR(VLOOKUP(K$4&amp;$B10,MASTER!$Z$16:$AB999,3,0),"")</f>
        <v/>
      </c>
      <c r="L10" s="52">
        <f>IFERROR(VLOOKUP(L$4&amp;$B10,MASTER!$Z$16:$AB999,3,0),"")</f>
        <v>428</v>
      </c>
      <c r="M10" s="52">
        <f>IFERROR(VLOOKUP(M$4&amp;$B10,MASTER!$Z$16:$AB999,3,0),"")</f>
        <v>402</v>
      </c>
      <c r="N10" s="52" t="str">
        <f>IFERROR(VLOOKUP(N$4&amp;$B10,MASTER!$Z$16:$AB999,3,0),"")</f>
        <v/>
      </c>
      <c r="O10" s="52" t="str">
        <f>IFERROR(VLOOKUP(O$4&amp;$B10,MASTER!$Z$16:$AB999,3,0),"")</f>
        <v/>
      </c>
      <c r="P10" s="52" t="str">
        <f>IFERROR(VLOOKUP(P$4&amp;$B10,MASTER!$Z$16:$AB999,3,0),"")</f>
        <v/>
      </c>
      <c r="Q10" s="52" t="str">
        <f>IFERROR(VLOOKUP(Q$4&amp;$B10,MASTER!$Z$16:$AB999,3,0),"")</f>
        <v/>
      </c>
      <c r="R10" s="52" t="str">
        <f>IFERROR(VLOOKUP(R$4&amp;$B10,MASTER!$Z$16:$AB999,3,0),"")</f>
        <v/>
      </c>
      <c r="S10" s="52">
        <f>IFERROR(VLOOKUP(S$4&amp;$B10,MASTER!$Z$16:$AB999,3,0),"")</f>
        <v>328</v>
      </c>
      <c r="T10" s="52">
        <f>IFERROR(VLOOKUP(T$4&amp;$B10,MASTER!$Z$16:$AB999,3,0),"")</f>
        <v>328</v>
      </c>
      <c r="U10" s="52">
        <f>IFERROR(VLOOKUP(U$4&amp;$B10,MASTER!$Z$16:$AB999,3,0),"")</f>
        <v>328</v>
      </c>
      <c r="V10" s="52">
        <f>IFERROR(VLOOKUP(V$4&amp;$B10,MASTER!$Z$16:$AB999,3,0),"")</f>
        <v>342</v>
      </c>
      <c r="W10" s="52">
        <f>IFERROR(VLOOKUP(W$4&amp;$B10,MASTER!$Z$16:$AB999,3,0),"")</f>
        <v>358</v>
      </c>
      <c r="X10" s="52">
        <f>IFERROR(VLOOKUP(X$4&amp;$B10,MASTER!$Z$16:$AB999,3,0),"")</f>
        <v>358</v>
      </c>
      <c r="Y10" s="52">
        <f>IFERROR(VLOOKUP(Y$4&amp;$B10,MASTER!$Z$16:$AB999,3,0),"")</f>
        <v>358</v>
      </c>
      <c r="Z10" s="52">
        <f>IFERROR(VLOOKUP(Z$4&amp;$B10,MASTER!$Z$16:$AB999,3,0),"")</f>
        <v>358</v>
      </c>
      <c r="AA10" s="52">
        <f>IFERROR(VLOOKUP(AA$4&amp;$B10,MASTER!$Z$16:$AB999,3,0),"")</f>
        <v>338</v>
      </c>
      <c r="AB10" s="52" t="str">
        <f>IFERROR(VLOOKUP(AB$4&amp;$B10,MASTER!$Z$16:$AB999,3,0),"")</f>
        <v/>
      </c>
      <c r="AC10" s="52" t="str">
        <f>IFERROR(VLOOKUP(AC$4&amp;$B10,MASTER!$Z$16:$AB999,3,0),"")</f>
        <v/>
      </c>
      <c r="AD10" s="56"/>
      <c r="AE10" s="56"/>
    </row>
    <row r="11">
      <c r="A11" s="38">
        <v>7.0</v>
      </c>
      <c r="B11" s="65">
        <v>124.0</v>
      </c>
      <c r="C11" s="40" t="str">
        <f>VLOOKUP(B11,MASTER!$AC$16:$AD999,2,0)</f>
        <v>Bib Cock Long Body with Flange</v>
      </c>
      <c r="D11" s="52">
        <f>IFERROR(VLOOKUP(D$4&amp;$B11,MASTER!$Z$16:$AB999,3,0),"")</f>
        <v>618</v>
      </c>
      <c r="E11" s="52">
        <f>IFERROR(VLOOKUP(E$4&amp;$B11,MASTER!$Z$16:$AB999,3,0),"")</f>
        <v>534</v>
      </c>
      <c r="F11" s="52">
        <f>IFERROR(VLOOKUP(F$4&amp;$B11,MASTER!$Z$16:$AB999,3,0),"")</f>
        <v>362</v>
      </c>
      <c r="G11" s="52">
        <f>IFERROR(VLOOKUP(G$4&amp;$B11,MASTER!$Z$16:$AB999,3,0),"")</f>
        <v>322</v>
      </c>
      <c r="H11" s="52">
        <f>IFERROR(VLOOKUP(H$4&amp;$B11,MASTER!$Z$16:$AB999,3,0),"")</f>
        <v>318</v>
      </c>
      <c r="I11" s="52">
        <f>IFERROR(VLOOKUP(I$4&amp;$B11,MASTER!$Z$16:$AB999,3,0),"")</f>
        <v>318</v>
      </c>
      <c r="J11" s="52">
        <f>IFERROR(VLOOKUP(J$4&amp;$B11,MASTER!$Z$16:$AB999,3,0),"")</f>
        <v>318</v>
      </c>
      <c r="K11" s="52">
        <f>IFERROR(VLOOKUP(K$4&amp;$B11,MASTER!$Z$16:$AB999,3,0),"")</f>
        <v>322</v>
      </c>
      <c r="L11" s="52">
        <f>IFERROR(VLOOKUP(L$4&amp;$B11,MASTER!$Z$16:$AB999,3,0),"")</f>
        <v>414</v>
      </c>
      <c r="M11" s="52">
        <f>IFERROR(VLOOKUP(M$4&amp;$B11,MASTER!$Z$16:$AB999,3,0),"")</f>
        <v>408</v>
      </c>
      <c r="N11" s="52">
        <f>IFERROR(VLOOKUP(N$4&amp;$B11,MASTER!$Z$16:$AB999,3,0),"")</f>
        <v>392</v>
      </c>
      <c r="O11" s="52">
        <f>IFERROR(VLOOKUP(O$4&amp;$B11,MASTER!$Z$16:$AB999,3,0),"")</f>
        <v>526</v>
      </c>
      <c r="P11" s="52">
        <f>IFERROR(VLOOKUP(P$4&amp;$B11,MASTER!$Z$16:$AB999,3,0),"")</f>
        <v>508</v>
      </c>
      <c r="Q11" s="52">
        <f>IFERROR(VLOOKUP(Q$4&amp;$B11,MASTER!$Z$16:$AB999,3,0),"")</f>
        <v>414</v>
      </c>
      <c r="R11" s="52">
        <f>IFERROR(VLOOKUP(R$4&amp;$B11,MASTER!$Z$16:$AB999,3,0),"")</f>
        <v>414</v>
      </c>
      <c r="S11" s="52">
        <f>IFERROR(VLOOKUP(S$4&amp;$B11,MASTER!$Z$16:$AB999,3,0),"")</f>
        <v>316</v>
      </c>
      <c r="T11" s="52">
        <f>IFERROR(VLOOKUP(T$4&amp;$B11,MASTER!$Z$16:$AB999,3,0),"")</f>
        <v>316</v>
      </c>
      <c r="U11" s="52">
        <f>IFERROR(VLOOKUP(U$4&amp;$B11,MASTER!$Z$16:$AB999,3,0),"")</f>
        <v>316</v>
      </c>
      <c r="V11" s="52">
        <f>IFERROR(VLOOKUP(V$4&amp;$B11,MASTER!$Z$16:$AB999,3,0),"")</f>
        <v>326</v>
      </c>
      <c r="W11" s="52">
        <f>IFERROR(VLOOKUP(W$4&amp;$B11,MASTER!$Z$16:$AB999,3,0),"")</f>
        <v>338</v>
      </c>
      <c r="X11" s="52">
        <f>IFERROR(VLOOKUP(X$4&amp;$B11,MASTER!$Z$16:$AB999,3,0),"")</f>
        <v>338</v>
      </c>
      <c r="Y11" s="52">
        <f>IFERROR(VLOOKUP(Y$4&amp;$B11,MASTER!$Z$16:$AB999,3,0),"")</f>
        <v>338</v>
      </c>
      <c r="Z11" s="52">
        <f>IFERROR(VLOOKUP(Z$4&amp;$B11,MASTER!$Z$16:$AB999,3,0),"")</f>
        <v>338</v>
      </c>
      <c r="AA11" s="52">
        <f>IFERROR(VLOOKUP(AA$4&amp;$B11,MASTER!$Z$16:$AB999,3,0),"")</f>
        <v>328</v>
      </c>
      <c r="AB11" s="52">
        <f>IFERROR(VLOOKUP(AB$4&amp;$B11,MASTER!$Z$16:$AB999,3,0),"")</f>
        <v>158</v>
      </c>
      <c r="AC11" s="52">
        <f>IFERROR(VLOOKUP(AC$4&amp;$B11,MASTER!$Z$16:$AB999,3,0),"")</f>
        <v>178</v>
      </c>
      <c r="AD11" s="56"/>
      <c r="AE11" s="56"/>
    </row>
    <row r="12">
      <c r="A12" s="38">
        <v>8.0</v>
      </c>
      <c r="B12" s="65" t="s">
        <v>698</v>
      </c>
      <c r="C12" s="40" t="str">
        <f>VLOOKUP(B12,MASTER!$AC$16:$AD999,2,0)</f>
        <v>Bib Cock Long Body (Foam Flow) with Flange</v>
      </c>
      <c r="D12" s="52" t="str">
        <f>IFERROR(VLOOKUP(D$4&amp;$B12,MASTER!$Z$16:$AB999,3,0),"")</f>
        <v/>
      </c>
      <c r="E12" s="52" t="str">
        <f>IFERROR(VLOOKUP(E$4&amp;$B12,MASTER!$Z$16:$AB999,3,0),"")</f>
        <v/>
      </c>
      <c r="F12" s="52" t="str">
        <f>IFERROR(VLOOKUP(F$4&amp;$B12,MASTER!$Z$16:$AB999,3,0),"")</f>
        <v/>
      </c>
      <c r="G12" s="52">
        <f>IFERROR(VLOOKUP(G$4&amp;$B12,MASTER!$Z$16:$AB999,3,0),"")</f>
        <v>338</v>
      </c>
      <c r="H12" s="52" t="str">
        <f>IFERROR(VLOOKUP(H$4&amp;$B12,MASTER!$Z$16:$AB999,3,0),"")</f>
        <v/>
      </c>
      <c r="I12" s="52" t="str">
        <f>IFERROR(VLOOKUP(I$4&amp;$B12,MASTER!$Z$16:$AB999,3,0),"")</f>
        <v/>
      </c>
      <c r="J12" s="52" t="str">
        <f>IFERROR(VLOOKUP(J$4&amp;$B12,MASTER!$Z$16:$AB999,3,0),"")</f>
        <v/>
      </c>
      <c r="K12" s="52">
        <f>IFERROR(VLOOKUP(K$4&amp;$B12,MASTER!$Z$16:$AB999,3,0),"")</f>
        <v>338</v>
      </c>
      <c r="L12" s="52">
        <f>IFERROR(VLOOKUP(L$4&amp;$B12,MASTER!$Z$16:$AB999,3,0),"")</f>
        <v>428</v>
      </c>
      <c r="M12" s="52">
        <f>IFERROR(VLOOKUP(M$4&amp;$B12,MASTER!$Z$16:$AB999,3,0),"")</f>
        <v>428</v>
      </c>
      <c r="N12" s="52" t="str">
        <f>IFERROR(VLOOKUP(N$4&amp;$B12,MASTER!$Z$16:$AB999,3,0),"")</f>
        <v/>
      </c>
      <c r="O12" s="52" t="str">
        <f>IFERROR(VLOOKUP(O$4&amp;$B12,MASTER!$Z$16:$AB999,3,0),"")</f>
        <v/>
      </c>
      <c r="P12" s="52" t="str">
        <f>IFERROR(VLOOKUP(P$4&amp;$B12,MASTER!$Z$16:$AB999,3,0),"")</f>
        <v/>
      </c>
      <c r="Q12" s="52" t="str">
        <f>IFERROR(VLOOKUP(Q$4&amp;$B12,MASTER!$Z$16:$AB999,3,0),"")</f>
        <v/>
      </c>
      <c r="R12" s="52" t="str">
        <f>IFERROR(VLOOKUP(R$4&amp;$B12,MASTER!$Z$16:$AB999,3,0),"")</f>
        <v/>
      </c>
      <c r="S12" s="52">
        <f>IFERROR(VLOOKUP(S$4&amp;$B12,MASTER!$Z$16:$AB999,3,0),"")</f>
        <v>328</v>
      </c>
      <c r="T12" s="52">
        <f>IFERROR(VLOOKUP(T$4&amp;$B12,MASTER!$Z$16:$AB999,3,0),"")</f>
        <v>328</v>
      </c>
      <c r="U12" s="52">
        <f>IFERROR(VLOOKUP(U$4&amp;$B12,MASTER!$Z$16:$AB999,3,0),"")</f>
        <v>328</v>
      </c>
      <c r="V12" s="52">
        <f>IFERROR(VLOOKUP(V$4&amp;$B12,MASTER!$Z$16:$AB999,3,0),"")</f>
        <v>342</v>
      </c>
      <c r="W12" s="52">
        <f>IFERROR(VLOOKUP(W$4&amp;$B12,MASTER!$Z$16:$AB999,3,0),"")</f>
        <v>354</v>
      </c>
      <c r="X12" s="52">
        <f>IFERROR(VLOOKUP(X$4&amp;$B12,MASTER!$Z$16:$AB999,3,0),"")</f>
        <v>354</v>
      </c>
      <c r="Y12" s="52">
        <f>IFERROR(VLOOKUP(Y$4&amp;$B12,MASTER!$Z$16:$AB999,3,0),"")</f>
        <v>354</v>
      </c>
      <c r="Z12" s="52">
        <f>IFERROR(VLOOKUP(Z$4&amp;$B12,MASTER!$Z$16:$AB999,3,0),"")</f>
        <v>354</v>
      </c>
      <c r="AA12" s="52">
        <f>IFERROR(VLOOKUP(AA$4&amp;$B12,MASTER!$Z$16:$AB999,3,0),"")</f>
        <v>338</v>
      </c>
      <c r="AB12" s="52" t="str">
        <f>IFERROR(VLOOKUP(AB$4&amp;$B12,MASTER!$Z$16:$AB999,3,0),"")</f>
        <v/>
      </c>
      <c r="AC12" s="52" t="str">
        <f>IFERROR(VLOOKUP(AC$4&amp;$B12,MASTER!$Z$16:$AB999,3,0),"")</f>
        <v/>
      </c>
      <c r="AD12" s="56"/>
      <c r="AE12" s="56"/>
    </row>
    <row r="13">
      <c r="A13" s="38">
        <v>9.0</v>
      </c>
      <c r="B13" s="65">
        <v>125.0</v>
      </c>
      <c r="C13" s="40" t="str">
        <f>VLOOKUP(B13,MASTER!$AC$16:$AD999,2,0)</f>
        <v>Bib Cock Standard 20mm with Flange</v>
      </c>
      <c r="D13" s="52" t="str">
        <f>IFERROR(VLOOKUP(D$4&amp;$B13,MASTER!$Z$16:$AB999,3,0),"")</f>
        <v/>
      </c>
      <c r="E13" s="52" t="str">
        <f>IFERROR(VLOOKUP(E$4&amp;$B13,MASTER!$Z$16:$AB999,3,0),"")</f>
        <v/>
      </c>
      <c r="F13" s="52" t="str">
        <f>IFERROR(VLOOKUP(F$4&amp;$B13,MASTER!$Z$16:$AB999,3,0),"")</f>
        <v/>
      </c>
      <c r="G13" s="52" t="str">
        <f>IFERROR(VLOOKUP(G$4&amp;$B13,MASTER!$Z$16:$AB999,3,0),"")</f>
        <v/>
      </c>
      <c r="H13" s="52" t="str">
        <f>IFERROR(VLOOKUP(H$4&amp;$B13,MASTER!$Z$16:$AB999,3,0),"")</f>
        <v/>
      </c>
      <c r="I13" s="52" t="str">
        <f>IFERROR(VLOOKUP(I$4&amp;$B13,MASTER!$Z$16:$AB999,3,0),"")</f>
        <v/>
      </c>
      <c r="J13" s="52" t="str">
        <f>IFERROR(VLOOKUP(J$4&amp;$B13,MASTER!$Z$16:$AB999,3,0),"")</f>
        <v/>
      </c>
      <c r="K13" s="52" t="str">
        <f>IFERROR(VLOOKUP(K$4&amp;$B13,MASTER!$Z$16:$AB999,3,0),"")</f>
        <v/>
      </c>
      <c r="L13" s="52" t="str">
        <f>IFERROR(VLOOKUP(L$4&amp;$B13,MASTER!$Z$16:$AB999,3,0),"")</f>
        <v/>
      </c>
      <c r="M13" s="52" t="str">
        <f>IFERROR(VLOOKUP(M$4&amp;$B13,MASTER!$Z$16:$AB999,3,0),"")</f>
        <v/>
      </c>
      <c r="N13" s="52" t="str">
        <f>IFERROR(VLOOKUP(N$4&amp;$B13,MASTER!$Z$16:$AB999,3,0),"")</f>
        <v/>
      </c>
      <c r="O13" s="52" t="str">
        <f>IFERROR(VLOOKUP(O$4&amp;$B13,MASTER!$Z$16:$AB999,3,0),"")</f>
        <v/>
      </c>
      <c r="P13" s="52" t="str">
        <f>IFERROR(VLOOKUP(P$4&amp;$B13,MASTER!$Z$16:$AB999,3,0),"")</f>
        <v/>
      </c>
      <c r="Q13" s="52" t="str">
        <f>IFERROR(VLOOKUP(Q$4&amp;$B13,MASTER!$Z$16:$AB999,3,0),"")</f>
        <v/>
      </c>
      <c r="R13" s="52" t="str">
        <f>IFERROR(VLOOKUP(R$4&amp;$B13,MASTER!$Z$16:$AB999,3,0),"")</f>
        <v/>
      </c>
      <c r="S13" s="52">
        <f>IFERROR(VLOOKUP(S$4&amp;$B13,MASTER!$Z$16:$AB999,3,0),"")</f>
        <v>318</v>
      </c>
      <c r="T13" s="52" t="str">
        <f>IFERROR(VLOOKUP(T$4&amp;$B13,MASTER!$Z$16:$AB999,3,0),"")</f>
        <v/>
      </c>
      <c r="U13" s="52" t="str">
        <f>IFERROR(VLOOKUP(U$4&amp;$B13,MASTER!$Z$16:$AB999,3,0),"")</f>
        <v/>
      </c>
      <c r="V13" s="52" t="str">
        <f>IFERROR(VLOOKUP(V$4&amp;$B13,MASTER!$Z$16:$AB999,3,0),"")</f>
        <v/>
      </c>
      <c r="W13" s="52" t="str">
        <f>IFERROR(VLOOKUP(W$4&amp;$B13,MASTER!$Z$16:$AB999,3,0),"")</f>
        <v/>
      </c>
      <c r="X13" s="52" t="str">
        <f>IFERROR(VLOOKUP(X$4&amp;$B13,MASTER!$Z$16:$AB999,3,0),"")</f>
        <v/>
      </c>
      <c r="Y13" s="52" t="str">
        <f>IFERROR(VLOOKUP(Y$4&amp;$B13,MASTER!$Z$16:$AB999,3,0),"")</f>
        <v/>
      </c>
      <c r="Z13" s="52" t="str">
        <f>IFERROR(VLOOKUP(Z$4&amp;$B13,MASTER!$Z$16:$AB999,3,0),"")</f>
        <v/>
      </c>
      <c r="AA13" s="52" t="str">
        <f>IFERROR(VLOOKUP(AA$4&amp;$B13,MASTER!$Z$16:$AB999,3,0),"")</f>
        <v/>
      </c>
      <c r="AB13" s="52" t="str">
        <f>IFERROR(VLOOKUP(AB$4&amp;$B13,MASTER!$Z$16:$AB999,3,0),"")</f>
        <v/>
      </c>
      <c r="AC13" s="52" t="str">
        <f>IFERROR(VLOOKUP(AC$4&amp;$B13,MASTER!$Z$16:$AB999,3,0),"")</f>
        <v/>
      </c>
      <c r="AD13" s="56"/>
      <c r="AE13" s="56"/>
    </row>
    <row r="14">
      <c r="A14" s="38">
        <v>10.0</v>
      </c>
      <c r="B14" s="65">
        <v>127.0</v>
      </c>
      <c r="C14" s="40" t="str">
        <f>VLOOKUP(B14,MASTER!$AC$16:$AD999,2,0)</f>
        <v>Bib Cock Nozzle with Flange</v>
      </c>
      <c r="D14" s="52">
        <f>IFERROR(VLOOKUP(D$4&amp;$B14,MASTER!$Z$16:$AB999,3,0),"")</f>
        <v>526</v>
      </c>
      <c r="E14" s="52" t="str">
        <f>IFERROR(VLOOKUP(E$4&amp;$B14,MASTER!$Z$16:$AB999,3,0),"")</f>
        <v/>
      </c>
      <c r="F14" s="52">
        <f>IFERROR(VLOOKUP(F$4&amp;$B14,MASTER!$Z$16:$AB999,3,0),"")</f>
        <v>308</v>
      </c>
      <c r="G14" s="52">
        <f>IFERROR(VLOOKUP(G$4&amp;$B14,MASTER!$Z$16:$AB999,3,0),"")</f>
        <v>294</v>
      </c>
      <c r="H14" s="52">
        <f>IFERROR(VLOOKUP(H$4&amp;$B14,MASTER!$Z$16:$AB999,3,0),"")</f>
        <v>294</v>
      </c>
      <c r="I14" s="52">
        <f>IFERROR(VLOOKUP(I$4&amp;$B14,MASTER!$Z$16:$AB999,3,0),"")</f>
        <v>294</v>
      </c>
      <c r="J14" s="52">
        <f>IFERROR(VLOOKUP(J$4&amp;$B14,MASTER!$Z$16:$AB999,3,0),"")</f>
        <v>294</v>
      </c>
      <c r="K14" s="52">
        <f>IFERROR(VLOOKUP(K$4&amp;$B14,MASTER!$Z$16:$AB999,3,0),"")</f>
        <v>294</v>
      </c>
      <c r="L14" s="52">
        <f>IFERROR(VLOOKUP(L$4&amp;$B14,MASTER!$Z$16:$AB999,3,0),"")</f>
        <v>354</v>
      </c>
      <c r="M14" s="52" t="str">
        <f>IFERROR(VLOOKUP(M$4&amp;$B14,MASTER!$Z$16:$AB999,3,0),"")</f>
        <v/>
      </c>
      <c r="N14" s="52">
        <f>IFERROR(VLOOKUP(N$4&amp;$B14,MASTER!$Z$16:$AB999,3,0),"")</f>
        <v>358</v>
      </c>
      <c r="O14" s="52">
        <f>IFERROR(VLOOKUP(O$4&amp;$B14,MASTER!$Z$16:$AB999,3,0),"")</f>
        <v>456</v>
      </c>
      <c r="P14" s="52">
        <f>IFERROR(VLOOKUP(P$4&amp;$B14,MASTER!$Z$16:$AB999,3,0),"")</f>
        <v>434</v>
      </c>
      <c r="Q14" s="52" t="str">
        <f>IFERROR(VLOOKUP(Q$4&amp;$B14,MASTER!$Z$16:$AB999,3,0),"")</f>
        <v/>
      </c>
      <c r="R14" s="52" t="str">
        <f>IFERROR(VLOOKUP(R$4&amp;$B14,MASTER!$Z$16:$AB999,3,0),"")</f>
        <v/>
      </c>
      <c r="S14" s="52">
        <f>IFERROR(VLOOKUP(S$4&amp;$B14,MASTER!$Z$16:$AB999,3,0),"")</f>
        <v>274</v>
      </c>
      <c r="T14" s="52">
        <f>IFERROR(VLOOKUP(T$4&amp;$B14,MASTER!$Z$16:$AB999,3,0),"")</f>
        <v>274</v>
      </c>
      <c r="U14" s="52">
        <f>IFERROR(VLOOKUP(U$4&amp;$B14,MASTER!$Z$16:$AB999,3,0),"")</f>
        <v>274</v>
      </c>
      <c r="V14" s="52">
        <f>IFERROR(VLOOKUP(V$4&amp;$B14,MASTER!$Z$16:$AB999,3,0),"")</f>
        <v>286</v>
      </c>
      <c r="W14" s="52">
        <f>IFERROR(VLOOKUP(W$4&amp;$B14,MASTER!$Z$16:$AB999,3,0),"")</f>
        <v>298</v>
      </c>
      <c r="X14" s="52">
        <f>IFERROR(VLOOKUP(X$4&amp;$B14,MASTER!$Z$16:$AB999,3,0),"")</f>
        <v>298</v>
      </c>
      <c r="Y14" s="52">
        <f>IFERROR(VLOOKUP(Y$4&amp;$B14,MASTER!$Z$16:$AB999,3,0),"")</f>
        <v>298</v>
      </c>
      <c r="Z14" s="52">
        <f>IFERROR(VLOOKUP(Z$4&amp;$B14,MASTER!$Z$16:$AB999,3,0),"")</f>
        <v>298</v>
      </c>
      <c r="AA14" s="52">
        <f>IFERROR(VLOOKUP(AA$4&amp;$B14,MASTER!$Z$16:$AB999,3,0),"")</f>
        <v>286</v>
      </c>
      <c r="AB14" s="52" t="str">
        <f>IFERROR(VLOOKUP(AB$4&amp;$B14,MASTER!$Z$16:$AB999,3,0),"")</f>
        <v/>
      </c>
      <c r="AC14" s="52" t="str">
        <f>IFERROR(VLOOKUP(AC$4&amp;$B14,MASTER!$Z$16:$AB999,3,0),"")</f>
        <v/>
      </c>
      <c r="AD14" s="56"/>
      <c r="AE14" s="56"/>
    </row>
    <row r="15">
      <c r="A15" s="38">
        <v>11.0</v>
      </c>
      <c r="B15" s="65">
        <v>129.0</v>
      </c>
      <c r="C15" s="40" t="str">
        <f>VLOOKUP(B15,MASTER!$AC$16:$AD999,2,0)</f>
        <v>2 Way Bib Cock with Flange</v>
      </c>
      <c r="D15" s="52">
        <f>IFERROR(VLOOKUP(D$4&amp;$B15,MASTER!$Z$16:$AB999,3,0),"")</f>
        <v>946</v>
      </c>
      <c r="E15" s="52">
        <f>IFERROR(VLOOKUP(E$4&amp;$B15,MASTER!$Z$16:$AB999,3,0),"")</f>
        <v>912</v>
      </c>
      <c r="F15" s="52">
        <f>IFERROR(VLOOKUP(F$4&amp;$B15,MASTER!$Z$16:$AB999,3,0),"")</f>
        <v>558</v>
      </c>
      <c r="G15" s="52">
        <f>IFERROR(VLOOKUP(G$4&amp;$B15,MASTER!$Z$16:$AB999,3,0),"")</f>
        <v>492</v>
      </c>
      <c r="H15" s="52">
        <f>IFERROR(VLOOKUP(H$4&amp;$B15,MASTER!$Z$16:$AB999,3,0),"")</f>
        <v>492</v>
      </c>
      <c r="I15" s="52">
        <f>IFERROR(VLOOKUP(I$4&amp;$B15,MASTER!$Z$16:$AB999,3,0),"")</f>
        <v>492</v>
      </c>
      <c r="J15" s="52">
        <f>IFERROR(VLOOKUP(J$4&amp;$B15,MASTER!$Z$16:$AB999,3,0),"")</f>
        <v>492</v>
      </c>
      <c r="K15" s="52">
        <f>IFERROR(VLOOKUP(K$4&amp;$B15,MASTER!$Z$16:$AB999,3,0),"")</f>
        <v>492</v>
      </c>
      <c r="L15" s="52">
        <f>IFERROR(VLOOKUP(L$4&amp;$B15,MASTER!$Z$16:$AB999,3,0),"")</f>
        <v>726</v>
      </c>
      <c r="M15" s="52">
        <f>IFERROR(VLOOKUP(M$4&amp;$B15,MASTER!$Z$16:$AB999,3,0),"")</f>
        <v>738</v>
      </c>
      <c r="N15" s="52">
        <f>IFERROR(VLOOKUP(N$4&amp;$B15,MASTER!$Z$16:$AB999,3,0),"")</f>
        <v>618</v>
      </c>
      <c r="O15" s="52">
        <f>IFERROR(VLOOKUP(O$4&amp;$B15,MASTER!$Z$16:$AB999,3,0),"")</f>
        <v>792</v>
      </c>
      <c r="P15" s="52">
        <f>IFERROR(VLOOKUP(P$4&amp;$B15,MASTER!$Z$16:$AB999,3,0),"")</f>
        <v>766</v>
      </c>
      <c r="Q15" s="52">
        <f>IFERROR(VLOOKUP(Q$4&amp;$B15,MASTER!$Z$16:$AB999,3,0),"")</f>
        <v>738</v>
      </c>
      <c r="R15" s="52">
        <f>IFERROR(VLOOKUP(R$4&amp;$B15,MASTER!$Z$16:$AB999,3,0),"")</f>
        <v>738</v>
      </c>
      <c r="S15" s="52">
        <f>IFERROR(VLOOKUP(S$4&amp;$B15,MASTER!$Z$16:$AB999,3,0),"")</f>
        <v>558</v>
      </c>
      <c r="T15" s="52">
        <f>IFERROR(VLOOKUP(T$4&amp;$B15,MASTER!$Z$16:$AB999,3,0),"")</f>
        <v>558</v>
      </c>
      <c r="U15" s="52">
        <f>IFERROR(VLOOKUP(U$4&amp;$B15,MASTER!$Z$16:$AB999,3,0),"")</f>
        <v>558</v>
      </c>
      <c r="V15" s="52">
        <f>IFERROR(VLOOKUP(V$4&amp;$B15,MASTER!$Z$16:$AB999,3,0),"")</f>
        <v>568</v>
      </c>
      <c r="W15" s="52">
        <f>IFERROR(VLOOKUP(W$4&amp;$B15,MASTER!$Z$16:$AB999,3,0),"")</f>
        <v>596</v>
      </c>
      <c r="X15" s="52">
        <f>IFERROR(VLOOKUP(X$4&amp;$B15,MASTER!$Z$16:$AB999,3,0),"")</f>
        <v>596</v>
      </c>
      <c r="Y15" s="52">
        <f>IFERROR(VLOOKUP(Y$4&amp;$B15,MASTER!$Z$16:$AB999,3,0),"")</f>
        <v>596</v>
      </c>
      <c r="Z15" s="52">
        <f>IFERROR(VLOOKUP(Z$4&amp;$B15,MASTER!$Z$16:$AB999,3,0),"")</f>
        <v>596</v>
      </c>
      <c r="AA15" s="52">
        <f>IFERROR(VLOOKUP(AA$4&amp;$B15,MASTER!$Z$16:$AB999,3,0),"")</f>
        <v>568</v>
      </c>
      <c r="AB15" s="52" t="str">
        <f>IFERROR(VLOOKUP(AB$4&amp;$B15,MASTER!$Z$16:$AB999,3,0),"")</f>
        <v/>
      </c>
      <c r="AC15" s="52" t="str">
        <f>IFERROR(VLOOKUP(AC$4&amp;$B15,MASTER!$Z$16:$AB999,3,0),"")</f>
        <v/>
      </c>
      <c r="AD15" s="56"/>
      <c r="AE15" s="56"/>
    </row>
    <row r="16">
      <c r="A16" s="38">
        <v>12.0</v>
      </c>
      <c r="B16" s="65">
        <v>130.0</v>
      </c>
      <c r="C16" s="40" t="str">
        <f>VLOOKUP(B16,MASTER!$AC$16:$AD999,2,0)</f>
        <v>Pillar Cock with Flange</v>
      </c>
      <c r="D16" s="52">
        <f>IFERROR(VLOOKUP(D$4&amp;$B16,MASTER!$Z$16:$AB999,3,0),"")</f>
        <v>678</v>
      </c>
      <c r="E16" s="52">
        <f>IFERROR(VLOOKUP(E$4&amp;$B16,MASTER!$Z$16:$AB999,3,0),"")</f>
        <v>652</v>
      </c>
      <c r="F16" s="52">
        <f>IFERROR(VLOOKUP(F$4&amp;$B16,MASTER!$Z$16:$AB999,3,0),"")</f>
        <v>358</v>
      </c>
      <c r="G16" s="52">
        <f>IFERROR(VLOOKUP(G$4&amp;$B16,MASTER!$Z$16:$AB999,3,0),"")</f>
        <v>338</v>
      </c>
      <c r="H16" s="52">
        <f>IFERROR(VLOOKUP(H$4&amp;$B16,MASTER!$Z$16:$AB999,3,0),"")</f>
        <v>338</v>
      </c>
      <c r="I16" s="52">
        <f>IFERROR(VLOOKUP(I$4&amp;$B16,MASTER!$Z$16:$AB999,3,0),"")</f>
        <v>338</v>
      </c>
      <c r="J16" s="52">
        <f>IFERROR(VLOOKUP(J$4&amp;$B16,MASTER!$Z$16:$AB999,3,0),"")</f>
        <v>338</v>
      </c>
      <c r="K16" s="52">
        <f>IFERROR(VLOOKUP(K$4&amp;$B16,MASTER!$Z$16:$AB999,3,0),"")</f>
        <v>338</v>
      </c>
      <c r="L16" s="52">
        <f>IFERROR(VLOOKUP(L$4&amp;$B16,MASTER!$Z$16:$AB999,3,0),"")</f>
        <v>436</v>
      </c>
      <c r="M16" s="52" t="str">
        <f>IFERROR(VLOOKUP(M$4&amp;$B16,MASTER!$Z$16:$AB999,3,0),"")</f>
        <v/>
      </c>
      <c r="N16" s="52">
        <f>IFERROR(VLOOKUP(N$4&amp;$B16,MASTER!$Z$16:$AB999,3,0),"")</f>
        <v>468</v>
      </c>
      <c r="O16" s="52">
        <f>IFERROR(VLOOKUP(O$4&amp;$B16,MASTER!$Z$16:$AB999,3,0),"")</f>
        <v>538</v>
      </c>
      <c r="P16" s="52">
        <f>IFERROR(VLOOKUP(P$4&amp;$B16,MASTER!$Z$16:$AB999,3,0),"")</f>
        <v>522</v>
      </c>
      <c r="Q16" s="52">
        <f>IFERROR(VLOOKUP(Q$4&amp;$B16,MASTER!$Z$16:$AB999,3,0),"")</f>
        <v>504</v>
      </c>
      <c r="R16" s="52">
        <f>IFERROR(VLOOKUP(R$4&amp;$B16,MASTER!$Z$16:$AB999,3,0),"")</f>
        <v>504</v>
      </c>
      <c r="S16" s="52">
        <f>IFERROR(VLOOKUP(S$4&amp;$B16,MASTER!$Z$16:$AB999,3,0),"")</f>
        <v>342</v>
      </c>
      <c r="T16" s="52">
        <f>IFERROR(VLOOKUP(T$4&amp;$B16,MASTER!$Z$16:$AB999,3,0),"")</f>
        <v>342</v>
      </c>
      <c r="U16" s="52">
        <f>IFERROR(VLOOKUP(U$4&amp;$B16,MASTER!$Z$16:$AB999,3,0),"")</f>
        <v>342</v>
      </c>
      <c r="V16" s="52">
        <f>IFERROR(VLOOKUP(V$4&amp;$B16,MASTER!$Z$16:$AB999,3,0),"")</f>
        <v>358</v>
      </c>
      <c r="W16" s="52">
        <f>IFERROR(VLOOKUP(W$4&amp;$B16,MASTER!$Z$16:$AB999,3,0),"")</f>
        <v>378</v>
      </c>
      <c r="X16" s="52">
        <f>IFERROR(VLOOKUP(X$4&amp;$B16,MASTER!$Z$16:$AB999,3,0),"")</f>
        <v>382</v>
      </c>
      <c r="Y16" s="52">
        <f>IFERROR(VLOOKUP(Y$4&amp;$B16,MASTER!$Z$16:$AB999,3,0),"")</f>
        <v>378</v>
      </c>
      <c r="Z16" s="52">
        <f>IFERROR(VLOOKUP(Z$4&amp;$B16,MASTER!$Z$16:$AB999,3,0),"")</f>
        <v>378</v>
      </c>
      <c r="AA16" s="52">
        <f>IFERROR(VLOOKUP(AA$4&amp;$B16,MASTER!$Z$16:$AB999,3,0),"")</f>
        <v>358</v>
      </c>
      <c r="AB16" s="52" t="str">
        <f>IFERROR(VLOOKUP(AB$4&amp;$B16,MASTER!$Z$16:$AB999,3,0),"")</f>
        <v/>
      </c>
      <c r="AC16" s="52" t="str">
        <f>IFERROR(VLOOKUP(AC$4&amp;$B16,MASTER!$Z$16:$AB999,3,0),"")</f>
        <v/>
      </c>
      <c r="AD16" s="56"/>
      <c r="AE16" s="56"/>
    </row>
    <row r="17">
      <c r="A17" s="38">
        <v>13.0</v>
      </c>
      <c r="B17" s="65">
        <v>131.0</v>
      </c>
      <c r="C17" s="40" t="str">
        <f>VLOOKUP(B17,MASTER!$AC$16:$AD999,2,0)</f>
        <v>Pillar Cock 12" Tall Height with Flange</v>
      </c>
      <c r="D17" s="52">
        <f>IFERROR(VLOOKUP(D$4&amp;$B17,MASTER!$Z$16:$AB999,3,0),"")</f>
        <v>794</v>
      </c>
      <c r="E17" s="52">
        <f>IFERROR(VLOOKUP(E$4&amp;$B17,MASTER!$Z$16:$AB999,3,0),"")</f>
        <v>652</v>
      </c>
      <c r="F17" s="52" t="str">
        <f>IFERROR(VLOOKUP(F$4&amp;$B17,MASTER!$Z$16:$AB999,3,0),"")</f>
        <v/>
      </c>
      <c r="G17" s="52" t="str">
        <f>IFERROR(VLOOKUP(G$4&amp;$B17,MASTER!$Z$16:$AB999,3,0),"")</f>
        <v/>
      </c>
      <c r="H17" s="52" t="str">
        <f>IFERROR(VLOOKUP(H$4&amp;$B17,MASTER!$Z$16:$AB999,3,0),"")</f>
        <v/>
      </c>
      <c r="I17" s="52" t="str">
        <f>IFERROR(VLOOKUP(I$4&amp;$B17,MASTER!$Z$16:$AB999,3,0),"")</f>
        <v/>
      </c>
      <c r="J17" s="52" t="str">
        <f>IFERROR(VLOOKUP(J$4&amp;$B17,MASTER!$Z$16:$AB999,3,0),"")</f>
        <v/>
      </c>
      <c r="K17" s="52" t="str">
        <f>IFERROR(VLOOKUP(K$4&amp;$B17,MASTER!$Z$16:$AB999,3,0),"")</f>
        <v/>
      </c>
      <c r="L17" s="52" t="str">
        <f>IFERROR(VLOOKUP(L$4&amp;$B17,MASTER!$Z$16:$AB999,3,0),"")</f>
        <v/>
      </c>
      <c r="M17" s="52">
        <f>IFERROR(VLOOKUP(M$4&amp;$B17,MASTER!$Z$16:$AB999,3,0),"")</f>
        <v>526</v>
      </c>
      <c r="N17" s="52" t="str">
        <f>IFERROR(VLOOKUP(N$4&amp;$B17,MASTER!$Z$16:$AB999,3,0),"")</f>
        <v/>
      </c>
      <c r="O17" s="52" t="str">
        <f>IFERROR(VLOOKUP(O$4&amp;$B17,MASTER!$Z$16:$AB999,3,0),"")</f>
        <v/>
      </c>
      <c r="P17" s="52">
        <f>IFERROR(VLOOKUP(P$4&amp;$B17,MASTER!$Z$16:$AB999,3,0),"")</f>
        <v>816</v>
      </c>
      <c r="Q17" s="52">
        <f>IFERROR(VLOOKUP(Q$4&amp;$B17,MASTER!$Z$16:$AB999,3,0),"")</f>
        <v>504</v>
      </c>
      <c r="R17" s="52">
        <f>IFERROR(VLOOKUP(R$4&amp;$B17,MASTER!$Z$16:$AB999,3,0),"")</f>
        <v>504</v>
      </c>
      <c r="S17" s="52">
        <f>IFERROR(VLOOKUP(S$4&amp;$B17,MASTER!$Z$16:$AB999,3,0),"")</f>
        <v>392</v>
      </c>
      <c r="T17" s="52">
        <f>IFERROR(VLOOKUP(T$4&amp;$B17,MASTER!$Z$16:$AB999,3,0),"")</f>
        <v>392</v>
      </c>
      <c r="U17" s="52">
        <f>IFERROR(VLOOKUP(U$4&amp;$B17,MASTER!$Z$16:$AB999,3,0),"")</f>
        <v>392</v>
      </c>
      <c r="V17" s="52">
        <f>IFERROR(VLOOKUP(V$4&amp;$B17,MASTER!$Z$16:$AB999,3,0),"")</f>
        <v>406</v>
      </c>
      <c r="W17" s="52">
        <f>IFERROR(VLOOKUP(W$4&amp;$B17,MASTER!$Z$16:$AB999,3,0),"")</f>
        <v>418</v>
      </c>
      <c r="X17" s="52">
        <f>IFERROR(VLOOKUP(X$4&amp;$B17,MASTER!$Z$16:$AB999,3,0),"")</f>
        <v>418</v>
      </c>
      <c r="Y17" s="52">
        <f>IFERROR(VLOOKUP(Y$4&amp;$B17,MASTER!$Z$16:$AB999,3,0),"")</f>
        <v>416</v>
      </c>
      <c r="Z17" s="52">
        <f>IFERROR(VLOOKUP(Z$4&amp;$B17,MASTER!$Z$16:$AB999,3,0),"")</f>
        <v>418</v>
      </c>
      <c r="AA17" s="52">
        <f>IFERROR(VLOOKUP(AA$4&amp;$B17,MASTER!$Z$16:$AB999,3,0),"")</f>
        <v>398</v>
      </c>
      <c r="AB17" s="52" t="str">
        <f>IFERROR(VLOOKUP(AB$4&amp;$B17,MASTER!$Z$16:$AB999,3,0),"")</f>
        <v/>
      </c>
      <c r="AC17" s="52" t="str">
        <f>IFERROR(VLOOKUP(AC$4&amp;$B17,MASTER!$Z$16:$AB999,3,0),"")</f>
        <v/>
      </c>
      <c r="AD17" s="56"/>
      <c r="AE17" s="56"/>
    </row>
    <row r="18">
      <c r="A18" s="38">
        <v>14.0</v>
      </c>
      <c r="B18" s="67" t="s">
        <v>752</v>
      </c>
      <c r="C18" s="40" t="str">
        <f>VLOOKUP(B18,MASTER!$AC$16:$AD999,2,0)</f>
        <v>Pillar Cock Fancy (R.H.) with Flange</v>
      </c>
      <c r="D18" s="52" t="str">
        <f>IFERROR(VLOOKUP(D$4&amp;$B18,MASTER!$Z$16:$AB999,3,0),"")</f>
        <v/>
      </c>
      <c r="E18" s="52" t="str">
        <f>IFERROR(VLOOKUP(E$4&amp;$B18,MASTER!$Z$16:$AB999,3,0),"")</f>
        <v/>
      </c>
      <c r="F18" s="52" t="str">
        <f>IFERROR(VLOOKUP(F$4&amp;$B18,MASTER!$Z$16:$AB999,3,0),"")</f>
        <v/>
      </c>
      <c r="G18" s="52" t="str">
        <f>IFERROR(VLOOKUP(G$4&amp;$B18,MASTER!$Z$16:$AB999,3,0),"")</f>
        <v/>
      </c>
      <c r="H18" s="52" t="str">
        <f>IFERROR(VLOOKUP(H$4&amp;$B18,MASTER!$Z$16:$AB999,3,0),"")</f>
        <v/>
      </c>
      <c r="I18" s="52" t="str">
        <f>IFERROR(VLOOKUP(I$4&amp;$B18,MASTER!$Z$16:$AB999,3,0),"")</f>
        <v/>
      </c>
      <c r="J18" s="52" t="str">
        <f>IFERROR(VLOOKUP(J$4&amp;$B18,MASTER!$Z$16:$AB999,3,0),"")</f>
        <v/>
      </c>
      <c r="K18" s="52" t="str">
        <f>IFERROR(VLOOKUP(K$4&amp;$B18,MASTER!$Z$16:$AB999,3,0),"")</f>
        <v/>
      </c>
      <c r="L18" s="52" t="str">
        <f>IFERROR(VLOOKUP(L$4&amp;$B18,MASTER!$Z$16:$AB999,3,0),"")</f>
        <v/>
      </c>
      <c r="M18" s="52">
        <f>IFERROR(VLOOKUP(M$4&amp;$B18,MASTER!$Z$16:$AB999,3,0),"")</f>
        <v>514</v>
      </c>
      <c r="N18" s="52" t="str">
        <f>IFERROR(VLOOKUP(N$4&amp;$B18,MASTER!$Z$16:$AB999,3,0),"")</f>
        <v/>
      </c>
      <c r="O18" s="52" t="str">
        <f>IFERROR(VLOOKUP(O$4&amp;$B18,MASTER!$Z$16:$AB999,3,0),"")</f>
        <v/>
      </c>
      <c r="P18" s="52" t="str">
        <f>IFERROR(VLOOKUP(P$4&amp;$B18,MASTER!$Z$16:$AB999,3,0),"")</f>
        <v/>
      </c>
      <c r="Q18" s="52" t="str">
        <f>IFERROR(VLOOKUP(Q$4&amp;$B18,MASTER!$Z$16:$AB999,3,0),"")</f>
        <v/>
      </c>
      <c r="R18" s="52" t="str">
        <f>IFERROR(VLOOKUP(R$4&amp;$B18,MASTER!$Z$16:$AB999,3,0),"")</f>
        <v/>
      </c>
      <c r="S18" s="52" t="str">
        <f>IFERROR(VLOOKUP(S$4&amp;$B18,MASTER!$Z$16:$AB999,3,0),"")</f>
        <v/>
      </c>
      <c r="T18" s="52">
        <f>IFERROR(VLOOKUP(T$4&amp;$B18,MASTER!$Z$16:$AB999,3,0),"")</f>
        <v>392</v>
      </c>
      <c r="U18" s="52" t="str">
        <f>IFERROR(VLOOKUP(U$4&amp;$B18,MASTER!$Z$16:$AB999,3,0),"")</f>
        <v/>
      </c>
      <c r="V18" s="52" t="str">
        <f>IFERROR(VLOOKUP(V$4&amp;$B18,MASTER!$Z$16:$AB999,3,0),"")</f>
        <v/>
      </c>
      <c r="W18" s="52">
        <f>IFERROR(VLOOKUP(W$4&amp;$B18,MASTER!$Z$16:$AB999,3,0),"")</f>
        <v>428</v>
      </c>
      <c r="X18" s="52">
        <f>IFERROR(VLOOKUP(X$4&amp;$B18,MASTER!$Z$16:$AB999,3,0),"")</f>
        <v>428</v>
      </c>
      <c r="Y18" s="52" t="str">
        <f>IFERROR(VLOOKUP(Y$4&amp;$B18,MASTER!$Z$16:$AB999,3,0),"")</f>
        <v/>
      </c>
      <c r="Z18" s="52">
        <f>IFERROR(VLOOKUP(Z$4&amp;$B18,MASTER!$Z$16:$AB999,3,0),"")</f>
        <v>428</v>
      </c>
      <c r="AA18" s="52" t="str">
        <f>IFERROR(VLOOKUP(AA$4&amp;$B18,MASTER!$Z$16:$AB999,3,0),"")</f>
        <v/>
      </c>
      <c r="AB18" s="52" t="str">
        <f>IFERROR(VLOOKUP(AB$4&amp;$B18,MASTER!$Z$16:$AB999,3,0),"")</f>
        <v/>
      </c>
      <c r="AC18" s="52" t="str">
        <f>IFERROR(VLOOKUP(AC$4&amp;$B18,MASTER!$Z$16:$AB999,3,0),"")</f>
        <v/>
      </c>
      <c r="AD18" s="56"/>
      <c r="AE18" s="56"/>
    </row>
    <row r="19">
      <c r="A19" s="38">
        <v>15.0</v>
      </c>
      <c r="B19" s="65">
        <v>132.0</v>
      </c>
      <c r="C19" s="40" t="str">
        <f>VLOOKUP(B19,MASTER!$AC$16:$AD999,2,0)</f>
        <v>Sink Cock (W/M) with Flange</v>
      </c>
      <c r="D19" s="52">
        <f>IFERROR(VLOOKUP(D$4&amp;$B19,MASTER!$Z$16:$AB999,3,0),"")</f>
        <v>1018</v>
      </c>
      <c r="E19" s="52">
        <f>IFERROR(VLOOKUP(E$4&amp;$B19,MASTER!$Z$16:$AB999,3,0),"")</f>
        <v>964</v>
      </c>
      <c r="F19" s="52">
        <f>IFERROR(VLOOKUP(F$4&amp;$B19,MASTER!$Z$16:$AB999,3,0),"")</f>
        <v>726</v>
      </c>
      <c r="G19" s="52">
        <f>IFERROR(VLOOKUP(G$4&amp;$B19,MASTER!$Z$16:$AB999,3,0),"")</f>
        <v>676</v>
      </c>
      <c r="H19" s="52">
        <f>IFERROR(VLOOKUP(H$4&amp;$B19,MASTER!$Z$16:$AB999,3,0),"")</f>
        <v>676</v>
      </c>
      <c r="I19" s="52">
        <f>IFERROR(VLOOKUP(I$4&amp;$B19,MASTER!$Z$16:$AB999,3,0),"")</f>
        <v>676</v>
      </c>
      <c r="J19" s="52">
        <f>IFERROR(VLOOKUP(J$4&amp;$B19,MASTER!$Z$16:$AB999,3,0),"")</f>
        <v>676</v>
      </c>
      <c r="K19" s="52">
        <f>IFERROR(VLOOKUP(K$4&amp;$B19,MASTER!$Z$16:$AB999,3,0),"")</f>
        <v>676</v>
      </c>
      <c r="L19" s="52">
        <f>IFERROR(VLOOKUP(L$4&amp;$B19,MASTER!$Z$16:$AB999,3,0),"")</f>
        <v>848</v>
      </c>
      <c r="M19" s="52">
        <f>IFERROR(VLOOKUP(M$4&amp;$B19,MASTER!$Z$16:$AB999,3,0),"")</f>
        <v>872</v>
      </c>
      <c r="N19" s="52">
        <f>IFERROR(VLOOKUP(N$4&amp;$B19,MASTER!$Z$16:$AB999,3,0),"")</f>
        <v>712</v>
      </c>
      <c r="O19" s="52">
        <f>IFERROR(VLOOKUP(O$4&amp;$B19,MASTER!$Z$16:$AB999,3,0),"")</f>
        <v>848</v>
      </c>
      <c r="P19" s="52">
        <f>IFERROR(VLOOKUP(P$4&amp;$B19,MASTER!$Z$16:$AB999,3,0),"")</f>
        <v>826</v>
      </c>
      <c r="Q19" s="52">
        <f>IFERROR(VLOOKUP(Q$4&amp;$B19,MASTER!$Z$16:$AB999,3,0),"")</f>
        <v>824</v>
      </c>
      <c r="R19" s="52">
        <f>IFERROR(VLOOKUP(R$4&amp;$B19,MASTER!$Z$16:$AB999,3,0),"")</f>
        <v>826</v>
      </c>
      <c r="S19" s="52">
        <f>IFERROR(VLOOKUP(S$4&amp;$B19,MASTER!$Z$16:$AB999,3,0),"")</f>
        <v>738</v>
      </c>
      <c r="T19" s="52">
        <f>IFERROR(VLOOKUP(T$4&amp;$B19,MASTER!$Z$16:$AB999,3,0),"")</f>
        <v>738</v>
      </c>
      <c r="U19" s="52">
        <f>IFERROR(VLOOKUP(U$4&amp;$B19,MASTER!$Z$16:$AB999,3,0),"")</f>
        <v>738</v>
      </c>
      <c r="V19" s="52">
        <f>IFERROR(VLOOKUP(V$4&amp;$B19,MASTER!$Z$16:$AB999,3,0),"")</f>
        <v>744</v>
      </c>
      <c r="W19" s="52">
        <f>IFERROR(VLOOKUP(W$4&amp;$B19,MASTER!$Z$16:$AB999,3,0),"")</f>
        <v>768</v>
      </c>
      <c r="X19" s="52">
        <f>IFERROR(VLOOKUP(X$4&amp;$B19,MASTER!$Z$16:$AB999,3,0),"")</f>
        <v>768</v>
      </c>
      <c r="Y19" s="52">
        <f>IFERROR(VLOOKUP(Y$4&amp;$B19,MASTER!$Z$16:$AB999,3,0),"")</f>
        <v>768</v>
      </c>
      <c r="Z19" s="52">
        <f>IFERROR(VLOOKUP(Z$4&amp;$B19,MASTER!$Z$16:$AB999,3,0),"")</f>
        <v>768</v>
      </c>
      <c r="AA19" s="52">
        <f>IFERROR(VLOOKUP(AA$4&amp;$B19,MASTER!$Z$16:$AB999,3,0),"")</f>
        <v>762</v>
      </c>
      <c r="AB19" s="52" t="str">
        <f>IFERROR(VLOOKUP(AB$4&amp;$B19,MASTER!$Z$16:$AB999,3,0),"")</f>
        <v/>
      </c>
      <c r="AC19" s="52" t="str">
        <f>IFERROR(VLOOKUP(AC$4&amp;$B19,MASTER!$Z$16:$AB999,3,0),"")</f>
        <v/>
      </c>
      <c r="AD19" s="56"/>
      <c r="AE19" s="56"/>
    </row>
    <row r="20">
      <c r="A20" s="38">
        <v>16.0</v>
      </c>
      <c r="B20" s="67" t="s">
        <v>456</v>
      </c>
      <c r="C20" s="40" t="str">
        <f>VLOOKUP(B20,MASTER!$AC$16:$AD999,2,0)</f>
        <v>Sink Cock Small Spout (W/M) with Flange</v>
      </c>
      <c r="D20" s="52">
        <f>IFERROR(VLOOKUP(D$4&amp;$B20,MASTER!$Z$16:$AB999,3,0),"")</f>
        <v>968</v>
      </c>
      <c r="E20" s="52">
        <f>IFERROR(VLOOKUP(E$4&amp;$B20,MASTER!$Z$16:$AB999,3,0),"")</f>
        <v>986</v>
      </c>
      <c r="F20" s="52">
        <f>IFERROR(VLOOKUP(F$4&amp;$B20,MASTER!$Z$16:$AB999,3,0),"")</f>
        <v>662</v>
      </c>
      <c r="G20" s="52">
        <f>IFERROR(VLOOKUP(G$4&amp;$B20,MASTER!$Z$16:$AB999,3,0),"")</f>
        <v>622</v>
      </c>
      <c r="H20" s="52">
        <f>IFERROR(VLOOKUP(H$4&amp;$B20,MASTER!$Z$16:$AB999,3,0),"")</f>
        <v>622</v>
      </c>
      <c r="I20" s="52">
        <f>IFERROR(VLOOKUP(I$4&amp;$B20,MASTER!$Z$16:$AB999,3,0),"")</f>
        <v>622</v>
      </c>
      <c r="J20" s="52">
        <f>IFERROR(VLOOKUP(J$4&amp;$B20,MASTER!$Z$16:$AB999,3,0),"")</f>
        <v>622</v>
      </c>
      <c r="K20" s="52">
        <f>IFERROR(VLOOKUP(K$4&amp;$B20,MASTER!$Z$16:$AB999,3,0),"")</f>
        <v>622</v>
      </c>
      <c r="L20" s="52" t="str">
        <f>IFERROR(VLOOKUP(L$4&amp;$B20,MASTER!$Z$16:$AB999,3,0),"")</f>
        <v/>
      </c>
      <c r="M20" s="52" t="str">
        <f>IFERROR(VLOOKUP(M$4&amp;$B20,MASTER!$Z$16:$AB999,3,0),"")</f>
        <v/>
      </c>
      <c r="N20" s="52">
        <f>IFERROR(VLOOKUP(N$4&amp;$B20,MASTER!$Z$16:$AB999,3,0),"")</f>
        <v>684</v>
      </c>
      <c r="O20" s="52">
        <f>IFERROR(VLOOKUP(O$4&amp;$B20,MASTER!$Z$16:$AB999,3,0),"")</f>
        <v>798</v>
      </c>
      <c r="P20" s="52">
        <f>IFERROR(VLOOKUP(P$4&amp;$B20,MASTER!$Z$16:$AB999,3,0),"")</f>
        <v>792</v>
      </c>
      <c r="Q20" s="52">
        <f>IFERROR(VLOOKUP(Q$4&amp;$B20,MASTER!$Z$16:$AB999,3,0),"")</f>
        <v>768</v>
      </c>
      <c r="R20" s="52">
        <f>IFERROR(VLOOKUP(R$4&amp;$B20,MASTER!$Z$16:$AB999,3,0),"")</f>
        <v>768</v>
      </c>
      <c r="S20" s="52">
        <f>IFERROR(VLOOKUP(S$4&amp;$B20,MASTER!$Z$16:$AB999,3,0),"")</f>
        <v>672</v>
      </c>
      <c r="T20" s="52">
        <f>IFERROR(VLOOKUP(T$4&amp;$B20,MASTER!$Z$16:$AB999,3,0),"")</f>
        <v>672</v>
      </c>
      <c r="U20" s="52" t="str">
        <f>IFERROR(VLOOKUP(U$4&amp;$B20,MASTER!$Z$16:$AB999,3,0),"")</f>
        <v/>
      </c>
      <c r="V20" s="52" t="str">
        <f>IFERROR(VLOOKUP(V$4&amp;$B20,MASTER!$Z$16:$AB999,3,0),"")</f>
        <v/>
      </c>
      <c r="W20" s="52" t="str">
        <f>IFERROR(VLOOKUP(W$4&amp;$B20,MASTER!$Z$16:$AB999,3,0),"")</f>
        <v/>
      </c>
      <c r="X20" s="52">
        <f>IFERROR(VLOOKUP(X$4&amp;$B20,MASTER!$Z$16:$AB999,3,0),"")</f>
        <v>686</v>
      </c>
      <c r="Y20" s="52" t="str">
        <f>IFERROR(VLOOKUP(Y$4&amp;$B20,MASTER!$Z$16:$AB999,3,0),"")</f>
        <v/>
      </c>
      <c r="Z20" s="52" t="str">
        <f>IFERROR(VLOOKUP(Z$4&amp;$B20,MASTER!$Z$16:$AB999,3,0),"")</f>
        <v/>
      </c>
      <c r="AA20" s="52">
        <f>IFERROR(VLOOKUP(AA$4&amp;$B20,MASTER!$Z$16:$AB999,3,0),"")</f>
        <v>676</v>
      </c>
      <c r="AB20" s="52" t="str">
        <f>IFERROR(VLOOKUP(AB$4&amp;$B20,MASTER!$Z$16:$AB999,3,0),"")</f>
        <v/>
      </c>
      <c r="AC20" s="52" t="str">
        <f>IFERROR(VLOOKUP(AC$4&amp;$B20,MASTER!$Z$16:$AB999,3,0),"")</f>
        <v/>
      </c>
      <c r="AD20" s="56"/>
      <c r="AE20" s="56"/>
    </row>
    <row r="21">
      <c r="A21" s="38">
        <v>17.0</v>
      </c>
      <c r="B21" s="65">
        <v>133.0</v>
      </c>
      <c r="C21" s="40" t="str">
        <f>VLOOKUP(B21,MASTER!$AC$16:$AD999,2,0)</f>
        <v>Sink Cock Long Spout (T/M) with Flange</v>
      </c>
      <c r="D21" s="52">
        <f>IFERROR(VLOOKUP(D$4&amp;$B21,MASTER!$Z$16:$AB999,3,0),"")</f>
        <v>1016</v>
      </c>
      <c r="E21" s="52">
        <f>IFERROR(VLOOKUP(E$4&amp;$B21,MASTER!$Z$16:$AB999,3,0),"")</f>
        <v>986</v>
      </c>
      <c r="F21" s="52">
        <f>IFERROR(VLOOKUP(F$4&amp;$B21,MASTER!$Z$16:$AB999,3,0),"")</f>
        <v>726</v>
      </c>
      <c r="G21" s="52">
        <f>IFERROR(VLOOKUP(G$4&amp;$B21,MASTER!$Z$16:$AB999,3,0),"")</f>
        <v>698</v>
      </c>
      <c r="H21" s="52">
        <f>IFERROR(VLOOKUP(H$4&amp;$B21,MASTER!$Z$16:$AB999,3,0),"")</f>
        <v>698</v>
      </c>
      <c r="I21" s="52">
        <f>IFERROR(VLOOKUP(I$4&amp;$B21,MASTER!$Z$16:$AB999,3,0),"")</f>
        <v>698</v>
      </c>
      <c r="J21" s="52">
        <f>IFERROR(VLOOKUP(J$4&amp;$B21,MASTER!$Z$16:$AB999,3,0),"")</f>
        <v>698</v>
      </c>
      <c r="K21" s="52">
        <f>IFERROR(VLOOKUP(K$4&amp;$B21,MASTER!$Z$16:$AB999,3,0),"")</f>
        <v>698</v>
      </c>
      <c r="L21" s="52">
        <f>IFERROR(VLOOKUP(L$4&amp;$B21,MASTER!$Z$16:$AB999,3,0),"")</f>
        <v>872</v>
      </c>
      <c r="M21" s="52">
        <f>IFERROR(VLOOKUP(M$4&amp;$B21,MASTER!$Z$16:$AB999,3,0),"")</f>
        <v>894</v>
      </c>
      <c r="N21" s="52">
        <f>IFERROR(VLOOKUP(N$4&amp;$B21,MASTER!$Z$16:$AB999,3,0),"")</f>
        <v>754</v>
      </c>
      <c r="O21" s="52">
        <f>IFERROR(VLOOKUP(O$4&amp;$B21,MASTER!$Z$16:$AB999,3,0),"")</f>
        <v>848</v>
      </c>
      <c r="P21" s="52">
        <f>IFERROR(VLOOKUP(P$4&amp;$B21,MASTER!$Z$16:$AB999,3,0),"")</f>
        <v>826</v>
      </c>
      <c r="Q21" s="52">
        <f>IFERROR(VLOOKUP(Q$4&amp;$B21,MASTER!$Z$16:$AB999,3,0),"")</f>
        <v>822</v>
      </c>
      <c r="R21" s="52">
        <f>IFERROR(VLOOKUP(R$4&amp;$B21,MASTER!$Z$16:$AB999,3,0),"")</f>
        <v>826</v>
      </c>
      <c r="S21" s="52">
        <f>IFERROR(VLOOKUP(S$4&amp;$B21,MASTER!$Z$16:$AB999,3,0),"")</f>
        <v>748</v>
      </c>
      <c r="T21" s="52">
        <f>IFERROR(VLOOKUP(T$4&amp;$B21,MASTER!$Z$16:$AB999,3,0),"")</f>
        <v>748</v>
      </c>
      <c r="U21" s="52">
        <f>IFERROR(VLOOKUP(U$4&amp;$B21,MASTER!$Z$16:$AB999,3,0),"")</f>
        <v>748</v>
      </c>
      <c r="V21" s="52">
        <f>IFERROR(VLOOKUP(V$4&amp;$B21,MASTER!$Z$16:$AB999,3,0),"")</f>
        <v>754</v>
      </c>
      <c r="W21" s="52">
        <f>IFERROR(VLOOKUP(W$4&amp;$B21,MASTER!$Z$16:$AB999,3,0),"")</f>
        <v>772</v>
      </c>
      <c r="X21" s="52">
        <f>IFERROR(VLOOKUP(X$4&amp;$B21,MASTER!$Z$16:$AB999,3,0),"")</f>
        <v>768</v>
      </c>
      <c r="Y21" s="52">
        <f>IFERROR(VLOOKUP(Y$4&amp;$B21,MASTER!$Z$16:$AB999,3,0),"")</f>
        <v>778</v>
      </c>
      <c r="Z21" s="52">
        <f>IFERROR(VLOOKUP(Z$4&amp;$B21,MASTER!$Z$16:$AB999,3,0),"")</f>
        <v>772</v>
      </c>
      <c r="AA21" s="52">
        <f>IFERROR(VLOOKUP(AA$4&amp;$B21,MASTER!$Z$16:$AB999,3,0),"")</f>
        <v>768</v>
      </c>
      <c r="AB21" s="52" t="str">
        <f>IFERROR(VLOOKUP(AB$4&amp;$B21,MASTER!$Z$16:$AB999,3,0),"")</f>
        <v/>
      </c>
      <c r="AC21" s="52" t="str">
        <f>IFERROR(VLOOKUP(AC$4&amp;$B21,MASTER!$Z$16:$AB999,3,0),"")</f>
        <v/>
      </c>
      <c r="AD21" s="56"/>
      <c r="AE21" s="56"/>
    </row>
    <row r="22">
      <c r="A22" s="38">
        <v>18.0</v>
      </c>
      <c r="B22" s="65">
        <v>134.0</v>
      </c>
      <c r="C22" s="40" t="str">
        <f>VLOOKUP(B22,MASTER!$AC$16:$AD999,2,0)</f>
        <v>Sink Mixer with Flange</v>
      </c>
      <c r="D22" s="52">
        <f>IFERROR(VLOOKUP(D$4&amp;$B22,MASTER!$Z$16:$AB999,3,0),"")</f>
        <v>2048</v>
      </c>
      <c r="E22" s="52" t="str">
        <f>IFERROR(VLOOKUP(E$4&amp;$B22,MASTER!$Z$16:$AB999,3,0),"")</f>
        <v/>
      </c>
      <c r="F22" s="52">
        <f>IFERROR(VLOOKUP(F$4&amp;$B22,MASTER!$Z$16:$AB999,3,0),"")</f>
        <v>1364</v>
      </c>
      <c r="G22" s="52">
        <f>IFERROR(VLOOKUP(G$4&amp;$B22,MASTER!$Z$16:$AB999,3,0),"")</f>
        <v>1364</v>
      </c>
      <c r="H22" s="52">
        <f>IFERROR(VLOOKUP(H$4&amp;$B22,MASTER!$Z$16:$AB999,3,0),"")</f>
        <v>1364</v>
      </c>
      <c r="I22" s="52">
        <f>IFERROR(VLOOKUP(I$4&amp;$B22,MASTER!$Z$16:$AB999,3,0),"")</f>
        <v>1364</v>
      </c>
      <c r="J22" s="52">
        <f>IFERROR(VLOOKUP(J$4&amp;$B22,MASTER!$Z$16:$AB999,3,0),"")</f>
        <v>1364</v>
      </c>
      <c r="K22" s="52">
        <f>IFERROR(VLOOKUP(K$4&amp;$B22,MASTER!$Z$16:$AB999,3,0),"")</f>
        <v>1364</v>
      </c>
      <c r="L22" s="52">
        <f>IFERROR(VLOOKUP(L$4&amp;$B22,MASTER!$Z$16:$AB999,3,0),"")</f>
        <v>1742</v>
      </c>
      <c r="M22" s="52">
        <f>IFERROR(VLOOKUP(M$4&amp;$B22,MASTER!$Z$16:$AB999,3,0),"")</f>
        <v>1758</v>
      </c>
      <c r="N22" s="52">
        <f>IFERROR(VLOOKUP(N$4&amp;$B22,MASTER!$Z$16:$AB999,3,0),"")</f>
        <v>1698</v>
      </c>
      <c r="O22" s="52">
        <f>IFERROR(VLOOKUP(O$4&amp;$B22,MASTER!$Z$16:$AB999,3,0),"")</f>
        <v>1764</v>
      </c>
      <c r="P22" s="52">
        <f>IFERROR(VLOOKUP(P$4&amp;$B22,MASTER!$Z$16:$AB999,3,0),"")</f>
        <v>1764</v>
      </c>
      <c r="Q22" s="52">
        <f>IFERROR(VLOOKUP(Q$4&amp;$B22,MASTER!$Z$16:$AB999,3,0),"")</f>
        <v>1742</v>
      </c>
      <c r="R22" s="52">
        <f>IFERROR(VLOOKUP(R$4&amp;$B22,MASTER!$Z$16:$AB999,3,0),"")</f>
        <v>1758</v>
      </c>
      <c r="S22" s="52">
        <f>IFERROR(VLOOKUP(S$4&amp;$B22,MASTER!$Z$16:$AB999,3,0),"")</f>
        <v>1344</v>
      </c>
      <c r="T22" s="52">
        <f>IFERROR(VLOOKUP(T$4&amp;$B22,MASTER!$Z$16:$AB999,3,0),"")</f>
        <v>1344</v>
      </c>
      <c r="U22" s="52">
        <f>IFERROR(VLOOKUP(U$4&amp;$B22,MASTER!$Z$16:$AB999,3,0),"")</f>
        <v>1344</v>
      </c>
      <c r="V22" s="52">
        <f>IFERROR(VLOOKUP(V$4&amp;$B22,MASTER!$Z$16:$AB999,3,0),"")</f>
        <v>1368</v>
      </c>
      <c r="W22" s="52">
        <f>IFERROR(VLOOKUP(W$4&amp;$B22,MASTER!$Z$16:$AB999,3,0),"")</f>
        <v>1398</v>
      </c>
      <c r="X22" s="52">
        <f>IFERROR(VLOOKUP(X$4&amp;$B22,MASTER!$Z$16:$AB999,3,0),"")</f>
        <v>1402</v>
      </c>
      <c r="Y22" s="52">
        <f>IFERROR(VLOOKUP(Y$4&amp;$B22,MASTER!$Z$16:$AB999,3,0),"")</f>
        <v>1398</v>
      </c>
      <c r="Z22" s="52">
        <f>IFERROR(VLOOKUP(Z$4&amp;$B22,MASTER!$Z$16:$AB999,3,0),"")</f>
        <v>1398</v>
      </c>
      <c r="AA22" s="52">
        <f>IFERROR(VLOOKUP(AA$4&amp;$B22,MASTER!$Z$16:$AB999,3,0),"")</f>
        <v>1362</v>
      </c>
      <c r="AB22" s="52" t="str">
        <f>IFERROR(VLOOKUP(AB$4&amp;$B22,MASTER!$Z$16:$AB999,3,0),"")</f>
        <v/>
      </c>
      <c r="AC22" s="52" t="str">
        <f>IFERROR(VLOOKUP(AC$4&amp;$B22,MASTER!$Z$16:$AB999,3,0),"")</f>
        <v/>
      </c>
      <c r="AD22" s="56"/>
      <c r="AE22" s="56"/>
    </row>
    <row r="23">
      <c r="A23" s="38">
        <v>19.0</v>
      </c>
      <c r="B23" s="65">
        <v>135.0</v>
      </c>
      <c r="C23" s="40" t="str">
        <f>VLOOKUP(B23,MASTER!$AC$16:$AD999,2,0)</f>
        <v>Wall Mixer with Flange</v>
      </c>
      <c r="D23" s="52">
        <f>IFERROR(VLOOKUP(D$4&amp;$B23,MASTER!$Z$16:$AB999,3,0),"")</f>
        <v>2048</v>
      </c>
      <c r="E23" s="52" t="str">
        <f>IFERROR(VLOOKUP(E$4&amp;$B23,MASTER!$Z$16:$AB999,3,0),"")</f>
        <v/>
      </c>
      <c r="F23" s="52">
        <f>IFERROR(VLOOKUP(F$4&amp;$B23,MASTER!$Z$16:$AB999,3,0),"")</f>
        <v>1258</v>
      </c>
      <c r="G23" s="52">
        <f>IFERROR(VLOOKUP(G$4&amp;$B23,MASTER!$Z$16:$AB999,3,0),"")</f>
        <v>1306</v>
      </c>
      <c r="H23" s="52">
        <f>IFERROR(VLOOKUP(H$4&amp;$B23,MASTER!$Z$16:$AB999,3,0),"")</f>
        <v>1306</v>
      </c>
      <c r="I23" s="52">
        <f>IFERROR(VLOOKUP(I$4&amp;$B23,MASTER!$Z$16:$AB999,3,0),"")</f>
        <v>1306</v>
      </c>
      <c r="J23" s="52">
        <f>IFERROR(VLOOKUP(J$4&amp;$B23,MASTER!$Z$16:$AB999,3,0),"")</f>
        <v>1306</v>
      </c>
      <c r="K23" s="52">
        <f>IFERROR(VLOOKUP(K$4&amp;$B23,MASTER!$Z$16:$AB999,3,0),"")</f>
        <v>1306</v>
      </c>
      <c r="L23" s="52">
        <f>IFERROR(VLOOKUP(L$4&amp;$B23,MASTER!$Z$16:$AB999,3,0),"")</f>
        <v>1742</v>
      </c>
      <c r="M23" s="52">
        <f>IFERROR(VLOOKUP(M$4&amp;$B23,MASTER!$Z$16:$AB999,3,0),"")</f>
        <v>1758</v>
      </c>
      <c r="N23" s="52">
        <f>IFERROR(VLOOKUP(N$4&amp;$B23,MASTER!$Z$16:$AB999,3,0),"")</f>
        <v>1648</v>
      </c>
      <c r="O23" s="52">
        <f>IFERROR(VLOOKUP(O$4&amp;$B23,MASTER!$Z$16:$AB999,3,0),"")</f>
        <v>1698</v>
      </c>
      <c r="P23" s="52">
        <f>IFERROR(VLOOKUP(P$4&amp;$B23,MASTER!$Z$16:$AB999,3,0),"")</f>
        <v>1808</v>
      </c>
      <c r="Q23" s="52">
        <f>IFERROR(VLOOKUP(Q$4&amp;$B23,MASTER!$Z$16:$AB999,3,0),"")</f>
        <v>1648</v>
      </c>
      <c r="R23" s="52">
        <f>IFERROR(VLOOKUP(R$4&amp;$B23,MASTER!$Z$16:$AB999,3,0),"")</f>
        <v>1698</v>
      </c>
      <c r="S23" s="52" t="str">
        <f>IFERROR(VLOOKUP(S$4&amp;$B23,MASTER!$Z$16:$AB999,3,0),"")</f>
        <v/>
      </c>
      <c r="T23" s="52">
        <f>IFERROR(VLOOKUP(T$4&amp;$B23,MASTER!$Z$16:$AB999,3,0),"")</f>
        <v>1344</v>
      </c>
      <c r="U23" s="52">
        <f>IFERROR(VLOOKUP(U$4&amp;$B23,MASTER!$Z$16:$AB999,3,0),"")</f>
        <v>1344</v>
      </c>
      <c r="V23" s="52">
        <f>IFERROR(VLOOKUP(V$4&amp;$B23,MASTER!$Z$16:$AB999,3,0),"")</f>
        <v>1368</v>
      </c>
      <c r="W23" s="52">
        <f>IFERROR(VLOOKUP(W$4&amp;$B23,MASTER!$Z$16:$AB999,3,0),"")</f>
        <v>1398</v>
      </c>
      <c r="X23" s="52" t="str">
        <f>IFERROR(VLOOKUP(X$4&amp;$B23,MASTER!$Z$16:$AB999,3,0),"")</f>
        <v/>
      </c>
      <c r="Y23" s="52">
        <f>IFERROR(VLOOKUP(Y$4&amp;$B23,MASTER!$Z$16:$AB999,3,0),"")</f>
        <v>1398</v>
      </c>
      <c r="Z23" s="52">
        <f>IFERROR(VLOOKUP(Z$4&amp;$B23,MASTER!$Z$16:$AB999,3,0),"")</f>
        <v>1398</v>
      </c>
      <c r="AA23" s="52" t="str">
        <f>IFERROR(VLOOKUP(AA$4&amp;$B23,MASTER!$Z$16:$AB999,3,0),"")</f>
        <v/>
      </c>
      <c r="AB23" s="52" t="str">
        <f>IFERROR(VLOOKUP(AB$4&amp;$B23,MASTER!$Z$16:$AB999,3,0),"")</f>
        <v/>
      </c>
      <c r="AC23" s="52" t="str">
        <f>IFERROR(VLOOKUP(AC$4&amp;$B23,MASTER!$Z$16:$AB999,3,0),"")</f>
        <v/>
      </c>
      <c r="AD23" s="56"/>
      <c r="AE23" s="56"/>
    </row>
    <row r="24">
      <c r="A24" s="38">
        <v>20.0</v>
      </c>
      <c r="B24" s="40">
        <v>1374.0</v>
      </c>
      <c r="C24" s="40" t="str">
        <f>VLOOKUP(B24,MASTER!$AC$16:$AD999,2,0)</f>
        <v>2 in 1 Telephonic Wall Mixer</v>
      </c>
      <c r="D24" s="52">
        <f>IFERROR(VLOOKUP(D$4&amp;$B24,MASTER!$Z$16:$AB999,3,0),"")</f>
        <v>2832</v>
      </c>
      <c r="E24" s="52">
        <f>IFERROR(VLOOKUP(E$4&amp;$B24,MASTER!$Z$16:$AB999,3,0),"")</f>
        <v>2798</v>
      </c>
      <c r="F24" s="52" t="str">
        <f>IFERROR(VLOOKUP(F$4&amp;$B24,MASTER!$Z$16:$AB999,3,0),"")</f>
        <v/>
      </c>
      <c r="G24" s="52">
        <f>IFERROR(VLOOKUP(G$4&amp;$B24,MASTER!$Z$16:$AB999,3,0),"")</f>
        <v>2038</v>
      </c>
      <c r="H24" s="52">
        <f>IFERROR(VLOOKUP(H$4&amp;$B24,MASTER!$Z$16:$AB999,3,0),"")</f>
        <v>2038</v>
      </c>
      <c r="I24" s="52">
        <f>IFERROR(VLOOKUP(I$4&amp;$B24,MASTER!$Z$16:$AB999,3,0),"")</f>
        <v>2038</v>
      </c>
      <c r="J24" s="52">
        <f>IFERROR(VLOOKUP(J$4&amp;$B24,MASTER!$Z$16:$AB999,3,0),"")</f>
        <v>2038</v>
      </c>
      <c r="K24" s="52">
        <f>IFERROR(VLOOKUP(K$4&amp;$B24,MASTER!$Z$16:$AB999,3,0),"")</f>
        <v>2038</v>
      </c>
      <c r="L24" s="52">
        <f>IFERROR(VLOOKUP(L$4&amp;$B24,MASTER!$Z$16:$AB999,3,0),"")</f>
        <v>2414</v>
      </c>
      <c r="M24" s="52">
        <f>IFERROR(VLOOKUP(M$4&amp;$B24,MASTER!$Z$16:$AB999,3,0),"")</f>
        <v>2418</v>
      </c>
      <c r="N24" s="52">
        <f>IFERROR(VLOOKUP(N$4&amp;$B24,MASTER!$Z$16:$AB999,3,0),"")</f>
        <v>2258</v>
      </c>
      <c r="O24" s="52">
        <f>IFERROR(VLOOKUP(O$4&amp;$B24,MASTER!$Z$16:$AB999,3,0),"")</f>
        <v>2468</v>
      </c>
      <c r="P24" s="52">
        <f>IFERROR(VLOOKUP(P$4&amp;$B24,MASTER!$Z$16:$AB999,3,0),"")</f>
        <v>2414</v>
      </c>
      <c r="Q24" s="52">
        <f>IFERROR(VLOOKUP(Q$4&amp;$B24,MASTER!$Z$16:$AB999,3,0),"")</f>
        <v>2358</v>
      </c>
      <c r="R24" s="52">
        <f>IFERROR(VLOOKUP(R$4&amp;$B24,MASTER!$Z$16:$AB999,3,0),"")</f>
        <v>2402</v>
      </c>
      <c r="S24" s="52">
        <f>IFERROR(VLOOKUP(S$4&amp;$B24,MASTER!$Z$16:$AB999,3,0),"")</f>
        <v>2082</v>
      </c>
      <c r="T24" s="52">
        <f>IFERROR(VLOOKUP(T$4&amp;$B24,MASTER!$Z$16:$AB999,3,0),"")</f>
        <v>2082</v>
      </c>
      <c r="U24" s="52">
        <f>IFERROR(VLOOKUP(U$4&amp;$B24,MASTER!$Z$16:$AB999,3,0),"")</f>
        <v>2082</v>
      </c>
      <c r="V24" s="52">
        <f>IFERROR(VLOOKUP(V$4&amp;$B24,MASTER!$Z$16:$AB999,3,0),"")</f>
        <v>2088</v>
      </c>
      <c r="W24" s="52">
        <f>IFERROR(VLOOKUP(W$4&amp;$B24,MASTER!$Z$16:$AB999,3,0),"")</f>
        <v>2158</v>
      </c>
      <c r="X24" s="52">
        <f>IFERROR(VLOOKUP(X$4&amp;$B24,MASTER!$Z$16:$AB999,3,0),"")</f>
        <v>2158</v>
      </c>
      <c r="Y24" s="52">
        <f>IFERROR(VLOOKUP(Y$4&amp;$B24,MASTER!$Z$16:$AB999,3,0),"")</f>
        <v>2142</v>
      </c>
      <c r="Z24" s="52">
        <f>IFERROR(VLOOKUP(Z$4&amp;$B24,MASTER!$Z$16:$AB999,3,0),"")</f>
        <v>2158</v>
      </c>
      <c r="AA24" s="52">
        <f>IFERROR(VLOOKUP(AA$4&amp;$B24,MASTER!$Z$16:$AB999,3,0),"")</f>
        <v>2154</v>
      </c>
      <c r="AB24" s="52" t="str">
        <f>IFERROR(VLOOKUP(AB$4&amp;$B24,MASTER!$Z$16:$AB999,3,0),"")</f>
        <v/>
      </c>
      <c r="AC24" s="52" t="str">
        <f>IFERROR(VLOOKUP(AC$4&amp;$B24,MASTER!$Z$16:$AB999,3,0),"")</f>
        <v/>
      </c>
      <c r="AD24" s="56"/>
      <c r="AE24" s="56"/>
    </row>
    <row r="25">
      <c r="A25" s="38">
        <v>21.0</v>
      </c>
      <c r="B25" s="67" t="s">
        <v>560</v>
      </c>
      <c r="C25" s="40" t="str">
        <f>VLOOKUP(B25,MASTER!$AC$16:$AD999,2,0)</f>
        <v>Wall Mixer L Bend with Flange</v>
      </c>
      <c r="D25" s="52">
        <f>IFERROR(VLOOKUP(D$4&amp;$B25,MASTER!$Z$16:$AB999,3,0),"")</f>
        <v>2498</v>
      </c>
      <c r="E25" s="52">
        <f>IFERROR(VLOOKUP(E$4&amp;$B25,MASTER!$Z$16:$AB999,3,0),"")</f>
        <v>2476</v>
      </c>
      <c r="F25" s="52">
        <f>IFERROR(VLOOKUP(F$4&amp;$B25,MASTER!$Z$16:$AB999,3,0),"")</f>
        <v>1648</v>
      </c>
      <c r="G25" s="52">
        <f>IFERROR(VLOOKUP(G$4&amp;$B25,MASTER!$Z$16:$AB999,3,0),"")</f>
        <v>1708</v>
      </c>
      <c r="H25" s="52">
        <f>IFERROR(VLOOKUP(H$4&amp;$B25,MASTER!$Z$16:$AB999,3,0),"")</f>
        <v>1708</v>
      </c>
      <c r="I25" s="52">
        <f>IFERROR(VLOOKUP(I$4&amp;$B25,MASTER!$Z$16:$AB999,3,0),"")</f>
        <v>1708</v>
      </c>
      <c r="J25" s="52">
        <f>IFERROR(VLOOKUP(J$4&amp;$B25,MASTER!$Z$16:$AB999,3,0),"")</f>
        <v>1708</v>
      </c>
      <c r="K25" s="52">
        <f>IFERROR(VLOOKUP(K$4&amp;$B25,MASTER!$Z$16:$AB999,3,0),"")</f>
        <v>1708</v>
      </c>
      <c r="L25" s="52">
        <f>IFERROR(VLOOKUP(L$4&amp;$B25,MASTER!$Z$16:$AB999,3,0),"")</f>
        <v>2082</v>
      </c>
      <c r="M25" s="52">
        <f>IFERROR(VLOOKUP(M$4&amp;$B25,MASTER!$Z$16:$AB999,3,0),"")</f>
        <v>2088</v>
      </c>
      <c r="N25" s="52">
        <f>IFERROR(VLOOKUP(N$4&amp;$B25,MASTER!$Z$16:$AB999,3,0),"")</f>
        <v>1928</v>
      </c>
      <c r="O25" s="52">
        <f>IFERROR(VLOOKUP(O$4&amp;$B25,MASTER!$Z$16:$AB999,3,0),"")</f>
        <v>2138</v>
      </c>
      <c r="P25" s="52">
        <f>IFERROR(VLOOKUP(P$4&amp;$B25,MASTER!$Z$16:$AB999,3,0),"")</f>
        <v>2082</v>
      </c>
      <c r="Q25" s="52">
        <f>IFERROR(VLOOKUP(Q$4&amp;$B25,MASTER!$Z$16:$AB999,3,0),"")</f>
        <v>2028</v>
      </c>
      <c r="R25" s="52">
        <f>IFERROR(VLOOKUP(R$4&amp;$B25,MASTER!$Z$16:$AB999,3,0),"")</f>
        <v>2072</v>
      </c>
      <c r="S25" s="52">
        <f>IFERROR(VLOOKUP(S$4&amp;$B25,MASTER!$Z$16:$AB999,3,0),"")</f>
        <v>1752</v>
      </c>
      <c r="T25" s="52">
        <f>IFERROR(VLOOKUP(T$4&amp;$B25,MASTER!$Z$16:$AB999,3,0),"")</f>
        <v>1752</v>
      </c>
      <c r="U25" s="52">
        <f>IFERROR(VLOOKUP(U$4&amp;$B25,MASTER!$Z$16:$AB999,3,0),"")</f>
        <v>1752</v>
      </c>
      <c r="V25" s="52">
        <f>IFERROR(VLOOKUP(V$4&amp;$B25,MASTER!$Z$16:$AB999,3,0),"")</f>
        <v>1758</v>
      </c>
      <c r="W25" s="52">
        <f>IFERROR(VLOOKUP(W$4&amp;$B25,MASTER!$Z$16:$AB999,3,0),"")</f>
        <v>1828</v>
      </c>
      <c r="X25" s="52">
        <f>IFERROR(VLOOKUP(X$4&amp;$B25,MASTER!$Z$16:$AB999,3,0),"")</f>
        <v>1828</v>
      </c>
      <c r="Y25" s="52">
        <f>IFERROR(VLOOKUP(Y$4&amp;$B25,MASTER!$Z$16:$AB999,3,0),"")</f>
        <v>1808</v>
      </c>
      <c r="Z25" s="52">
        <f>IFERROR(VLOOKUP(Z$4&amp;$B25,MASTER!$Z$16:$AB999,3,0),"")</f>
        <v>1828</v>
      </c>
      <c r="AA25" s="52">
        <f>IFERROR(VLOOKUP(AA$4&amp;$B25,MASTER!$Z$16:$AB999,3,0),"")</f>
        <v>1822</v>
      </c>
      <c r="AB25" s="52" t="str">
        <f>IFERROR(VLOOKUP(AB$4&amp;$B25,MASTER!$Z$16:$AB999,3,0),"")</f>
        <v/>
      </c>
      <c r="AC25" s="52" t="str">
        <f>IFERROR(VLOOKUP(AC$4&amp;$B25,MASTER!$Z$16:$AB999,3,0),"")</f>
        <v/>
      </c>
      <c r="AD25" s="56"/>
      <c r="AE25" s="56"/>
    </row>
    <row r="26">
      <c r="A26" s="38">
        <v>22.0</v>
      </c>
      <c r="B26" s="65">
        <v>141.0</v>
      </c>
      <c r="C26" s="40" t="str">
        <f>VLOOKUP(B26,MASTER!$AC$16:$AD999,2,0)</f>
        <v>Stop Cock 15mm (M/T)</v>
      </c>
      <c r="D26" s="52" t="str">
        <f>IFERROR(VLOOKUP(D$4&amp;$B26,MASTER!$Z$16:$AB999,3,0),"")</f>
        <v/>
      </c>
      <c r="E26" s="52" t="str">
        <f>IFERROR(VLOOKUP(E$4&amp;$B26,MASTER!$Z$16:$AB999,3,0),"")</f>
        <v/>
      </c>
      <c r="F26" s="52" t="str">
        <f>IFERROR(VLOOKUP(F$4&amp;$B26,MASTER!$Z$16:$AB999,3,0),"")</f>
        <v/>
      </c>
      <c r="G26" s="52" t="str">
        <f>IFERROR(VLOOKUP(G$4&amp;$B26,MASTER!$Z$16:$AB999,3,0),"")</f>
        <v/>
      </c>
      <c r="H26" s="52" t="str">
        <f>IFERROR(VLOOKUP(H$4&amp;$B26,MASTER!$Z$16:$AB999,3,0),"")</f>
        <v/>
      </c>
      <c r="I26" s="52" t="str">
        <f>IFERROR(VLOOKUP(I$4&amp;$B26,MASTER!$Z$16:$AB999,3,0),"")</f>
        <v/>
      </c>
      <c r="J26" s="52" t="str">
        <f>IFERROR(VLOOKUP(J$4&amp;$B26,MASTER!$Z$16:$AB999,3,0),"")</f>
        <v/>
      </c>
      <c r="K26" s="52" t="str">
        <f>IFERROR(VLOOKUP(K$4&amp;$B26,MASTER!$Z$16:$AB999,3,0),"")</f>
        <v/>
      </c>
      <c r="L26" s="52">
        <f>IFERROR(VLOOKUP(L$4&amp;$B26,MASTER!$Z$16:$AB999,3,0),"")</f>
        <v>312</v>
      </c>
      <c r="M26" s="52">
        <f>IFERROR(VLOOKUP(M$4&amp;$B26,MASTER!$Z$16:$AB999,3,0),"")</f>
        <v>318</v>
      </c>
      <c r="N26" s="52" t="str">
        <f>IFERROR(VLOOKUP(N$4&amp;$B26,MASTER!$Z$16:$AB999,3,0),"")</f>
        <v/>
      </c>
      <c r="O26" s="52" t="str">
        <f>IFERROR(VLOOKUP(O$4&amp;$B26,MASTER!$Z$16:$AB999,3,0),"")</f>
        <v/>
      </c>
      <c r="P26" s="52" t="str">
        <f>IFERROR(VLOOKUP(P$4&amp;$B26,MASTER!$Z$16:$AB999,3,0),"")</f>
        <v/>
      </c>
      <c r="Q26" s="52" t="str">
        <f>IFERROR(VLOOKUP(Q$4&amp;$B26,MASTER!$Z$16:$AB999,3,0),"")</f>
        <v/>
      </c>
      <c r="R26" s="52" t="str">
        <f>IFERROR(VLOOKUP(R$4&amp;$B26,MASTER!$Z$16:$AB999,3,0),"")</f>
        <v/>
      </c>
      <c r="S26" s="52">
        <f>IFERROR(VLOOKUP(S$4&amp;$B26,MASTER!$Z$16:$AB999,3,0),"")</f>
        <v>242</v>
      </c>
      <c r="T26" s="52">
        <f>IFERROR(VLOOKUP(T$4&amp;$B26,MASTER!$Z$16:$AB999,3,0),"")</f>
        <v>242</v>
      </c>
      <c r="U26" s="52">
        <f>IFERROR(VLOOKUP(U$4&amp;$B26,MASTER!$Z$16:$AB999,3,0),"")</f>
        <v>242</v>
      </c>
      <c r="V26" s="52">
        <f>IFERROR(VLOOKUP(V$4&amp;$B26,MASTER!$Z$16:$AB999,3,0),"")</f>
        <v>252</v>
      </c>
      <c r="W26" s="52">
        <f>IFERROR(VLOOKUP(W$4&amp;$B26,MASTER!$Z$16:$AB999,3,0),"")</f>
        <v>264</v>
      </c>
      <c r="X26" s="52">
        <f>IFERROR(VLOOKUP(X$4&amp;$B26,MASTER!$Z$16:$AB999,3,0),"")</f>
        <v>264</v>
      </c>
      <c r="Y26" s="52">
        <f>IFERROR(VLOOKUP(Y$4&amp;$B26,MASTER!$Z$16:$AB999,3,0),"")</f>
        <v>262</v>
      </c>
      <c r="Z26" s="52">
        <f>IFERROR(VLOOKUP(Z$4&amp;$B26,MASTER!$Z$16:$AB999,3,0),"")</f>
        <v>264</v>
      </c>
      <c r="AA26" s="52">
        <f>IFERROR(VLOOKUP(AA$4&amp;$B26,MASTER!$Z$16:$AB999,3,0),"")</f>
        <v>252</v>
      </c>
      <c r="AB26" s="52" t="str">
        <f>IFERROR(VLOOKUP(AB$4&amp;$B26,MASTER!$Z$16:$AB999,3,0),"")</f>
        <v/>
      </c>
      <c r="AC26" s="52" t="str">
        <f>IFERROR(VLOOKUP(AC$4&amp;$B26,MASTER!$Z$16:$AB999,3,0),"")</f>
        <v/>
      </c>
      <c r="AD26" s="56"/>
      <c r="AE26" s="56"/>
    </row>
    <row r="27">
      <c r="A27" s="38">
        <v>23.0</v>
      </c>
      <c r="B27" s="65" t="s">
        <v>824</v>
      </c>
      <c r="C27" s="40" t="str">
        <f>VLOOKUP(B27,MASTER!$AC$16:$AD999,2,0)</f>
        <v>Stop Cock 15mm with Nozzle</v>
      </c>
      <c r="D27" s="52" t="str">
        <f>IFERROR(VLOOKUP(D$4&amp;$B27,MASTER!$Z$16:$AB999,3,0),"")</f>
        <v/>
      </c>
      <c r="E27" s="52" t="str">
        <f>IFERROR(VLOOKUP(E$4&amp;$B27,MASTER!$Z$16:$AB999,3,0),"")</f>
        <v/>
      </c>
      <c r="F27" s="52" t="str">
        <f>IFERROR(VLOOKUP(F$4&amp;$B27,MASTER!$Z$16:$AB999,3,0),"")</f>
        <v/>
      </c>
      <c r="G27" s="52" t="str">
        <f>IFERROR(VLOOKUP(G$4&amp;$B27,MASTER!$Z$16:$AB999,3,0),"")</f>
        <v/>
      </c>
      <c r="H27" s="52" t="str">
        <f>IFERROR(VLOOKUP(H$4&amp;$B27,MASTER!$Z$16:$AB999,3,0),"")</f>
        <v/>
      </c>
      <c r="I27" s="52" t="str">
        <f>IFERROR(VLOOKUP(I$4&amp;$B27,MASTER!$Z$16:$AB999,3,0),"")</f>
        <v/>
      </c>
      <c r="J27" s="52" t="str">
        <f>IFERROR(VLOOKUP(J$4&amp;$B27,MASTER!$Z$16:$AB999,3,0),"")</f>
        <v/>
      </c>
      <c r="K27" s="52" t="str">
        <f>IFERROR(VLOOKUP(K$4&amp;$B27,MASTER!$Z$16:$AB999,3,0),"")</f>
        <v/>
      </c>
      <c r="L27" s="52" t="str">
        <f>IFERROR(VLOOKUP(L$4&amp;$B27,MASTER!$Z$16:$AB999,3,0),"")</f>
        <v/>
      </c>
      <c r="M27" s="52" t="str">
        <f>IFERROR(VLOOKUP(M$4&amp;$B27,MASTER!$Z$16:$AB999,3,0),"")</f>
        <v/>
      </c>
      <c r="N27" s="52" t="str">
        <f>IFERROR(VLOOKUP(N$4&amp;$B27,MASTER!$Z$16:$AB999,3,0),"")</f>
        <v/>
      </c>
      <c r="O27" s="52" t="str">
        <f>IFERROR(VLOOKUP(O$4&amp;$B27,MASTER!$Z$16:$AB999,3,0),"")</f>
        <v/>
      </c>
      <c r="P27" s="52" t="str">
        <f>IFERROR(VLOOKUP(P$4&amp;$B27,MASTER!$Z$16:$AB999,3,0),"")</f>
        <v/>
      </c>
      <c r="Q27" s="52" t="str">
        <f>IFERROR(VLOOKUP(Q$4&amp;$B27,MASTER!$Z$16:$AB999,3,0),"")</f>
        <v/>
      </c>
      <c r="R27" s="52" t="str">
        <f>IFERROR(VLOOKUP(R$4&amp;$B27,MASTER!$Z$16:$AB999,3,0),"")</f>
        <v/>
      </c>
      <c r="S27" s="52" t="str">
        <f>IFERROR(VLOOKUP(S$4&amp;$B27,MASTER!$Z$16:$AB999,3,0),"")</f>
        <v/>
      </c>
      <c r="T27" s="52">
        <f>IFERROR(VLOOKUP(T$4&amp;$B27,MASTER!$Z$16:$AB999,3,0),"")</f>
        <v>274</v>
      </c>
      <c r="U27" s="52">
        <f>IFERROR(VLOOKUP(U$4&amp;$B27,MASTER!$Z$16:$AB999,3,0),"")</f>
        <v>274</v>
      </c>
      <c r="V27" s="52">
        <f>IFERROR(VLOOKUP(V$4&amp;$B27,MASTER!$Z$16:$AB999,3,0),"")</f>
        <v>286</v>
      </c>
      <c r="W27" s="52" t="str">
        <f>IFERROR(VLOOKUP(W$4&amp;$B27,MASTER!$Z$16:$AB999,3,0),"")</f>
        <v/>
      </c>
      <c r="X27" s="52" t="str">
        <f>IFERROR(VLOOKUP(X$4&amp;$B27,MASTER!$Z$16:$AB999,3,0),"")</f>
        <v/>
      </c>
      <c r="Y27" s="52">
        <f>IFERROR(VLOOKUP(Y$4&amp;$B27,MASTER!$Z$16:$AB999,3,0),"")</f>
        <v>298</v>
      </c>
      <c r="Z27" s="52" t="str">
        <f>IFERROR(VLOOKUP(Z$4&amp;$B27,MASTER!$Z$16:$AB999,3,0),"")</f>
        <v/>
      </c>
      <c r="AA27" s="52" t="str">
        <f>IFERROR(VLOOKUP(AA$4&amp;$B27,MASTER!$Z$16:$AB999,3,0),"")</f>
        <v/>
      </c>
      <c r="AB27" s="52" t="str">
        <f>IFERROR(VLOOKUP(AB$4&amp;$B27,MASTER!$Z$16:$AB999,3,0),"")</f>
        <v/>
      </c>
      <c r="AC27" s="52" t="str">
        <f>IFERROR(VLOOKUP(AC$4&amp;$B27,MASTER!$Z$16:$AB999,3,0),"")</f>
        <v/>
      </c>
      <c r="AD27" s="56"/>
      <c r="AE27" s="56"/>
    </row>
    <row r="28">
      <c r="A28" s="38">
        <v>24.0</v>
      </c>
      <c r="B28" s="65">
        <v>142.0</v>
      </c>
      <c r="C28" s="40" t="str">
        <f>VLOOKUP(B28,MASTER!$AC$16:$AD999,2,0)</f>
        <v>Stop Cock 15mm (F/T)</v>
      </c>
      <c r="D28" s="52" t="str">
        <f>IFERROR(VLOOKUP(D$4&amp;$B28,MASTER!$Z$16:$AB999,3,0),"")</f>
        <v/>
      </c>
      <c r="E28" s="52" t="str">
        <f>IFERROR(VLOOKUP(E$4&amp;$B28,MASTER!$Z$16:$AB999,3,0),"")</f>
        <v/>
      </c>
      <c r="F28" s="52" t="str">
        <f>IFERROR(VLOOKUP(F$4&amp;$B28,MASTER!$Z$16:$AB999,3,0),"")</f>
        <v/>
      </c>
      <c r="G28" s="52" t="str">
        <f>IFERROR(VLOOKUP(G$4&amp;$B28,MASTER!$Z$16:$AB999,3,0),"")</f>
        <v/>
      </c>
      <c r="H28" s="52" t="str">
        <f>IFERROR(VLOOKUP(H$4&amp;$B28,MASTER!$Z$16:$AB999,3,0),"")</f>
        <v/>
      </c>
      <c r="I28" s="52" t="str">
        <f>IFERROR(VLOOKUP(I$4&amp;$B28,MASTER!$Z$16:$AB999,3,0),"")</f>
        <v/>
      </c>
      <c r="J28" s="52" t="str">
        <f>IFERROR(VLOOKUP(J$4&amp;$B28,MASTER!$Z$16:$AB999,3,0),"")</f>
        <v/>
      </c>
      <c r="K28" s="52" t="str">
        <f>IFERROR(VLOOKUP(K$4&amp;$B28,MASTER!$Z$16:$AB999,3,0),"")</f>
        <v/>
      </c>
      <c r="L28" s="52">
        <f>IFERROR(VLOOKUP(L$4&amp;$B28,MASTER!$Z$16:$AB999,3,0),"")</f>
        <v>312</v>
      </c>
      <c r="M28" s="52">
        <f>IFERROR(VLOOKUP(M$4&amp;$B28,MASTER!$Z$16:$AB999,3,0),"")</f>
        <v>338</v>
      </c>
      <c r="N28" s="52" t="str">
        <f>IFERROR(VLOOKUP(N$4&amp;$B28,MASTER!$Z$16:$AB999,3,0),"")</f>
        <v/>
      </c>
      <c r="O28" s="52" t="str">
        <f>IFERROR(VLOOKUP(O$4&amp;$B28,MASTER!$Z$16:$AB999,3,0),"")</f>
        <v/>
      </c>
      <c r="P28" s="52" t="str">
        <f>IFERROR(VLOOKUP(P$4&amp;$B28,MASTER!$Z$16:$AB999,3,0),"")</f>
        <v/>
      </c>
      <c r="Q28" s="52" t="str">
        <f>IFERROR(VLOOKUP(Q$4&amp;$B28,MASTER!$Z$16:$AB999,3,0),"")</f>
        <v/>
      </c>
      <c r="R28" s="52" t="str">
        <f>IFERROR(VLOOKUP(R$4&amp;$B28,MASTER!$Z$16:$AB999,3,0),"")</f>
        <v/>
      </c>
      <c r="S28" s="52">
        <f>IFERROR(VLOOKUP(S$4&amp;$B28,MASTER!$Z$16:$AB999,3,0),"")</f>
        <v>242</v>
      </c>
      <c r="T28" s="52">
        <f>IFERROR(VLOOKUP(T$4&amp;$B28,MASTER!$Z$16:$AB999,3,0),"")</f>
        <v>242</v>
      </c>
      <c r="U28" s="52">
        <f>IFERROR(VLOOKUP(U$4&amp;$B28,MASTER!$Z$16:$AB999,3,0),"")</f>
        <v>242</v>
      </c>
      <c r="V28" s="52">
        <f>IFERROR(VLOOKUP(V$4&amp;$B28,MASTER!$Z$16:$AB999,3,0),"")</f>
        <v>262</v>
      </c>
      <c r="W28" s="52">
        <f>IFERROR(VLOOKUP(W$4&amp;$B28,MASTER!$Z$16:$AB999,3,0),"")</f>
        <v>274</v>
      </c>
      <c r="X28" s="52">
        <f>IFERROR(VLOOKUP(X$4&amp;$B28,MASTER!$Z$16:$AB999,3,0),"")</f>
        <v>272</v>
      </c>
      <c r="Y28" s="52">
        <f>IFERROR(VLOOKUP(Y$4&amp;$B28,MASTER!$Z$16:$AB999,3,0),"")</f>
        <v>274</v>
      </c>
      <c r="Z28" s="52">
        <f>IFERROR(VLOOKUP(Z$4&amp;$B28,MASTER!$Z$16:$AB999,3,0),"")</f>
        <v>274</v>
      </c>
      <c r="AA28" s="52">
        <f>IFERROR(VLOOKUP(AA$4&amp;$B28,MASTER!$Z$16:$AB999,3,0),"")</f>
        <v>252</v>
      </c>
      <c r="AB28" s="52" t="str">
        <f>IFERROR(VLOOKUP(AB$4&amp;$B28,MASTER!$Z$16:$AB999,3,0),"")</f>
        <v/>
      </c>
      <c r="AC28" s="52" t="str">
        <f>IFERROR(VLOOKUP(AC$4&amp;$B28,MASTER!$Z$16:$AB999,3,0),"")</f>
        <v/>
      </c>
      <c r="AD28" s="56"/>
      <c r="AE28" s="56"/>
    </row>
    <row r="29">
      <c r="A29" s="38">
        <v>25.0</v>
      </c>
      <c r="B29" s="65">
        <v>143.0</v>
      </c>
      <c r="C29" s="40" t="str">
        <f>VLOOKUP(B29,MASTER!$AC$16:$AD999,2,0)</f>
        <v>Stop Cock 20mm (F/T)</v>
      </c>
      <c r="D29" s="52" t="str">
        <f>IFERROR(VLOOKUP(D$4&amp;$B29,MASTER!$Z$16:$AB999,3,0),"")</f>
        <v/>
      </c>
      <c r="E29" s="52" t="str">
        <f>IFERROR(VLOOKUP(E$4&amp;$B29,MASTER!$Z$16:$AB999,3,0),"")</f>
        <v/>
      </c>
      <c r="F29" s="52" t="str">
        <f>IFERROR(VLOOKUP(F$4&amp;$B29,MASTER!$Z$16:$AB999,3,0),"")</f>
        <v/>
      </c>
      <c r="G29" s="52" t="str">
        <f>IFERROR(VLOOKUP(G$4&amp;$B29,MASTER!$Z$16:$AB999,3,0),"")</f>
        <v/>
      </c>
      <c r="H29" s="52" t="str">
        <f>IFERROR(VLOOKUP(H$4&amp;$B29,MASTER!$Z$16:$AB999,3,0),"")</f>
        <v/>
      </c>
      <c r="I29" s="52" t="str">
        <f>IFERROR(VLOOKUP(I$4&amp;$B29,MASTER!$Z$16:$AB999,3,0),"")</f>
        <v/>
      </c>
      <c r="J29" s="52" t="str">
        <f>IFERROR(VLOOKUP(J$4&amp;$B29,MASTER!$Z$16:$AB999,3,0),"")</f>
        <v/>
      </c>
      <c r="K29" s="52" t="str">
        <f>IFERROR(VLOOKUP(K$4&amp;$B29,MASTER!$Z$16:$AB999,3,0),"")</f>
        <v/>
      </c>
      <c r="L29" s="52">
        <f>IFERROR(VLOOKUP(L$4&amp;$B29,MASTER!$Z$16:$AB999,3,0),"")</f>
        <v>326</v>
      </c>
      <c r="M29" s="52">
        <f>IFERROR(VLOOKUP(M$4&amp;$B29,MASTER!$Z$16:$AB999,3,0),"")</f>
        <v>354</v>
      </c>
      <c r="N29" s="52" t="str">
        <f>IFERROR(VLOOKUP(N$4&amp;$B29,MASTER!$Z$16:$AB999,3,0),"")</f>
        <v/>
      </c>
      <c r="O29" s="52" t="str">
        <f>IFERROR(VLOOKUP(O$4&amp;$B29,MASTER!$Z$16:$AB999,3,0),"")</f>
        <v/>
      </c>
      <c r="P29" s="52" t="str">
        <f>IFERROR(VLOOKUP(P$4&amp;$B29,MASTER!$Z$16:$AB999,3,0),"")</f>
        <v/>
      </c>
      <c r="Q29" s="52" t="str">
        <f>IFERROR(VLOOKUP(Q$4&amp;$B29,MASTER!$Z$16:$AB999,3,0),"")</f>
        <v/>
      </c>
      <c r="R29" s="52" t="str">
        <f>IFERROR(VLOOKUP(R$4&amp;$B29,MASTER!$Z$16:$AB999,3,0),"")</f>
        <v/>
      </c>
      <c r="S29" s="52">
        <f>IFERROR(VLOOKUP(S$4&amp;$B29,MASTER!$Z$16:$AB999,3,0),"")</f>
        <v>256</v>
      </c>
      <c r="T29" s="52">
        <f>IFERROR(VLOOKUP(T$4&amp;$B29,MASTER!$Z$16:$AB999,3,0),"")</f>
        <v>256</v>
      </c>
      <c r="U29" s="52">
        <f>IFERROR(VLOOKUP(U$4&amp;$B29,MASTER!$Z$16:$AB999,3,0),"")</f>
        <v>256</v>
      </c>
      <c r="V29" s="52">
        <f>IFERROR(VLOOKUP(V$4&amp;$B29,MASTER!$Z$16:$AB999,3,0),"")</f>
        <v>274</v>
      </c>
      <c r="W29" s="52" t="str">
        <f>IFERROR(VLOOKUP(W$4&amp;$B29,MASTER!$Z$16:$AB999,3,0),"")</f>
        <v/>
      </c>
      <c r="X29" s="52">
        <f>IFERROR(VLOOKUP(X$4&amp;$B29,MASTER!$Z$16:$AB999,3,0),"")</f>
        <v>286</v>
      </c>
      <c r="Y29" s="52">
        <f>IFERROR(VLOOKUP(Y$4&amp;$B29,MASTER!$Z$16:$AB999,3,0),"")</f>
        <v>286</v>
      </c>
      <c r="Z29" s="52">
        <f>IFERROR(VLOOKUP(Z$4&amp;$B29,MASTER!$Z$16:$AB999,3,0),"")</f>
        <v>284</v>
      </c>
      <c r="AA29" s="52">
        <f>IFERROR(VLOOKUP(AA$4&amp;$B29,MASTER!$Z$16:$AB999,3,0),"")</f>
        <v>264</v>
      </c>
      <c r="AB29" s="52" t="str">
        <f>IFERROR(VLOOKUP(AB$4&amp;$B29,MASTER!$Z$16:$AB999,3,0),"")</f>
        <v/>
      </c>
      <c r="AC29" s="52" t="str">
        <f>IFERROR(VLOOKUP(AC$4&amp;$B29,MASTER!$Z$16:$AB999,3,0),"")</f>
        <v/>
      </c>
      <c r="AD29" s="56"/>
      <c r="AE29" s="56"/>
    </row>
    <row r="30">
      <c r="A30" s="38">
        <v>26.0</v>
      </c>
      <c r="B30" s="65">
        <v>144.0</v>
      </c>
      <c r="C30" s="40" t="str">
        <f>VLOOKUP(B30,MASTER!$AC$16:$AD999,2,0)</f>
        <v>Angle Cock with Flange</v>
      </c>
      <c r="D30" s="52">
        <f>IFERROR(VLOOKUP(D$4&amp;$B30,MASTER!$Z$16:$AB999,3,0),"")</f>
        <v>482</v>
      </c>
      <c r="E30" s="52">
        <f>IFERROR(VLOOKUP(E$4&amp;$B30,MASTER!$Z$16:$AB999,3,0),"")</f>
        <v>434</v>
      </c>
      <c r="F30" s="52">
        <f>IFERROR(VLOOKUP(F$4&amp;$B30,MASTER!$Z$16:$AB999,3,0),"")</f>
        <v>256</v>
      </c>
      <c r="G30" s="52">
        <f>IFERROR(VLOOKUP(G$4&amp;$B30,MASTER!$Z$16:$AB999,3,0),"")</f>
        <v>256</v>
      </c>
      <c r="H30" s="52">
        <f>IFERROR(VLOOKUP(H$4&amp;$B30,MASTER!$Z$16:$AB999,3,0),"")</f>
        <v>256</v>
      </c>
      <c r="I30" s="52">
        <f>IFERROR(VLOOKUP(I$4&amp;$B30,MASTER!$Z$16:$AB999,3,0),"")</f>
        <v>256</v>
      </c>
      <c r="J30" s="52">
        <f>IFERROR(VLOOKUP(J$4&amp;$B30,MASTER!$Z$16:$AB999,3,0),"")</f>
        <v>256</v>
      </c>
      <c r="K30" s="52">
        <f>IFERROR(VLOOKUP(K$4&amp;$B30,MASTER!$Z$16:$AB999,3,0),"")</f>
        <v>256</v>
      </c>
      <c r="L30" s="52">
        <f>IFERROR(VLOOKUP(L$4&amp;$B30,MASTER!$Z$16:$AB999,3,0),"")</f>
        <v>304</v>
      </c>
      <c r="M30" s="52">
        <f>IFERROR(VLOOKUP(M$4&amp;$B30,MASTER!$Z$16:$AB999,3,0),"")</f>
        <v>318</v>
      </c>
      <c r="N30" s="52">
        <f>IFERROR(VLOOKUP(N$4&amp;$B30,MASTER!$Z$16:$AB999,3,0),"")</f>
        <v>294</v>
      </c>
      <c r="O30" s="52">
        <f>IFERROR(VLOOKUP(O$4&amp;$B30,MASTER!$Z$16:$AB999,3,0),"")</f>
        <v>378</v>
      </c>
      <c r="P30" s="52">
        <f>IFERROR(VLOOKUP(P$4&amp;$B30,MASTER!$Z$16:$AB999,3,0),"")</f>
        <v>374</v>
      </c>
      <c r="Q30" s="52">
        <f>IFERROR(VLOOKUP(Q$4&amp;$B30,MASTER!$Z$16:$AB999,3,0),"")</f>
        <v>372</v>
      </c>
      <c r="R30" s="52">
        <f>IFERROR(VLOOKUP(R$4&amp;$B30,MASTER!$Z$16:$AB999,3,0),"")</f>
        <v>372</v>
      </c>
      <c r="S30" s="52">
        <f>IFERROR(VLOOKUP(S$4&amp;$B30,MASTER!$Z$16:$AB999,3,0),"")</f>
        <v>234</v>
      </c>
      <c r="T30" s="52">
        <f>IFERROR(VLOOKUP(T$4&amp;$B30,MASTER!$Z$16:$AB999,3,0),"")</f>
        <v>234</v>
      </c>
      <c r="U30" s="52">
        <f>IFERROR(VLOOKUP(U$4&amp;$B30,MASTER!$Z$16:$AB999,3,0),"")</f>
        <v>234</v>
      </c>
      <c r="V30" s="52">
        <f>IFERROR(VLOOKUP(V$4&amp;$B30,MASTER!$Z$16:$AB999,3,0),"")</f>
        <v>244</v>
      </c>
      <c r="W30" s="52">
        <f>IFERROR(VLOOKUP(W$4&amp;$B30,MASTER!$Z$16:$AB999,3,0),"")</f>
        <v>256</v>
      </c>
      <c r="X30" s="52">
        <f>IFERROR(VLOOKUP(X$4&amp;$B30,MASTER!$Z$16:$AB999,3,0),"")</f>
        <v>256</v>
      </c>
      <c r="Y30" s="52">
        <f>IFERROR(VLOOKUP(Y$4&amp;$B30,MASTER!$Z$16:$AB999,3,0),"")</f>
        <v>256</v>
      </c>
      <c r="Z30" s="52">
        <f>IFERROR(VLOOKUP(Z$4&amp;$B30,MASTER!$Z$16:$AB999,3,0),"")</f>
        <v>256</v>
      </c>
      <c r="AA30" s="52">
        <f>IFERROR(VLOOKUP(AA$4&amp;$B30,MASTER!$Z$16:$AB999,3,0),"")</f>
        <v>242</v>
      </c>
      <c r="AB30" s="52">
        <f>IFERROR(VLOOKUP(AB$4&amp;$B30,MASTER!$Z$16:$AB999,3,0),"")</f>
        <v>138</v>
      </c>
      <c r="AC30" s="52">
        <f>IFERROR(VLOOKUP(AC$4&amp;$B30,MASTER!$Z$16:$AB999,3,0),"")</f>
        <v>148</v>
      </c>
      <c r="AD30" s="56"/>
      <c r="AE30" s="56"/>
    </row>
    <row r="31">
      <c r="A31" s="38">
        <v>27.0</v>
      </c>
      <c r="B31" s="65">
        <v>145.0</v>
      </c>
      <c r="C31" s="40" t="str">
        <f>VLOOKUP(B31,MASTER!$AC$16:$AD999,2,0)</f>
        <v>2 Way Angle Cock with Flange</v>
      </c>
      <c r="D31" s="52">
        <f>IFERROR(VLOOKUP(D$4&amp;$B31,MASTER!$Z$16:$AB999,3,0),"")</f>
        <v>878</v>
      </c>
      <c r="E31" s="52">
        <f>IFERROR(VLOOKUP(E$4&amp;$B31,MASTER!$Z$16:$AB999,3,0),"")</f>
        <v>858</v>
      </c>
      <c r="F31" s="52">
        <f>IFERROR(VLOOKUP(F$4&amp;$B31,MASTER!$Z$16:$AB999,3,0),"")</f>
        <v>546</v>
      </c>
      <c r="G31" s="52">
        <f>IFERROR(VLOOKUP(G$4&amp;$B31,MASTER!$Z$16:$AB999,3,0),"")</f>
        <v>456</v>
      </c>
      <c r="H31" s="52">
        <f>IFERROR(VLOOKUP(H$4&amp;$B31,MASTER!$Z$16:$AB999,3,0),"")</f>
        <v>456</v>
      </c>
      <c r="I31" s="52">
        <f>IFERROR(VLOOKUP(I$4&amp;$B31,MASTER!$Z$16:$AB999,3,0),"")</f>
        <v>456</v>
      </c>
      <c r="J31" s="52">
        <f>IFERROR(VLOOKUP(J$4&amp;$B31,MASTER!$Z$16:$AB999,3,0),"")</f>
        <v>456</v>
      </c>
      <c r="K31" s="52">
        <f>IFERROR(VLOOKUP(K$4&amp;$B31,MASTER!$Z$16:$AB999,3,0),"")</f>
        <v>456</v>
      </c>
      <c r="L31" s="52">
        <f>IFERROR(VLOOKUP(L$4&amp;$B31,MASTER!$Z$16:$AB999,3,0),"")</f>
        <v>624</v>
      </c>
      <c r="M31" s="52">
        <f>IFERROR(VLOOKUP(M$4&amp;$B31,MASTER!$Z$16:$AB999,3,0),"")</f>
        <v>642</v>
      </c>
      <c r="N31" s="52">
        <f>IFERROR(VLOOKUP(N$4&amp;$B31,MASTER!$Z$16:$AB999,3,0),"")</f>
        <v>548</v>
      </c>
      <c r="O31" s="52">
        <f>IFERROR(VLOOKUP(O$4&amp;$B31,MASTER!$Z$16:$AB999,3,0),"")</f>
        <v>738</v>
      </c>
      <c r="P31" s="52">
        <f>IFERROR(VLOOKUP(P$4&amp;$B31,MASTER!$Z$16:$AB999,3,0),"")</f>
        <v>726</v>
      </c>
      <c r="Q31" s="52">
        <f>IFERROR(VLOOKUP(Q$4&amp;$B31,MASTER!$Z$16:$AB999,3,0),"")</f>
        <v>676</v>
      </c>
      <c r="R31" s="52">
        <f>IFERROR(VLOOKUP(R$4&amp;$B31,MASTER!$Z$16:$AB999,3,0),"")</f>
        <v>684</v>
      </c>
      <c r="S31" s="52">
        <f>IFERROR(VLOOKUP(S$4&amp;$B31,MASTER!$Z$16:$AB999,3,0),"")</f>
        <v>508</v>
      </c>
      <c r="T31" s="52">
        <f>IFERROR(VLOOKUP(T$4&amp;$B31,MASTER!$Z$16:$AB999,3,0),"")</f>
        <v>508</v>
      </c>
      <c r="U31" s="52">
        <f>IFERROR(VLOOKUP(U$4&amp;$B31,MASTER!$Z$16:$AB999,3,0),"")</f>
        <v>508</v>
      </c>
      <c r="V31" s="52">
        <f>IFERROR(VLOOKUP(V$4&amp;$B31,MASTER!$Z$16:$AB999,3,0),"")</f>
        <v>538</v>
      </c>
      <c r="W31" s="52">
        <f>IFERROR(VLOOKUP(W$4&amp;$B31,MASTER!$Z$16:$AB999,3,0),"")</f>
        <v>558</v>
      </c>
      <c r="X31" s="52">
        <f>IFERROR(VLOOKUP(X$4&amp;$B31,MASTER!$Z$16:$AB999,3,0),"")</f>
        <v>558</v>
      </c>
      <c r="Y31" s="52">
        <f>IFERROR(VLOOKUP(Y$4&amp;$B31,MASTER!$Z$16:$AB999,3,0),"")</f>
        <v>558</v>
      </c>
      <c r="Z31" s="52">
        <f>IFERROR(VLOOKUP(Z$4&amp;$B31,MASTER!$Z$16:$AB999,3,0),"")</f>
        <v>558</v>
      </c>
      <c r="AA31" s="52">
        <f>IFERROR(VLOOKUP(AA$4&amp;$B31,MASTER!$Z$16:$AB999,3,0),"")</f>
        <v>532</v>
      </c>
      <c r="AB31" s="52" t="str">
        <f>IFERROR(VLOOKUP(AB$4&amp;$B31,MASTER!$Z$16:$AB999,3,0),"")</f>
        <v/>
      </c>
      <c r="AC31" s="52" t="str">
        <f>IFERROR(VLOOKUP(AC$4&amp;$B31,MASTER!$Z$16:$AB999,3,0),"")</f>
        <v/>
      </c>
      <c r="AD31" s="56"/>
      <c r="AE31" s="56"/>
    </row>
    <row r="32">
      <c r="A32" s="38">
        <v>28.0</v>
      </c>
      <c r="B32" s="65">
        <v>146.0</v>
      </c>
      <c r="C32" s="40" t="str">
        <f>VLOOKUP(B32,MASTER!$AC$16:$AD999,2,0)</f>
        <v>Concealed Stop Cock 15mm</v>
      </c>
      <c r="D32" s="52" t="str">
        <f>IFERROR(VLOOKUP(D$4&amp;$B32,MASTER!$Z$16:$AB999,3,0),"")</f>
        <v/>
      </c>
      <c r="E32" s="52" t="str">
        <f>IFERROR(VLOOKUP(E$4&amp;$B32,MASTER!$Z$16:$AB999,3,0),"")</f>
        <v/>
      </c>
      <c r="F32" s="52" t="str">
        <f>IFERROR(VLOOKUP(F$4&amp;$B32,MASTER!$Z$16:$AB999,3,0),"")</f>
        <v/>
      </c>
      <c r="G32" s="52" t="str">
        <f>IFERROR(VLOOKUP(G$4&amp;$B32,MASTER!$Z$16:$AB999,3,0),"")</f>
        <v/>
      </c>
      <c r="H32" s="52" t="str">
        <f>IFERROR(VLOOKUP(H$4&amp;$B32,MASTER!$Z$16:$AB999,3,0),"")</f>
        <v/>
      </c>
      <c r="I32" s="52" t="str">
        <f>IFERROR(VLOOKUP(I$4&amp;$B32,MASTER!$Z$16:$AB999,3,0),"")</f>
        <v/>
      </c>
      <c r="J32" s="52" t="str">
        <f>IFERROR(VLOOKUP(J$4&amp;$B32,MASTER!$Z$16:$AB999,3,0),"")</f>
        <v/>
      </c>
      <c r="K32" s="52" t="str">
        <f>IFERROR(VLOOKUP(K$4&amp;$B32,MASTER!$Z$16:$AB999,3,0),"")</f>
        <v/>
      </c>
      <c r="L32" s="52">
        <f>IFERROR(VLOOKUP(L$4&amp;$B32,MASTER!$Z$16:$AB999,3,0),"")</f>
        <v>512</v>
      </c>
      <c r="M32" s="52">
        <f>IFERROR(VLOOKUP(M$4&amp;$B32,MASTER!$Z$16:$AB999,3,0),"")</f>
        <v>532</v>
      </c>
      <c r="N32" s="52" t="str">
        <f>IFERROR(VLOOKUP(N$4&amp;$B32,MASTER!$Z$16:$AB999,3,0),"")</f>
        <v/>
      </c>
      <c r="O32" s="52" t="str">
        <f>IFERROR(VLOOKUP(O$4&amp;$B32,MASTER!$Z$16:$AB999,3,0),"")</f>
        <v/>
      </c>
      <c r="P32" s="52" t="str">
        <f>IFERROR(VLOOKUP(P$4&amp;$B32,MASTER!$Z$16:$AB999,3,0),"")</f>
        <v/>
      </c>
      <c r="Q32" s="52" t="str">
        <f>IFERROR(VLOOKUP(Q$4&amp;$B32,MASTER!$Z$16:$AB999,3,0),"")</f>
        <v/>
      </c>
      <c r="R32" s="52" t="str">
        <f>IFERROR(VLOOKUP(R$4&amp;$B32,MASTER!$Z$16:$AB999,3,0),"")</f>
        <v/>
      </c>
      <c r="S32" s="52">
        <f>IFERROR(VLOOKUP(S$4&amp;$B32,MASTER!$Z$16:$AB999,3,0),"")</f>
        <v>392</v>
      </c>
      <c r="T32" s="52">
        <f>IFERROR(VLOOKUP(T$4&amp;$B32,MASTER!$Z$16:$AB999,3,0),"")</f>
        <v>392</v>
      </c>
      <c r="U32" s="52">
        <f>IFERROR(VLOOKUP(U$4&amp;$B32,MASTER!$Z$16:$AB999,3,0),"")</f>
        <v>392</v>
      </c>
      <c r="V32" s="52">
        <f>IFERROR(VLOOKUP(V$4&amp;$B32,MASTER!$Z$16:$AB999,3,0),"")</f>
        <v>414</v>
      </c>
      <c r="W32" s="52">
        <f>IFERROR(VLOOKUP(W$4&amp;$B32,MASTER!$Z$16:$AB999,3,0),"")</f>
        <v>424</v>
      </c>
      <c r="X32" s="52">
        <f>IFERROR(VLOOKUP(X$4&amp;$B32,MASTER!$Z$16:$AB999,3,0),"")</f>
        <v>422</v>
      </c>
      <c r="Y32" s="52">
        <f>IFERROR(VLOOKUP(Y$4&amp;$B32,MASTER!$Z$16:$AB999,3,0),"")</f>
        <v>424</v>
      </c>
      <c r="Z32" s="52">
        <f>IFERROR(VLOOKUP(Z$4&amp;$B32,MASTER!$Z$16:$AB999,3,0),"")</f>
        <v>424</v>
      </c>
      <c r="AA32" s="52">
        <f>IFERROR(VLOOKUP(AA$4&amp;$B32,MASTER!$Z$16:$AB999,3,0),"")</f>
        <v>406</v>
      </c>
      <c r="AB32" s="52" t="str">
        <f>IFERROR(VLOOKUP(AB$4&amp;$B32,MASTER!$Z$16:$AB999,3,0),"")</f>
        <v/>
      </c>
      <c r="AC32" s="52" t="str">
        <f>IFERROR(VLOOKUP(AC$4&amp;$B32,MASTER!$Z$16:$AB999,3,0),"")</f>
        <v/>
      </c>
      <c r="AD32" s="56"/>
      <c r="AE32" s="56"/>
    </row>
    <row r="33">
      <c r="A33" s="38">
        <v>29.0</v>
      </c>
      <c r="B33" s="65">
        <v>148.0</v>
      </c>
      <c r="C33" s="40" t="str">
        <f>VLOOKUP(B33,MASTER!$AC$16:$AD999,2,0)</f>
        <v>Concealed Stop Cock 20mm</v>
      </c>
      <c r="D33" s="52" t="str">
        <f>IFERROR(VLOOKUP(D$4&amp;$B33,MASTER!$Z$16:$AB999,3,0),"")</f>
        <v/>
      </c>
      <c r="E33" s="52" t="str">
        <f>IFERROR(VLOOKUP(E$4&amp;$B33,MASTER!$Z$16:$AB999,3,0),"")</f>
        <v/>
      </c>
      <c r="F33" s="52" t="str">
        <f>IFERROR(VLOOKUP(F$4&amp;$B33,MASTER!$Z$16:$AB999,3,0),"")</f>
        <v/>
      </c>
      <c r="G33" s="52" t="str">
        <f>IFERROR(VLOOKUP(G$4&amp;$B33,MASTER!$Z$16:$AB999,3,0),"")</f>
        <v/>
      </c>
      <c r="H33" s="52" t="str">
        <f>IFERROR(VLOOKUP(H$4&amp;$B33,MASTER!$Z$16:$AB999,3,0),"")</f>
        <v/>
      </c>
      <c r="I33" s="52" t="str">
        <f>IFERROR(VLOOKUP(I$4&amp;$B33,MASTER!$Z$16:$AB999,3,0),"")</f>
        <v/>
      </c>
      <c r="J33" s="52" t="str">
        <f>IFERROR(VLOOKUP(J$4&amp;$B33,MASTER!$Z$16:$AB999,3,0),"")</f>
        <v/>
      </c>
      <c r="K33" s="52" t="str">
        <f>IFERROR(VLOOKUP(K$4&amp;$B33,MASTER!$Z$16:$AB999,3,0),"")</f>
        <v/>
      </c>
      <c r="L33" s="52">
        <f>IFERROR(VLOOKUP(L$4&amp;$B33,MASTER!$Z$16:$AB999,3,0),"")</f>
        <v>522</v>
      </c>
      <c r="M33" s="52">
        <f>IFERROR(VLOOKUP(M$4&amp;$B33,MASTER!$Z$16:$AB999,3,0),"")</f>
        <v>546</v>
      </c>
      <c r="N33" s="52" t="str">
        <f>IFERROR(VLOOKUP(N$4&amp;$B33,MASTER!$Z$16:$AB999,3,0),"")</f>
        <v/>
      </c>
      <c r="O33" s="52" t="str">
        <f>IFERROR(VLOOKUP(O$4&amp;$B33,MASTER!$Z$16:$AB999,3,0),"")</f>
        <v/>
      </c>
      <c r="P33" s="52" t="str">
        <f>IFERROR(VLOOKUP(P$4&amp;$B33,MASTER!$Z$16:$AB999,3,0),"")</f>
        <v/>
      </c>
      <c r="Q33" s="52" t="str">
        <f>IFERROR(VLOOKUP(Q$4&amp;$B33,MASTER!$Z$16:$AB999,3,0),"")</f>
        <v/>
      </c>
      <c r="R33" s="52" t="str">
        <f>IFERROR(VLOOKUP(R$4&amp;$B33,MASTER!$Z$16:$AB999,3,0),"")</f>
        <v/>
      </c>
      <c r="S33" s="52">
        <f>IFERROR(VLOOKUP(S$4&amp;$B33,MASTER!$Z$16:$AB999,3,0),"")</f>
        <v>402</v>
      </c>
      <c r="T33" s="52">
        <f>IFERROR(VLOOKUP(T$4&amp;$B33,MASTER!$Z$16:$AB999,3,0),"")</f>
        <v>402</v>
      </c>
      <c r="U33" s="52">
        <f>IFERROR(VLOOKUP(U$4&amp;$B33,MASTER!$Z$16:$AB999,3,0),"")</f>
        <v>402</v>
      </c>
      <c r="V33" s="52">
        <f>IFERROR(VLOOKUP(V$4&amp;$B33,MASTER!$Z$16:$AB999,3,0),"")</f>
        <v>424</v>
      </c>
      <c r="W33" s="52" t="str">
        <f>IFERROR(VLOOKUP(W$4&amp;$B33,MASTER!$Z$16:$AB999,3,0),"")</f>
        <v/>
      </c>
      <c r="X33" s="52">
        <f>IFERROR(VLOOKUP(X$4&amp;$B33,MASTER!$Z$16:$AB999,3,0),"")</f>
        <v>422</v>
      </c>
      <c r="Y33" s="52">
        <f>IFERROR(VLOOKUP(Y$4&amp;$B33,MASTER!$Z$16:$AB999,3,0),"")</f>
        <v>434</v>
      </c>
      <c r="Z33" s="52" t="str">
        <f>IFERROR(VLOOKUP(Z$4&amp;$B33,MASTER!$Z$16:$AB999,3,0),"")</f>
        <v/>
      </c>
      <c r="AA33" s="52">
        <f>IFERROR(VLOOKUP(AA$4&amp;$B33,MASTER!$Z$16:$AB999,3,0),"")</f>
        <v>416</v>
      </c>
      <c r="AB33" s="52" t="str">
        <f>IFERROR(VLOOKUP(AB$4&amp;$B33,MASTER!$Z$16:$AB999,3,0),"")</f>
        <v/>
      </c>
      <c r="AC33" s="52" t="str">
        <f>IFERROR(VLOOKUP(AC$4&amp;$B33,MASTER!$Z$16:$AB999,3,0),"")</f>
        <v/>
      </c>
      <c r="AD33" s="56"/>
      <c r="AE33" s="56"/>
    </row>
    <row r="34">
      <c r="A34" s="38">
        <v>30.0</v>
      </c>
      <c r="B34" s="65" t="s">
        <v>739</v>
      </c>
      <c r="C34" s="40" t="str">
        <f>VLOOKUP(B34,MASTER!$AC$16:$AD999,2,0)</f>
        <v>Concealed Stop Cock 15mm with Brass Body</v>
      </c>
      <c r="D34" s="52">
        <f>IFERROR(VLOOKUP(D$4&amp;$B34,MASTER!$Z$16:$AB999,3,0),"")</f>
        <v>1672</v>
      </c>
      <c r="E34" s="52" t="str">
        <f>IFERROR(VLOOKUP(E$4&amp;$B34,MASTER!$Z$16:$AB999,3,0),"")</f>
        <v/>
      </c>
      <c r="F34" s="52" t="str">
        <f>IFERROR(VLOOKUP(F$4&amp;$B34,MASTER!$Z$16:$AB999,3,0),"")</f>
        <v/>
      </c>
      <c r="G34" s="52" t="str">
        <f>IFERROR(VLOOKUP(G$4&amp;$B34,MASTER!$Z$16:$AB999,3,0),"")</f>
        <v/>
      </c>
      <c r="H34" s="52" t="str">
        <f>IFERROR(VLOOKUP(H$4&amp;$B34,MASTER!$Z$16:$AB999,3,0),"")</f>
        <v/>
      </c>
      <c r="I34" s="52" t="str">
        <f>IFERROR(VLOOKUP(I$4&amp;$B34,MASTER!$Z$16:$AB999,3,0),"")</f>
        <v/>
      </c>
      <c r="J34" s="52" t="str">
        <f>IFERROR(VLOOKUP(J$4&amp;$B34,MASTER!$Z$16:$AB999,3,0),"")</f>
        <v/>
      </c>
      <c r="K34" s="52" t="str">
        <f>IFERROR(VLOOKUP(K$4&amp;$B34,MASTER!$Z$16:$AB999,3,0),"")</f>
        <v/>
      </c>
      <c r="L34" s="52" t="str">
        <f>IFERROR(VLOOKUP(L$4&amp;$B34,MASTER!$Z$16:$AB999,3,0),"")</f>
        <v/>
      </c>
      <c r="M34" s="52" t="str">
        <f>IFERROR(VLOOKUP(M$4&amp;$B34,MASTER!$Z$16:$AB999,3,0),"")</f>
        <v/>
      </c>
      <c r="N34" s="52" t="str">
        <f>IFERROR(VLOOKUP(N$4&amp;$B34,MASTER!$Z$16:$AB999,3,0),"")</f>
        <v/>
      </c>
      <c r="O34" s="52" t="str">
        <f>IFERROR(VLOOKUP(O$4&amp;$B34,MASTER!$Z$16:$AB999,3,0),"")</f>
        <v/>
      </c>
      <c r="P34" s="52">
        <f>IFERROR(VLOOKUP(P$4&amp;$B34,MASTER!$Z$16:$AB999,3,0),"")</f>
        <v>1424</v>
      </c>
      <c r="Q34" s="52">
        <f>IFERROR(VLOOKUP(Q$4&amp;$B34,MASTER!$Z$16:$AB999,3,0),"")</f>
        <v>1434</v>
      </c>
      <c r="R34" s="52" t="str">
        <f>IFERROR(VLOOKUP(R$4&amp;$B34,MASTER!$Z$16:$AB999,3,0),"")</f>
        <v/>
      </c>
      <c r="S34" s="52">
        <f>IFERROR(VLOOKUP(S$4&amp;$B34,MASTER!$Z$16:$AB999,3,0),"")</f>
        <v>1356</v>
      </c>
      <c r="T34" s="52">
        <f>IFERROR(VLOOKUP(T$4&amp;$B34,MASTER!$Z$16:$AB999,3,0),"")</f>
        <v>1356</v>
      </c>
      <c r="U34" s="52" t="str">
        <f>IFERROR(VLOOKUP(U$4&amp;$B34,MASTER!$Z$16:$AB999,3,0),"")</f>
        <v/>
      </c>
      <c r="V34" s="52" t="str">
        <f>IFERROR(VLOOKUP(V$4&amp;$B34,MASTER!$Z$16:$AB999,3,0),"")</f>
        <v/>
      </c>
      <c r="W34" s="52" t="str">
        <f>IFERROR(VLOOKUP(W$4&amp;$B34,MASTER!$Z$16:$AB999,3,0),"")</f>
        <v/>
      </c>
      <c r="X34" s="52">
        <f>IFERROR(VLOOKUP(X$4&amp;$B34,MASTER!$Z$16:$AB999,3,0),"")</f>
        <v>1336</v>
      </c>
      <c r="Y34" s="52" t="str">
        <f>IFERROR(VLOOKUP(Y$4&amp;$B34,MASTER!$Z$16:$AB999,3,0),"")</f>
        <v/>
      </c>
      <c r="Z34" s="52" t="str">
        <f>IFERROR(VLOOKUP(Z$4&amp;$B34,MASTER!$Z$16:$AB999,3,0),"")</f>
        <v/>
      </c>
      <c r="AA34" s="52" t="str">
        <f>IFERROR(VLOOKUP(AA$4&amp;$B34,MASTER!$Z$16:$AB999,3,0),"")</f>
        <v/>
      </c>
      <c r="AB34" s="52" t="str">
        <f>IFERROR(VLOOKUP(AB$4&amp;$B34,MASTER!$Z$16:$AB999,3,0),"")</f>
        <v/>
      </c>
      <c r="AC34" s="52" t="str">
        <f>IFERROR(VLOOKUP(AC$4&amp;$B34,MASTER!$Z$16:$AB999,3,0),"")</f>
        <v/>
      </c>
      <c r="AD34" s="56"/>
      <c r="AE34" s="56"/>
    </row>
    <row r="35">
      <c r="A35" s="38">
        <v>31.0</v>
      </c>
      <c r="B35" s="65" t="s">
        <v>741</v>
      </c>
      <c r="C35" s="40" t="str">
        <f>VLOOKUP(B35,MASTER!$AC$16:$AD999,2,0)</f>
        <v>Concealed Stop Cock 20mm with Brass Body</v>
      </c>
      <c r="D35" s="52">
        <f>IFERROR(VLOOKUP(D$4&amp;$B35,MASTER!$Z$16:$AB999,3,0),"")</f>
        <v>1698</v>
      </c>
      <c r="E35" s="52" t="str">
        <f>IFERROR(VLOOKUP(E$4&amp;$B35,MASTER!$Z$16:$AB999,3,0),"")</f>
        <v/>
      </c>
      <c r="F35" s="52" t="str">
        <f>IFERROR(VLOOKUP(F$4&amp;$B35,MASTER!$Z$16:$AB999,3,0),"")</f>
        <v/>
      </c>
      <c r="G35" s="52" t="str">
        <f>IFERROR(VLOOKUP(G$4&amp;$B35,MASTER!$Z$16:$AB999,3,0),"")</f>
        <v/>
      </c>
      <c r="H35" s="52" t="str">
        <f>IFERROR(VLOOKUP(H$4&amp;$B35,MASTER!$Z$16:$AB999,3,0),"")</f>
        <v/>
      </c>
      <c r="I35" s="52" t="str">
        <f>IFERROR(VLOOKUP(I$4&amp;$B35,MASTER!$Z$16:$AB999,3,0),"")</f>
        <v/>
      </c>
      <c r="J35" s="52" t="str">
        <f>IFERROR(VLOOKUP(J$4&amp;$B35,MASTER!$Z$16:$AB999,3,0),"")</f>
        <v/>
      </c>
      <c r="K35" s="52" t="str">
        <f>IFERROR(VLOOKUP(K$4&amp;$B35,MASTER!$Z$16:$AB999,3,0),"")</f>
        <v/>
      </c>
      <c r="L35" s="52" t="str">
        <f>IFERROR(VLOOKUP(L$4&amp;$B35,MASTER!$Z$16:$AB999,3,0),"")</f>
        <v/>
      </c>
      <c r="M35" s="52" t="str">
        <f>IFERROR(VLOOKUP(M$4&amp;$B35,MASTER!$Z$16:$AB999,3,0),"")</f>
        <v/>
      </c>
      <c r="N35" s="52" t="str">
        <f>IFERROR(VLOOKUP(N$4&amp;$B35,MASTER!$Z$16:$AB999,3,0),"")</f>
        <v/>
      </c>
      <c r="O35" s="52" t="str">
        <f>IFERROR(VLOOKUP(O$4&amp;$B35,MASTER!$Z$16:$AB999,3,0),"")</f>
        <v/>
      </c>
      <c r="P35" s="52">
        <f>IFERROR(VLOOKUP(P$4&amp;$B35,MASTER!$Z$16:$AB999,3,0),"")</f>
        <v>1454</v>
      </c>
      <c r="Q35" s="52">
        <f>IFERROR(VLOOKUP(Q$4&amp;$B35,MASTER!$Z$16:$AB999,3,0),"")</f>
        <v>1454</v>
      </c>
      <c r="R35" s="52" t="str">
        <f>IFERROR(VLOOKUP(R$4&amp;$B35,MASTER!$Z$16:$AB999,3,0),"")</f>
        <v/>
      </c>
      <c r="S35" s="52">
        <f>IFERROR(VLOOKUP(S$4&amp;$B35,MASTER!$Z$16:$AB999,3,0),"")</f>
        <v>1378</v>
      </c>
      <c r="T35" s="52">
        <f>IFERROR(VLOOKUP(T$4&amp;$B35,MASTER!$Z$16:$AB999,3,0),"")</f>
        <v>1378</v>
      </c>
      <c r="U35" s="52" t="str">
        <f>IFERROR(VLOOKUP(U$4&amp;$B35,MASTER!$Z$16:$AB999,3,0),"")</f>
        <v/>
      </c>
      <c r="V35" s="52" t="str">
        <f>IFERROR(VLOOKUP(V$4&amp;$B35,MASTER!$Z$16:$AB999,3,0),"")</f>
        <v/>
      </c>
      <c r="W35" s="52" t="str">
        <f>IFERROR(VLOOKUP(W$4&amp;$B35,MASTER!$Z$16:$AB999,3,0),"")</f>
        <v/>
      </c>
      <c r="X35" s="52">
        <f>IFERROR(VLOOKUP(X$4&amp;$B35,MASTER!$Z$16:$AB999,3,0),"")</f>
        <v>1348</v>
      </c>
      <c r="Y35" s="52" t="str">
        <f>IFERROR(VLOOKUP(Y$4&amp;$B35,MASTER!$Z$16:$AB999,3,0),"")</f>
        <v/>
      </c>
      <c r="Z35" s="52" t="str">
        <f>IFERROR(VLOOKUP(Z$4&amp;$B35,MASTER!$Z$16:$AB999,3,0),"")</f>
        <v/>
      </c>
      <c r="AA35" s="52" t="str">
        <f>IFERROR(VLOOKUP(AA$4&amp;$B35,MASTER!$Z$16:$AB999,3,0),"")</f>
        <v/>
      </c>
      <c r="AB35" s="52" t="str">
        <f>IFERROR(VLOOKUP(AB$4&amp;$B35,MASTER!$Z$16:$AB999,3,0),"")</f>
        <v/>
      </c>
      <c r="AC35" s="52" t="str">
        <f>IFERROR(VLOOKUP(AC$4&amp;$B35,MASTER!$Z$16:$AB999,3,0),"")</f>
        <v/>
      </c>
      <c r="AD35" s="56"/>
      <c r="AE35" s="56"/>
    </row>
    <row r="36">
      <c r="A36" s="38">
        <v>32.0</v>
      </c>
      <c r="B36" s="65">
        <v>147.0</v>
      </c>
      <c r="C36" s="40" t="str">
        <f>VLOOKUP(B36,MASTER!$AC$16:$AD999,2,0)</f>
        <v>Pillar Cock Swan Neck (T/M) with Flange</v>
      </c>
      <c r="D36" s="52">
        <f>IFERROR(VLOOKUP(D$4&amp;$B36,MASTER!$Z$16:$AB999,3,0),"")</f>
        <v>858</v>
      </c>
      <c r="E36" s="52">
        <f>IFERROR(VLOOKUP(E$4&amp;$B36,MASTER!$Z$16:$AB999,3,0),"")</f>
        <v>848</v>
      </c>
      <c r="F36" s="52">
        <f>IFERROR(VLOOKUP(F$4&amp;$B36,MASTER!$Z$16:$AB999,3,0),"")</f>
        <v>658</v>
      </c>
      <c r="G36" s="52">
        <f>IFERROR(VLOOKUP(G$4&amp;$B36,MASTER!$Z$16:$AB999,3,0),"")</f>
        <v>642</v>
      </c>
      <c r="H36" s="52">
        <f>IFERROR(VLOOKUP(H$4&amp;$B36,MASTER!$Z$16:$AB999,3,0),"")</f>
        <v>642</v>
      </c>
      <c r="I36" s="52">
        <f>IFERROR(VLOOKUP(I$4&amp;$B36,MASTER!$Z$16:$AB999,3,0),"")</f>
        <v>642</v>
      </c>
      <c r="J36" s="52">
        <f>IFERROR(VLOOKUP(J$4&amp;$B36,MASTER!$Z$16:$AB999,3,0),"")</f>
        <v>642</v>
      </c>
      <c r="K36" s="52">
        <f>IFERROR(VLOOKUP(K$4&amp;$B36,MASTER!$Z$16:$AB999,3,0),"")</f>
        <v>642</v>
      </c>
      <c r="L36" s="52">
        <f>IFERROR(VLOOKUP(L$4&amp;$B36,MASTER!$Z$16:$AB999,3,0),"")</f>
        <v>824</v>
      </c>
      <c r="M36" s="52">
        <f>IFERROR(VLOOKUP(M$4&amp;$B36,MASTER!$Z$16:$AB999,3,0),"")</f>
        <v>848</v>
      </c>
      <c r="N36" s="52">
        <f>IFERROR(VLOOKUP(N$4&amp;$B36,MASTER!$Z$16:$AB999,3,0),"")</f>
        <v>768</v>
      </c>
      <c r="O36" s="52">
        <f>IFERROR(VLOOKUP(O$4&amp;$B36,MASTER!$Z$16:$AB999,3,0),"")</f>
        <v>738</v>
      </c>
      <c r="P36" s="52">
        <f>IFERROR(VLOOKUP(P$4&amp;$B36,MASTER!$Z$16:$AB999,3,0),"")</f>
        <v>872</v>
      </c>
      <c r="Q36" s="52">
        <f>IFERROR(VLOOKUP(Q$4&amp;$B36,MASTER!$Z$16:$AB999,3,0),"")</f>
        <v>744</v>
      </c>
      <c r="R36" s="52">
        <f>IFERROR(VLOOKUP(R$4&amp;$B36,MASTER!$Z$16:$AB999,3,0),"")</f>
        <v>744</v>
      </c>
      <c r="S36" s="52">
        <f>IFERROR(VLOOKUP(S$4&amp;$B36,MASTER!$Z$16:$AB999,3,0),"")</f>
        <v>684</v>
      </c>
      <c r="T36" s="52">
        <f>IFERROR(VLOOKUP(T$4&amp;$B36,MASTER!$Z$16:$AB999,3,0),"")</f>
        <v>684</v>
      </c>
      <c r="U36" s="52">
        <f>IFERROR(VLOOKUP(U$4&amp;$B36,MASTER!$Z$16:$AB999,3,0),"")</f>
        <v>684</v>
      </c>
      <c r="V36" s="52">
        <f>IFERROR(VLOOKUP(V$4&amp;$B36,MASTER!$Z$16:$AB999,3,0),"")</f>
        <v>698</v>
      </c>
      <c r="W36" s="52">
        <f>IFERROR(VLOOKUP(W$4&amp;$B36,MASTER!$Z$16:$AB999,3,0),"")</f>
        <v>726</v>
      </c>
      <c r="X36" s="52">
        <f>IFERROR(VLOOKUP(X$4&amp;$B36,MASTER!$Z$16:$AB999,3,0),"")</f>
        <v>726</v>
      </c>
      <c r="Y36" s="52">
        <f>IFERROR(VLOOKUP(Y$4&amp;$B36,MASTER!$Z$16:$AB999,3,0),"")</f>
        <v>722</v>
      </c>
      <c r="Z36" s="52">
        <f>IFERROR(VLOOKUP(Z$4&amp;$B36,MASTER!$Z$16:$AB999,3,0),"")</f>
        <v>726</v>
      </c>
      <c r="AA36" s="52">
        <f>IFERROR(VLOOKUP(AA$4&amp;$B36,MASTER!$Z$16:$AB999,3,0),"")</f>
        <v>698</v>
      </c>
      <c r="AB36" s="52" t="str">
        <f>IFERROR(VLOOKUP(AB$4&amp;$B36,MASTER!$Z$16:$AB999,3,0),"")</f>
        <v/>
      </c>
      <c r="AC36" s="52" t="str">
        <f>IFERROR(VLOOKUP(AC$4&amp;$B36,MASTER!$Z$16:$AB999,3,0),"")</f>
        <v/>
      </c>
      <c r="AD36" s="56"/>
      <c r="AE36" s="56"/>
    </row>
    <row r="37">
      <c r="A37" s="38">
        <v>33.0</v>
      </c>
      <c r="B37" s="65" t="s">
        <v>737</v>
      </c>
      <c r="C37" s="40" t="str">
        <f>VLOOKUP(B37,MASTER!$AC$16:$AD999,2,0)</f>
        <v>Pillar Cock Swan Neck (T/M) Square Spout with Flange</v>
      </c>
      <c r="D37" s="52" t="str">
        <f>IFERROR(VLOOKUP(D$4&amp;$B37,MASTER!$Z$16:$AB999,3,0),"")</f>
        <v/>
      </c>
      <c r="E37" s="52">
        <f>IFERROR(VLOOKUP(E$4&amp;$B37,MASTER!$Z$16:$AB999,3,0),"")</f>
        <v>1024</v>
      </c>
      <c r="F37" s="52" t="str">
        <f>IFERROR(VLOOKUP(F$4&amp;$B37,MASTER!$Z$16:$AB999,3,0),"")</f>
        <v/>
      </c>
      <c r="G37" s="52" t="str">
        <f>IFERROR(VLOOKUP(G$4&amp;$B37,MASTER!$Z$16:$AB999,3,0),"")</f>
        <v/>
      </c>
      <c r="H37" s="52" t="str">
        <f>IFERROR(VLOOKUP(H$4&amp;$B37,MASTER!$Z$16:$AB999,3,0),"")</f>
        <v/>
      </c>
      <c r="I37" s="52" t="str">
        <f>IFERROR(VLOOKUP(I$4&amp;$B37,MASTER!$Z$16:$AB999,3,0),"")</f>
        <v/>
      </c>
      <c r="J37" s="52" t="str">
        <f>IFERROR(VLOOKUP(J$4&amp;$B37,MASTER!$Z$16:$AB999,3,0),"")</f>
        <v/>
      </c>
      <c r="K37" s="52" t="str">
        <f>IFERROR(VLOOKUP(K$4&amp;$B37,MASTER!$Z$16:$AB999,3,0),"")</f>
        <v/>
      </c>
      <c r="L37" s="52">
        <f>IFERROR(VLOOKUP(L$4&amp;$B37,MASTER!$Z$16:$AB999,3,0),"")</f>
        <v>872</v>
      </c>
      <c r="M37" s="52">
        <f>IFERROR(VLOOKUP(M$4&amp;$B37,MASTER!$Z$16:$AB999,3,0),"")</f>
        <v>894</v>
      </c>
      <c r="N37" s="52" t="str">
        <f>IFERROR(VLOOKUP(N$4&amp;$B37,MASTER!$Z$16:$AB999,3,0),"")</f>
        <v/>
      </c>
      <c r="O37" s="52" t="str">
        <f>IFERROR(VLOOKUP(O$4&amp;$B37,MASTER!$Z$16:$AB999,3,0),"")</f>
        <v/>
      </c>
      <c r="P37" s="52" t="str">
        <f>IFERROR(VLOOKUP(P$4&amp;$B37,MASTER!$Z$16:$AB999,3,0),"")</f>
        <v/>
      </c>
      <c r="Q37" s="52">
        <f>IFERROR(VLOOKUP(Q$4&amp;$B37,MASTER!$Z$16:$AB999,3,0),"")</f>
        <v>792</v>
      </c>
      <c r="R37" s="52">
        <f>IFERROR(VLOOKUP(R$4&amp;$B37,MASTER!$Z$16:$AB999,3,0),"")</f>
        <v>792</v>
      </c>
      <c r="S37" s="52">
        <f>IFERROR(VLOOKUP(S$4&amp;$B37,MASTER!$Z$16:$AB999,3,0),"")</f>
        <v>722</v>
      </c>
      <c r="T37" s="52">
        <f>IFERROR(VLOOKUP(T$4&amp;$B37,MASTER!$Z$16:$AB999,3,0),"")</f>
        <v>722</v>
      </c>
      <c r="U37" s="52">
        <f>IFERROR(VLOOKUP(U$4&amp;$B37,MASTER!$Z$16:$AB999,3,0),"")</f>
        <v>722</v>
      </c>
      <c r="V37" s="52">
        <f>IFERROR(VLOOKUP(V$4&amp;$B37,MASTER!$Z$16:$AB999,3,0),"")</f>
        <v>712</v>
      </c>
      <c r="W37" s="52">
        <f>IFERROR(VLOOKUP(W$4&amp;$B37,MASTER!$Z$16:$AB999,3,0),"")</f>
        <v>738</v>
      </c>
      <c r="X37" s="52">
        <f>IFERROR(VLOOKUP(X$4&amp;$B37,MASTER!$Z$16:$AB999,3,0),"")</f>
        <v>738</v>
      </c>
      <c r="Y37" s="52">
        <f>IFERROR(VLOOKUP(Y$4&amp;$B37,MASTER!$Z$16:$AB999,3,0),"")</f>
        <v>738</v>
      </c>
      <c r="Z37" s="52">
        <f>IFERROR(VLOOKUP(Z$4&amp;$B37,MASTER!$Z$16:$AB999,3,0),"")</f>
        <v>738</v>
      </c>
      <c r="AA37" s="52">
        <f>IFERROR(VLOOKUP(AA$4&amp;$B37,MASTER!$Z$16:$AB999,3,0),"")</f>
        <v>744</v>
      </c>
      <c r="AB37" s="52" t="str">
        <f>IFERROR(VLOOKUP(AB$4&amp;$B37,MASTER!$Z$16:$AB999,3,0),"")</f>
        <v/>
      </c>
      <c r="AC37" s="52" t="str">
        <f>IFERROR(VLOOKUP(AC$4&amp;$B37,MASTER!$Z$16:$AB999,3,0),"")</f>
        <v/>
      </c>
      <c r="AD37" s="56"/>
      <c r="AE37" s="56"/>
    </row>
    <row r="38">
      <c r="A38" s="38">
        <v>34.0</v>
      </c>
      <c r="B38" s="65">
        <v>149.0</v>
      </c>
      <c r="C38" s="40" t="str">
        <f>VLOOKUP(B38,MASTER!$AC$16:$AD999,2,0)</f>
        <v>Washing Machine Tap with Flange</v>
      </c>
      <c r="D38" s="52" t="str">
        <f>IFERROR(VLOOKUP(D$4&amp;$B38,MASTER!$Z$16:$AB999,3,0),"")</f>
        <v/>
      </c>
      <c r="E38" s="52" t="str">
        <f>IFERROR(VLOOKUP(E$4&amp;$B38,MASTER!$Z$16:$AB999,3,0),"")</f>
        <v/>
      </c>
      <c r="F38" s="52">
        <f>IFERROR(VLOOKUP(F$4&amp;$B38,MASTER!$Z$16:$AB999,3,0),"")</f>
        <v>424</v>
      </c>
      <c r="G38" s="52">
        <f>IFERROR(VLOOKUP(G$4&amp;$B38,MASTER!$Z$16:$AB999,3,0),"")</f>
        <v>392</v>
      </c>
      <c r="H38" s="52">
        <f>IFERROR(VLOOKUP(H$4&amp;$B38,MASTER!$Z$16:$AB999,3,0),"")</f>
        <v>392</v>
      </c>
      <c r="I38" s="52">
        <f>IFERROR(VLOOKUP(I$4&amp;$B38,MASTER!$Z$16:$AB999,3,0),"")</f>
        <v>392</v>
      </c>
      <c r="J38" s="52">
        <f>IFERROR(VLOOKUP(J$4&amp;$B38,MASTER!$Z$16:$AB999,3,0),"")</f>
        <v>392</v>
      </c>
      <c r="K38" s="52">
        <f>IFERROR(VLOOKUP(K$4&amp;$B38,MASTER!$Z$16:$AB999,3,0),"")</f>
        <v>392</v>
      </c>
      <c r="L38" s="52">
        <f>IFERROR(VLOOKUP(L$4&amp;$B38,MASTER!$Z$16:$AB999,3,0),"")</f>
        <v>538</v>
      </c>
      <c r="M38" s="52">
        <f>IFERROR(VLOOKUP(M$4&amp;$B38,MASTER!$Z$16:$AB999,3,0),"")</f>
        <v>560</v>
      </c>
      <c r="N38" s="52" t="str">
        <f>IFERROR(VLOOKUP(N$4&amp;$B38,MASTER!$Z$16:$AB999,3,0),"")</f>
        <v/>
      </c>
      <c r="O38" s="52" t="str">
        <f>IFERROR(VLOOKUP(O$4&amp;$B38,MASTER!$Z$16:$AB999,3,0),"")</f>
        <v/>
      </c>
      <c r="P38" s="52" t="str">
        <f>IFERROR(VLOOKUP(P$4&amp;$B38,MASTER!$Z$16:$AB999,3,0),"")</f>
        <v/>
      </c>
      <c r="Q38" s="52" t="str">
        <f>IFERROR(VLOOKUP(Q$4&amp;$B38,MASTER!$Z$16:$AB999,3,0),"")</f>
        <v/>
      </c>
      <c r="R38" s="52" t="str">
        <f>IFERROR(VLOOKUP(R$4&amp;$B38,MASTER!$Z$16:$AB999,3,0),"")</f>
        <v/>
      </c>
      <c r="S38" s="52">
        <f>IFERROR(VLOOKUP(S$4&amp;$B38,MASTER!$Z$16:$AB999,3,0),"")</f>
        <v>418</v>
      </c>
      <c r="T38" s="52">
        <f>IFERROR(VLOOKUP(T$4&amp;$B38,MASTER!$Z$16:$AB999,3,0),"")</f>
        <v>418</v>
      </c>
      <c r="U38" s="52">
        <f>IFERROR(VLOOKUP(U$4&amp;$B38,MASTER!$Z$16:$AB999,3,0),"")</f>
        <v>418</v>
      </c>
      <c r="V38" s="52">
        <f>IFERROR(VLOOKUP(V$4&amp;$B38,MASTER!$Z$16:$AB999,3,0),"")</f>
        <v>406</v>
      </c>
      <c r="W38" s="52">
        <f>IFERROR(VLOOKUP(W$4&amp;$B38,MASTER!$Z$16:$AB999,3,0),"")</f>
        <v>428</v>
      </c>
      <c r="X38" s="52">
        <f>IFERROR(VLOOKUP(X$4&amp;$B38,MASTER!$Z$16:$AB999,3,0),"")</f>
        <v>428</v>
      </c>
      <c r="Y38" s="52">
        <f>IFERROR(VLOOKUP(Y$4&amp;$B38,MASTER!$Z$16:$AB999,3,0),"")</f>
        <v>428</v>
      </c>
      <c r="Z38" s="52">
        <f>IFERROR(VLOOKUP(Z$4&amp;$B38,MASTER!$Z$16:$AB999,3,0),"")</f>
        <v>428</v>
      </c>
      <c r="AA38" s="52">
        <f>IFERROR(VLOOKUP(AA$4&amp;$B38,MASTER!$Z$16:$AB999,3,0),"")</f>
        <v>434</v>
      </c>
      <c r="AB38" s="52" t="str">
        <f>IFERROR(VLOOKUP(AB$4&amp;$B38,MASTER!$Z$16:$AB999,3,0),"")</f>
        <v/>
      </c>
      <c r="AC38" s="52" t="str">
        <f>IFERROR(VLOOKUP(AC$4&amp;$B38,MASTER!$Z$16:$AB999,3,0),"")</f>
        <v/>
      </c>
      <c r="AD38" s="56"/>
      <c r="AE38" s="56"/>
    </row>
    <row r="39">
      <c r="A39" s="38">
        <v>35.0</v>
      </c>
      <c r="B39" s="65">
        <v>150.0</v>
      </c>
      <c r="C39" s="40" t="str">
        <f>VLOOKUP(B39,MASTER!$AC$16:$AD999,2,0)</f>
        <v>Center Hole Basin Mixer</v>
      </c>
      <c r="D39" s="52">
        <f>IFERROR(VLOOKUP(D$4&amp;$B39,MASTER!$Z$16:$AB999,3,0),"")</f>
        <v>2446</v>
      </c>
      <c r="E39" s="52">
        <f>IFERROR(VLOOKUP(E$4&amp;$B39,MASTER!$Z$16:$AB999,3,0),"")</f>
        <v>2028</v>
      </c>
      <c r="F39" s="52" t="str">
        <f>IFERROR(VLOOKUP(F$4&amp;$B39,MASTER!$Z$16:$AB999,3,0),"")</f>
        <v/>
      </c>
      <c r="G39" s="52" t="str">
        <f>IFERROR(VLOOKUP(G$4&amp;$B39,MASTER!$Z$16:$AB999,3,0),"")</f>
        <v/>
      </c>
      <c r="H39" s="52" t="str">
        <f>IFERROR(VLOOKUP(H$4&amp;$B39,MASTER!$Z$16:$AB999,3,0),"")</f>
        <v/>
      </c>
      <c r="I39" s="52" t="str">
        <f>IFERROR(VLOOKUP(I$4&amp;$B39,MASTER!$Z$16:$AB999,3,0),"")</f>
        <v/>
      </c>
      <c r="J39" s="52" t="str">
        <f>IFERROR(VLOOKUP(J$4&amp;$B39,MASTER!$Z$16:$AB999,3,0),"")</f>
        <v/>
      </c>
      <c r="K39" s="52" t="str">
        <f>IFERROR(VLOOKUP(K$4&amp;$B39,MASTER!$Z$16:$AB999,3,0),"")</f>
        <v/>
      </c>
      <c r="L39" s="52">
        <f>IFERROR(VLOOKUP(L$4&amp;$B39,MASTER!$Z$16:$AB999,3,0),"")</f>
        <v>2012</v>
      </c>
      <c r="M39" s="52">
        <f>IFERROR(VLOOKUP(M$4&amp;$B39,MASTER!$Z$16:$AB999,3,0),"")</f>
        <v>2116</v>
      </c>
      <c r="N39" s="52" t="str">
        <f>IFERROR(VLOOKUP(N$4&amp;$B39,MASTER!$Z$16:$AB999,3,0),"")</f>
        <v/>
      </c>
      <c r="O39" s="52">
        <f>IFERROR(VLOOKUP(O$4&amp;$B39,MASTER!$Z$16:$AB999,3,0),"")</f>
        <v>1918</v>
      </c>
      <c r="P39" s="52">
        <f>IFERROR(VLOOKUP(P$4&amp;$B39,MASTER!$Z$16:$AB999,3,0),"")</f>
        <v>1882</v>
      </c>
      <c r="Q39" s="52">
        <f>IFERROR(VLOOKUP(Q$4&amp;$B39,MASTER!$Z$16:$AB999,3,0),"")</f>
        <v>1698</v>
      </c>
      <c r="R39" s="52">
        <f>IFERROR(VLOOKUP(R$4&amp;$B39,MASTER!$Z$16:$AB999,3,0),"")</f>
        <v>1676</v>
      </c>
      <c r="S39" s="52">
        <f>IFERROR(VLOOKUP(S$4&amp;$B39,MASTER!$Z$16:$AB999,3,0),"")</f>
        <v>1538</v>
      </c>
      <c r="T39" s="52">
        <f>IFERROR(VLOOKUP(T$4&amp;$B39,MASTER!$Z$16:$AB999,3,0),"")</f>
        <v>1538</v>
      </c>
      <c r="U39" s="52">
        <f>IFERROR(VLOOKUP(U$4&amp;$B39,MASTER!$Z$16:$AB999,3,0),"")</f>
        <v>1538</v>
      </c>
      <c r="V39" s="52">
        <f>IFERROR(VLOOKUP(V$4&amp;$B39,MASTER!$Z$16:$AB999,3,0),"")</f>
        <v>1618</v>
      </c>
      <c r="W39" s="52">
        <f>IFERROR(VLOOKUP(W$4&amp;$B39,MASTER!$Z$16:$AB999,3,0),"")</f>
        <v>1674</v>
      </c>
      <c r="X39" s="52">
        <f>IFERROR(VLOOKUP(X$4&amp;$B39,MASTER!$Z$16:$AB999,3,0),"")</f>
        <v>1674</v>
      </c>
      <c r="Y39" s="52">
        <f>IFERROR(VLOOKUP(Y$4&amp;$B39,MASTER!$Z$16:$AB999,3,0),"")</f>
        <v>1674</v>
      </c>
      <c r="Z39" s="52">
        <f>IFERROR(VLOOKUP(Z$4&amp;$B39,MASTER!$Z$16:$AB999,3,0),"")</f>
        <v>1674</v>
      </c>
      <c r="AA39" s="52">
        <f>IFERROR(VLOOKUP(AA$4&amp;$B39,MASTER!$Z$16:$AB999,3,0),"")</f>
        <v>1622</v>
      </c>
      <c r="AB39" s="52" t="str">
        <f>IFERROR(VLOOKUP(AB$4&amp;$B39,MASTER!$Z$16:$AB999,3,0),"")</f>
        <v/>
      </c>
      <c r="AC39" s="52" t="str">
        <f>IFERROR(VLOOKUP(AC$4&amp;$B39,MASTER!$Z$16:$AB999,3,0),"")</f>
        <v/>
      </c>
      <c r="AD39" s="56"/>
      <c r="AE39" s="56"/>
    </row>
    <row r="40">
      <c r="A40" s="38">
        <v>36.0</v>
      </c>
      <c r="B40" s="65">
        <v>400.0</v>
      </c>
      <c r="C40" s="40" t="str">
        <f>VLOOKUP(B40,MASTER!$AC$16:$AD999,2,0)</f>
        <v>Single Lever Basin Mixer</v>
      </c>
      <c r="D40" s="52" t="str">
        <f>IFERROR(VLOOKUP(D$4&amp;$B40,MASTER!$Z$16:$AB999,3,0),"")</f>
        <v/>
      </c>
      <c r="E40" s="52">
        <f>IFERROR(VLOOKUP(E$4&amp;$B40,MASTER!$Z$16:$AB999,3,0),"")</f>
        <v>2382</v>
      </c>
      <c r="F40" s="52" t="str">
        <f>IFERROR(VLOOKUP(F$4&amp;$B40,MASTER!$Z$16:$AB999,3,0),"")</f>
        <v/>
      </c>
      <c r="G40" s="52" t="str">
        <f>IFERROR(VLOOKUP(G$4&amp;$B40,MASTER!$Z$16:$AB999,3,0),"")</f>
        <v/>
      </c>
      <c r="H40" s="52" t="str">
        <f>IFERROR(VLOOKUP(H$4&amp;$B40,MASTER!$Z$16:$AB999,3,0),"")</f>
        <v/>
      </c>
      <c r="I40" s="52" t="str">
        <f>IFERROR(VLOOKUP(I$4&amp;$B40,MASTER!$Z$16:$AB999,3,0),"")</f>
        <v/>
      </c>
      <c r="J40" s="52" t="str">
        <f>IFERROR(VLOOKUP(J$4&amp;$B40,MASTER!$Z$16:$AB999,3,0),"")</f>
        <v/>
      </c>
      <c r="K40" s="52" t="str">
        <f>IFERROR(VLOOKUP(K$4&amp;$B40,MASTER!$Z$16:$AB999,3,0),"")</f>
        <v/>
      </c>
      <c r="L40" s="52" t="str">
        <f>IFERROR(VLOOKUP(L$4&amp;$B40,MASTER!$Z$16:$AB999,3,0),"")</f>
        <v/>
      </c>
      <c r="M40" s="52" t="str">
        <f>IFERROR(VLOOKUP(M$4&amp;$B40,MASTER!$Z$16:$AB999,3,0),"")</f>
        <v/>
      </c>
      <c r="N40" s="52" t="str">
        <f>IFERROR(VLOOKUP(N$4&amp;$B40,MASTER!$Z$16:$AB999,3,0),"")</f>
        <v/>
      </c>
      <c r="O40" s="52" t="str">
        <f>IFERROR(VLOOKUP(O$4&amp;$B40,MASTER!$Z$16:$AB999,3,0),"")</f>
        <v/>
      </c>
      <c r="P40" s="52">
        <f>IFERROR(VLOOKUP(P$4&amp;$B40,MASTER!$Z$16:$AB999,3,0),"")</f>
        <v>1918</v>
      </c>
      <c r="Q40" s="52">
        <f>IFERROR(VLOOKUP(Q$4&amp;$B40,MASTER!$Z$16:$AB999,3,0),"")</f>
        <v>1832</v>
      </c>
      <c r="R40" s="52" t="str">
        <f>IFERROR(VLOOKUP(R$4&amp;$B40,MASTER!$Z$16:$AB999,3,0),"")</f>
        <v/>
      </c>
      <c r="S40" s="52" t="str">
        <f>IFERROR(VLOOKUP(S$4&amp;$B40,MASTER!$Z$16:$AB999,3,0),"")</f>
        <v/>
      </c>
      <c r="T40" s="52" t="str">
        <f>IFERROR(VLOOKUP(T$4&amp;$B40,MASTER!$Z$16:$AB999,3,0),"")</f>
        <v/>
      </c>
      <c r="U40" s="52" t="str">
        <f>IFERROR(VLOOKUP(U$4&amp;$B40,MASTER!$Z$16:$AB999,3,0),"")</f>
        <v/>
      </c>
      <c r="V40" s="52" t="str">
        <f>IFERROR(VLOOKUP(V$4&amp;$B40,MASTER!$Z$16:$AB999,3,0),"")</f>
        <v/>
      </c>
      <c r="W40" s="52" t="str">
        <f>IFERROR(VLOOKUP(W$4&amp;$B40,MASTER!$Z$16:$AB999,3,0),"")</f>
        <v/>
      </c>
      <c r="X40" s="52" t="str">
        <f>IFERROR(VLOOKUP(X$4&amp;$B40,MASTER!$Z$16:$AB999,3,0),"")</f>
        <v/>
      </c>
      <c r="Y40" s="52" t="str">
        <f>IFERROR(VLOOKUP(Y$4&amp;$B40,MASTER!$Z$16:$AB999,3,0),"")</f>
        <v/>
      </c>
      <c r="Z40" s="52" t="str">
        <f>IFERROR(VLOOKUP(Z$4&amp;$B40,MASTER!$Z$16:$AB999,3,0),"")</f>
        <v/>
      </c>
      <c r="AA40" s="52" t="str">
        <f>IFERROR(VLOOKUP(AA$4&amp;$B40,MASTER!$Z$16:$AB999,3,0),"")</f>
        <v/>
      </c>
      <c r="AB40" s="52" t="str">
        <f>IFERROR(VLOOKUP(AB$4&amp;$B40,MASTER!$Z$16:$AB999,3,0),"")</f>
        <v/>
      </c>
      <c r="AC40" s="52" t="str">
        <f>IFERROR(VLOOKUP(AC$4&amp;$B40,MASTER!$Z$16:$AB999,3,0),"")</f>
        <v/>
      </c>
      <c r="AD40" s="56"/>
      <c r="AE40" s="56"/>
    </row>
    <row r="41">
      <c r="A41" s="157"/>
      <c r="B41" s="158"/>
      <c r="C41" s="158"/>
      <c r="D41" s="132"/>
      <c r="E41" s="93"/>
      <c r="F41" s="93"/>
      <c r="G41" s="93"/>
      <c r="H41" s="93"/>
      <c r="I41" s="93"/>
      <c r="J41" s="93"/>
      <c r="K41" s="93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93"/>
      <c r="AB41" s="56"/>
      <c r="AC41" s="56"/>
      <c r="AD41" s="56"/>
      <c r="AE41" s="56"/>
    </row>
    <row r="42">
      <c r="A42" s="157"/>
      <c r="B42" s="158"/>
      <c r="C42" s="158"/>
      <c r="D42" s="132"/>
      <c r="E42" s="93"/>
      <c r="F42" s="93"/>
      <c r="G42" s="93"/>
      <c r="H42" s="93"/>
      <c r="I42" s="93"/>
      <c r="J42" s="93"/>
      <c r="K42" s="93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93"/>
      <c r="AB42" s="56"/>
      <c r="AC42" s="56"/>
      <c r="AD42" s="56"/>
      <c r="AE42" s="56"/>
    </row>
    <row r="43">
      <c r="A43" s="157"/>
      <c r="B43" s="158"/>
      <c r="C43" s="158"/>
      <c r="D43" s="132"/>
      <c r="E43" s="93"/>
      <c r="F43" s="93"/>
      <c r="G43" s="93"/>
      <c r="H43" s="93"/>
      <c r="I43" s="93"/>
      <c r="J43" s="93"/>
      <c r="K43" s="93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93"/>
      <c r="AB43" s="56"/>
      <c r="AC43" s="56"/>
      <c r="AD43" s="56"/>
      <c r="AE43" s="56"/>
    </row>
    <row r="44">
      <c r="A44" s="157"/>
      <c r="B44" s="158"/>
      <c r="C44" s="158"/>
      <c r="D44" s="132"/>
      <c r="E44" s="93"/>
      <c r="F44" s="93"/>
      <c r="G44" s="93"/>
      <c r="H44" s="93"/>
      <c r="I44" s="93"/>
      <c r="J44" s="93"/>
      <c r="K44" s="93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93"/>
      <c r="AB44" s="56"/>
      <c r="AC44" s="56"/>
      <c r="AD44" s="56"/>
      <c r="AE44" s="56"/>
    </row>
    <row r="45">
      <c r="A45" s="157"/>
      <c r="B45" s="158"/>
      <c r="C45" s="158"/>
      <c r="D45" s="132"/>
      <c r="E45" s="93"/>
      <c r="F45" s="93"/>
      <c r="G45" s="93"/>
      <c r="H45" s="93"/>
      <c r="I45" s="93"/>
      <c r="J45" s="93"/>
      <c r="K45" s="93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93"/>
      <c r="AB45" s="56"/>
      <c r="AC45" s="56"/>
      <c r="AD45" s="56"/>
      <c r="AE45" s="56"/>
    </row>
    <row r="46">
      <c r="A46" s="157"/>
      <c r="B46" s="158"/>
      <c r="C46" s="158"/>
      <c r="D46" s="132"/>
      <c r="E46" s="93"/>
      <c r="F46" s="93"/>
      <c r="G46" s="93"/>
      <c r="H46" s="93"/>
      <c r="I46" s="93"/>
      <c r="J46" s="93"/>
      <c r="K46" s="93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93"/>
      <c r="AB46" s="56"/>
      <c r="AC46" s="56"/>
      <c r="AD46" s="56"/>
      <c r="AE46" s="56"/>
    </row>
    <row r="47">
      <c r="A47" s="157"/>
      <c r="B47" s="158"/>
      <c r="C47" s="158"/>
      <c r="D47" s="132"/>
      <c r="E47" s="93"/>
      <c r="F47" s="93"/>
      <c r="G47" s="93"/>
      <c r="H47" s="93"/>
      <c r="I47" s="93"/>
      <c r="J47" s="93"/>
      <c r="K47" s="93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93"/>
      <c r="AB47" s="56"/>
      <c r="AC47" s="56"/>
      <c r="AD47" s="56"/>
      <c r="AE47" s="56"/>
    </row>
    <row r="48">
      <c r="A48" s="157"/>
      <c r="B48" s="158"/>
      <c r="C48" s="158"/>
      <c r="D48" s="132"/>
      <c r="E48" s="93"/>
      <c r="F48" s="93"/>
      <c r="G48" s="93"/>
      <c r="H48" s="93"/>
      <c r="I48" s="93"/>
      <c r="J48" s="93"/>
      <c r="K48" s="93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93"/>
      <c r="AB48" s="56"/>
      <c r="AC48" s="56"/>
      <c r="AD48" s="56"/>
      <c r="AE48" s="56"/>
    </row>
    <row r="49">
      <c r="A49" s="157"/>
      <c r="B49" s="158"/>
      <c r="C49" s="158"/>
      <c r="D49" s="132"/>
      <c r="E49" s="93"/>
      <c r="F49" s="93"/>
      <c r="G49" s="93"/>
      <c r="H49" s="93"/>
      <c r="I49" s="93"/>
      <c r="J49" s="93"/>
      <c r="K49" s="93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93"/>
      <c r="AB49" s="56"/>
      <c r="AC49" s="56"/>
      <c r="AD49" s="56"/>
      <c r="AE49" s="56"/>
    </row>
    <row r="50">
      <c r="A50" s="157"/>
      <c r="B50" s="158"/>
      <c r="C50" s="158"/>
      <c r="D50" s="132"/>
      <c r="E50" s="93"/>
      <c r="F50" s="93"/>
      <c r="G50" s="93"/>
      <c r="H50" s="93"/>
      <c r="I50" s="93"/>
      <c r="J50" s="93"/>
      <c r="K50" s="93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93"/>
      <c r="AB50" s="56"/>
      <c r="AC50" s="56"/>
      <c r="AD50" s="56"/>
      <c r="AE50" s="56"/>
    </row>
    <row r="51">
      <c r="A51" s="157"/>
      <c r="B51" s="158"/>
      <c r="C51" s="158"/>
      <c r="D51" s="132"/>
      <c r="E51" s="93"/>
      <c r="F51" s="93"/>
      <c r="G51" s="93"/>
      <c r="H51" s="93"/>
      <c r="I51" s="93"/>
      <c r="J51" s="93"/>
      <c r="K51" s="93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93"/>
      <c r="AB51" s="56"/>
      <c r="AC51" s="56"/>
      <c r="AD51" s="56"/>
      <c r="AE51" s="56"/>
    </row>
    <row r="52">
      <c r="A52" s="157"/>
      <c r="B52" s="158"/>
      <c r="C52" s="158"/>
      <c r="D52" s="132"/>
      <c r="E52" s="93"/>
      <c r="F52" s="93"/>
      <c r="G52" s="93"/>
      <c r="H52" s="93"/>
      <c r="I52" s="93"/>
      <c r="J52" s="93"/>
      <c r="K52" s="93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93"/>
      <c r="AB52" s="56"/>
      <c r="AC52" s="56"/>
      <c r="AD52" s="56"/>
      <c r="AE52" s="56"/>
    </row>
    <row r="53">
      <c r="A53" s="157"/>
      <c r="B53" s="158"/>
      <c r="C53" s="158"/>
      <c r="D53" s="132"/>
      <c r="E53" s="93"/>
      <c r="F53" s="93"/>
      <c r="G53" s="93"/>
      <c r="H53" s="93"/>
      <c r="I53" s="93"/>
      <c r="J53" s="93"/>
      <c r="K53" s="93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93"/>
      <c r="AB53" s="56"/>
      <c r="AC53" s="56"/>
      <c r="AD53" s="56"/>
      <c r="AE53" s="56"/>
    </row>
    <row r="54">
      <c r="A54" s="157"/>
      <c r="B54" s="158"/>
      <c r="C54" s="158"/>
      <c r="D54" s="132"/>
      <c r="E54" s="93"/>
      <c r="F54" s="93"/>
      <c r="G54" s="93"/>
      <c r="H54" s="93"/>
      <c r="I54" s="93"/>
      <c r="J54" s="93"/>
      <c r="K54" s="93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93"/>
      <c r="AB54" s="56"/>
      <c r="AC54" s="56"/>
      <c r="AD54" s="56"/>
      <c r="AE54" s="56"/>
    </row>
    <row r="55">
      <c r="A55" s="157"/>
      <c r="B55" s="158"/>
      <c r="C55" s="158"/>
      <c r="D55" s="132"/>
      <c r="E55" s="93"/>
      <c r="F55" s="93"/>
      <c r="G55" s="93"/>
      <c r="H55" s="93"/>
      <c r="I55" s="93"/>
      <c r="J55" s="93"/>
      <c r="K55" s="93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93"/>
      <c r="AB55" s="56"/>
      <c r="AC55" s="56"/>
      <c r="AD55" s="56"/>
      <c r="AE55" s="56"/>
    </row>
    <row r="56">
      <c r="A56" s="157"/>
      <c r="B56" s="158"/>
      <c r="C56" s="158"/>
      <c r="D56" s="132"/>
      <c r="E56" s="93"/>
      <c r="F56" s="93"/>
      <c r="G56" s="93"/>
      <c r="H56" s="93"/>
      <c r="I56" s="93"/>
      <c r="J56" s="93"/>
      <c r="K56" s="93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  <c r="AA56" s="93"/>
      <c r="AB56" s="56"/>
      <c r="AC56" s="56"/>
      <c r="AD56" s="56"/>
      <c r="AE56" s="56"/>
    </row>
    <row r="57">
      <c r="A57" s="157"/>
      <c r="B57" s="158"/>
      <c r="C57" s="158"/>
      <c r="D57" s="132"/>
      <c r="E57" s="93"/>
      <c r="F57" s="93"/>
      <c r="G57" s="93"/>
      <c r="H57" s="93"/>
      <c r="I57" s="93"/>
      <c r="J57" s="93"/>
      <c r="K57" s="93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  <c r="AA57" s="93"/>
      <c r="AB57" s="56"/>
      <c r="AC57" s="56"/>
      <c r="AD57" s="56"/>
      <c r="AE57" s="56"/>
    </row>
    <row r="58">
      <c r="A58" s="157"/>
      <c r="B58" s="158"/>
      <c r="C58" s="158"/>
      <c r="D58" s="132"/>
      <c r="E58" s="93"/>
      <c r="F58" s="93"/>
      <c r="G58" s="93"/>
      <c r="H58" s="93"/>
      <c r="I58" s="93"/>
      <c r="J58" s="93"/>
      <c r="K58" s="93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93"/>
      <c r="AB58" s="56"/>
      <c r="AC58" s="56"/>
      <c r="AD58" s="56"/>
      <c r="AE58" s="56"/>
    </row>
    <row r="59">
      <c r="A59" s="157"/>
      <c r="B59" s="158"/>
      <c r="C59" s="158"/>
      <c r="D59" s="132"/>
      <c r="E59" s="93"/>
      <c r="F59" s="93"/>
      <c r="G59" s="93"/>
      <c r="H59" s="93"/>
      <c r="I59" s="93"/>
      <c r="J59" s="93"/>
      <c r="K59" s="93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93"/>
      <c r="AB59" s="56"/>
      <c r="AC59" s="56"/>
      <c r="AD59" s="56"/>
      <c r="AE59" s="56"/>
    </row>
    <row r="60">
      <c r="A60" s="157"/>
      <c r="B60" s="158"/>
      <c r="C60" s="158"/>
      <c r="D60" s="132"/>
      <c r="E60" s="93"/>
      <c r="F60" s="93"/>
      <c r="G60" s="93"/>
      <c r="H60" s="93"/>
      <c r="I60" s="93"/>
      <c r="J60" s="93"/>
      <c r="K60" s="93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93"/>
      <c r="AB60" s="56"/>
      <c r="AC60" s="56"/>
      <c r="AD60" s="56"/>
      <c r="AE60" s="56"/>
    </row>
    <row r="61">
      <c r="A61" s="157"/>
      <c r="B61" s="158"/>
      <c r="C61" s="158"/>
      <c r="D61" s="132"/>
      <c r="E61" s="93"/>
      <c r="F61" s="93"/>
      <c r="G61" s="93"/>
      <c r="H61" s="93"/>
      <c r="I61" s="93"/>
      <c r="J61" s="93"/>
      <c r="K61" s="93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93"/>
      <c r="AB61" s="56"/>
      <c r="AC61" s="56"/>
      <c r="AD61" s="56"/>
      <c r="AE61" s="56"/>
    </row>
    <row r="62">
      <c r="A62" s="157"/>
      <c r="B62" s="158"/>
      <c r="C62" s="158"/>
      <c r="D62" s="132"/>
      <c r="E62" s="93"/>
      <c r="F62" s="93"/>
      <c r="G62" s="93"/>
      <c r="H62" s="93"/>
      <c r="I62" s="93"/>
      <c r="J62" s="93"/>
      <c r="K62" s="93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  <c r="AA62" s="93"/>
      <c r="AB62" s="56"/>
      <c r="AC62" s="56"/>
      <c r="AD62" s="56"/>
      <c r="AE62" s="56"/>
    </row>
    <row r="63">
      <c r="A63" s="157"/>
      <c r="B63" s="158"/>
      <c r="C63" s="158"/>
      <c r="D63" s="132"/>
      <c r="E63" s="93"/>
      <c r="F63" s="93"/>
      <c r="G63" s="93"/>
      <c r="H63" s="93"/>
      <c r="I63" s="93"/>
      <c r="J63" s="93"/>
      <c r="K63" s="93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93"/>
      <c r="AB63" s="56"/>
      <c r="AC63" s="56"/>
      <c r="AD63" s="56"/>
      <c r="AE63" s="56"/>
    </row>
    <row r="64">
      <c r="A64" s="157"/>
      <c r="B64" s="158"/>
      <c r="C64" s="158"/>
      <c r="D64" s="132"/>
      <c r="E64" s="93"/>
      <c r="F64" s="93"/>
      <c r="G64" s="93"/>
      <c r="H64" s="93"/>
      <c r="I64" s="93"/>
      <c r="J64" s="93"/>
      <c r="K64" s="93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93"/>
      <c r="AB64" s="56"/>
      <c r="AC64" s="56"/>
      <c r="AD64" s="56"/>
      <c r="AE64" s="56"/>
    </row>
    <row r="65">
      <c r="A65" s="157"/>
      <c r="B65" s="158"/>
      <c r="C65" s="158"/>
      <c r="D65" s="132"/>
      <c r="E65" s="93"/>
      <c r="F65" s="93"/>
      <c r="G65" s="93"/>
      <c r="H65" s="93"/>
      <c r="I65" s="93"/>
      <c r="J65" s="93"/>
      <c r="K65" s="93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93"/>
      <c r="AB65" s="56"/>
      <c r="AC65" s="56"/>
      <c r="AD65" s="56"/>
      <c r="AE65" s="56"/>
    </row>
    <row r="66">
      <c r="A66" s="157"/>
      <c r="B66" s="158"/>
      <c r="C66" s="158"/>
      <c r="D66" s="132"/>
      <c r="E66" s="93"/>
      <c r="F66" s="93"/>
      <c r="G66" s="93"/>
      <c r="H66" s="93"/>
      <c r="I66" s="93"/>
      <c r="J66" s="93"/>
      <c r="K66" s="93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93"/>
      <c r="AB66" s="56"/>
      <c r="AC66" s="56"/>
      <c r="AD66" s="56"/>
      <c r="AE66" s="56"/>
    </row>
    <row r="67">
      <c r="A67" s="157"/>
      <c r="B67" s="158"/>
      <c r="C67" s="158"/>
      <c r="D67" s="132"/>
      <c r="E67" s="93"/>
      <c r="F67" s="93"/>
      <c r="G67" s="93"/>
      <c r="H67" s="93"/>
      <c r="I67" s="93"/>
      <c r="J67" s="93"/>
      <c r="K67" s="93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93"/>
      <c r="AB67" s="56"/>
      <c r="AC67" s="56"/>
      <c r="AD67" s="56"/>
      <c r="AE67" s="56"/>
    </row>
    <row r="68">
      <c r="A68" s="157"/>
      <c r="B68" s="158"/>
      <c r="C68" s="158"/>
      <c r="D68" s="132"/>
      <c r="E68" s="93"/>
      <c r="F68" s="93"/>
      <c r="G68" s="93"/>
      <c r="H68" s="93"/>
      <c r="I68" s="93"/>
      <c r="J68" s="93"/>
      <c r="K68" s="93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  <c r="AA68" s="93"/>
      <c r="AB68" s="56"/>
      <c r="AC68" s="56"/>
      <c r="AD68" s="56"/>
      <c r="AE68" s="56"/>
    </row>
    <row r="69">
      <c r="A69" s="157"/>
      <c r="B69" s="158"/>
      <c r="C69" s="158"/>
      <c r="D69" s="132"/>
      <c r="E69" s="93"/>
      <c r="F69" s="93"/>
      <c r="G69" s="93"/>
      <c r="H69" s="93"/>
      <c r="I69" s="93"/>
      <c r="J69" s="93"/>
      <c r="K69" s="93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  <c r="AA69" s="93"/>
      <c r="AB69" s="56"/>
      <c r="AC69" s="56"/>
      <c r="AD69" s="56"/>
      <c r="AE69" s="56"/>
    </row>
    <row r="70">
      <c r="A70" s="157"/>
      <c r="B70" s="158"/>
      <c r="C70" s="158"/>
      <c r="D70" s="132"/>
      <c r="E70" s="93"/>
      <c r="F70" s="93"/>
      <c r="G70" s="93"/>
      <c r="H70" s="93"/>
      <c r="I70" s="93"/>
      <c r="J70" s="93"/>
      <c r="K70" s="93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  <c r="Z70" s="157"/>
      <c r="AA70" s="93"/>
      <c r="AB70" s="56"/>
      <c r="AC70" s="56"/>
      <c r="AD70" s="56"/>
      <c r="AE70" s="56"/>
    </row>
    <row r="71">
      <c r="A71" s="157"/>
      <c r="B71" s="158"/>
      <c r="C71" s="158"/>
      <c r="D71" s="132"/>
      <c r="E71" s="93"/>
      <c r="F71" s="93"/>
      <c r="G71" s="93"/>
      <c r="H71" s="93"/>
      <c r="I71" s="93"/>
      <c r="J71" s="93"/>
      <c r="K71" s="93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  <c r="Z71" s="157"/>
      <c r="AA71" s="93"/>
      <c r="AB71" s="56"/>
      <c r="AC71" s="56"/>
      <c r="AD71" s="56"/>
      <c r="AE71" s="56"/>
    </row>
    <row r="72">
      <c r="A72" s="157"/>
      <c r="B72" s="158"/>
      <c r="C72" s="158"/>
      <c r="D72" s="132"/>
      <c r="E72" s="93"/>
      <c r="F72" s="93"/>
      <c r="G72" s="93"/>
      <c r="H72" s="93"/>
      <c r="I72" s="93"/>
      <c r="J72" s="93"/>
      <c r="K72" s="93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  <c r="AA72" s="93"/>
      <c r="AB72" s="56"/>
      <c r="AC72" s="56"/>
      <c r="AD72" s="56"/>
      <c r="AE72" s="56"/>
    </row>
    <row r="73">
      <c r="A73" s="3"/>
      <c r="B73" s="10"/>
      <c r="C73" s="10"/>
      <c r="D73" s="161"/>
      <c r="E73" s="14"/>
      <c r="F73" s="14"/>
      <c r="G73" s="14"/>
      <c r="H73" s="14"/>
      <c r="I73" s="14"/>
      <c r="J73" s="14"/>
      <c r="K73" s="14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14"/>
      <c r="AB73" s="20"/>
      <c r="AC73" s="20"/>
      <c r="AD73" s="20"/>
      <c r="AE73" s="20"/>
    </row>
    <row r="74">
      <c r="A74" s="3"/>
      <c r="B74" s="10"/>
      <c r="C74" s="10"/>
      <c r="D74" s="161"/>
      <c r="E74" s="14"/>
      <c r="F74" s="14"/>
      <c r="G74" s="14"/>
      <c r="H74" s="14"/>
      <c r="I74" s="14"/>
      <c r="J74" s="14"/>
      <c r="K74" s="14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14"/>
      <c r="AB74" s="20"/>
      <c r="AC74" s="20"/>
      <c r="AD74" s="20"/>
      <c r="AE74" s="20"/>
    </row>
    <row r="75">
      <c r="A75" s="3"/>
      <c r="B75" s="10"/>
      <c r="C75" s="10"/>
      <c r="D75" s="161"/>
      <c r="E75" s="14"/>
      <c r="F75" s="14"/>
      <c r="G75" s="14"/>
      <c r="H75" s="14"/>
      <c r="I75" s="14"/>
      <c r="J75" s="14"/>
      <c r="K75" s="14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14"/>
      <c r="AB75" s="20"/>
      <c r="AC75" s="20"/>
      <c r="AD75" s="20"/>
      <c r="AE75" s="20"/>
    </row>
    <row r="76">
      <c r="A76" s="3"/>
      <c r="B76" s="10"/>
      <c r="C76" s="10"/>
      <c r="D76" s="161"/>
      <c r="E76" s="14"/>
      <c r="F76" s="14"/>
      <c r="G76" s="14"/>
      <c r="H76" s="14"/>
      <c r="I76" s="14"/>
      <c r="J76" s="14"/>
      <c r="K76" s="14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14"/>
      <c r="AB76" s="20"/>
      <c r="AC76" s="20"/>
      <c r="AD76" s="20"/>
      <c r="AE76" s="20"/>
    </row>
    <row r="77">
      <c r="A77" s="3"/>
      <c r="B77" s="10"/>
      <c r="C77" s="10"/>
      <c r="D77" s="161"/>
      <c r="E77" s="14"/>
      <c r="F77" s="14"/>
      <c r="G77" s="14"/>
      <c r="H77" s="14"/>
      <c r="I77" s="14"/>
      <c r="J77" s="14"/>
      <c r="K77" s="14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14"/>
      <c r="AB77" s="20"/>
      <c r="AC77" s="20"/>
      <c r="AD77" s="20"/>
      <c r="AE77" s="20"/>
    </row>
    <row r="78">
      <c r="A78" s="3"/>
      <c r="B78" s="10"/>
      <c r="C78" s="10"/>
      <c r="D78" s="161"/>
      <c r="E78" s="14"/>
      <c r="F78" s="14"/>
      <c r="G78" s="14"/>
      <c r="H78" s="14"/>
      <c r="I78" s="14"/>
      <c r="J78" s="14"/>
      <c r="K78" s="14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14"/>
      <c r="AB78" s="20"/>
      <c r="AC78" s="20"/>
      <c r="AD78" s="20"/>
      <c r="AE78" s="20"/>
    </row>
    <row r="79">
      <c r="A79" s="3"/>
      <c r="B79" s="10"/>
      <c r="C79" s="10"/>
      <c r="D79" s="161"/>
      <c r="E79" s="14"/>
      <c r="F79" s="14"/>
      <c r="G79" s="14"/>
      <c r="H79" s="14"/>
      <c r="I79" s="14"/>
      <c r="J79" s="14"/>
      <c r="K79" s="14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14"/>
      <c r="AB79" s="20"/>
      <c r="AC79" s="20"/>
      <c r="AD79" s="20"/>
      <c r="AE79" s="20"/>
    </row>
    <row r="80">
      <c r="A80" s="3"/>
      <c r="B80" s="10"/>
      <c r="C80" s="10"/>
      <c r="D80" s="161"/>
      <c r="E80" s="14"/>
      <c r="F80" s="14"/>
      <c r="G80" s="14"/>
      <c r="H80" s="14"/>
      <c r="I80" s="14"/>
      <c r="J80" s="14"/>
      <c r="K80" s="14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14"/>
      <c r="AB80" s="20"/>
      <c r="AC80" s="20"/>
      <c r="AD80" s="20"/>
      <c r="AE80" s="20"/>
    </row>
    <row r="81">
      <c r="A81" s="3"/>
      <c r="B81" s="10"/>
      <c r="C81" s="10"/>
      <c r="D81" s="161"/>
      <c r="E81" s="14"/>
      <c r="F81" s="14"/>
      <c r="G81" s="14"/>
      <c r="H81" s="14"/>
      <c r="I81" s="14"/>
      <c r="J81" s="14"/>
      <c r="K81" s="14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14"/>
      <c r="AB81" s="20"/>
      <c r="AC81" s="20"/>
      <c r="AD81" s="20"/>
      <c r="AE81" s="20"/>
    </row>
    <row r="82">
      <c r="A82" s="3"/>
      <c r="B82" s="10"/>
      <c r="C82" s="10"/>
      <c r="D82" s="161"/>
      <c r="E82" s="14"/>
      <c r="F82" s="14"/>
      <c r="G82" s="14"/>
      <c r="H82" s="14"/>
      <c r="I82" s="14"/>
      <c r="J82" s="14"/>
      <c r="K82" s="14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14"/>
      <c r="AB82" s="20"/>
      <c r="AC82" s="20"/>
      <c r="AD82" s="20"/>
      <c r="AE82" s="20"/>
    </row>
    <row r="83">
      <c r="A83" s="3"/>
      <c r="B83" s="10"/>
      <c r="C83" s="10"/>
      <c r="D83" s="161"/>
      <c r="E83" s="14"/>
      <c r="F83" s="14"/>
      <c r="G83" s="14"/>
      <c r="H83" s="14"/>
      <c r="I83" s="14"/>
      <c r="J83" s="14"/>
      <c r="K83" s="14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14"/>
      <c r="AB83" s="20"/>
      <c r="AC83" s="20"/>
      <c r="AD83" s="20"/>
      <c r="AE83" s="20"/>
    </row>
    <row r="84">
      <c r="A84" s="3"/>
      <c r="B84" s="10"/>
      <c r="C84" s="10"/>
      <c r="D84" s="14"/>
      <c r="E84" s="14"/>
      <c r="F84" s="14"/>
      <c r="G84" s="14"/>
      <c r="H84" s="14"/>
      <c r="I84" s="14"/>
      <c r="J84" s="14"/>
      <c r="K84" s="14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14"/>
      <c r="AB84" s="20"/>
      <c r="AC84" s="20"/>
      <c r="AD84" s="20"/>
      <c r="AE84" s="20"/>
    </row>
    <row r="85">
      <c r="A85" s="3"/>
      <c r="B85" s="10"/>
      <c r="C85" s="10"/>
      <c r="D85" s="14"/>
      <c r="E85" s="14"/>
      <c r="F85" s="14"/>
      <c r="G85" s="14"/>
      <c r="H85" s="14"/>
      <c r="I85" s="14"/>
      <c r="J85" s="14"/>
      <c r="K85" s="14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14"/>
      <c r="AB85" s="20"/>
      <c r="AC85" s="20"/>
      <c r="AD85" s="20"/>
      <c r="AE85" s="20"/>
    </row>
    <row r="86">
      <c r="A86" s="3"/>
      <c r="B86" s="10"/>
      <c r="C86" s="10"/>
      <c r="D86" s="14"/>
      <c r="E86" s="14"/>
      <c r="F86" s="14"/>
      <c r="G86" s="14"/>
      <c r="H86" s="14"/>
      <c r="I86" s="14"/>
      <c r="J86" s="14"/>
      <c r="K86" s="14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14"/>
      <c r="AB86" s="20"/>
      <c r="AC86" s="20"/>
      <c r="AD86" s="20"/>
      <c r="AE86" s="20"/>
    </row>
    <row r="87">
      <c r="A87" s="3"/>
      <c r="B87" s="10"/>
      <c r="C87" s="10"/>
      <c r="D87" s="14"/>
      <c r="E87" s="14"/>
      <c r="F87" s="14"/>
      <c r="G87" s="14"/>
      <c r="H87" s="14"/>
      <c r="I87" s="14"/>
      <c r="J87" s="14"/>
      <c r="K87" s="14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14"/>
      <c r="AB87" s="20"/>
      <c r="AC87" s="20"/>
      <c r="AD87" s="20"/>
      <c r="AE87" s="20"/>
    </row>
    <row r="88">
      <c r="A88" s="3"/>
      <c r="B88" s="10"/>
      <c r="C88" s="10"/>
      <c r="D88" s="14"/>
      <c r="E88" s="14"/>
      <c r="F88" s="14"/>
      <c r="G88" s="14"/>
      <c r="H88" s="14"/>
      <c r="I88" s="14"/>
      <c r="J88" s="14"/>
      <c r="K88" s="14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14"/>
      <c r="AB88" s="20"/>
      <c r="AC88" s="20"/>
      <c r="AD88" s="20"/>
      <c r="AE88" s="20"/>
    </row>
    <row r="89">
      <c r="A89" s="3"/>
      <c r="B89" s="10"/>
      <c r="C89" s="10"/>
      <c r="D89" s="14"/>
      <c r="E89" s="14"/>
      <c r="F89" s="14"/>
      <c r="G89" s="14"/>
      <c r="H89" s="14"/>
      <c r="I89" s="14"/>
      <c r="J89" s="14"/>
      <c r="K89" s="14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14"/>
      <c r="AB89" s="20"/>
      <c r="AC89" s="20"/>
      <c r="AD89" s="20"/>
      <c r="AE89" s="20"/>
    </row>
    <row r="90">
      <c r="A90" s="3"/>
      <c r="B90" s="10"/>
      <c r="C90" s="10"/>
      <c r="D90" s="14"/>
      <c r="E90" s="14"/>
      <c r="F90" s="14"/>
      <c r="G90" s="14"/>
      <c r="H90" s="14"/>
      <c r="I90" s="14"/>
      <c r="J90" s="14"/>
      <c r="K90" s="14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14"/>
      <c r="AB90" s="20"/>
      <c r="AC90" s="20"/>
      <c r="AD90" s="20"/>
      <c r="AE90" s="20"/>
    </row>
    <row r="91">
      <c r="A91" s="3"/>
      <c r="B91" s="10"/>
      <c r="C91" s="10"/>
      <c r="D91" s="14"/>
      <c r="E91" s="14"/>
      <c r="F91" s="14"/>
      <c r="G91" s="14"/>
      <c r="H91" s="14"/>
      <c r="I91" s="14"/>
      <c r="J91" s="14"/>
      <c r="K91" s="14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14"/>
      <c r="AB91" s="20"/>
      <c r="AC91" s="20"/>
      <c r="AD91" s="20"/>
      <c r="AE91" s="20"/>
    </row>
    <row r="92">
      <c r="A92" s="3"/>
      <c r="B92" s="10"/>
      <c r="C92" s="10"/>
      <c r="D92" s="14"/>
      <c r="E92" s="14"/>
      <c r="F92" s="14"/>
      <c r="G92" s="14"/>
      <c r="H92" s="14"/>
      <c r="I92" s="14"/>
      <c r="J92" s="14"/>
      <c r="K92" s="14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14"/>
      <c r="AB92" s="20"/>
      <c r="AC92" s="20"/>
      <c r="AD92" s="20"/>
      <c r="AE92" s="20"/>
    </row>
    <row r="93">
      <c r="A93" s="3"/>
      <c r="B93" s="10"/>
      <c r="C93" s="10"/>
      <c r="D93" s="14"/>
      <c r="E93" s="14"/>
      <c r="F93" s="14"/>
      <c r="G93" s="14"/>
      <c r="H93" s="14"/>
      <c r="I93" s="14"/>
      <c r="J93" s="14"/>
      <c r="K93" s="14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14"/>
      <c r="AB93" s="20"/>
      <c r="AC93" s="20"/>
      <c r="AD93" s="20"/>
      <c r="AE93" s="20"/>
    </row>
    <row r="94">
      <c r="A94" s="3"/>
      <c r="B94" s="10"/>
      <c r="C94" s="10"/>
      <c r="D94" s="14"/>
      <c r="E94" s="14"/>
      <c r="F94" s="14"/>
      <c r="G94" s="14"/>
      <c r="H94" s="14"/>
      <c r="I94" s="14"/>
      <c r="J94" s="14"/>
      <c r="K94" s="14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14"/>
      <c r="AB94" s="20"/>
      <c r="AC94" s="20"/>
      <c r="AD94" s="20"/>
      <c r="AE94" s="20"/>
    </row>
    <row r="95">
      <c r="A95" s="3"/>
      <c r="B95" s="10"/>
      <c r="C95" s="10"/>
      <c r="D95" s="14"/>
      <c r="E95" s="14"/>
      <c r="F95" s="14"/>
      <c r="G95" s="14"/>
      <c r="H95" s="14"/>
      <c r="I95" s="14"/>
      <c r="J95" s="14"/>
      <c r="K95" s="14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14"/>
      <c r="AB95" s="20"/>
      <c r="AC95" s="20"/>
      <c r="AD95" s="20"/>
      <c r="AE95" s="20"/>
    </row>
    <row r="96">
      <c r="A96" s="3"/>
      <c r="B96" s="10"/>
      <c r="C96" s="10"/>
      <c r="D96" s="14"/>
      <c r="E96" s="14"/>
      <c r="F96" s="14"/>
      <c r="G96" s="14"/>
      <c r="H96" s="14"/>
      <c r="I96" s="14"/>
      <c r="J96" s="14"/>
      <c r="K96" s="14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14"/>
      <c r="AB96" s="20"/>
      <c r="AC96" s="20"/>
      <c r="AD96" s="20"/>
      <c r="AE96" s="20"/>
    </row>
    <row r="97">
      <c r="A97" s="3"/>
      <c r="B97" s="10"/>
      <c r="C97" s="10"/>
      <c r="D97" s="14"/>
      <c r="E97" s="14"/>
      <c r="F97" s="14"/>
      <c r="G97" s="14"/>
      <c r="H97" s="14"/>
      <c r="I97" s="14"/>
      <c r="J97" s="14"/>
      <c r="K97" s="14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14"/>
      <c r="AB97" s="20"/>
      <c r="AC97" s="20"/>
      <c r="AD97" s="20"/>
      <c r="AE97" s="20"/>
    </row>
    <row r="98">
      <c r="A98" s="3"/>
      <c r="B98" s="10"/>
      <c r="C98" s="10"/>
      <c r="D98" s="14"/>
      <c r="E98" s="14"/>
      <c r="F98" s="14"/>
      <c r="G98" s="14"/>
      <c r="H98" s="14"/>
      <c r="I98" s="14"/>
      <c r="J98" s="14"/>
      <c r="K98" s="14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14"/>
      <c r="AB98" s="20"/>
      <c r="AC98" s="20"/>
      <c r="AD98" s="20"/>
      <c r="AE98" s="20"/>
    </row>
    <row r="99">
      <c r="A99" s="3"/>
      <c r="B99" s="10"/>
      <c r="C99" s="10"/>
      <c r="D99" s="14"/>
      <c r="E99" s="14"/>
      <c r="F99" s="14"/>
      <c r="G99" s="14"/>
      <c r="H99" s="14"/>
      <c r="I99" s="14"/>
      <c r="J99" s="14"/>
      <c r="K99" s="14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14"/>
      <c r="AB99" s="20"/>
      <c r="AC99" s="20"/>
      <c r="AD99" s="20"/>
      <c r="AE99" s="20"/>
    </row>
    <row r="100">
      <c r="A100" s="3"/>
      <c r="B100" s="10"/>
      <c r="C100" s="10"/>
      <c r="D100" s="14"/>
      <c r="E100" s="14"/>
      <c r="F100" s="14"/>
      <c r="G100" s="14"/>
      <c r="H100" s="14"/>
      <c r="I100" s="14"/>
      <c r="J100" s="14"/>
      <c r="K100" s="14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14"/>
      <c r="AB100" s="20"/>
      <c r="AC100" s="20"/>
      <c r="AD100" s="20"/>
      <c r="AE100" s="20"/>
    </row>
    <row r="101">
      <c r="A101" s="3"/>
      <c r="B101" s="10"/>
      <c r="C101" s="10"/>
      <c r="D101" s="14"/>
      <c r="E101" s="14"/>
      <c r="F101" s="14"/>
      <c r="G101" s="14"/>
      <c r="H101" s="14"/>
      <c r="I101" s="14"/>
      <c r="J101" s="14"/>
      <c r="K101" s="14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14"/>
      <c r="AB101" s="20"/>
      <c r="AC101" s="20"/>
      <c r="AD101" s="20"/>
      <c r="AE101" s="20"/>
    </row>
    <row r="102">
      <c r="A102" s="3"/>
      <c r="B102" s="10"/>
      <c r="C102" s="10"/>
      <c r="D102" s="14"/>
      <c r="E102" s="14"/>
      <c r="F102" s="14"/>
      <c r="G102" s="14"/>
      <c r="H102" s="14"/>
      <c r="I102" s="14"/>
      <c r="J102" s="14"/>
      <c r="K102" s="14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14"/>
      <c r="AB102" s="20"/>
      <c r="AC102" s="20"/>
      <c r="AD102" s="20"/>
      <c r="AE102" s="20"/>
    </row>
    <row r="103">
      <c r="A103" s="3"/>
      <c r="B103" s="10"/>
      <c r="C103" s="10"/>
      <c r="D103" s="14"/>
      <c r="E103" s="14"/>
      <c r="F103" s="14"/>
      <c r="G103" s="14"/>
      <c r="H103" s="14"/>
      <c r="I103" s="14"/>
      <c r="J103" s="14"/>
      <c r="K103" s="14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14"/>
      <c r="AB103" s="20"/>
      <c r="AC103" s="20"/>
      <c r="AD103" s="20"/>
      <c r="AE103" s="20"/>
    </row>
    <row r="104">
      <c r="A104" s="3"/>
      <c r="B104" s="10"/>
      <c r="C104" s="10"/>
      <c r="D104" s="14"/>
      <c r="E104" s="14"/>
      <c r="F104" s="14"/>
      <c r="G104" s="14"/>
      <c r="H104" s="14"/>
      <c r="I104" s="14"/>
      <c r="J104" s="14"/>
      <c r="K104" s="14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14"/>
      <c r="AB104" s="20"/>
      <c r="AC104" s="20"/>
      <c r="AD104" s="20"/>
      <c r="AE104" s="20"/>
    </row>
    <row r="105">
      <c r="A105" s="3"/>
      <c r="B105" s="10"/>
      <c r="C105" s="10"/>
      <c r="D105" s="14"/>
      <c r="E105" s="14"/>
      <c r="F105" s="14"/>
      <c r="G105" s="14"/>
      <c r="H105" s="14"/>
      <c r="I105" s="14"/>
      <c r="J105" s="14"/>
      <c r="K105" s="14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14"/>
      <c r="AB105" s="20"/>
      <c r="AC105" s="20"/>
      <c r="AD105" s="20"/>
      <c r="AE105" s="20"/>
    </row>
    <row r="106">
      <c r="A106" s="3"/>
      <c r="B106" s="10"/>
      <c r="C106" s="10"/>
      <c r="D106" s="14"/>
      <c r="E106" s="14"/>
      <c r="F106" s="14"/>
      <c r="G106" s="14"/>
      <c r="H106" s="14"/>
      <c r="I106" s="14"/>
      <c r="J106" s="14"/>
      <c r="K106" s="14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14"/>
      <c r="AB106" s="20"/>
      <c r="AC106" s="20"/>
      <c r="AD106" s="20"/>
      <c r="AE106" s="20"/>
    </row>
    <row r="107">
      <c r="A107" s="3"/>
      <c r="B107" s="10"/>
      <c r="C107" s="10"/>
      <c r="D107" s="14"/>
      <c r="E107" s="14"/>
      <c r="F107" s="14"/>
      <c r="G107" s="14"/>
      <c r="H107" s="14"/>
      <c r="I107" s="14"/>
      <c r="J107" s="14"/>
      <c r="K107" s="14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14"/>
      <c r="AB107" s="20"/>
      <c r="AC107" s="20"/>
      <c r="AD107" s="20"/>
      <c r="AE107" s="20"/>
    </row>
    <row r="108">
      <c r="A108" s="3"/>
      <c r="B108" s="10"/>
      <c r="C108" s="10"/>
      <c r="D108" s="14"/>
      <c r="E108" s="14"/>
      <c r="F108" s="14"/>
      <c r="G108" s="14"/>
      <c r="H108" s="14"/>
      <c r="I108" s="14"/>
      <c r="J108" s="14"/>
      <c r="K108" s="14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14"/>
      <c r="AB108" s="20"/>
      <c r="AC108" s="20"/>
      <c r="AD108" s="20"/>
      <c r="AE108" s="20"/>
    </row>
    <row r="109">
      <c r="A109" s="3"/>
      <c r="B109" s="10"/>
      <c r="C109" s="10"/>
      <c r="D109" s="14"/>
      <c r="E109" s="14"/>
      <c r="F109" s="14"/>
      <c r="G109" s="14"/>
      <c r="H109" s="14"/>
      <c r="I109" s="14"/>
      <c r="J109" s="14"/>
      <c r="K109" s="14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14"/>
      <c r="AB109" s="20"/>
      <c r="AC109" s="20"/>
      <c r="AD109" s="20"/>
      <c r="AE109" s="20"/>
    </row>
    <row r="110">
      <c r="A110" s="3"/>
      <c r="B110" s="10"/>
      <c r="C110" s="10"/>
      <c r="D110" s="14"/>
      <c r="E110" s="14"/>
      <c r="F110" s="14"/>
      <c r="G110" s="14"/>
      <c r="H110" s="14"/>
      <c r="I110" s="14"/>
      <c r="J110" s="14"/>
      <c r="K110" s="14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14"/>
      <c r="AB110" s="20"/>
      <c r="AC110" s="20"/>
      <c r="AD110" s="20"/>
      <c r="AE110" s="20"/>
    </row>
    <row r="111">
      <c r="A111" s="3"/>
      <c r="B111" s="10"/>
      <c r="C111" s="10"/>
      <c r="D111" s="14"/>
      <c r="E111" s="14"/>
      <c r="F111" s="14"/>
      <c r="G111" s="14"/>
      <c r="H111" s="14"/>
      <c r="I111" s="14"/>
      <c r="J111" s="14"/>
      <c r="K111" s="14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14"/>
      <c r="AB111" s="20"/>
      <c r="AC111" s="20"/>
      <c r="AD111" s="20"/>
      <c r="AE111" s="20"/>
    </row>
    <row r="112">
      <c r="A112" s="3"/>
      <c r="B112" s="10"/>
      <c r="C112" s="10"/>
      <c r="D112" s="14"/>
      <c r="E112" s="14"/>
      <c r="F112" s="14"/>
      <c r="G112" s="14"/>
      <c r="H112" s="14"/>
      <c r="I112" s="14"/>
      <c r="J112" s="14"/>
      <c r="K112" s="14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14"/>
      <c r="AB112" s="20"/>
      <c r="AC112" s="20"/>
      <c r="AD112" s="20"/>
      <c r="AE112" s="20"/>
    </row>
    <row r="113">
      <c r="A113" s="3"/>
      <c r="B113" s="10"/>
      <c r="C113" s="10"/>
      <c r="D113" s="14"/>
      <c r="E113" s="14"/>
      <c r="F113" s="14"/>
      <c r="G113" s="14"/>
      <c r="H113" s="14"/>
      <c r="I113" s="14"/>
      <c r="J113" s="14"/>
      <c r="K113" s="14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14"/>
      <c r="AB113" s="20"/>
      <c r="AC113" s="20"/>
      <c r="AD113" s="20"/>
      <c r="AE113" s="20"/>
    </row>
    <row r="114">
      <c r="A114" s="3"/>
      <c r="B114" s="10"/>
      <c r="C114" s="10"/>
      <c r="D114" s="14"/>
      <c r="E114" s="14"/>
      <c r="F114" s="14"/>
      <c r="G114" s="14"/>
      <c r="H114" s="14"/>
      <c r="I114" s="14"/>
      <c r="J114" s="14"/>
      <c r="K114" s="14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14"/>
      <c r="AB114" s="20"/>
      <c r="AC114" s="20"/>
      <c r="AD114" s="20"/>
      <c r="AE114" s="20"/>
    </row>
    <row r="115">
      <c r="A115" s="3"/>
      <c r="B115" s="10"/>
      <c r="C115" s="10"/>
      <c r="D115" s="14"/>
      <c r="E115" s="14"/>
      <c r="F115" s="14"/>
      <c r="G115" s="14"/>
      <c r="H115" s="14"/>
      <c r="I115" s="14"/>
      <c r="J115" s="14"/>
      <c r="K115" s="14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14"/>
      <c r="AB115" s="20"/>
      <c r="AC115" s="20"/>
      <c r="AD115" s="20"/>
      <c r="AE115" s="20"/>
    </row>
    <row r="116">
      <c r="A116" s="3"/>
      <c r="B116" s="10"/>
      <c r="C116" s="10"/>
      <c r="D116" s="14"/>
      <c r="E116" s="14"/>
      <c r="F116" s="14"/>
      <c r="G116" s="14"/>
      <c r="H116" s="14"/>
      <c r="I116" s="14"/>
      <c r="J116" s="14"/>
      <c r="K116" s="14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14"/>
      <c r="AB116" s="20"/>
      <c r="AC116" s="20"/>
      <c r="AD116" s="20"/>
      <c r="AE116" s="20"/>
    </row>
    <row r="117">
      <c r="A117" s="3"/>
      <c r="B117" s="10"/>
      <c r="C117" s="10"/>
      <c r="D117" s="14"/>
      <c r="E117" s="14"/>
      <c r="F117" s="14"/>
      <c r="G117" s="14"/>
      <c r="H117" s="14"/>
      <c r="I117" s="14"/>
      <c r="J117" s="14"/>
      <c r="K117" s="14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14"/>
      <c r="AB117" s="20"/>
      <c r="AC117" s="20"/>
      <c r="AD117" s="20"/>
      <c r="AE117" s="20"/>
    </row>
    <row r="118">
      <c r="A118" s="3"/>
      <c r="B118" s="10"/>
      <c r="C118" s="10"/>
      <c r="D118" s="14"/>
      <c r="E118" s="14"/>
      <c r="F118" s="14"/>
      <c r="G118" s="14"/>
      <c r="H118" s="14"/>
      <c r="I118" s="14"/>
      <c r="J118" s="14"/>
      <c r="K118" s="14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14"/>
      <c r="AB118" s="20"/>
      <c r="AC118" s="20"/>
      <c r="AD118" s="20"/>
      <c r="AE118" s="20"/>
    </row>
    <row r="119">
      <c r="A119" s="3"/>
      <c r="B119" s="10"/>
      <c r="C119" s="10"/>
      <c r="D119" s="14"/>
      <c r="E119" s="14"/>
      <c r="F119" s="14"/>
      <c r="G119" s="14"/>
      <c r="H119" s="14"/>
      <c r="I119" s="14"/>
      <c r="J119" s="14"/>
      <c r="K119" s="14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14"/>
      <c r="AB119" s="20"/>
      <c r="AC119" s="20"/>
      <c r="AD119" s="20"/>
      <c r="AE119" s="20"/>
    </row>
    <row r="120">
      <c r="A120" s="3"/>
      <c r="B120" s="10"/>
      <c r="C120" s="10"/>
      <c r="D120" s="14"/>
      <c r="E120" s="14"/>
      <c r="F120" s="14"/>
      <c r="G120" s="14"/>
      <c r="H120" s="14"/>
      <c r="I120" s="14"/>
      <c r="J120" s="14"/>
      <c r="K120" s="14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14"/>
      <c r="AB120" s="20"/>
      <c r="AC120" s="20"/>
      <c r="AD120" s="20"/>
      <c r="AE120" s="20"/>
    </row>
    <row r="121">
      <c r="A121" s="3"/>
      <c r="B121" s="10"/>
      <c r="C121" s="10"/>
      <c r="D121" s="14"/>
      <c r="E121" s="14"/>
      <c r="F121" s="14"/>
      <c r="G121" s="14"/>
      <c r="H121" s="14"/>
      <c r="I121" s="14"/>
      <c r="J121" s="14"/>
      <c r="K121" s="14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14"/>
      <c r="AB121" s="20"/>
      <c r="AC121" s="20"/>
      <c r="AD121" s="20"/>
      <c r="AE121" s="20"/>
    </row>
    <row r="122">
      <c r="A122" s="3"/>
      <c r="B122" s="10"/>
      <c r="C122" s="10"/>
      <c r="D122" s="14"/>
      <c r="E122" s="14"/>
      <c r="F122" s="14"/>
      <c r="G122" s="14"/>
      <c r="H122" s="14"/>
      <c r="I122" s="14"/>
      <c r="J122" s="14"/>
      <c r="K122" s="14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14"/>
      <c r="AB122" s="20"/>
      <c r="AC122" s="20"/>
      <c r="AD122" s="20"/>
      <c r="AE122" s="20"/>
    </row>
    <row r="123">
      <c r="A123" s="3"/>
      <c r="B123" s="10"/>
      <c r="C123" s="10"/>
      <c r="D123" s="14"/>
      <c r="E123" s="14"/>
      <c r="F123" s="14"/>
      <c r="G123" s="14"/>
      <c r="H123" s="14"/>
      <c r="I123" s="14"/>
      <c r="J123" s="14"/>
      <c r="K123" s="14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14"/>
      <c r="AB123" s="20"/>
      <c r="AC123" s="20"/>
      <c r="AD123" s="20"/>
      <c r="AE123" s="20"/>
    </row>
    <row r="124">
      <c r="A124" s="3"/>
      <c r="B124" s="10"/>
      <c r="C124" s="10"/>
      <c r="D124" s="14"/>
      <c r="E124" s="14"/>
      <c r="F124" s="14"/>
      <c r="G124" s="14"/>
      <c r="H124" s="14"/>
      <c r="I124" s="14"/>
      <c r="J124" s="14"/>
      <c r="K124" s="14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14"/>
      <c r="AB124" s="20"/>
      <c r="AC124" s="20"/>
      <c r="AD124" s="20"/>
      <c r="AE124" s="20"/>
    </row>
    <row r="125">
      <c r="A125" s="3"/>
      <c r="B125" s="10"/>
      <c r="C125" s="10"/>
      <c r="D125" s="14"/>
      <c r="E125" s="14"/>
      <c r="F125" s="14"/>
      <c r="G125" s="14"/>
      <c r="H125" s="14"/>
      <c r="I125" s="14"/>
      <c r="J125" s="14"/>
      <c r="K125" s="14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14"/>
      <c r="AB125" s="20"/>
      <c r="AC125" s="20"/>
      <c r="AD125" s="20"/>
      <c r="AE125" s="20"/>
    </row>
    <row r="126">
      <c r="A126" s="3"/>
      <c r="B126" s="10"/>
      <c r="C126" s="10"/>
      <c r="D126" s="14"/>
      <c r="E126" s="14"/>
      <c r="F126" s="14"/>
      <c r="G126" s="14"/>
      <c r="H126" s="14"/>
      <c r="I126" s="14"/>
      <c r="J126" s="14"/>
      <c r="K126" s="14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14"/>
      <c r="AB126" s="20"/>
      <c r="AC126" s="20"/>
      <c r="AD126" s="20"/>
      <c r="AE126" s="20"/>
    </row>
    <row r="127">
      <c r="A127" s="3"/>
      <c r="B127" s="10"/>
      <c r="C127" s="10"/>
      <c r="D127" s="14"/>
      <c r="E127" s="14"/>
      <c r="F127" s="14"/>
      <c r="G127" s="14"/>
      <c r="H127" s="14"/>
      <c r="I127" s="14"/>
      <c r="J127" s="14"/>
      <c r="K127" s="14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14"/>
      <c r="AB127" s="20"/>
      <c r="AC127" s="20"/>
      <c r="AD127" s="20"/>
      <c r="AE127" s="20"/>
    </row>
    <row r="128">
      <c r="A128" s="3"/>
      <c r="B128" s="10"/>
      <c r="C128" s="10"/>
      <c r="D128" s="14"/>
      <c r="E128" s="14"/>
      <c r="F128" s="14"/>
      <c r="G128" s="14"/>
      <c r="H128" s="14"/>
      <c r="I128" s="14"/>
      <c r="J128" s="14"/>
      <c r="K128" s="14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14"/>
      <c r="AB128" s="20"/>
      <c r="AC128" s="20"/>
      <c r="AD128" s="20"/>
      <c r="AE128" s="20"/>
    </row>
    <row r="129">
      <c r="A129" s="3"/>
      <c r="B129" s="10"/>
      <c r="C129" s="10"/>
      <c r="D129" s="14"/>
      <c r="E129" s="14"/>
      <c r="F129" s="14"/>
      <c r="G129" s="14"/>
      <c r="H129" s="14"/>
      <c r="I129" s="14"/>
      <c r="J129" s="14"/>
      <c r="K129" s="14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14"/>
      <c r="AB129" s="20"/>
      <c r="AC129" s="20"/>
      <c r="AD129" s="20"/>
      <c r="AE129" s="20"/>
    </row>
    <row r="130">
      <c r="A130" s="3"/>
      <c r="B130" s="10"/>
      <c r="C130" s="10"/>
      <c r="D130" s="14"/>
      <c r="E130" s="14"/>
      <c r="F130" s="14"/>
      <c r="G130" s="14"/>
      <c r="H130" s="14"/>
      <c r="I130" s="14"/>
      <c r="J130" s="14"/>
      <c r="K130" s="14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14"/>
      <c r="AB130" s="20"/>
      <c r="AC130" s="20"/>
      <c r="AD130" s="20"/>
      <c r="AE130" s="20"/>
    </row>
    <row r="131">
      <c r="A131" s="3"/>
      <c r="B131" s="10"/>
      <c r="C131" s="10"/>
      <c r="D131" s="14"/>
      <c r="E131" s="14"/>
      <c r="F131" s="14"/>
      <c r="G131" s="14"/>
      <c r="H131" s="14"/>
      <c r="I131" s="14"/>
      <c r="J131" s="14"/>
      <c r="K131" s="14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14"/>
      <c r="AB131" s="20"/>
      <c r="AC131" s="20"/>
      <c r="AD131" s="20"/>
      <c r="AE131" s="20"/>
    </row>
    <row r="132">
      <c r="A132" s="3"/>
      <c r="B132" s="10"/>
      <c r="C132" s="10"/>
      <c r="D132" s="14"/>
      <c r="E132" s="14"/>
      <c r="F132" s="14"/>
      <c r="G132" s="14"/>
      <c r="H132" s="14"/>
      <c r="I132" s="14"/>
      <c r="J132" s="14"/>
      <c r="K132" s="14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14"/>
      <c r="AB132" s="20"/>
      <c r="AC132" s="20"/>
      <c r="AD132" s="20"/>
      <c r="AE132" s="20"/>
    </row>
    <row r="133">
      <c r="A133" s="3"/>
      <c r="B133" s="10"/>
      <c r="C133" s="10"/>
      <c r="D133" s="14"/>
      <c r="E133" s="14"/>
      <c r="F133" s="14"/>
      <c r="G133" s="14"/>
      <c r="H133" s="14"/>
      <c r="I133" s="14"/>
      <c r="J133" s="14"/>
      <c r="K133" s="14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14"/>
      <c r="AB133" s="20"/>
      <c r="AC133" s="20"/>
      <c r="AD133" s="20"/>
      <c r="AE133" s="20"/>
    </row>
    <row r="134">
      <c r="A134" s="3"/>
      <c r="B134" s="10"/>
      <c r="C134" s="10"/>
      <c r="D134" s="14"/>
      <c r="E134" s="14"/>
      <c r="F134" s="14"/>
      <c r="G134" s="14"/>
      <c r="H134" s="14"/>
      <c r="I134" s="14"/>
      <c r="J134" s="14"/>
      <c r="K134" s="14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14"/>
      <c r="AB134" s="20"/>
      <c r="AC134" s="20"/>
      <c r="AD134" s="20"/>
      <c r="AE134" s="20"/>
    </row>
    <row r="135">
      <c r="A135" s="3"/>
      <c r="B135" s="10"/>
      <c r="C135" s="10"/>
      <c r="D135" s="14"/>
      <c r="E135" s="14"/>
      <c r="F135" s="14"/>
      <c r="G135" s="14"/>
      <c r="H135" s="14"/>
      <c r="I135" s="14"/>
      <c r="J135" s="14"/>
      <c r="K135" s="14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14"/>
      <c r="AB135" s="20"/>
      <c r="AC135" s="20"/>
      <c r="AD135" s="20"/>
      <c r="AE135" s="20"/>
    </row>
    <row r="136">
      <c r="A136" s="3"/>
      <c r="B136" s="10"/>
      <c r="C136" s="10"/>
      <c r="D136" s="14"/>
      <c r="E136" s="14"/>
      <c r="F136" s="14"/>
      <c r="G136" s="14"/>
      <c r="H136" s="14"/>
      <c r="I136" s="14"/>
      <c r="J136" s="14"/>
      <c r="K136" s="14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14"/>
      <c r="AB136" s="20"/>
      <c r="AC136" s="20"/>
      <c r="AD136" s="20"/>
      <c r="AE136" s="20"/>
    </row>
    <row r="137">
      <c r="A137" s="3"/>
      <c r="B137" s="10"/>
      <c r="C137" s="10"/>
      <c r="D137" s="14"/>
      <c r="E137" s="14"/>
      <c r="F137" s="14"/>
      <c r="G137" s="14"/>
      <c r="H137" s="14"/>
      <c r="I137" s="14"/>
      <c r="J137" s="14"/>
      <c r="K137" s="14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14"/>
      <c r="AB137" s="20"/>
      <c r="AC137" s="20"/>
      <c r="AD137" s="20"/>
      <c r="AE137" s="20"/>
    </row>
    <row r="138">
      <c r="A138" s="3"/>
      <c r="B138" s="10"/>
      <c r="C138" s="10"/>
      <c r="D138" s="14"/>
      <c r="E138" s="14"/>
      <c r="F138" s="14"/>
      <c r="G138" s="14"/>
      <c r="H138" s="14"/>
      <c r="I138" s="14"/>
      <c r="J138" s="14"/>
      <c r="K138" s="1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14"/>
      <c r="AB138" s="20"/>
      <c r="AC138" s="20"/>
      <c r="AD138" s="20"/>
      <c r="AE138" s="20"/>
    </row>
    <row r="139">
      <c r="A139" s="3"/>
      <c r="B139" s="10"/>
      <c r="C139" s="10"/>
      <c r="D139" s="14"/>
      <c r="E139" s="14"/>
      <c r="F139" s="14"/>
      <c r="G139" s="14"/>
      <c r="H139" s="14"/>
      <c r="I139" s="14"/>
      <c r="J139" s="14"/>
      <c r="K139" s="1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14"/>
      <c r="AB139" s="20"/>
      <c r="AC139" s="20"/>
      <c r="AD139" s="20"/>
      <c r="AE139" s="20"/>
    </row>
    <row r="140">
      <c r="A140" s="3"/>
      <c r="B140" s="10"/>
      <c r="C140" s="10"/>
      <c r="D140" s="14"/>
      <c r="E140" s="14"/>
      <c r="F140" s="14"/>
      <c r="G140" s="14"/>
      <c r="H140" s="14"/>
      <c r="I140" s="14"/>
      <c r="J140" s="14"/>
      <c r="K140" s="1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14"/>
      <c r="AB140" s="20"/>
      <c r="AC140" s="20"/>
      <c r="AD140" s="20"/>
      <c r="AE140" s="20"/>
    </row>
    <row r="141">
      <c r="A141" s="3"/>
      <c r="B141" s="10"/>
      <c r="C141" s="10"/>
      <c r="D141" s="14"/>
      <c r="E141" s="14"/>
      <c r="F141" s="14"/>
      <c r="G141" s="14"/>
      <c r="H141" s="14"/>
      <c r="I141" s="14"/>
      <c r="J141" s="14"/>
      <c r="K141" s="1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14"/>
      <c r="AB141" s="20"/>
      <c r="AC141" s="20"/>
      <c r="AD141" s="20"/>
      <c r="AE141" s="20"/>
    </row>
    <row r="142">
      <c r="A142" s="3"/>
      <c r="B142" s="10"/>
      <c r="C142" s="10"/>
      <c r="D142" s="14"/>
      <c r="E142" s="14"/>
      <c r="F142" s="14"/>
      <c r="G142" s="14"/>
      <c r="H142" s="14"/>
      <c r="I142" s="14"/>
      <c r="J142" s="14"/>
      <c r="K142" s="1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14"/>
      <c r="AB142" s="20"/>
      <c r="AC142" s="20"/>
      <c r="AD142" s="20"/>
      <c r="AE142" s="20"/>
    </row>
    <row r="143">
      <c r="A143" s="3"/>
      <c r="B143" s="10"/>
      <c r="C143" s="10"/>
      <c r="D143" s="14"/>
      <c r="E143" s="14"/>
      <c r="F143" s="14"/>
      <c r="G143" s="14"/>
      <c r="H143" s="14"/>
      <c r="I143" s="14"/>
      <c r="J143" s="14"/>
      <c r="K143" s="1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14"/>
      <c r="AB143" s="20"/>
      <c r="AC143" s="20"/>
      <c r="AD143" s="20"/>
      <c r="AE143" s="20"/>
    </row>
    <row r="144">
      <c r="A144" s="3"/>
      <c r="B144" s="10"/>
      <c r="C144" s="10"/>
      <c r="D144" s="14"/>
      <c r="E144" s="14"/>
      <c r="F144" s="14"/>
      <c r="G144" s="14"/>
      <c r="H144" s="14"/>
      <c r="I144" s="14"/>
      <c r="J144" s="14"/>
      <c r="K144" s="1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14"/>
      <c r="AB144" s="20"/>
      <c r="AC144" s="20"/>
      <c r="AD144" s="20"/>
      <c r="AE144" s="20"/>
    </row>
    <row r="145">
      <c r="A145" s="3"/>
      <c r="B145" s="10"/>
      <c r="C145" s="10"/>
      <c r="D145" s="14"/>
      <c r="E145" s="14"/>
      <c r="F145" s="14"/>
      <c r="G145" s="14"/>
      <c r="H145" s="14"/>
      <c r="I145" s="14"/>
      <c r="J145" s="14"/>
      <c r="K145" s="1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14"/>
      <c r="AB145" s="20"/>
      <c r="AC145" s="20"/>
      <c r="AD145" s="20"/>
      <c r="AE145" s="20"/>
    </row>
    <row r="146">
      <c r="A146" s="3"/>
      <c r="B146" s="10"/>
      <c r="C146" s="10"/>
      <c r="D146" s="14"/>
      <c r="E146" s="14"/>
      <c r="F146" s="14"/>
      <c r="G146" s="14"/>
      <c r="H146" s="14"/>
      <c r="I146" s="14"/>
      <c r="J146" s="14"/>
      <c r="K146" s="1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14"/>
      <c r="AB146" s="20"/>
      <c r="AC146" s="20"/>
      <c r="AD146" s="20"/>
      <c r="AE146" s="20"/>
    </row>
    <row r="147">
      <c r="A147" s="3"/>
      <c r="B147" s="10"/>
      <c r="C147" s="10"/>
      <c r="D147" s="14"/>
      <c r="E147" s="14"/>
      <c r="F147" s="14"/>
      <c r="G147" s="14"/>
      <c r="H147" s="14"/>
      <c r="I147" s="14"/>
      <c r="J147" s="14"/>
      <c r="K147" s="1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14"/>
      <c r="AB147" s="20"/>
      <c r="AC147" s="20"/>
      <c r="AD147" s="20"/>
      <c r="AE147" s="20"/>
    </row>
    <row r="148">
      <c r="A148" s="3"/>
      <c r="B148" s="10"/>
      <c r="C148" s="10"/>
      <c r="D148" s="14"/>
      <c r="E148" s="14"/>
      <c r="F148" s="14"/>
      <c r="G148" s="14"/>
      <c r="H148" s="14"/>
      <c r="I148" s="14"/>
      <c r="J148" s="14"/>
      <c r="K148" s="1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14"/>
      <c r="AB148" s="20"/>
      <c r="AC148" s="20"/>
      <c r="AD148" s="20"/>
      <c r="AE148" s="20"/>
    </row>
    <row r="149">
      <c r="A149" s="3"/>
      <c r="B149" s="10"/>
      <c r="C149" s="10"/>
      <c r="D149" s="14"/>
      <c r="E149" s="14"/>
      <c r="F149" s="14"/>
      <c r="G149" s="14"/>
      <c r="H149" s="14"/>
      <c r="I149" s="14"/>
      <c r="J149" s="14"/>
      <c r="K149" s="1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14"/>
      <c r="AB149" s="20"/>
      <c r="AC149" s="20"/>
      <c r="AD149" s="20"/>
      <c r="AE149" s="20"/>
    </row>
    <row r="150">
      <c r="A150" s="3"/>
      <c r="B150" s="10"/>
      <c r="C150" s="10"/>
      <c r="D150" s="14"/>
      <c r="E150" s="14"/>
      <c r="F150" s="14"/>
      <c r="G150" s="14"/>
      <c r="H150" s="14"/>
      <c r="I150" s="14"/>
      <c r="J150" s="14"/>
      <c r="K150" s="1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14"/>
      <c r="AB150" s="20"/>
      <c r="AC150" s="20"/>
      <c r="AD150" s="20"/>
      <c r="AE150" s="20"/>
    </row>
    <row r="151">
      <c r="A151" s="3"/>
      <c r="B151" s="10"/>
      <c r="C151" s="10"/>
      <c r="D151" s="14"/>
      <c r="E151" s="14"/>
      <c r="F151" s="14"/>
      <c r="G151" s="14"/>
      <c r="H151" s="14"/>
      <c r="I151" s="14"/>
      <c r="J151" s="14"/>
      <c r="K151" s="1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14"/>
      <c r="AB151" s="20"/>
      <c r="AC151" s="20"/>
      <c r="AD151" s="20"/>
      <c r="AE151" s="20"/>
    </row>
    <row r="152">
      <c r="A152" s="3"/>
      <c r="B152" s="10"/>
      <c r="C152" s="10"/>
      <c r="D152" s="14"/>
      <c r="E152" s="14"/>
      <c r="F152" s="14"/>
      <c r="G152" s="14"/>
      <c r="H152" s="14"/>
      <c r="I152" s="14"/>
      <c r="J152" s="14"/>
      <c r="K152" s="1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14"/>
      <c r="AB152" s="20"/>
      <c r="AC152" s="20"/>
      <c r="AD152" s="20"/>
      <c r="AE152" s="20"/>
    </row>
    <row r="153">
      <c r="A153" s="3"/>
      <c r="B153" s="10"/>
      <c r="C153" s="10"/>
      <c r="D153" s="14"/>
      <c r="E153" s="14"/>
      <c r="F153" s="14"/>
      <c r="G153" s="14"/>
      <c r="H153" s="14"/>
      <c r="I153" s="14"/>
      <c r="J153" s="14"/>
      <c r="K153" s="1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14"/>
      <c r="AB153" s="20"/>
      <c r="AC153" s="20"/>
      <c r="AD153" s="20"/>
      <c r="AE153" s="20"/>
    </row>
    <row r="154">
      <c r="A154" s="3"/>
      <c r="B154" s="10"/>
      <c r="C154" s="10"/>
      <c r="D154" s="14"/>
      <c r="E154" s="14"/>
      <c r="F154" s="14"/>
      <c r="G154" s="14"/>
      <c r="H154" s="14"/>
      <c r="I154" s="14"/>
      <c r="J154" s="14"/>
      <c r="K154" s="1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14"/>
      <c r="AB154" s="20"/>
      <c r="AC154" s="20"/>
      <c r="AD154" s="20"/>
      <c r="AE154" s="20"/>
    </row>
    <row r="155">
      <c r="A155" s="3"/>
      <c r="B155" s="10"/>
      <c r="C155" s="10"/>
      <c r="D155" s="14"/>
      <c r="E155" s="14"/>
      <c r="F155" s="14"/>
      <c r="G155" s="14"/>
      <c r="H155" s="14"/>
      <c r="I155" s="14"/>
      <c r="J155" s="14"/>
      <c r="K155" s="1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14"/>
      <c r="AB155" s="20"/>
      <c r="AC155" s="20"/>
      <c r="AD155" s="20"/>
      <c r="AE155" s="20"/>
    </row>
    <row r="156">
      <c r="A156" s="3"/>
      <c r="B156" s="10"/>
      <c r="C156" s="10"/>
      <c r="D156" s="14"/>
      <c r="E156" s="14"/>
      <c r="F156" s="14"/>
      <c r="G156" s="14"/>
      <c r="H156" s="14"/>
      <c r="I156" s="14"/>
      <c r="J156" s="14"/>
      <c r="K156" s="1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14"/>
      <c r="AB156" s="20"/>
      <c r="AC156" s="20"/>
      <c r="AD156" s="20"/>
      <c r="AE156" s="20"/>
    </row>
    <row r="157">
      <c r="A157" s="3"/>
      <c r="B157" s="10"/>
      <c r="C157" s="10"/>
      <c r="D157" s="14"/>
      <c r="E157" s="14"/>
      <c r="F157" s="14"/>
      <c r="G157" s="14"/>
      <c r="H157" s="14"/>
      <c r="I157" s="14"/>
      <c r="J157" s="14"/>
      <c r="K157" s="1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14"/>
      <c r="AB157" s="20"/>
      <c r="AC157" s="20"/>
      <c r="AD157" s="20"/>
      <c r="AE157" s="20"/>
    </row>
    <row r="158">
      <c r="A158" s="3"/>
      <c r="B158" s="10"/>
      <c r="C158" s="10"/>
      <c r="D158" s="14"/>
      <c r="E158" s="14"/>
      <c r="F158" s="14"/>
      <c r="G158" s="14"/>
      <c r="H158" s="14"/>
      <c r="I158" s="14"/>
      <c r="J158" s="14"/>
      <c r="K158" s="1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14"/>
      <c r="AB158" s="20"/>
      <c r="AC158" s="20"/>
      <c r="AD158" s="20"/>
      <c r="AE158" s="20"/>
    </row>
    <row r="159">
      <c r="A159" s="3"/>
      <c r="B159" s="10"/>
      <c r="C159" s="10"/>
      <c r="D159" s="14"/>
      <c r="E159" s="14"/>
      <c r="F159" s="14"/>
      <c r="G159" s="14"/>
      <c r="H159" s="14"/>
      <c r="I159" s="14"/>
      <c r="J159" s="14"/>
      <c r="K159" s="1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14"/>
      <c r="AB159" s="20"/>
      <c r="AC159" s="20"/>
      <c r="AD159" s="20"/>
      <c r="AE159" s="20"/>
    </row>
    <row r="160">
      <c r="A160" s="3"/>
      <c r="B160" s="10"/>
      <c r="C160" s="10"/>
      <c r="D160" s="14"/>
      <c r="E160" s="14"/>
      <c r="F160" s="14"/>
      <c r="G160" s="14"/>
      <c r="H160" s="14"/>
      <c r="I160" s="14"/>
      <c r="J160" s="14"/>
      <c r="K160" s="1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4"/>
      <c r="AB160" s="20"/>
      <c r="AC160" s="20"/>
      <c r="AD160" s="20"/>
      <c r="AE160" s="20"/>
    </row>
    <row r="161">
      <c r="A161" s="3"/>
      <c r="B161" s="10"/>
      <c r="C161" s="10"/>
      <c r="D161" s="14"/>
      <c r="E161" s="14"/>
      <c r="F161" s="14"/>
      <c r="G161" s="14"/>
      <c r="H161" s="14"/>
      <c r="I161" s="14"/>
      <c r="J161" s="14"/>
      <c r="K161" s="1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4"/>
      <c r="AB161" s="20"/>
      <c r="AC161" s="20"/>
      <c r="AD161" s="20"/>
      <c r="AE161" s="20"/>
    </row>
    <row r="162">
      <c r="A162" s="3"/>
      <c r="B162" s="10"/>
      <c r="C162" s="10"/>
      <c r="D162" s="14"/>
      <c r="E162" s="14"/>
      <c r="F162" s="14"/>
      <c r="G162" s="14"/>
      <c r="H162" s="14"/>
      <c r="I162" s="14"/>
      <c r="J162" s="14"/>
      <c r="K162" s="1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4"/>
      <c r="AB162" s="20"/>
      <c r="AC162" s="20"/>
      <c r="AD162" s="20"/>
      <c r="AE162" s="20"/>
    </row>
    <row r="163">
      <c r="A163" s="3"/>
      <c r="B163" s="10"/>
      <c r="C163" s="10"/>
      <c r="D163" s="14"/>
      <c r="E163" s="14"/>
      <c r="F163" s="14"/>
      <c r="G163" s="14"/>
      <c r="H163" s="14"/>
      <c r="I163" s="14"/>
      <c r="J163" s="14"/>
      <c r="K163" s="1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4"/>
      <c r="AB163" s="20"/>
      <c r="AC163" s="20"/>
      <c r="AD163" s="20"/>
      <c r="AE163" s="20"/>
    </row>
    <row r="164">
      <c r="A164" s="3"/>
      <c r="B164" s="10"/>
      <c r="C164" s="10"/>
      <c r="D164" s="14"/>
      <c r="E164" s="14"/>
      <c r="F164" s="14"/>
      <c r="G164" s="14"/>
      <c r="H164" s="14"/>
      <c r="I164" s="14"/>
      <c r="J164" s="14"/>
      <c r="K164" s="1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4"/>
      <c r="AB164" s="20"/>
      <c r="AC164" s="20"/>
      <c r="AD164" s="20"/>
      <c r="AE164" s="20"/>
    </row>
    <row r="165">
      <c r="A165" s="3"/>
      <c r="B165" s="10"/>
      <c r="C165" s="10"/>
      <c r="D165" s="14"/>
      <c r="E165" s="14"/>
      <c r="F165" s="14"/>
      <c r="G165" s="14"/>
      <c r="H165" s="14"/>
      <c r="I165" s="14"/>
      <c r="J165" s="14"/>
      <c r="K165" s="1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4"/>
      <c r="AB165" s="20"/>
      <c r="AC165" s="20"/>
      <c r="AD165" s="20"/>
      <c r="AE165" s="20"/>
    </row>
    <row r="166">
      <c r="A166" s="3"/>
      <c r="B166" s="10"/>
      <c r="C166" s="10"/>
      <c r="D166" s="14"/>
      <c r="E166" s="14"/>
      <c r="F166" s="14"/>
      <c r="G166" s="14"/>
      <c r="H166" s="14"/>
      <c r="I166" s="14"/>
      <c r="J166" s="14"/>
      <c r="K166" s="1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4"/>
      <c r="AB166" s="20"/>
      <c r="AC166" s="20"/>
      <c r="AD166" s="20"/>
      <c r="AE166" s="20"/>
    </row>
    <row r="167">
      <c r="A167" s="3"/>
      <c r="B167" s="10"/>
      <c r="C167" s="10"/>
      <c r="D167" s="14"/>
      <c r="E167" s="14"/>
      <c r="F167" s="14"/>
      <c r="G167" s="14"/>
      <c r="H167" s="14"/>
      <c r="I167" s="14"/>
      <c r="J167" s="14"/>
      <c r="K167" s="1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4"/>
      <c r="AB167" s="20"/>
      <c r="AC167" s="20"/>
      <c r="AD167" s="20"/>
      <c r="AE167" s="20"/>
    </row>
    <row r="168">
      <c r="A168" s="3"/>
      <c r="B168" s="10"/>
      <c r="C168" s="10"/>
      <c r="D168" s="14"/>
      <c r="E168" s="14"/>
      <c r="F168" s="14"/>
      <c r="G168" s="14"/>
      <c r="H168" s="14"/>
      <c r="I168" s="14"/>
      <c r="J168" s="14"/>
      <c r="K168" s="1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4"/>
      <c r="AB168" s="20"/>
      <c r="AC168" s="20"/>
      <c r="AD168" s="20"/>
      <c r="AE168" s="20"/>
    </row>
    <row r="169">
      <c r="A169" s="3"/>
      <c r="B169" s="10"/>
      <c r="C169" s="10"/>
      <c r="D169" s="14"/>
      <c r="E169" s="14"/>
      <c r="F169" s="14"/>
      <c r="G169" s="14"/>
      <c r="H169" s="14"/>
      <c r="I169" s="14"/>
      <c r="J169" s="14"/>
      <c r="K169" s="1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4"/>
      <c r="AB169" s="20"/>
      <c r="AC169" s="20"/>
      <c r="AD169" s="20"/>
      <c r="AE169" s="20"/>
    </row>
    <row r="170">
      <c r="A170" s="3"/>
      <c r="B170" s="10"/>
      <c r="C170" s="10"/>
      <c r="D170" s="14"/>
      <c r="E170" s="14"/>
      <c r="F170" s="14"/>
      <c r="G170" s="14"/>
      <c r="H170" s="14"/>
      <c r="I170" s="14"/>
      <c r="J170" s="14"/>
      <c r="K170" s="1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4"/>
      <c r="AB170" s="20"/>
      <c r="AC170" s="20"/>
      <c r="AD170" s="20"/>
      <c r="AE170" s="20"/>
    </row>
    <row r="171">
      <c r="A171" s="3"/>
      <c r="B171" s="10"/>
      <c r="C171" s="10"/>
      <c r="D171" s="14"/>
      <c r="E171" s="14"/>
      <c r="F171" s="14"/>
      <c r="G171" s="14"/>
      <c r="H171" s="14"/>
      <c r="I171" s="14"/>
      <c r="J171" s="14"/>
      <c r="K171" s="1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4"/>
      <c r="AB171" s="20"/>
      <c r="AC171" s="20"/>
      <c r="AD171" s="20"/>
      <c r="AE171" s="20"/>
    </row>
    <row r="172">
      <c r="A172" s="3"/>
      <c r="B172" s="10"/>
      <c r="C172" s="10"/>
      <c r="D172" s="14"/>
      <c r="E172" s="14"/>
      <c r="F172" s="14"/>
      <c r="G172" s="14"/>
      <c r="H172" s="14"/>
      <c r="I172" s="14"/>
      <c r="J172" s="14"/>
      <c r="K172" s="1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4"/>
      <c r="AB172" s="20"/>
      <c r="AC172" s="20"/>
      <c r="AD172" s="20"/>
      <c r="AE172" s="20"/>
    </row>
    <row r="173">
      <c r="A173" s="3"/>
      <c r="B173" s="10"/>
      <c r="C173" s="10"/>
      <c r="D173" s="14"/>
      <c r="E173" s="14"/>
      <c r="F173" s="14"/>
      <c r="G173" s="14"/>
      <c r="H173" s="14"/>
      <c r="I173" s="14"/>
      <c r="J173" s="14"/>
      <c r="K173" s="1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4"/>
      <c r="AB173" s="20"/>
      <c r="AC173" s="20"/>
      <c r="AD173" s="20"/>
      <c r="AE173" s="20"/>
    </row>
    <row r="174">
      <c r="A174" s="3"/>
      <c r="B174" s="10"/>
      <c r="C174" s="10"/>
      <c r="D174" s="14"/>
      <c r="E174" s="14"/>
      <c r="F174" s="14"/>
      <c r="G174" s="14"/>
      <c r="H174" s="14"/>
      <c r="I174" s="14"/>
      <c r="J174" s="14"/>
      <c r="K174" s="1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4"/>
      <c r="AB174" s="20"/>
      <c r="AC174" s="20"/>
      <c r="AD174" s="20"/>
      <c r="AE174" s="20"/>
    </row>
    <row r="175">
      <c r="A175" s="3"/>
      <c r="B175" s="10"/>
      <c r="C175" s="10"/>
      <c r="D175" s="14"/>
      <c r="E175" s="14"/>
      <c r="F175" s="14"/>
      <c r="G175" s="14"/>
      <c r="H175" s="14"/>
      <c r="I175" s="14"/>
      <c r="J175" s="14"/>
      <c r="K175" s="1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4"/>
      <c r="AB175" s="20"/>
      <c r="AC175" s="20"/>
      <c r="AD175" s="20"/>
      <c r="AE175" s="20"/>
    </row>
    <row r="176">
      <c r="A176" s="3"/>
      <c r="B176" s="10"/>
      <c r="C176" s="10"/>
      <c r="D176" s="14"/>
      <c r="E176" s="14"/>
      <c r="F176" s="14"/>
      <c r="G176" s="14"/>
      <c r="H176" s="14"/>
      <c r="I176" s="14"/>
      <c r="J176" s="14"/>
      <c r="K176" s="1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4"/>
      <c r="AB176" s="20"/>
      <c r="AC176" s="20"/>
      <c r="AD176" s="20"/>
      <c r="AE176" s="20"/>
    </row>
    <row r="177">
      <c r="A177" s="3"/>
      <c r="B177" s="10"/>
      <c r="C177" s="10"/>
      <c r="D177" s="14"/>
      <c r="E177" s="14"/>
      <c r="F177" s="14"/>
      <c r="G177" s="14"/>
      <c r="H177" s="14"/>
      <c r="I177" s="14"/>
      <c r="J177" s="14"/>
      <c r="K177" s="1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4"/>
      <c r="AB177" s="20"/>
      <c r="AC177" s="20"/>
      <c r="AD177" s="20"/>
      <c r="AE177" s="20"/>
    </row>
    <row r="178">
      <c r="A178" s="3"/>
      <c r="B178" s="10"/>
      <c r="C178" s="10"/>
      <c r="D178" s="14"/>
      <c r="E178" s="14"/>
      <c r="F178" s="14"/>
      <c r="G178" s="14"/>
      <c r="H178" s="14"/>
      <c r="I178" s="14"/>
      <c r="J178" s="14"/>
      <c r="K178" s="1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4"/>
      <c r="AB178" s="20"/>
      <c r="AC178" s="20"/>
      <c r="AD178" s="20"/>
      <c r="AE178" s="20"/>
    </row>
    <row r="179">
      <c r="A179" s="3"/>
      <c r="B179" s="10"/>
      <c r="C179" s="10"/>
      <c r="D179" s="14"/>
      <c r="E179" s="14"/>
      <c r="F179" s="14"/>
      <c r="G179" s="14"/>
      <c r="H179" s="14"/>
      <c r="I179" s="14"/>
      <c r="J179" s="14"/>
      <c r="K179" s="1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4"/>
      <c r="AB179" s="20"/>
      <c r="AC179" s="20"/>
      <c r="AD179" s="20"/>
      <c r="AE179" s="20"/>
    </row>
    <row r="180">
      <c r="A180" s="3"/>
      <c r="B180" s="10"/>
      <c r="C180" s="10"/>
      <c r="D180" s="14"/>
      <c r="E180" s="14"/>
      <c r="F180" s="14"/>
      <c r="G180" s="14"/>
      <c r="H180" s="14"/>
      <c r="I180" s="14"/>
      <c r="J180" s="14"/>
      <c r="K180" s="1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4"/>
      <c r="AB180" s="20"/>
      <c r="AC180" s="20"/>
      <c r="AD180" s="20"/>
      <c r="AE180" s="20"/>
    </row>
    <row r="181">
      <c r="A181" s="3"/>
      <c r="B181" s="10"/>
      <c r="C181" s="10"/>
      <c r="D181" s="14"/>
      <c r="E181" s="14"/>
      <c r="F181" s="14"/>
      <c r="G181" s="14"/>
      <c r="H181" s="14"/>
      <c r="I181" s="14"/>
      <c r="J181" s="14"/>
      <c r="K181" s="1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4"/>
      <c r="AB181" s="20"/>
      <c r="AC181" s="20"/>
      <c r="AD181" s="20"/>
      <c r="AE181" s="20"/>
    </row>
    <row r="182">
      <c r="A182" s="3"/>
      <c r="B182" s="10"/>
      <c r="C182" s="10"/>
      <c r="D182" s="14"/>
      <c r="E182" s="14"/>
      <c r="F182" s="14"/>
      <c r="G182" s="14"/>
      <c r="H182" s="14"/>
      <c r="I182" s="14"/>
      <c r="J182" s="14"/>
      <c r="K182" s="1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4"/>
      <c r="AB182" s="20"/>
      <c r="AC182" s="20"/>
      <c r="AD182" s="20"/>
      <c r="AE182" s="20"/>
    </row>
    <row r="183">
      <c r="A183" s="3"/>
      <c r="B183" s="10"/>
      <c r="C183" s="10"/>
      <c r="D183" s="14"/>
      <c r="E183" s="14"/>
      <c r="F183" s="14"/>
      <c r="G183" s="14"/>
      <c r="H183" s="14"/>
      <c r="I183" s="14"/>
      <c r="J183" s="14"/>
      <c r="K183" s="1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4"/>
      <c r="AB183" s="20"/>
      <c r="AC183" s="20"/>
      <c r="AD183" s="20"/>
      <c r="AE183" s="20"/>
    </row>
    <row r="184">
      <c r="A184" s="3"/>
      <c r="B184" s="10"/>
      <c r="C184" s="10"/>
      <c r="D184" s="14"/>
      <c r="E184" s="14"/>
      <c r="F184" s="14"/>
      <c r="G184" s="14"/>
      <c r="H184" s="14"/>
      <c r="I184" s="14"/>
      <c r="J184" s="14"/>
      <c r="K184" s="1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4"/>
      <c r="AB184" s="20"/>
      <c r="AC184" s="20"/>
      <c r="AD184" s="20"/>
      <c r="AE184" s="20"/>
    </row>
    <row r="185">
      <c r="A185" s="3"/>
      <c r="B185" s="10"/>
      <c r="C185" s="10"/>
      <c r="D185" s="14"/>
      <c r="E185" s="14"/>
      <c r="F185" s="14"/>
      <c r="G185" s="14"/>
      <c r="H185" s="14"/>
      <c r="I185" s="14"/>
      <c r="J185" s="14"/>
      <c r="K185" s="1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4"/>
      <c r="AB185" s="20"/>
      <c r="AC185" s="20"/>
      <c r="AD185" s="20"/>
      <c r="AE185" s="20"/>
    </row>
    <row r="186">
      <c r="A186" s="3"/>
      <c r="B186" s="10"/>
      <c r="C186" s="10"/>
      <c r="D186" s="14"/>
      <c r="E186" s="14"/>
      <c r="F186" s="14"/>
      <c r="G186" s="14"/>
      <c r="H186" s="14"/>
      <c r="I186" s="14"/>
      <c r="J186" s="14"/>
      <c r="K186" s="1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4"/>
      <c r="AB186" s="20"/>
      <c r="AC186" s="20"/>
      <c r="AD186" s="20"/>
      <c r="AE186" s="20"/>
    </row>
    <row r="187">
      <c r="A187" s="3"/>
      <c r="B187" s="10"/>
      <c r="C187" s="10"/>
      <c r="D187" s="14"/>
      <c r="E187" s="14"/>
      <c r="F187" s="14"/>
      <c r="G187" s="14"/>
      <c r="H187" s="14"/>
      <c r="I187" s="14"/>
      <c r="J187" s="14"/>
      <c r="K187" s="1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4"/>
      <c r="AB187" s="20"/>
      <c r="AC187" s="20"/>
      <c r="AD187" s="20"/>
      <c r="AE187" s="20"/>
    </row>
    <row r="188">
      <c r="A188" s="3"/>
      <c r="B188" s="10"/>
      <c r="C188" s="10"/>
      <c r="D188" s="14"/>
      <c r="E188" s="14"/>
      <c r="F188" s="14"/>
      <c r="G188" s="14"/>
      <c r="H188" s="14"/>
      <c r="I188" s="14"/>
      <c r="J188" s="14"/>
      <c r="K188" s="1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4"/>
      <c r="AB188" s="20"/>
      <c r="AC188" s="20"/>
      <c r="AD188" s="20"/>
      <c r="AE188" s="20"/>
    </row>
    <row r="189">
      <c r="A189" s="3"/>
      <c r="B189" s="10"/>
      <c r="C189" s="10"/>
      <c r="D189" s="14"/>
      <c r="E189" s="14"/>
      <c r="F189" s="14"/>
      <c r="G189" s="14"/>
      <c r="H189" s="14"/>
      <c r="I189" s="14"/>
      <c r="J189" s="14"/>
      <c r="K189" s="1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4"/>
      <c r="AB189" s="20"/>
      <c r="AC189" s="20"/>
      <c r="AD189" s="20"/>
      <c r="AE189" s="20"/>
    </row>
    <row r="190">
      <c r="A190" s="3"/>
      <c r="B190" s="10"/>
      <c r="C190" s="10"/>
      <c r="D190" s="14"/>
      <c r="E190" s="14"/>
      <c r="F190" s="14"/>
      <c r="G190" s="14"/>
      <c r="H190" s="14"/>
      <c r="I190" s="14"/>
      <c r="J190" s="14"/>
      <c r="K190" s="1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4"/>
      <c r="AB190" s="20"/>
      <c r="AC190" s="20"/>
      <c r="AD190" s="20"/>
      <c r="AE190" s="20"/>
    </row>
    <row r="191">
      <c r="A191" s="3"/>
      <c r="B191" s="10"/>
      <c r="C191" s="10"/>
      <c r="D191" s="14"/>
      <c r="E191" s="14"/>
      <c r="F191" s="14"/>
      <c r="G191" s="14"/>
      <c r="H191" s="14"/>
      <c r="I191" s="14"/>
      <c r="J191" s="14"/>
      <c r="K191" s="1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4"/>
      <c r="AB191" s="20"/>
      <c r="AC191" s="20"/>
      <c r="AD191" s="20"/>
      <c r="AE191" s="20"/>
    </row>
    <row r="192">
      <c r="A192" s="3"/>
      <c r="B192" s="10"/>
      <c r="C192" s="10"/>
      <c r="D192" s="14"/>
      <c r="E192" s="14"/>
      <c r="F192" s="14"/>
      <c r="G192" s="14"/>
      <c r="H192" s="14"/>
      <c r="I192" s="14"/>
      <c r="J192" s="14"/>
      <c r="K192" s="1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4"/>
      <c r="AB192" s="20"/>
      <c r="AC192" s="20"/>
      <c r="AD192" s="20"/>
      <c r="AE192" s="20"/>
    </row>
    <row r="193">
      <c r="A193" s="3"/>
      <c r="B193" s="10"/>
      <c r="C193" s="10"/>
      <c r="D193" s="14"/>
      <c r="E193" s="14"/>
      <c r="F193" s="14"/>
      <c r="G193" s="14"/>
      <c r="H193" s="14"/>
      <c r="I193" s="14"/>
      <c r="J193" s="14"/>
      <c r="K193" s="1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4"/>
      <c r="AB193" s="20"/>
      <c r="AC193" s="20"/>
      <c r="AD193" s="20"/>
      <c r="AE193" s="20"/>
    </row>
    <row r="194">
      <c r="A194" s="3"/>
      <c r="B194" s="10"/>
      <c r="C194" s="10"/>
      <c r="D194" s="14"/>
      <c r="E194" s="14"/>
      <c r="F194" s="14"/>
      <c r="G194" s="14"/>
      <c r="H194" s="14"/>
      <c r="I194" s="14"/>
      <c r="J194" s="14"/>
      <c r="K194" s="1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4"/>
      <c r="AB194" s="20"/>
      <c r="AC194" s="20"/>
      <c r="AD194" s="20"/>
      <c r="AE194" s="20"/>
    </row>
    <row r="195">
      <c r="A195" s="3"/>
      <c r="B195" s="10"/>
      <c r="C195" s="10"/>
      <c r="D195" s="14"/>
      <c r="E195" s="14"/>
      <c r="F195" s="14"/>
      <c r="G195" s="14"/>
      <c r="H195" s="14"/>
      <c r="I195" s="14"/>
      <c r="J195" s="14"/>
      <c r="K195" s="1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4"/>
      <c r="AB195" s="20"/>
      <c r="AC195" s="20"/>
      <c r="AD195" s="20"/>
      <c r="AE195" s="20"/>
    </row>
    <row r="196">
      <c r="A196" s="3"/>
      <c r="B196" s="10"/>
      <c r="C196" s="10"/>
      <c r="D196" s="14"/>
      <c r="E196" s="14"/>
      <c r="F196" s="14"/>
      <c r="G196" s="14"/>
      <c r="H196" s="14"/>
      <c r="I196" s="14"/>
      <c r="J196" s="14"/>
      <c r="K196" s="1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4"/>
      <c r="AB196" s="20"/>
      <c r="AC196" s="20"/>
      <c r="AD196" s="20"/>
      <c r="AE196" s="20"/>
    </row>
    <row r="197">
      <c r="A197" s="3"/>
      <c r="B197" s="10"/>
      <c r="C197" s="10"/>
      <c r="D197" s="14"/>
      <c r="E197" s="14"/>
      <c r="F197" s="14"/>
      <c r="G197" s="14"/>
      <c r="H197" s="14"/>
      <c r="I197" s="14"/>
      <c r="J197" s="14"/>
      <c r="K197" s="1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4"/>
      <c r="AB197" s="20"/>
      <c r="AC197" s="20"/>
      <c r="AD197" s="20"/>
      <c r="AE197" s="20"/>
    </row>
    <row r="198">
      <c r="A198" s="3"/>
      <c r="B198" s="10"/>
      <c r="C198" s="10"/>
      <c r="D198" s="14"/>
      <c r="E198" s="14"/>
      <c r="F198" s="14"/>
      <c r="G198" s="14"/>
      <c r="H198" s="14"/>
      <c r="I198" s="14"/>
      <c r="J198" s="14"/>
      <c r="K198" s="1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4"/>
      <c r="AB198" s="20"/>
      <c r="AC198" s="20"/>
      <c r="AD198" s="20"/>
      <c r="AE198" s="20"/>
    </row>
    <row r="199">
      <c r="A199" s="3"/>
      <c r="B199" s="10"/>
      <c r="C199" s="10"/>
      <c r="D199" s="14"/>
      <c r="E199" s="14"/>
      <c r="F199" s="14"/>
      <c r="G199" s="14"/>
      <c r="H199" s="14"/>
      <c r="I199" s="14"/>
      <c r="J199" s="14"/>
      <c r="K199" s="1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4"/>
      <c r="AB199" s="20"/>
      <c r="AC199" s="20"/>
      <c r="AD199" s="20"/>
      <c r="AE199" s="20"/>
    </row>
    <row r="200">
      <c r="A200" s="3"/>
      <c r="B200" s="10"/>
      <c r="C200" s="10"/>
      <c r="D200" s="14"/>
      <c r="E200" s="14"/>
      <c r="F200" s="14"/>
      <c r="G200" s="14"/>
      <c r="H200" s="14"/>
      <c r="I200" s="14"/>
      <c r="J200" s="14"/>
      <c r="K200" s="1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4"/>
      <c r="AB200" s="20"/>
      <c r="AC200" s="20"/>
      <c r="AD200" s="20"/>
      <c r="AE200" s="20"/>
    </row>
    <row r="201">
      <c r="A201" s="3"/>
      <c r="B201" s="10"/>
      <c r="C201" s="10"/>
      <c r="D201" s="14"/>
      <c r="E201" s="14"/>
      <c r="F201" s="14"/>
      <c r="G201" s="14"/>
      <c r="H201" s="14"/>
      <c r="I201" s="14"/>
      <c r="J201" s="14"/>
      <c r="K201" s="1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4"/>
      <c r="AB201" s="20"/>
      <c r="AC201" s="20"/>
      <c r="AD201" s="20"/>
      <c r="AE201" s="20"/>
    </row>
    <row r="202">
      <c r="A202" s="3"/>
      <c r="B202" s="10"/>
      <c r="C202" s="10"/>
      <c r="D202" s="14"/>
      <c r="E202" s="14"/>
      <c r="F202" s="14"/>
      <c r="G202" s="14"/>
      <c r="H202" s="14"/>
      <c r="I202" s="14"/>
      <c r="J202" s="14"/>
      <c r="K202" s="1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4"/>
      <c r="AB202" s="20"/>
      <c r="AC202" s="20"/>
      <c r="AD202" s="20"/>
      <c r="AE202" s="20"/>
    </row>
    <row r="203">
      <c r="A203" s="3"/>
      <c r="B203" s="10"/>
      <c r="C203" s="10"/>
      <c r="D203" s="14"/>
      <c r="E203" s="14"/>
      <c r="F203" s="14"/>
      <c r="G203" s="14"/>
      <c r="H203" s="14"/>
      <c r="I203" s="14"/>
      <c r="J203" s="14"/>
      <c r="K203" s="1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4"/>
      <c r="AB203" s="20"/>
      <c r="AC203" s="20"/>
      <c r="AD203" s="20"/>
      <c r="AE203" s="20"/>
    </row>
    <row r="204">
      <c r="A204" s="3"/>
      <c r="B204" s="10"/>
      <c r="C204" s="10"/>
      <c r="D204" s="14"/>
      <c r="E204" s="14"/>
      <c r="F204" s="14"/>
      <c r="G204" s="14"/>
      <c r="H204" s="14"/>
      <c r="I204" s="14"/>
      <c r="J204" s="14"/>
      <c r="K204" s="1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4"/>
      <c r="AB204" s="20"/>
      <c r="AC204" s="20"/>
      <c r="AD204" s="20"/>
      <c r="AE204" s="20"/>
    </row>
    <row r="205">
      <c r="A205" s="3"/>
      <c r="B205" s="10"/>
      <c r="C205" s="10"/>
      <c r="D205" s="14"/>
      <c r="E205" s="14"/>
      <c r="F205" s="14"/>
      <c r="G205" s="14"/>
      <c r="H205" s="14"/>
      <c r="I205" s="14"/>
      <c r="J205" s="14"/>
      <c r="K205" s="1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4"/>
      <c r="AB205" s="20"/>
      <c r="AC205" s="20"/>
      <c r="AD205" s="20"/>
      <c r="AE205" s="20"/>
    </row>
    <row r="206">
      <c r="A206" s="3"/>
      <c r="B206" s="10"/>
      <c r="C206" s="10"/>
      <c r="D206" s="14"/>
      <c r="E206" s="14"/>
      <c r="F206" s="14"/>
      <c r="G206" s="14"/>
      <c r="H206" s="14"/>
      <c r="I206" s="14"/>
      <c r="J206" s="14"/>
      <c r="K206" s="1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4"/>
      <c r="AB206" s="20"/>
      <c r="AC206" s="20"/>
      <c r="AD206" s="20"/>
      <c r="AE206" s="20"/>
    </row>
    <row r="207">
      <c r="A207" s="3"/>
      <c r="B207" s="10"/>
      <c r="C207" s="10"/>
      <c r="D207" s="14"/>
      <c r="E207" s="14"/>
      <c r="F207" s="14"/>
      <c r="G207" s="14"/>
      <c r="H207" s="14"/>
      <c r="I207" s="14"/>
      <c r="J207" s="14"/>
      <c r="K207" s="1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4"/>
      <c r="AB207" s="20"/>
      <c r="AC207" s="20"/>
      <c r="AD207" s="20"/>
      <c r="AE207" s="20"/>
    </row>
    <row r="208">
      <c r="A208" s="3"/>
      <c r="B208" s="10"/>
      <c r="C208" s="10"/>
      <c r="D208" s="14"/>
      <c r="E208" s="14"/>
      <c r="F208" s="14"/>
      <c r="G208" s="14"/>
      <c r="H208" s="14"/>
      <c r="I208" s="14"/>
      <c r="J208" s="14"/>
      <c r="K208" s="1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4"/>
      <c r="AB208" s="20"/>
      <c r="AC208" s="20"/>
      <c r="AD208" s="20"/>
      <c r="AE208" s="20"/>
    </row>
    <row r="209">
      <c r="A209" s="3"/>
      <c r="B209" s="10"/>
      <c r="C209" s="10"/>
      <c r="D209" s="14"/>
      <c r="E209" s="14"/>
      <c r="F209" s="14"/>
      <c r="G209" s="14"/>
      <c r="H209" s="14"/>
      <c r="I209" s="14"/>
      <c r="J209" s="14"/>
      <c r="K209" s="1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4"/>
      <c r="AB209" s="20"/>
      <c r="AC209" s="20"/>
      <c r="AD209" s="20"/>
      <c r="AE209" s="20"/>
    </row>
    <row r="210">
      <c r="A210" s="3"/>
      <c r="B210" s="10"/>
      <c r="C210" s="10"/>
      <c r="D210" s="14"/>
      <c r="E210" s="14"/>
      <c r="F210" s="14"/>
      <c r="G210" s="14"/>
      <c r="H210" s="14"/>
      <c r="I210" s="14"/>
      <c r="J210" s="14"/>
      <c r="K210" s="1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4"/>
      <c r="AB210" s="20"/>
      <c r="AC210" s="20"/>
      <c r="AD210" s="20"/>
      <c r="AE210" s="20"/>
    </row>
    <row r="211">
      <c r="A211" s="3"/>
      <c r="B211" s="10"/>
      <c r="C211" s="10"/>
      <c r="D211" s="14"/>
      <c r="E211" s="14"/>
      <c r="F211" s="14"/>
      <c r="G211" s="14"/>
      <c r="H211" s="14"/>
      <c r="I211" s="14"/>
      <c r="J211" s="14"/>
      <c r="K211" s="1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4"/>
      <c r="AB211" s="20"/>
      <c r="AC211" s="20"/>
      <c r="AD211" s="20"/>
      <c r="AE211" s="20"/>
    </row>
    <row r="212">
      <c r="A212" s="3"/>
      <c r="B212" s="10"/>
      <c r="C212" s="10"/>
      <c r="D212" s="14"/>
      <c r="E212" s="14"/>
      <c r="F212" s="14"/>
      <c r="G212" s="14"/>
      <c r="H212" s="14"/>
      <c r="I212" s="14"/>
      <c r="J212" s="14"/>
      <c r="K212" s="1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4"/>
      <c r="AB212" s="20"/>
      <c r="AC212" s="20"/>
      <c r="AD212" s="20"/>
      <c r="AE212" s="20"/>
    </row>
    <row r="213">
      <c r="A213" s="3"/>
      <c r="B213" s="10"/>
      <c r="C213" s="10"/>
      <c r="D213" s="14"/>
      <c r="E213" s="14"/>
      <c r="F213" s="14"/>
      <c r="G213" s="14"/>
      <c r="H213" s="14"/>
      <c r="I213" s="14"/>
      <c r="J213" s="14"/>
      <c r="K213" s="1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4"/>
      <c r="AB213" s="20"/>
      <c r="AC213" s="20"/>
      <c r="AD213" s="20"/>
      <c r="AE213" s="20"/>
    </row>
    <row r="214">
      <c r="A214" s="3"/>
      <c r="B214" s="10"/>
      <c r="C214" s="10"/>
      <c r="D214" s="14"/>
      <c r="E214" s="14"/>
      <c r="F214" s="14"/>
      <c r="G214" s="14"/>
      <c r="H214" s="14"/>
      <c r="I214" s="14"/>
      <c r="J214" s="14"/>
      <c r="K214" s="1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4"/>
      <c r="AB214" s="20"/>
      <c r="AC214" s="20"/>
      <c r="AD214" s="20"/>
      <c r="AE214" s="20"/>
    </row>
    <row r="215">
      <c r="A215" s="3"/>
      <c r="B215" s="10"/>
      <c r="C215" s="10"/>
      <c r="D215" s="14"/>
      <c r="E215" s="14"/>
      <c r="F215" s="14"/>
      <c r="G215" s="14"/>
      <c r="H215" s="14"/>
      <c r="I215" s="14"/>
      <c r="J215" s="14"/>
      <c r="K215" s="1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4"/>
      <c r="AB215" s="20"/>
      <c r="AC215" s="20"/>
      <c r="AD215" s="20"/>
      <c r="AE215" s="20"/>
    </row>
    <row r="216">
      <c r="A216" s="3"/>
      <c r="B216" s="10"/>
      <c r="C216" s="10"/>
      <c r="D216" s="14"/>
      <c r="E216" s="14"/>
      <c r="F216" s="14"/>
      <c r="G216" s="14"/>
      <c r="H216" s="14"/>
      <c r="I216" s="14"/>
      <c r="J216" s="14"/>
      <c r="K216" s="1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4"/>
      <c r="AB216" s="20"/>
      <c r="AC216" s="20"/>
      <c r="AD216" s="20"/>
      <c r="AE216" s="20"/>
    </row>
    <row r="217">
      <c r="A217" s="3"/>
      <c r="B217" s="10"/>
      <c r="C217" s="10"/>
      <c r="D217" s="14"/>
      <c r="E217" s="14"/>
      <c r="F217" s="14"/>
      <c r="G217" s="14"/>
      <c r="H217" s="14"/>
      <c r="I217" s="14"/>
      <c r="J217" s="14"/>
      <c r="K217" s="1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4"/>
      <c r="AB217" s="20"/>
      <c r="AC217" s="20"/>
      <c r="AD217" s="20"/>
      <c r="AE217" s="20"/>
    </row>
    <row r="218">
      <c r="A218" s="3"/>
      <c r="B218" s="10"/>
      <c r="C218" s="10"/>
      <c r="D218" s="14"/>
      <c r="E218" s="14"/>
      <c r="F218" s="14"/>
      <c r="G218" s="14"/>
      <c r="H218" s="14"/>
      <c r="I218" s="14"/>
      <c r="J218" s="14"/>
      <c r="K218" s="1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4"/>
      <c r="AB218" s="20"/>
      <c r="AC218" s="20"/>
      <c r="AD218" s="20"/>
      <c r="AE218" s="20"/>
    </row>
    <row r="219">
      <c r="A219" s="3"/>
      <c r="B219" s="10"/>
      <c r="C219" s="10"/>
      <c r="D219" s="14"/>
      <c r="E219" s="14"/>
      <c r="F219" s="14"/>
      <c r="G219" s="14"/>
      <c r="H219" s="14"/>
      <c r="I219" s="14"/>
      <c r="J219" s="14"/>
      <c r="K219" s="1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4"/>
      <c r="AB219" s="20"/>
      <c r="AC219" s="20"/>
      <c r="AD219" s="20"/>
      <c r="AE219" s="20"/>
    </row>
    <row r="220">
      <c r="A220" s="3"/>
      <c r="B220" s="10"/>
      <c r="C220" s="10"/>
      <c r="D220" s="14"/>
      <c r="E220" s="14"/>
      <c r="F220" s="14"/>
      <c r="G220" s="14"/>
      <c r="H220" s="14"/>
      <c r="I220" s="14"/>
      <c r="J220" s="14"/>
      <c r="K220" s="1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4"/>
      <c r="AB220" s="20"/>
      <c r="AC220" s="20"/>
      <c r="AD220" s="20"/>
      <c r="AE220" s="20"/>
    </row>
    <row r="221">
      <c r="A221" s="3"/>
      <c r="B221" s="10"/>
      <c r="C221" s="10"/>
      <c r="D221" s="14"/>
      <c r="E221" s="14"/>
      <c r="F221" s="14"/>
      <c r="G221" s="14"/>
      <c r="H221" s="14"/>
      <c r="I221" s="14"/>
      <c r="J221" s="14"/>
      <c r="K221" s="1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4"/>
      <c r="AB221" s="20"/>
      <c r="AC221" s="20"/>
      <c r="AD221" s="20"/>
      <c r="AE221" s="20"/>
    </row>
    <row r="222">
      <c r="A222" s="3"/>
      <c r="B222" s="10"/>
      <c r="C222" s="10"/>
      <c r="D222" s="14"/>
      <c r="E222" s="14"/>
      <c r="F222" s="14"/>
      <c r="G222" s="14"/>
      <c r="H222" s="14"/>
      <c r="I222" s="14"/>
      <c r="J222" s="14"/>
      <c r="K222" s="1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4"/>
      <c r="AB222" s="20"/>
      <c r="AC222" s="20"/>
      <c r="AD222" s="20"/>
      <c r="AE222" s="20"/>
    </row>
    <row r="223">
      <c r="A223" s="3"/>
      <c r="B223" s="10"/>
      <c r="C223" s="10"/>
      <c r="D223" s="14"/>
      <c r="E223" s="14"/>
      <c r="F223" s="14"/>
      <c r="G223" s="14"/>
      <c r="H223" s="14"/>
      <c r="I223" s="14"/>
      <c r="J223" s="14"/>
      <c r="K223" s="1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4"/>
      <c r="AB223" s="20"/>
      <c r="AC223" s="20"/>
      <c r="AD223" s="20"/>
      <c r="AE223" s="20"/>
    </row>
    <row r="224">
      <c r="A224" s="3"/>
      <c r="B224" s="10"/>
      <c r="C224" s="10"/>
      <c r="D224" s="14"/>
      <c r="E224" s="14"/>
      <c r="F224" s="14"/>
      <c r="G224" s="14"/>
      <c r="H224" s="14"/>
      <c r="I224" s="14"/>
      <c r="J224" s="14"/>
      <c r="K224" s="1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4"/>
      <c r="AB224" s="20"/>
      <c r="AC224" s="20"/>
      <c r="AD224" s="20"/>
      <c r="AE224" s="20"/>
    </row>
    <row r="225">
      <c r="A225" s="3"/>
      <c r="B225" s="10"/>
      <c r="C225" s="10"/>
      <c r="D225" s="14"/>
      <c r="E225" s="14"/>
      <c r="F225" s="14"/>
      <c r="G225" s="14"/>
      <c r="H225" s="14"/>
      <c r="I225" s="14"/>
      <c r="J225" s="14"/>
      <c r="K225" s="1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4"/>
      <c r="AB225" s="20"/>
      <c r="AC225" s="20"/>
      <c r="AD225" s="20"/>
      <c r="AE225" s="20"/>
    </row>
    <row r="226">
      <c r="A226" s="3"/>
      <c r="B226" s="10"/>
      <c r="C226" s="10"/>
      <c r="D226" s="14"/>
      <c r="E226" s="14"/>
      <c r="F226" s="14"/>
      <c r="G226" s="14"/>
      <c r="H226" s="14"/>
      <c r="I226" s="14"/>
      <c r="J226" s="14"/>
      <c r="K226" s="1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4"/>
      <c r="AB226" s="20"/>
      <c r="AC226" s="20"/>
      <c r="AD226" s="20"/>
      <c r="AE226" s="20"/>
    </row>
    <row r="227">
      <c r="A227" s="3"/>
      <c r="B227" s="10"/>
      <c r="C227" s="10"/>
      <c r="D227" s="14"/>
      <c r="E227" s="14"/>
      <c r="F227" s="14"/>
      <c r="G227" s="14"/>
      <c r="H227" s="14"/>
      <c r="I227" s="14"/>
      <c r="J227" s="14"/>
      <c r="K227" s="1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4"/>
      <c r="AB227" s="20"/>
      <c r="AC227" s="20"/>
      <c r="AD227" s="20"/>
      <c r="AE227" s="20"/>
    </row>
    <row r="228">
      <c r="A228" s="3"/>
      <c r="B228" s="10"/>
      <c r="C228" s="10"/>
      <c r="D228" s="14"/>
      <c r="E228" s="14"/>
      <c r="F228" s="14"/>
      <c r="G228" s="14"/>
      <c r="H228" s="14"/>
      <c r="I228" s="14"/>
      <c r="J228" s="14"/>
      <c r="K228" s="1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4"/>
      <c r="AB228" s="20"/>
      <c r="AC228" s="20"/>
      <c r="AD228" s="20"/>
      <c r="AE228" s="20"/>
    </row>
    <row r="229">
      <c r="A229" s="3"/>
      <c r="B229" s="10"/>
      <c r="C229" s="10"/>
      <c r="D229" s="14"/>
      <c r="E229" s="14"/>
      <c r="F229" s="14"/>
      <c r="G229" s="14"/>
      <c r="H229" s="14"/>
      <c r="I229" s="14"/>
      <c r="J229" s="14"/>
      <c r="K229" s="1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4"/>
      <c r="AB229" s="20"/>
      <c r="AC229" s="20"/>
      <c r="AD229" s="20"/>
      <c r="AE229" s="20"/>
    </row>
    <row r="230">
      <c r="A230" s="3"/>
      <c r="B230" s="10"/>
      <c r="C230" s="10"/>
      <c r="D230" s="14"/>
      <c r="E230" s="14"/>
      <c r="F230" s="14"/>
      <c r="G230" s="14"/>
      <c r="H230" s="14"/>
      <c r="I230" s="14"/>
      <c r="J230" s="14"/>
      <c r="K230" s="1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4"/>
      <c r="AB230" s="20"/>
      <c r="AC230" s="20"/>
      <c r="AD230" s="20"/>
      <c r="AE230" s="20"/>
    </row>
    <row r="231">
      <c r="A231" s="3"/>
      <c r="B231" s="10"/>
      <c r="C231" s="10"/>
      <c r="D231" s="14"/>
      <c r="E231" s="14"/>
      <c r="F231" s="14"/>
      <c r="G231" s="14"/>
      <c r="H231" s="14"/>
      <c r="I231" s="14"/>
      <c r="J231" s="14"/>
      <c r="K231" s="1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4"/>
      <c r="AB231" s="20"/>
      <c r="AC231" s="20"/>
      <c r="AD231" s="20"/>
      <c r="AE231" s="20"/>
    </row>
    <row r="232">
      <c r="A232" s="3"/>
      <c r="B232" s="10"/>
      <c r="C232" s="10"/>
      <c r="D232" s="14"/>
      <c r="E232" s="14"/>
      <c r="F232" s="14"/>
      <c r="G232" s="14"/>
      <c r="H232" s="14"/>
      <c r="I232" s="14"/>
      <c r="J232" s="14"/>
      <c r="K232" s="1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4"/>
      <c r="AB232" s="20"/>
      <c r="AC232" s="20"/>
      <c r="AD232" s="20"/>
      <c r="AE232" s="20"/>
    </row>
    <row r="233">
      <c r="A233" s="3"/>
      <c r="B233" s="10"/>
      <c r="C233" s="10"/>
      <c r="D233" s="14"/>
      <c r="E233" s="14"/>
      <c r="F233" s="14"/>
      <c r="G233" s="14"/>
      <c r="H233" s="14"/>
      <c r="I233" s="14"/>
      <c r="J233" s="14"/>
      <c r="K233" s="1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4"/>
      <c r="AB233" s="20"/>
      <c r="AC233" s="20"/>
      <c r="AD233" s="20"/>
      <c r="AE233" s="20"/>
    </row>
    <row r="234">
      <c r="A234" s="3"/>
      <c r="B234" s="10"/>
      <c r="C234" s="10"/>
      <c r="D234" s="14"/>
      <c r="E234" s="14"/>
      <c r="F234" s="14"/>
      <c r="G234" s="14"/>
      <c r="H234" s="14"/>
      <c r="I234" s="14"/>
      <c r="J234" s="14"/>
      <c r="K234" s="1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4"/>
      <c r="AB234" s="20"/>
      <c r="AC234" s="20"/>
      <c r="AD234" s="20"/>
      <c r="AE234" s="20"/>
    </row>
    <row r="235">
      <c r="A235" s="3"/>
      <c r="B235" s="10"/>
      <c r="C235" s="10"/>
      <c r="D235" s="14"/>
      <c r="E235" s="14"/>
      <c r="F235" s="14"/>
      <c r="G235" s="14"/>
      <c r="H235" s="14"/>
      <c r="I235" s="14"/>
      <c r="J235" s="14"/>
      <c r="K235" s="1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4"/>
      <c r="AB235" s="20"/>
      <c r="AC235" s="20"/>
      <c r="AD235" s="20"/>
      <c r="AE235" s="20"/>
    </row>
    <row r="236">
      <c r="A236" s="3"/>
      <c r="B236" s="10"/>
      <c r="C236" s="10"/>
      <c r="D236" s="14"/>
      <c r="E236" s="14"/>
      <c r="F236" s="14"/>
      <c r="G236" s="14"/>
      <c r="H236" s="14"/>
      <c r="I236" s="14"/>
      <c r="J236" s="14"/>
      <c r="K236" s="1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4"/>
      <c r="AB236" s="20"/>
      <c r="AC236" s="20"/>
      <c r="AD236" s="20"/>
      <c r="AE236" s="20"/>
    </row>
    <row r="237">
      <c r="A237" s="3"/>
      <c r="B237" s="10"/>
      <c r="C237" s="10"/>
      <c r="D237" s="14"/>
      <c r="E237" s="14"/>
      <c r="F237" s="14"/>
      <c r="G237" s="14"/>
      <c r="H237" s="14"/>
      <c r="I237" s="14"/>
      <c r="J237" s="14"/>
      <c r="K237" s="1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4"/>
      <c r="AB237" s="20"/>
      <c r="AC237" s="20"/>
      <c r="AD237" s="20"/>
      <c r="AE237" s="20"/>
    </row>
    <row r="238">
      <c r="A238" s="3"/>
      <c r="B238" s="10"/>
      <c r="C238" s="10"/>
      <c r="D238" s="14"/>
      <c r="E238" s="14"/>
      <c r="F238" s="14"/>
      <c r="G238" s="14"/>
      <c r="H238" s="14"/>
      <c r="I238" s="14"/>
      <c r="J238" s="14"/>
      <c r="K238" s="1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4"/>
      <c r="AB238" s="20"/>
      <c r="AC238" s="20"/>
      <c r="AD238" s="20"/>
      <c r="AE238" s="20"/>
    </row>
    <row r="239">
      <c r="A239" s="3"/>
      <c r="B239" s="10"/>
      <c r="C239" s="10"/>
      <c r="D239" s="14"/>
      <c r="E239" s="14"/>
      <c r="F239" s="14"/>
      <c r="G239" s="14"/>
      <c r="H239" s="14"/>
      <c r="I239" s="14"/>
      <c r="J239" s="14"/>
      <c r="K239" s="1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4"/>
      <c r="AB239" s="20"/>
      <c r="AC239" s="20"/>
      <c r="AD239" s="20"/>
      <c r="AE239" s="20"/>
    </row>
    <row r="240">
      <c r="A240" s="3"/>
      <c r="B240" s="10"/>
      <c r="C240" s="10"/>
      <c r="D240" s="14"/>
      <c r="E240" s="14"/>
      <c r="F240" s="14"/>
      <c r="G240" s="14"/>
      <c r="H240" s="14"/>
      <c r="I240" s="14"/>
      <c r="J240" s="14"/>
      <c r="K240" s="1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4"/>
      <c r="AB240" s="20"/>
      <c r="AC240" s="20"/>
      <c r="AD240" s="20"/>
      <c r="AE240" s="20"/>
    </row>
    <row r="241">
      <c r="A241" s="3"/>
      <c r="B241" s="10"/>
      <c r="C241" s="10"/>
      <c r="D241" s="14"/>
      <c r="E241" s="14"/>
      <c r="F241" s="14"/>
      <c r="G241" s="14"/>
      <c r="H241" s="14"/>
      <c r="I241" s="14"/>
      <c r="J241" s="14"/>
      <c r="K241" s="1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4"/>
      <c r="AB241" s="20"/>
      <c r="AC241" s="20"/>
      <c r="AD241" s="20"/>
      <c r="AE241" s="20"/>
    </row>
    <row r="242">
      <c r="A242" s="3"/>
      <c r="B242" s="10"/>
      <c r="C242" s="10"/>
      <c r="D242" s="14"/>
      <c r="E242" s="14"/>
      <c r="F242" s="14"/>
      <c r="G242" s="14"/>
      <c r="H242" s="14"/>
      <c r="I242" s="14"/>
      <c r="J242" s="14"/>
      <c r="K242" s="1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4"/>
      <c r="AB242" s="20"/>
      <c r="AC242" s="20"/>
      <c r="AD242" s="20"/>
      <c r="AE242" s="20"/>
    </row>
    <row r="243">
      <c r="A243" s="3"/>
      <c r="B243" s="10"/>
      <c r="C243" s="10"/>
      <c r="D243" s="14"/>
      <c r="E243" s="14"/>
      <c r="F243" s="14"/>
      <c r="G243" s="14"/>
      <c r="H243" s="14"/>
      <c r="I243" s="14"/>
      <c r="J243" s="14"/>
      <c r="K243" s="1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4"/>
      <c r="AB243" s="20"/>
      <c r="AC243" s="20"/>
      <c r="AD243" s="20"/>
      <c r="AE243" s="20"/>
    </row>
    <row r="244">
      <c r="A244" s="3"/>
      <c r="B244" s="10"/>
      <c r="C244" s="10"/>
      <c r="D244" s="14"/>
      <c r="E244" s="14"/>
      <c r="F244" s="14"/>
      <c r="G244" s="14"/>
      <c r="H244" s="14"/>
      <c r="I244" s="14"/>
      <c r="J244" s="14"/>
      <c r="K244" s="1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4"/>
      <c r="AB244" s="20"/>
      <c r="AC244" s="20"/>
      <c r="AD244" s="20"/>
      <c r="AE244" s="20"/>
    </row>
    <row r="245">
      <c r="A245" s="3"/>
      <c r="B245" s="10"/>
      <c r="C245" s="10"/>
      <c r="D245" s="14"/>
      <c r="E245" s="14"/>
      <c r="F245" s="14"/>
      <c r="G245" s="14"/>
      <c r="H245" s="14"/>
      <c r="I245" s="14"/>
      <c r="J245" s="14"/>
      <c r="K245" s="1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4"/>
      <c r="AB245" s="20"/>
      <c r="AC245" s="20"/>
      <c r="AD245" s="20"/>
      <c r="AE245" s="20"/>
    </row>
    <row r="246">
      <c r="A246" s="3"/>
      <c r="B246" s="10"/>
      <c r="C246" s="10"/>
      <c r="D246" s="14"/>
      <c r="E246" s="14"/>
      <c r="F246" s="14"/>
      <c r="G246" s="14"/>
      <c r="H246" s="14"/>
      <c r="I246" s="14"/>
      <c r="J246" s="14"/>
      <c r="K246" s="1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4"/>
      <c r="AB246" s="20"/>
      <c r="AC246" s="20"/>
      <c r="AD246" s="20"/>
      <c r="AE246" s="20"/>
    </row>
    <row r="247">
      <c r="A247" s="3"/>
      <c r="B247" s="10"/>
      <c r="C247" s="10"/>
      <c r="D247" s="14"/>
      <c r="E247" s="14"/>
      <c r="F247" s="14"/>
      <c r="G247" s="14"/>
      <c r="H247" s="14"/>
      <c r="I247" s="14"/>
      <c r="J247" s="14"/>
      <c r="K247" s="1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4"/>
      <c r="AB247" s="20"/>
      <c r="AC247" s="20"/>
      <c r="AD247" s="20"/>
      <c r="AE247" s="20"/>
    </row>
    <row r="248">
      <c r="A248" s="3"/>
      <c r="B248" s="10"/>
      <c r="C248" s="10"/>
      <c r="D248" s="14"/>
      <c r="E248" s="14"/>
      <c r="F248" s="14"/>
      <c r="G248" s="14"/>
      <c r="H248" s="14"/>
      <c r="I248" s="14"/>
      <c r="J248" s="14"/>
      <c r="K248" s="1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4"/>
      <c r="AB248" s="20"/>
      <c r="AC248" s="20"/>
      <c r="AD248" s="20"/>
      <c r="AE248" s="20"/>
    </row>
    <row r="249">
      <c r="A249" s="3"/>
      <c r="B249" s="10"/>
      <c r="C249" s="10"/>
      <c r="D249" s="14"/>
      <c r="E249" s="14"/>
      <c r="F249" s="14"/>
      <c r="G249" s="14"/>
      <c r="H249" s="14"/>
      <c r="I249" s="14"/>
      <c r="J249" s="14"/>
      <c r="K249" s="1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4"/>
      <c r="AB249" s="20"/>
      <c r="AC249" s="20"/>
      <c r="AD249" s="20"/>
      <c r="AE249" s="20"/>
    </row>
    <row r="250">
      <c r="A250" s="3"/>
      <c r="B250" s="10"/>
      <c r="C250" s="10"/>
      <c r="D250" s="14"/>
      <c r="E250" s="14"/>
      <c r="F250" s="14"/>
      <c r="G250" s="14"/>
      <c r="H250" s="14"/>
      <c r="I250" s="14"/>
      <c r="J250" s="14"/>
      <c r="K250" s="1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4"/>
      <c r="AB250" s="20"/>
      <c r="AC250" s="20"/>
      <c r="AD250" s="20"/>
      <c r="AE250" s="20"/>
    </row>
    <row r="251">
      <c r="A251" s="3"/>
      <c r="B251" s="10"/>
      <c r="C251" s="10"/>
      <c r="D251" s="14"/>
      <c r="E251" s="14"/>
      <c r="F251" s="14"/>
      <c r="G251" s="14"/>
      <c r="H251" s="14"/>
      <c r="I251" s="14"/>
      <c r="J251" s="14"/>
      <c r="K251" s="1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4"/>
      <c r="AB251" s="20"/>
      <c r="AC251" s="20"/>
      <c r="AD251" s="20"/>
      <c r="AE251" s="20"/>
    </row>
    <row r="252">
      <c r="A252" s="3"/>
      <c r="B252" s="10"/>
      <c r="C252" s="10"/>
      <c r="D252" s="14"/>
      <c r="E252" s="14"/>
      <c r="F252" s="14"/>
      <c r="G252" s="14"/>
      <c r="H252" s="14"/>
      <c r="I252" s="14"/>
      <c r="J252" s="14"/>
      <c r="K252" s="1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4"/>
      <c r="AB252" s="20"/>
      <c r="AC252" s="20"/>
      <c r="AD252" s="20"/>
      <c r="AE252" s="20"/>
    </row>
    <row r="253">
      <c r="A253" s="3"/>
      <c r="B253" s="10"/>
      <c r="C253" s="10"/>
      <c r="D253" s="14"/>
      <c r="E253" s="14"/>
      <c r="F253" s="14"/>
      <c r="G253" s="14"/>
      <c r="H253" s="14"/>
      <c r="I253" s="14"/>
      <c r="J253" s="14"/>
      <c r="K253" s="1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4"/>
      <c r="AB253" s="20"/>
      <c r="AC253" s="20"/>
      <c r="AD253" s="20"/>
      <c r="AE253" s="20"/>
    </row>
    <row r="254">
      <c r="A254" s="3"/>
      <c r="B254" s="10"/>
      <c r="C254" s="10"/>
      <c r="D254" s="14"/>
      <c r="E254" s="14"/>
      <c r="F254" s="14"/>
      <c r="G254" s="14"/>
      <c r="H254" s="14"/>
      <c r="I254" s="14"/>
      <c r="J254" s="14"/>
      <c r="K254" s="1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4"/>
      <c r="AB254" s="20"/>
      <c r="AC254" s="20"/>
      <c r="AD254" s="20"/>
      <c r="AE254" s="20"/>
    </row>
    <row r="255">
      <c r="A255" s="3"/>
      <c r="B255" s="10"/>
      <c r="C255" s="10"/>
      <c r="D255" s="14"/>
      <c r="E255" s="14"/>
      <c r="F255" s="14"/>
      <c r="G255" s="14"/>
      <c r="H255" s="14"/>
      <c r="I255" s="14"/>
      <c r="J255" s="14"/>
      <c r="K255" s="1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4"/>
      <c r="AB255" s="20"/>
      <c r="AC255" s="20"/>
      <c r="AD255" s="20"/>
      <c r="AE255" s="20"/>
    </row>
    <row r="256">
      <c r="A256" s="3"/>
      <c r="B256" s="10"/>
      <c r="C256" s="10"/>
      <c r="D256" s="14"/>
      <c r="E256" s="14"/>
      <c r="F256" s="14"/>
      <c r="G256" s="14"/>
      <c r="H256" s="14"/>
      <c r="I256" s="14"/>
      <c r="J256" s="14"/>
      <c r="K256" s="1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4"/>
      <c r="AB256" s="20"/>
      <c r="AC256" s="20"/>
      <c r="AD256" s="20"/>
      <c r="AE256" s="20"/>
    </row>
    <row r="257">
      <c r="A257" s="3"/>
      <c r="B257" s="10"/>
      <c r="C257" s="10"/>
      <c r="D257" s="14"/>
      <c r="E257" s="14"/>
      <c r="F257" s="14"/>
      <c r="G257" s="14"/>
      <c r="H257" s="14"/>
      <c r="I257" s="14"/>
      <c r="J257" s="14"/>
      <c r="K257" s="1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4"/>
      <c r="AB257" s="20"/>
      <c r="AC257" s="20"/>
      <c r="AD257" s="20"/>
      <c r="AE257" s="20"/>
    </row>
    <row r="258">
      <c r="A258" s="3"/>
      <c r="B258" s="10"/>
      <c r="C258" s="10"/>
      <c r="D258" s="14"/>
      <c r="E258" s="14"/>
      <c r="F258" s="14"/>
      <c r="G258" s="14"/>
      <c r="H258" s="14"/>
      <c r="I258" s="14"/>
      <c r="J258" s="14"/>
      <c r="K258" s="1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4"/>
      <c r="AB258" s="20"/>
      <c r="AC258" s="20"/>
      <c r="AD258" s="20"/>
      <c r="AE258" s="20"/>
    </row>
    <row r="259">
      <c r="A259" s="3"/>
      <c r="B259" s="10"/>
      <c r="C259" s="10"/>
      <c r="D259" s="14"/>
      <c r="E259" s="14"/>
      <c r="F259" s="14"/>
      <c r="G259" s="14"/>
      <c r="H259" s="14"/>
      <c r="I259" s="14"/>
      <c r="J259" s="14"/>
      <c r="K259" s="1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4"/>
      <c r="AB259" s="20"/>
      <c r="AC259" s="20"/>
      <c r="AD259" s="20"/>
      <c r="AE259" s="20"/>
    </row>
    <row r="260">
      <c r="A260" s="3"/>
      <c r="B260" s="10"/>
      <c r="C260" s="10"/>
      <c r="D260" s="14"/>
      <c r="E260" s="14"/>
      <c r="F260" s="14"/>
      <c r="G260" s="14"/>
      <c r="H260" s="14"/>
      <c r="I260" s="14"/>
      <c r="J260" s="14"/>
      <c r="K260" s="1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4"/>
      <c r="AB260" s="20"/>
      <c r="AC260" s="20"/>
      <c r="AD260" s="20"/>
      <c r="AE260" s="20"/>
    </row>
    <row r="261">
      <c r="A261" s="3"/>
      <c r="B261" s="10"/>
      <c r="C261" s="10"/>
      <c r="D261" s="14"/>
      <c r="E261" s="14"/>
      <c r="F261" s="14"/>
      <c r="G261" s="14"/>
      <c r="H261" s="14"/>
      <c r="I261" s="14"/>
      <c r="J261" s="14"/>
      <c r="K261" s="1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4"/>
      <c r="AB261" s="20"/>
      <c r="AC261" s="20"/>
      <c r="AD261" s="20"/>
      <c r="AE261" s="20"/>
    </row>
    <row r="262">
      <c r="A262" s="3"/>
      <c r="B262" s="10"/>
      <c r="C262" s="10"/>
      <c r="D262" s="14"/>
      <c r="E262" s="14"/>
      <c r="F262" s="14"/>
      <c r="G262" s="14"/>
      <c r="H262" s="14"/>
      <c r="I262" s="14"/>
      <c r="J262" s="14"/>
      <c r="K262" s="1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4"/>
      <c r="AB262" s="20"/>
      <c r="AC262" s="20"/>
      <c r="AD262" s="20"/>
      <c r="AE262" s="20"/>
    </row>
    <row r="263">
      <c r="A263" s="3"/>
      <c r="B263" s="10"/>
      <c r="C263" s="10"/>
      <c r="D263" s="14"/>
      <c r="E263" s="14"/>
      <c r="F263" s="14"/>
      <c r="G263" s="14"/>
      <c r="H263" s="14"/>
      <c r="I263" s="14"/>
      <c r="J263" s="14"/>
      <c r="K263" s="1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4"/>
      <c r="AB263" s="20"/>
      <c r="AC263" s="20"/>
      <c r="AD263" s="20"/>
      <c r="AE263" s="20"/>
    </row>
    <row r="264">
      <c r="A264" s="3"/>
      <c r="B264" s="10"/>
      <c r="C264" s="10"/>
      <c r="D264" s="14"/>
      <c r="E264" s="14"/>
      <c r="F264" s="14"/>
      <c r="G264" s="14"/>
      <c r="H264" s="14"/>
      <c r="I264" s="14"/>
      <c r="J264" s="14"/>
      <c r="K264" s="1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4"/>
      <c r="AB264" s="20"/>
      <c r="AC264" s="20"/>
      <c r="AD264" s="20"/>
      <c r="AE264" s="20"/>
    </row>
    <row r="265">
      <c r="A265" s="3"/>
      <c r="B265" s="10"/>
      <c r="C265" s="10"/>
      <c r="D265" s="14"/>
      <c r="E265" s="14"/>
      <c r="F265" s="14"/>
      <c r="G265" s="14"/>
      <c r="H265" s="14"/>
      <c r="I265" s="14"/>
      <c r="J265" s="14"/>
      <c r="K265" s="1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4"/>
      <c r="AB265" s="20"/>
      <c r="AC265" s="20"/>
      <c r="AD265" s="20"/>
      <c r="AE265" s="20"/>
    </row>
    <row r="266">
      <c r="A266" s="3"/>
      <c r="B266" s="10"/>
      <c r="C266" s="10"/>
      <c r="D266" s="14"/>
      <c r="E266" s="14"/>
      <c r="F266" s="14"/>
      <c r="G266" s="14"/>
      <c r="H266" s="14"/>
      <c r="I266" s="14"/>
      <c r="J266" s="14"/>
      <c r="K266" s="1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4"/>
      <c r="AB266" s="20"/>
      <c r="AC266" s="20"/>
      <c r="AD266" s="20"/>
      <c r="AE266" s="20"/>
    </row>
    <row r="267">
      <c r="A267" s="3"/>
      <c r="B267" s="10"/>
      <c r="C267" s="10"/>
      <c r="D267" s="14"/>
      <c r="E267" s="14"/>
      <c r="F267" s="14"/>
      <c r="G267" s="14"/>
      <c r="H267" s="14"/>
      <c r="I267" s="14"/>
      <c r="J267" s="14"/>
      <c r="K267" s="1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4"/>
      <c r="AB267" s="20"/>
      <c r="AC267" s="20"/>
      <c r="AD267" s="20"/>
      <c r="AE267" s="20"/>
    </row>
    <row r="268">
      <c r="A268" s="3"/>
      <c r="B268" s="10"/>
      <c r="C268" s="10"/>
      <c r="D268" s="14"/>
      <c r="E268" s="14"/>
      <c r="F268" s="14"/>
      <c r="G268" s="14"/>
      <c r="H268" s="14"/>
      <c r="I268" s="14"/>
      <c r="J268" s="14"/>
      <c r="K268" s="1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4"/>
      <c r="AB268" s="20"/>
      <c r="AC268" s="20"/>
      <c r="AD268" s="20"/>
      <c r="AE268" s="20"/>
    </row>
    <row r="269">
      <c r="A269" s="3"/>
      <c r="B269" s="10"/>
      <c r="C269" s="10"/>
      <c r="D269" s="14"/>
      <c r="E269" s="14"/>
      <c r="F269" s="14"/>
      <c r="G269" s="14"/>
      <c r="H269" s="14"/>
      <c r="I269" s="14"/>
      <c r="J269" s="14"/>
      <c r="K269" s="1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4"/>
      <c r="AB269" s="20"/>
      <c r="AC269" s="20"/>
      <c r="AD269" s="20"/>
      <c r="AE269" s="20"/>
    </row>
    <row r="270">
      <c r="A270" s="3"/>
      <c r="B270" s="10"/>
      <c r="C270" s="10"/>
      <c r="D270" s="14"/>
      <c r="E270" s="14"/>
      <c r="F270" s="14"/>
      <c r="G270" s="14"/>
      <c r="H270" s="14"/>
      <c r="I270" s="14"/>
      <c r="J270" s="14"/>
      <c r="K270" s="1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4"/>
      <c r="AB270" s="20"/>
      <c r="AC270" s="20"/>
      <c r="AD270" s="20"/>
      <c r="AE270" s="20"/>
    </row>
    <row r="271">
      <c r="A271" s="3"/>
      <c r="B271" s="10"/>
      <c r="C271" s="10"/>
      <c r="D271" s="14"/>
      <c r="E271" s="14"/>
      <c r="F271" s="14"/>
      <c r="G271" s="14"/>
      <c r="H271" s="14"/>
      <c r="I271" s="14"/>
      <c r="J271" s="14"/>
      <c r="K271" s="1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4"/>
      <c r="AB271" s="20"/>
      <c r="AC271" s="20"/>
      <c r="AD271" s="20"/>
      <c r="AE271" s="20"/>
    </row>
    <row r="272">
      <c r="A272" s="3"/>
      <c r="B272" s="10"/>
      <c r="C272" s="10"/>
      <c r="D272" s="14"/>
      <c r="E272" s="14"/>
      <c r="F272" s="14"/>
      <c r="G272" s="14"/>
      <c r="H272" s="14"/>
      <c r="I272" s="14"/>
      <c r="J272" s="14"/>
      <c r="K272" s="1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4"/>
      <c r="AB272" s="20"/>
      <c r="AC272" s="20"/>
      <c r="AD272" s="20"/>
      <c r="AE272" s="20"/>
    </row>
    <row r="273">
      <c r="A273" s="3"/>
      <c r="B273" s="10"/>
      <c r="C273" s="10"/>
      <c r="D273" s="14"/>
      <c r="E273" s="14"/>
      <c r="F273" s="14"/>
      <c r="G273" s="14"/>
      <c r="H273" s="14"/>
      <c r="I273" s="14"/>
      <c r="J273" s="14"/>
      <c r="K273" s="1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4"/>
      <c r="AB273" s="20"/>
      <c r="AC273" s="20"/>
      <c r="AD273" s="20"/>
      <c r="AE273" s="20"/>
    </row>
    <row r="274">
      <c r="A274" s="3"/>
      <c r="B274" s="10"/>
      <c r="C274" s="10"/>
      <c r="D274" s="14"/>
      <c r="E274" s="14"/>
      <c r="F274" s="14"/>
      <c r="G274" s="14"/>
      <c r="H274" s="14"/>
      <c r="I274" s="14"/>
      <c r="J274" s="14"/>
      <c r="K274" s="1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4"/>
      <c r="AB274" s="20"/>
      <c r="AC274" s="20"/>
      <c r="AD274" s="20"/>
      <c r="AE274" s="20"/>
    </row>
    <row r="275">
      <c r="A275" s="3"/>
      <c r="B275" s="10"/>
      <c r="C275" s="10"/>
      <c r="D275" s="14"/>
      <c r="E275" s="14"/>
      <c r="F275" s="14"/>
      <c r="G275" s="14"/>
      <c r="H275" s="14"/>
      <c r="I275" s="14"/>
      <c r="J275" s="14"/>
      <c r="K275" s="1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4"/>
      <c r="AB275" s="20"/>
      <c r="AC275" s="20"/>
      <c r="AD275" s="20"/>
      <c r="AE275" s="20"/>
    </row>
    <row r="276">
      <c r="A276" s="3"/>
      <c r="B276" s="10"/>
      <c r="C276" s="10"/>
      <c r="D276" s="14"/>
      <c r="E276" s="14"/>
      <c r="F276" s="14"/>
      <c r="G276" s="14"/>
      <c r="H276" s="14"/>
      <c r="I276" s="14"/>
      <c r="J276" s="14"/>
      <c r="K276" s="1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4"/>
      <c r="AB276" s="20"/>
      <c r="AC276" s="20"/>
      <c r="AD276" s="20"/>
      <c r="AE276" s="20"/>
    </row>
    <row r="277">
      <c r="A277" s="3"/>
      <c r="B277" s="10"/>
      <c r="C277" s="10"/>
      <c r="D277" s="14"/>
      <c r="E277" s="14"/>
      <c r="F277" s="14"/>
      <c r="G277" s="14"/>
      <c r="H277" s="14"/>
      <c r="I277" s="14"/>
      <c r="J277" s="14"/>
      <c r="K277" s="1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4"/>
      <c r="AB277" s="20"/>
      <c r="AC277" s="20"/>
      <c r="AD277" s="20"/>
      <c r="AE277" s="20"/>
    </row>
    <row r="278">
      <c r="A278" s="3"/>
      <c r="B278" s="10"/>
      <c r="C278" s="10"/>
      <c r="D278" s="14"/>
      <c r="E278" s="14"/>
      <c r="F278" s="14"/>
      <c r="G278" s="14"/>
      <c r="H278" s="14"/>
      <c r="I278" s="14"/>
      <c r="J278" s="14"/>
      <c r="K278" s="1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4"/>
      <c r="AB278" s="20"/>
      <c r="AC278" s="20"/>
      <c r="AD278" s="20"/>
      <c r="AE278" s="20"/>
    </row>
    <row r="279">
      <c r="A279" s="3"/>
      <c r="B279" s="10"/>
      <c r="C279" s="10"/>
      <c r="D279" s="14"/>
      <c r="E279" s="14"/>
      <c r="F279" s="14"/>
      <c r="G279" s="14"/>
      <c r="H279" s="14"/>
      <c r="I279" s="14"/>
      <c r="J279" s="14"/>
      <c r="K279" s="1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4"/>
      <c r="AB279" s="20"/>
      <c r="AC279" s="20"/>
      <c r="AD279" s="20"/>
      <c r="AE279" s="20"/>
    </row>
    <row r="280">
      <c r="A280" s="3"/>
      <c r="B280" s="10"/>
      <c r="C280" s="10"/>
      <c r="D280" s="14"/>
      <c r="E280" s="14"/>
      <c r="F280" s="14"/>
      <c r="G280" s="14"/>
      <c r="H280" s="14"/>
      <c r="I280" s="14"/>
      <c r="J280" s="14"/>
      <c r="K280" s="1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4"/>
      <c r="AB280" s="20"/>
      <c r="AC280" s="20"/>
      <c r="AD280" s="20"/>
      <c r="AE280" s="20"/>
    </row>
    <row r="281">
      <c r="A281" s="3"/>
      <c r="B281" s="10"/>
      <c r="C281" s="10"/>
      <c r="D281" s="14"/>
      <c r="E281" s="14"/>
      <c r="F281" s="14"/>
      <c r="G281" s="14"/>
      <c r="H281" s="14"/>
      <c r="I281" s="14"/>
      <c r="J281" s="14"/>
      <c r="K281" s="1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4"/>
      <c r="AB281" s="20"/>
      <c r="AC281" s="20"/>
      <c r="AD281" s="20"/>
      <c r="AE281" s="20"/>
    </row>
    <row r="282">
      <c r="A282" s="3"/>
      <c r="B282" s="10"/>
      <c r="C282" s="10"/>
      <c r="D282" s="14"/>
      <c r="E282" s="14"/>
      <c r="F282" s="14"/>
      <c r="G282" s="14"/>
      <c r="H282" s="14"/>
      <c r="I282" s="14"/>
      <c r="J282" s="14"/>
      <c r="K282" s="1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4"/>
      <c r="AB282" s="20"/>
      <c r="AC282" s="20"/>
      <c r="AD282" s="20"/>
      <c r="AE282" s="20"/>
    </row>
    <row r="283">
      <c r="A283" s="3"/>
      <c r="B283" s="10"/>
      <c r="C283" s="10"/>
      <c r="D283" s="14"/>
      <c r="E283" s="14"/>
      <c r="F283" s="14"/>
      <c r="G283" s="14"/>
      <c r="H283" s="14"/>
      <c r="I283" s="14"/>
      <c r="J283" s="14"/>
      <c r="K283" s="1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4"/>
      <c r="AB283" s="20"/>
      <c r="AC283" s="20"/>
      <c r="AD283" s="20"/>
      <c r="AE283" s="20"/>
    </row>
    <row r="284">
      <c r="A284" s="3"/>
      <c r="B284" s="10"/>
      <c r="C284" s="10"/>
      <c r="D284" s="14"/>
      <c r="E284" s="14"/>
      <c r="F284" s="14"/>
      <c r="G284" s="14"/>
      <c r="H284" s="14"/>
      <c r="I284" s="14"/>
      <c r="J284" s="14"/>
      <c r="K284" s="1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4"/>
      <c r="AB284" s="20"/>
      <c r="AC284" s="20"/>
      <c r="AD284" s="20"/>
      <c r="AE284" s="20"/>
    </row>
    <row r="285">
      <c r="A285" s="3"/>
      <c r="B285" s="10"/>
      <c r="C285" s="10"/>
      <c r="D285" s="14"/>
      <c r="E285" s="14"/>
      <c r="F285" s="14"/>
      <c r="G285" s="14"/>
      <c r="H285" s="14"/>
      <c r="I285" s="14"/>
      <c r="J285" s="14"/>
      <c r="K285" s="1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4"/>
      <c r="AB285" s="20"/>
      <c r="AC285" s="20"/>
      <c r="AD285" s="20"/>
      <c r="AE285" s="20"/>
    </row>
    <row r="286">
      <c r="A286" s="3"/>
      <c r="B286" s="10"/>
      <c r="C286" s="10"/>
      <c r="D286" s="14"/>
      <c r="E286" s="14"/>
      <c r="F286" s="14"/>
      <c r="G286" s="14"/>
      <c r="H286" s="14"/>
      <c r="I286" s="14"/>
      <c r="J286" s="14"/>
      <c r="K286" s="1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4"/>
      <c r="AB286" s="20"/>
      <c r="AC286" s="20"/>
      <c r="AD286" s="20"/>
      <c r="AE286" s="20"/>
    </row>
    <row r="287">
      <c r="A287" s="3"/>
      <c r="B287" s="10"/>
      <c r="C287" s="10"/>
      <c r="D287" s="14"/>
      <c r="E287" s="14"/>
      <c r="F287" s="14"/>
      <c r="G287" s="14"/>
      <c r="H287" s="14"/>
      <c r="I287" s="14"/>
      <c r="J287" s="14"/>
      <c r="K287" s="1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4"/>
      <c r="AB287" s="20"/>
      <c r="AC287" s="20"/>
      <c r="AD287" s="20"/>
      <c r="AE287" s="20"/>
    </row>
    <row r="288">
      <c r="A288" s="3"/>
      <c r="B288" s="10"/>
      <c r="C288" s="10"/>
      <c r="D288" s="14"/>
      <c r="E288" s="14"/>
      <c r="F288" s="14"/>
      <c r="G288" s="14"/>
      <c r="H288" s="14"/>
      <c r="I288" s="14"/>
      <c r="J288" s="14"/>
      <c r="K288" s="1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4"/>
      <c r="AB288" s="20"/>
      <c r="AC288" s="20"/>
      <c r="AD288" s="20"/>
      <c r="AE288" s="20"/>
    </row>
    <row r="289">
      <c r="A289" s="3"/>
      <c r="B289" s="10"/>
      <c r="C289" s="10"/>
      <c r="D289" s="14"/>
      <c r="E289" s="14"/>
      <c r="F289" s="14"/>
      <c r="G289" s="14"/>
      <c r="H289" s="14"/>
      <c r="I289" s="14"/>
      <c r="J289" s="14"/>
      <c r="K289" s="1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4"/>
      <c r="AB289" s="20"/>
      <c r="AC289" s="20"/>
      <c r="AD289" s="20"/>
      <c r="AE289" s="20"/>
    </row>
    <row r="290">
      <c r="A290" s="3"/>
      <c r="B290" s="10"/>
      <c r="C290" s="10"/>
      <c r="D290" s="14"/>
      <c r="E290" s="14"/>
      <c r="F290" s="14"/>
      <c r="G290" s="14"/>
      <c r="H290" s="14"/>
      <c r="I290" s="14"/>
      <c r="J290" s="14"/>
      <c r="K290" s="1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4"/>
      <c r="AB290" s="20"/>
      <c r="AC290" s="20"/>
      <c r="AD290" s="20"/>
      <c r="AE290" s="20"/>
    </row>
    <row r="291">
      <c r="A291" s="3"/>
      <c r="B291" s="10"/>
      <c r="C291" s="10"/>
      <c r="D291" s="14"/>
      <c r="E291" s="14"/>
      <c r="F291" s="14"/>
      <c r="G291" s="14"/>
      <c r="H291" s="14"/>
      <c r="I291" s="14"/>
      <c r="J291" s="14"/>
      <c r="K291" s="1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4"/>
      <c r="AB291" s="20"/>
      <c r="AC291" s="20"/>
      <c r="AD291" s="20"/>
      <c r="AE291" s="20"/>
    </row>
    <row r="292">
      <c r="A292" s="3"/>
      <c r="B292" s="10"/>
      <c r="C292" s="10"/>
      <c r="D292" s="14"/>
      <c r="E292" s="14"/>
      <c r="F292" s="14"/>
      <c r="G292" s="14"/>
      <c r="H292" s="14"/>
      <c r="I292" s="14"/>
      <c r="J292" s="14"/>
      <c r="K292" s="1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4"/>
      <c r="AB292" s="20"/>
      <c r="AC292" s="20"/>
      <c r="AD292" s="20"/>
      <c r="AE292" s="20"/>
    </row>
    <row r="293">
      <c r="A293" s="3"/>
      <c r="B293" s="10"/>
      <c r="C293" s="10"/>
      <c r="D293" s="14"/>
      <c r="E293" s="14"/>
      <c r="F293" s="14"/>
      <c r="G293" s="14"/>
      <c r="H293" s="14"/>
      <c r="I293" s="14"/>
      <c r="J293" s="14"/>
      <c r="K293" s="1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4"/>
      <c r="AB293" s="20"/>
      <c r="AC293" s="20"/>
      <c r="AD293" s="20"/>
      <c r="AE293" s="20"/>
    </row>
    <row r="294">
      <c r="A294" s="3"/>
      <c r="B294" s="10"/>
      <c r="C294" s="10"/>
      <c r="D294" s="14"/>
      <c r="E294" s="14"/>
      <c r="F294" s="14"/>
      <c r="G294" s="14"/>
      <c r="H294" s="14"/>
      <c r="I294" s="14"/>
      <c r="J294" s="14"/>
      <c r="K294" s="1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4"/>
      <c r="AB294" s="20"/>
      <c r="AC294" s="20"/>
      <c r="AD294" s="20"/>
      <c r="AE294" s="20"/>
    </row>
    <row r="295">
      <c r="A295" s="3"/>
      <c r="B295" s="10"/>
      <c r="C295" s="10"/>
      <c r="D295" s="14"/>
      <c r="E295" s="14"/>
      <c r="F295" s="14"/>
      <c r="G295" s="14"/>
      <c r="H295" s="14"/>
      <c r="I295" s="14"/>
      <c r="J295" s="14"/>
      <c r="K295" s="1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4"/>
      <c r="AB295" s="20"/>
      <c r="AC295" s="20"/>
      <c r="AD295" s="20"/>
      <c r="AE295" s="20"/>
    </row>
    <row r="296">
      <c r="A296" s="3"/>
      <c r="B296" s="10"/>
      <c r="C296" s="10"/>
      <c r="D296" s="14"/>
      <c r="E296" s="14"/>
      <c r="F296" s="14"/>
      <c r="G296" s="14"/>
      <c r="H296" s="14"/>
      <c r="I296" s="14"/>
      <c r="J296" s="14"/>
      <c r="K296" s="1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4"/>
      <c r="AB296" s="20"/>
      <c r="AC296" s="20"/>
      <c r="AD296" s="20"/>
      <c r="AE296" s="20"/>
    </row>
    <row r="297">
      <c r="A297" s="3"/>
      <c r="B297" s="10"/>
      <c r="C297" s="10"/>
      <c r="D297" s="14"/>
      <c r="E297" s="14"/>
      <c r="F297" s="14"/>
      <c r="G297" s="14"/>
      <c r="H297" s="14"/>
      <c r="I297" s="14"/>
      <c r="J297" s="14"/>
      <c r="K297" s="1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4"/>
      <c r="AB297" s="20"/>
      <c r="AC297" s="20"/>
      <c r="AD297" s="20"/>
      <c r="AE297" s="20"/>
    </row>
    <row r="298">
      <c r="A298" s="3"/>
      <c r="B298" s="10"/>
      <c r="C298" s="10"/>
      <c r="D298" s="14"/>
      <c r="E298" s="14"/>
      <c r="F298" s="14"/>
      <c r="G298" s="14"/>
      <c r="H298" s="14"/>
      <c r="I298" s="14"/>
      <c r="J298" s="14"/>
      <c r="K298" s="1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4"/>
      <c r="AB298" s="20"/>
      <c r="AC298" s="20"/>
      <c r="AD298" s="20"/>
      <c r="AE298" s="20"/>
    </row>
    <row r="299">
      <c r="A299" s="3"/>
      <c r="B299" s="10"/>
      <c r="C299" s="10"/>
      <c r="D299" s="14"/>
      <c r="E299" s="14"/>
      <c r="F299" s="14"/>
      <c r="G299" s="14"/>
      <c r="H299" s="14"/>
      <c r="I299" s="14"/>
      <c r="J299" s="14"/>
      <c r="K299" s="1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14"/>
      <c r="AB299" s="20"/>
      <c r="AC299" s="20"/>
      <c r="AD299" s="20"/>
      <c r="AE299" s="20"/>
    </row>
    <row r="300">
      <c r="A300" s="3"/>
      <c r="B300" s="10"/>
      <c r="C300" s="10"/>
      <c r="D300" s="14"/>
      <c r="E300" s="14"/>
      <c r="F300" s="14"/>
      <c r="G300" s="14"/>
      <c r="H300" s="14"/>
      <c r="I300" s="14"/>
      <c r="J300" s="14"/>
      <c r="K300" s="1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14"/>
      <c r="AB300" s="20"/>
      <c r="AC300" s="20"/>
      <c r="AD300" s="20"/>
      <c r="AE300" s="20"/>
    </row>
    <row r="301">
      <c r="A301" s="3"/>
      <c r="B301" s="10"/>
      <c r="C301" s="10"/>
      <c r="D301" s="14"/>
      <c r="E301" s="14"/>
      <c r="F301" s="14"/>
      <c r="G301" s="14"/>
      <c r="H301" s="14"/>
      <c r="I301" s="14"/>
      <c r="J301" s="14"/>
      <c r="K301" s="1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14"/>
      <c r="AB301" s="20"/>
      <c r="AC301" s="20"/>
      <c r="AD301" s="20"/>
      <c r="AE301" s="20"/>
    </row>
    <row r="302">
      <c r="A302" s="3"/>
      <c r="B302" s="10"/>
      <c r="C302" s="10"/>
      <c r="D302" s="14"/>
      <c r="E302" s="14"/>
      <c r="F302" s="14"/>
      <c r="G302" s="14"/>
      <c r="H302" s="14"/>
      <c r="I302" s="14"/>
      <c r="J302" s="14"/>
      <c r="K302" s="1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14"/>
      <c r="AB302" s="20"/>
      <c r="AC302" s="20"/>
      <c r="AD302" s="20"/>
      <c r="AE302" s="20"/>
    </row>
    <row r="303">
      <c r="A303" s="3"/>
      <c r="B303" s="10"/>
      <c r="C303" s="10"/>
      <c r="D303" s="14"/>
      <c r="E303" s="14"/>
      <c r="F303" s="14"/>
      <c r="G303" s="14"/>
      <c r="H303" s="14"/>
      <c r="I303" s="14"/>
      <c r="J303" s="14"/>
      <c r="K303" s="1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14"/>
      <c r="AB303" s="20"/>
      <c r="AC303" s="20"/>
      <c r="AD303" s="20"/>
      <c r="AE303" s="20"/>
    </row>
    <row r="304">
      <c r="A304" s="3"/>
      <c r="B304" s="10"/>
      <c r="C304" s="10"/>
      <c r="D304" s="14"/>
      <c r="E304" s="14"/>
      <c r="F304" s="14"/>
      <c r="G304" s="14"/>
      <c r="H304" s="14"/>
      <c r="I304" s="14"/>
      <c r="J304" s="14"/>
      <c r="K304" s="1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14"/>
      <c r="AB304" s="20"/>
      <c r="AC304" s="20"/>
      <c r="AD304" s="20"/>
      <c r="AE304" s="20"/>
    </row>
    <row r="305">
      <c r="A305" s="3"/>
      <c r="B305" s="10"/>
      <c r="C305" s="10"/>
      <c r="D305" s="14"/>
      <c r="E305" s="14"/>
      <c r="F305" s="14"/>
      <c r="G305" s="14"/>
      <c r="H305" s="14"/>
      <c r="I305" s="14"/>
      <c r="J305" s="14"/>
      <c r="K305" s="1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14"/>
      <c r="AB305" s="20"/>
      <c r="AC305" s="20"/>
      <c r="AD305" s="20"/>
      <c r="AE305" s="20"/>
    </row>
    <row r="306">
      <c r="A306" s="3"/>
      <c r="B306" s="10"/>
      <c r="C306" s="10"/>
      <c r="D306" s="14"/>
      <c r="E306" s="14"/>
      <c r="F306" s="14"/>
      <c r="G306" s="14"/>
      <c r="H306" s="14"/>
      <c r="I306" s="14"/>
      <c r="J306" s="14"/>
      <c r="K306" s="1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14"/>
      <c r="AB306" s="20"/>
      <c r="AC306" s="20"/>
      <c r="AD306" s="20"/>
      <c r="AE306" s="20"/>
    </row>
    <row r="307">
      <c r="A307" s="3"/>
      <c r="B307" s="10"/>
      <c r="C307" s="10"/>
      <c r="D307" s="14"/>
      <c r="E307" s="14"/>
      <c r="F307" s="14"/>
      <c r="G307" s="14"/>
      <c r="H307" s="14"/>
      <c r="I307" s="14"/>
      <c r="J307" s="14"/>
      <c r="K307" s="1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14"/>
      <c r="AB307" s="20"/>
      <c r="AC307" s="20"/>
      <c r="AD307" s="20"/>
      <c r="AE307" s="20"/>
    </row>
    <row r="308">
      <c r="A308" s="3"/>
      <c r="B308" s="10"/>
      <c r="C308" s="10"/>
      <c r="D308" s="14"/>
      <c r="E308" s="14"/>
      <c r="F308" s="14"/>
      <c r="G308" s="14"/>
      <c r="H308" s="14"/>
      <c r="I308" s="14"/>
      <c r="J308" s="14"/>
      <c r="K308" s="1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14"/>
      <c r="AB308" s="20"/>
      <c r="AC308" s="20"/>
      <c r="AD308" s="20"/>
      <c r="AE308" s="20"/>
    </row>
    <row r="309">
      <c r="A309" s="3"/>
      <c r="B309" s="10"/>
      <c r="C309" s="10"/>
      <c r="D309" s="14"/>
      <c r="E309" s="14"/>
      <c r="F309" s="14"/>
      <c r="G309" s="14"/>
      <c r="H309" s="14"/>
      <c r="I309" s="14"/>
      <c r="J309" s="14"/>
      <c r="K309" s="1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14"/>
      <c r="AB309" s="20"/>
      <c r="AC309" s="20"/>
      <c r="AD309" s="20"/>
      <c r="AE309" s="20"/>
    </row>
    <row r="310">
      <c r="A310" s="3"/>
      <c r="B310" s="10"/>
      <c r="C310" s="10"/>
      <c r="D310" s="14"/>
      <c r="E310" s="14"/>
      <c r="F310" s="14"/>
      <c r="G310" s="14"/>
      <c r="H310" s="14"/>
      <c r="I310" s="14"/>
      <c r="J310" s="14"/>
      <c r="K310" s="1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14"/>
      <c r="AB310" s="20"/>
      <c r="AC310" s="20"/>
      <c r="AD310" s="20"/>
      <c r="AE310" s="20"/>
    </row>
    <row r="311">
      <c r="A311" s="3"/>
      <c r="B311" s="10"/>
      <c r="C311" s="10"/>
      <c r="D311" s="14"/>
      <c r="E311" s="14"/>
      <c r="F311" s="14"/>
      <c r="G311" s="14"/>
      <c r="H311" s="14"/>
      <c r="I311" s="14"/>
      <c r="J311" s="14"/>
      <c r="K311" s="1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14"/>
      <c r="AB311" s="20"/>
      <c r="AC311" s="20"/>
      <c r="AD311" s="20"/>
      <c r="AE311" s="20"/>
    </row>
    <row r="312">
      <c r="A312" s="3"/>
      <c r="B312" s="10"/>
      <c r="C312" s="10"/>
      <c r="D312" s="14"/>
      <c r="E312" s="14"/>
      <c r="F312" s="14"/>
      <c r="G312" s="14"/>
      <c r="H312" s="14"/>
      <c r="I312" s="14"/>
      <c r="J312" s="14"/>
      <c r="K312" s="1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14"/>
      <c r="AB312" s="20"/>
      <c r="AC312" s="20"/>
      <c r="AD312" s="20"/>
      <c r="AE312" s="20"/>
    </row>
    <row r="313">
      <c r="A313" s="3"/>
      <c r="B313" s="10"/>
      <c r="C313" s="10"/>
      <c r="D313" s="14"/>
      <c r="E313" s="14"/>
      <c r="F313" s="14"/>
      <c r="G313" s="14"/>
      <c r="H313" s="14"/>
      <c r="I313" s="14"/>
      <c r="J313" s="14"/>
      <c r="K313" s="1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14"/>
      <c r="AB313" s="20"/>
      <c r="AC313" s="20"/>
      <c r="AD313" s="20"/>
      <c r="AE313" s="20"/>
    </row>
    <row r="314">
      <c r="A314" s="3"/>
      <c r="B314" s="10"/>
      <c r="C314" s="10"/>
      <c r="D314" s="14"/>
      <c r="E314" s="14"/>
      <c r="F314" s="14"/>
      <c r="G314" s="14"/>
      <c r="H314" s="14"/>
      <c r="I314" s="14"/>
      <c r="J314" s="14"/>
      <c r="K314" s="1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14"/>
      <c r="AB314" s="20"/>
      <c r="AC314" s="20"/>
      <c r="AD314" s="20"/>
      <c r="AE314" s="20"/>
    </row>
    <row r="315">
      <c r="A315" s="3"/>
      <c r="B315" s="10"/>
      <c r="C315" s="10"/>
      <c r="D315" s="14"/>
      <c r="E315" s="14"/>
      <c r="F315" s="14"/>
      <c r="G315" s="14"/>
      <c r="H315" s="14"/>
      <c r="I315" s="14"/>
      <c r="J315" s="14"/>
      <c r="K315" s="1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14"/>
      <c r="AB315" s="20"/>
      <c r="AC315" s="20"/>
      <c r="AD315" s="20"/>
      <c r="AE315" s="20"/>
    </row>
    <row r="316">
      <c r="A316" s="3"/>
      <c r="B316" s="10"/>
      <c r="C316" s="10"/>
      <c r="D316" s="14"/>
      <c r="E316" s="14"/>
      <c r="F316" s="14"/>
      <c r="G316" s="14"/>
      <c r="H316" s="14"/>
      <c r="I316" s="14"/>
      <c r="J316" s="14"/>
      <c r="K316" s="1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14"/>
      <c r="AB316" s="20"/>
      <c r="AC316" s="20"/>
      <c r="AD316" s="20"/>
      <c r="AE316" s="20"/>
    </row>
    <row r="317">
      <c r="A317" s="3"/>
      <c r="B317" s="10"/>
      <c r="C317" s="10"/>
      <c r="D317" s="14"/>
      <c r="E317" s="14"/>
      <c r="F317" s="14"/>
      <c r="G317" s="14"/>
      <c r="H317" s="14"/>
      <c r="I317" s="14"/>
      <c r="J317" s="14"/>
      <c r="K317" s="1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14"/>
      <c r="AB317" s="20"/>
      <c r="AC317" s="20"/>
      <c r="AD317" s="20"/>
      <c r="AE317" s="20"/>
    </row>
    <row r="318">
      <c r="A318" s="3"/>
      <c r="B318" s="10"/>
      <c r="C318" s="10"/>
      <c r="D318" s="14"/>
      <c r="E318" s="14"/>
      <c r="F318" s="14"/>
      <c r="G318" s="14"/>
      <c r="H318" s="14"/>
      <c r="I318" s="14"/>
      <c r="J318" s="14"/>
      <c r="K318" s="1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14"/>
      <c r="AB318" s="20"/>
      <c r="AC318" s="20"/>
      <c r="AD318" s="20"/>
      <c r="AE318" s="20"/>
    </row>
    <row r="319">
      <c r="A319" s="3"/>
      <c r="B319" s="10"/>
      <c r="C319" s="10"/>
      <c r="D319" s="14"/>
      <c r="E319" s="14"/>
      <c r="F319" s="14"/>
      <c r="G319" s="14"/>
      <c r="H319" s="14"/>
      <c r="I319" s="14"/>
      <c r="J319" s="14"/>
      <c r="K319" s="1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14"/>
      <c r="AB319" s="20"/>
      <c r="AC319" s="20"/>
      <c r="AD319" s="20"/>
      <c r="AE319" s="20"/>
    </row>
    <row r="320">
      <c r="A320" s="3"/>
      <c r="B320" s="10"/>
      <c r="C320" s="10"/>
      <c r="D320" s="14"/>
      <c r="E320" s="14"/>
      <c r="F320" s="14"/>
      <c r="G320" s="14"/>
      <c r="H320" s="14"/>
      <c r="I320" s="14"/>
      <c r="J320" s="14"/>
      <c r="K320" s="1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14"/>
      <c r="AB320" s="20"/>
      <c r="AC320" s="20"/>
      <c r="AD320" s="20"/>
      <c r="AE320" s="20"/>
    </row>
    <row r="321">
      <c r="A321" s="3"/>
      <c r="B321" s="10"/>
      <c r="C321" s="10"/>
      <c r="D321" s="14"/>
      <c r="E321" s="14"/>
      <c r="F321" s="14"/>
      <c r="G321" s="14"/>
      <c r="H321" s="14"/>
      <c r="I321" s="14"/>
      <c r="J321" s="14"/>
      <c r="K321" s="1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14"/>
      <c r="AB321" s="20"/>
      <c r="AC321" s="20"/>
      <c r="AD321" s="20"/>
      <c r="AE321" s="20"/>
    </row>
    <row r="322">
      <c r="A322" s="3"/>
      <c r="B322" s="10"/>
      <c r="C322" s="10"/>
      <c r="D322" s="14"/>
      <c r="E322" s="14"/>
      <c r="F322" s="14"/>
      <c r="G322" s="14"/>
      <c r="H322" s="14"/>
      <c r="I322" s="14"/>
      <c r="J322" s="14"/>
      <c r="K322" s="1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14"/>
      <c r="AB322" s="20"/>
      <c r="AC322" s="20"/>
      <c r="AD322" s="20"/>
      <c r="AE322" s="20"/>
    </row>
    <row r="323">
      <c r="A323" s="3"/>
      <c r="B323" s="10"/>
      <c r="C323" s="10"/>
      <c r="D323" s="14"/>
      <c r="E323" s="14"/>
      <c r="F323" s="14"/>
      <c r="G323" s="14"/>
      <c r="H323" s="14"/>
      <c r="I323" s="14"/>
      <c r="J323" s="14"/>
      <c r="K323" s="1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14"/>
      <c r="AB323" s="20"/>
      <c r="AC323" s="20"/>
      <c r="AD323" s="20"/>
      <c r="AE323" s="20"/>
    </row>
    <row r="324">
      <c r="A324" s="3"/>
      <c r="B324" s="10"/>
      <c r="C324" s="10"/>
      <c r="D324" s="14"/>
      <c r="E324" s="14"/>
      <c r="F324" s="14"/>
      <c r="G324" s="14"/>
      <c r="H324" s="14"/>
      <c r="I324" s="14"/>
      <c r="J324" s="14"/>
      <c r="K324" s="1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14"/>
      <c r="AB324" s="20"/>
      <c r="AC324" s="20"/>
      <c r="AD324" s="20"/>
      <c r="AE324" s="20"/>
    </row>
    <row r="325">
      <c r="A325" s="3"/>
      <c r="B325" s="10"/>
      <c r="C325" s="10"/>
      <c r="D325" s="14"/>
      <c r="E325" s="14"/>
      <c r="F325" s="14"/>
      <c r="G325" s="14"/>
      <c r="H325" s="14"/>
      <c r="I325" s="14"/>
      <c r="J325" s="14"/>
      <c r="K325" s="1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14"/>
      <c r="AB325" s="20"/>
      <c r="AC325" s="20"/>
      <c r="AD325" s="20"/>
      <c r="AE325" s="20"/>
    </row>
    <row r="326">
      <c r="A326" s="3"/>
      <c r="B326" s="10"/>
      <c r="C326" s="10"/>
      <c r="D326" s="14"/>
      <c r="E326" s="14"/>
      <c r="F326" s="14"/>
      <c r="G326" s="14"/>
      <c r="H326" s="14"/>
      <c r="I326" s="14"/>
      <c r="J326" s="14"/>
      <c r="K326" s="1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14"/>
      <c r="AB326" s="20"/>
      <c r="AC326" s="20"/>
      <c r="AD326" s="20"/>
      <c r="AE326" s="20"/>
    </row>
    <row r="327">
      <c r="A327" s="3"/>
      <c r="B327" s="10"/>
      <c r="C327" s="10"/>
      <c r="D327" s="14"/>
      <c r="E327" s="14"/>
      <c r="F327" s="14"/>
      <c r="G327" s="14"/>
      <c r="H327" s="14"/>
      <c r="I327" s="14"/>
      <c r="J327" s="14"/>
      <c r="K327" s="1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14"/>
      <c r="AB327" s="20"/>
      <c r="AC327" s="20"/>
      <c r="AD327" s="20"/>
      <c r="AE327" s="20"/>
    </row>
    <row r="328">
      <c r="A328" s="3"/>
      <c r="B328" s="10"/>
      <c r="C328" s="10"/>
      <c r="D328" s="14"/>
      <c r="E328" s="14"/>
      <c r="F328" s="14"/>
      <c r="G328" s="14"/>
      <c r="H328" s="14"/>
      <c r="I328" s="14"/>
      <c r="J328" s="14"/>
      <c r="K328" s="1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14"/>
      <c r="AB328" s="20"/>
      <c r="AC328" s="20"/>
      <c r="AD328" s="20"/>
      <c r="AE328" s="20"/>
    </row>
    <row r="329">
      <c r="A329" s="3"/>
      <c r="B329" s="10"/>
      <c r="C329" s="10"/>
      <c r="D329" s="14"/>
      <c r="E329" s="14"/>
      <c r="F329" s="14"/>
      <c r="G329" s="14"/>
      <c r="H329" s="14"/>
      <c r="I329" s="14"/>
      <c r="J329" s="14"/>
      <c r="K329" s="1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14"/>
      <c r="AB329" s="20"/>
      <c r="AC329" s="20"/>
      <c r="AD329" s="20"/>
      <c r="AE329" s="20"/>
    </row>
    <row r="330">
      <c r="A330" s="3"/>
      <c r="B330" s="10"/>
      <c r="C330" s="10"/>
      <c r="D330" s="14"/>
      <c r="E330" s="14"/>
      <c r="F330" s="14"/>
      <c r="G330" s="14"/>
      <c r="H330" s="14"/>
      <c r="I330" s="14"/>
      <c r="J330" s="14"/>
      <c r="K330" s="1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14"/>
      <c r="AB330" s="20"/>
      <c r="AC330" s="20"/>
      <c r="AD330" s="20"/>
      <c r="AE330" s="20"/>
    </row>
    <row r="331">
      <c r="A331" s="3"/>
      <c r="B331" s="10"/>
      <c r="C331" s="10"/>
      <c r="D331" s="14"/>
      <c r="E331" s="14"/>
      <c r="F331" s="14"/>
      <c r="G331" s="14"/>
      <c r="H331" s="14"/>
      <c r="I331" s="14"/>
      <c r="J331" s="14"/>
      <c r="K331" s="1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14"/>
      <c r="AB331" s="20"/>
      <c r="AC331" s="20"/>
      <c r="AD331" s="20"/>
      <c r="AE331" s="20"/>
    </row>
    <row r="332">
      <c r="A332" s="3"/>
      <c r="B332" s="10"/>
      <c r="C332" s="10"/>
      <c r="D332" s="14"/>
      <c r="E332" s="14"/>
      <c r="F332" s="14"/>
      <c r="G332" s="14"/>
      <c r="H332" s="14"/>
      <c r="I332" s="14"/>
      <c r="J332" s="14"/>
      <c r="K332" s="1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14"/>
      <c r="AB332" s="20"/>
      <c r="AC332" s="20"/>
      <c r="AD332" s="20"/>
      <c r="AE332" s="20"/>
    </row>
    <row r="333">
      <c r="A333" s="3"/>
      <c r="B333" s="10"/>
      <c r="C333" s="10"/>
      <c r="D333" s="14"/>
      <c r="E333" s="14"/>
      <c r="F333" s="14"/>
      <c r="G333" s="14"/>
      <c r="H333" s="14"/>
      <c r="I333" s="14"/>
      <c r="J333" s="14"/>
      <c r="K333" s="1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14"/>
      <c r="AB333" s="20"/>
      <c r="AC333" s="20"/>
      <c r="AD333" s="20"/>
      <c r="AE333" s="20"/>
    </row>
    <row r="334">
      <c r="A334" s="3"/>
      <c r="B334" s="10"/>
      <c r="C334" s="10"/>
      <c r="D334" s="14"/>
      <c r="E334" s="14"/>
      <c r="F334" s="14"/>
      <c r="G334" s="14"/>
      <c r="H334" s="14"/>
      <c r="I334" s="14"/>
      <c r="J334" s="14"/>
      <c r="K334" s="1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14"/>
      <c r="AB334" s="20"/>
      <c r="AC334" s="20"/>
      <c r="AD334" s="20"/>
      <c r="AE334" s="20"/>
    </row>
    <row r="335">
      <c r="A335" s="3"/>
      <c r="B335" s="10"/>
      <c r="C335" s="10"/>
      <c r="D335" s="14"/>
      <c r="E335" s="14"/>
      <c r="F335" s="14"/>
      <c r="G335" s="14"/>
      <c r="H335" s="14"/>
      <c r="I335" s="14"/>
      <c r="J335" s="14"/>
      <c r="K335" s="1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14"/>
      <c r="AB335" s="20"/>
      <c r="AC335" s="20"/>
      <c r="AD335" s="20"/>
      <c r="AE335" s="20"/>
    </row>
    <row r="336">
      <c r="A336" s="3"/>
      <c r="B336" s="10"/>
      <c r="C336" s="10"/>
      <c r="D336" s="14"/>
      <c r="E336" s="14"/>
      <c r="F336" s="14"/>
      <c r="G336" s="14"/>
      <c r="H336" s="14"/>
      <c r="I336" s="14"/>
      <c r="J336" s="14"/>
      <c r="K336" s="1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14"/>
      <c r="AB336" s="20"/>
      <c r="AC336" s="20"/>
      <c r="AD336" s="20"/>
      <c r="AE336" s="20"/>
    </row>
    <row r="337">
      <c r="A337" s="3"/>
      <c r="B337" s="10"/>
      <c r="C337" s="10"/>
      <c r="D337" s="14"/>
      <c r="E337" s="14"/>
      <c r="F337" s="14"/>
      <c r="G337" s="14"/>
      <c r="H337" s="14"/>
      <c r="I337" s="14"/>
      <c r="J337" s="14"/>
      <c r="K337" s="1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14"/>
      <c r="AB337" s="20"/>
      <c r="AC337" s="20"/>
      <c r="AD337" s="20"/>
      <c r="AE337" s="20"/>
    </row>
    <row r="338">
      <c r="A338" s="3"/>
      <c r="B338" s="10"/>
      <c r="C338" s="10"/>
      <c r="D338" s="14"/>
      <c r="E338" s="14"/>
      <c r="F338" s="14"/>
      <c r="G338" s="14"/>
      <c r="H338" s="14"/>
      <c r="I338" s="14"/>
      <c r="J338" s="14"/>
      <c r="K338" s="1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14"/>
      <c r="AB338" s="20"/>
      <c r="AC338" s="20"/>
      <c r="AD338" s="20"/>
      <c r="AE338" s="20"/>
    </row>
    <row r="339">
      <c r="A339" s="3"/>
      <c r="B339" s="10"/>
      <c r="C339" s="10"/>
      <c r="D339" s="14"/>
      <c r="E339" s="14"/>
      <c r="F339" s="14"/>
      <c r="G339" s="14"/>
      <c r="H339" s="14"/>
      <c r="I339" s="14"/>
      <c r="J339" s="14"/>
      <c r="K339" s="1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14"/>
      <c r="AB339" s="20"/>
      <c r="AC339" s="20"/>
      <c r="AD339" s="20"/>
      <c r="AE339" s="20"/>
    </row>
    <row r="340">
      <c r="A340" s="3"/>
      <c r="B340" s="10"/>
      <c r="C340" s="10"/>
      <c r="D340" s="14"/>
      <c r="E340" s="14"/>
      <c r="F340" s="14"/>
      <c r="G340" s="14"/>
      <c r="H340" s="14"/>
      <c r="I340" s="14"/>
      <c r="J340" s="14"/>
      <c r="K340" s="1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14"/>
      <c r="AB340" s="20"/>
      <c r="AC340" s="20"/>
      <c r="AD340" s="20"/>
      <c r="AE340" s="20"/>
    </row>
    <row r="341">
      <c r="A341" s="3"/>
      <c r="B341" s="10"/>
      <c r="C341" s="10"/>
      <c r="D341" s="14"/>
      <c r="E341" s="14"/>
      <c r="F341" s="14"/>
      <c r="G341" s="14"/>
      <c r="H341" s="14"/>
      <c r="I341" s="14"/>
      <c r="J341" s="14"/>
      <c r="K341" s="1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14"/>
      <c r="AB341" s="20"/>
      <c r="AC341" s="20"/>
      <c r="AD341" s="20"/>
      <c r="AE341" s="20"/>
    </row>
    <row r="342">
      <c r="A342" s="3"/>
      <c r="B342" s="10"/>
      <c r="C342" s="10"/>
      <c r="D342" s="14"/>
      <c r="E342" s="14"/>
      <c r="F342" s="14"/>
      <c r="G342" s="14"/>
      <c r="H342" s="14"/>
      <c r="I342" s="14"/>
      <c r="J342" s="14"/>
      <c r="K342" s="1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14"/>
      <c r="AB342" s="20"/>
      <c r="AC342" s="20"/>
      <c r="AD342" s="20"/>
      <c r="AE342" s="20"/>
    </row>
    <row r="343">
      <c r="A343" s="3"/>
      <c r="B343" s="10"/>
      <c r="C343" s="10"/>
      <c r="D343" s="14"/>
      <c r="E343" s="14"/>
      <c r="F343" s="14"/>
      <c r="G343" s="14"/>
      <c r="H343" s="14"/>
      <c r="I343" s="14"/>
      <c r="J343" s="14"/>
      <c r="K343" s="1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14"/>
      <c r="AB343" s="20"/>
      <c r="AC343" s="20"/>
      <c r="AD343" s="20"/>
      <c r="AE343" s="20"/>
    </row>
    <row r="344">
      <c r="A344" s="3"/>
      <c r="B344" s="10"/>
      <c r="C344" s="10"/>
      <c r="D344" s="14"/>
      <c r="E344" s="14"/>
      <c r="F344" s="14"/>
      <c r="G344" s="14"/>
      <c r="H344" s="14"/>
      <c r="I344" s="14"/>
      <c r="J344" s="14"/>
      <c r="K344" s="1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14"/>
      <c r="AB344" s="20"/>
      <c r="AC344" s="20"/>
      <c r="AD344" s="20"/>
      <c r="AE344" s="20"/>
    </row>
    <row r="345">
      <c r="A345" s="3"/>
      <c r="B345" s="10"/>
      <c r="C345" s="10"/>
      <c r="D345" s="14"/>
      <c r="E345" s="14"/>
      <c r="F345" s="14"/>
      <c r="G345" s="14"/>
      <c r="H345" s="14"/>
      <c r="I345" s="14"/>
      <c r="J345" s="14"/>
      <c r="K345" s="1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14"/>
      <c r="AB345" s="20"/>
      <c r="AC345" s="20"/>
      <c r="AD345" s="20"/>
      <c r="AE345" s="20"/>
    </row>
    <row r="346">
      <c r="A346" s="3"/>
      <c r="B346" s="10"/>
      <c r="C346" s="10"/>
      <c r="D346" s="14"/>
      <c r="E346" s="14"/>
      <c r="F346" s="14"/>
      <c r="G346" s="14"/>
      <c r="H346" s="14"/>
      <c r="I346" s="14"/>
      <c r="J346" s="14"/>
      <c r="K346" s="1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14"/>
      <c r="AB346" s="20"/>
      <c r="AC346" s="20"/>
      <c r="AD346" s="20"/>
      <c r="AE346" s="20"/>
    </row>
    <row r="347">
      <c r="A347" s="3"/>
      <c r="B347" s="10"/>
      <c r="C347" s="10"/>
      <c r="D347" s="14"/>
      <c r="E347" s="14"/>
      <c r="F347" s="14"/>
      <c r="G347" s="14"/>
      <c r="H347" s="14"/>
      <c r="I347" s="14"/>
      <c r="J347" s="14"/>
      <c r="K347" s="1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14"/>
      <c r="AB347" s="20"/>
      <c r="AC347" s="20"/>
      <c r="AD347" s="20"/>
      <c r="AE347" s="20"/>
    </row>
    <row r="348">
      <c r="A348" s="3"/>
      <c r="B348" s="10"/>
      <c r="C348" s="10"/>
      <c r="D348" s="14"/>
      <c r="E348" s="14"/>
      <c r="F348" s="14"/>
      <c r="G348" s="14"/>
      <c r="H348" s="14"/>
      <c r="I348" s="14"/>
      <c r="J348" s="14"/>
      <c r="K348" s="1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14"/>
      <c r="AB348" s="20"/>
      <c r="AC348" s="20"/>
      <c r="AD348" s="20"/>
      <c r="AE348" s="20"/>
    </row>
    <row r="349">
      <c r="A349" s="3"/>
      <c r="B349" s="10"/>
      <c r="C349" s="10"/>
      <c r="D349" s="14"/>
      <c r="E349" s="14"/>
      <c r="F349" s="14"/>
      <c r="G349" s="14"/>
      <c r="H349" s="14"/>
      <c r="I349" s="14"/>
      <c r="J349" s="14"/>
      <c r="K349" s="1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14"/>
      <c r="AB349" s="20"/>
      <c r="AC349" s="20"/>
      <c r="AD349" s="20"/>
      <c r="AE349" s="20"/>
    </row>
    <row r="350">
      <c r="A350" s="3"/>
      <c r="B350" s="10"/>
      <c r="C350" s="10"/>
      <c r="D350" s="14"/>
      <c r="E350" s="14"/>
      <c r="F350" s="14"/>
      <c r="G350" s="14"/>
      <c r="H350" s="14"/>
      <c r="I350" s="14"/>
      <c r="J350" s="14"/>
      <c r="K350" s="1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14"/>
      <c r="AB350" s="20"/>
      <c r="AC350" s="20"/>
      <c r="AD350" s="20"/>
      <c r="AE350" s="20"/>
    </row>
    <row r="351">
      <c r="A351" s="3"/>
      <c r="B351" s="10"/>
      <c r="C351" s="10"/>
      <c r="D351" s="14"/>
      <c r="E351" s="14"/>
      <c r="F351" s="14"/>
      <c r="G351" s="14"/>
      <c r="H351" s="14"/>
      <c r="I351" s="14"/>
      <c r="J351" s="14"/>
      <c r="K351" s="1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14"/>
      <c r="AB351" s="20"/>
      <c r="AC351" s="20"/>
      <c r="AD351" s="20"/>
      <c r="AE351" s="20"/>
    </row>
    <row r="352">
      <c r="A352" s="3"/>
      <c r="B352" s="10"/>
      <c r="C352" s="10"/>
      <c r="D352" s="14"/>
      <c r="E352" s="14"/>
      <c r="F352" s="14"/>
      <c r="G352" s="14"/>
      <c r="H352" s="14"/>
      <c r="I352" s="14"/>
      <c r="J352" s="14"/>
      <c r="K352" s="1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14"/>
      <c r="AB352" s="20"/>
      <c r="AC352" s="20"/>
      <c r="AD352" s="20"/>
      <c r="AE352" s="20"/>
    </row>
    <row r="353">
      <c r="A353" s="3"/>
      <c r="B353" s="10"/>
      <c r="C353" s="10"/>
      <c r="D353" s="14"/>
      <c r="E353" s="14"/>
      <c r="F353" s="14"/>
      <c r="G353" s="14"/>
      <c r="H353" s="14"/>
      <c r="I353" s="14"/>
      <c r="J353" s="14"/>
      <c r="K353" s="1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14"/>
      <c r="AB353" s="20"/>
      <c r="AC353" s="20"/>
      <c r="AD353" s="20"/>
      <c r="AE353" s="20"/>
    </row>
    <row r="354">
      <c r="A354" s="3"/>
      <c r="B354" s="10"/>
      <c r="C354" s="10"/>
      <c r="D354" s="14"/>
      <c r="E354" s="14"/>
      <c r="F354" s="14"/>
      <c r="G354" s="14"/>
      <c r="H354" s="14"/>
      <c r="I354" s="14"/>
      <c r="J354" s="14"/>
      <c r="K354" s="1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14"/>
      <c r="AB354" s="20"/>
      <c r="AC354" s="20"/>
      <c r="AD354" s="20"/>
      <c r="AE354" s="20"/>
    </row>
    <row r="355">
      <c r="A355" s="3"/>
      <c r="B355" s="10"/>
      <c r="C355" s="10"/>
      <c r="D355" s="14"/>
      <c r="E355" s="14"/>
      <c r="F355" s="14"/>
      <c r="G355" s="14"/>
      <c r="H355" s="14"/>
      <c r="I355" s="14"/>
      <c r="J355" s="14"/>
      <c r="K355" s="1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14"/>
      <c r="AB355" s="20"/>
      <c r="AC355" s="20"/>
      <c r="AD355" s="20"/>
      <c r="AE355" s="20"/>
    </row>
    <row r="356">
      <c r="A356" s="3"/>
      <c r="B356" s="10"/>
      <c r="C356" s="10"/>
      <c r="D356" s="14"/>
      <c r="E356" s="14"/>
      <c r="F356" s="14"/>
      <c r="G356" s="14"/>
      <c r="H356" s="14"/>
      <c r="I356" s="14"/>
      <c r="J356" s="14"/>
      <c r="K356" s="1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14"/>
      <c r="AB356" s="20"/>
      <c r="AC356" s="20"/>
      <c r="AD356" s="20"/>
      <c r="AE356" s="20"/>
    </row>
    <row r="357">
      <c r="A357" s="3"/>
      <c r="B357" s="10"/>
      <c r="C357" s="10"/>
      <c r="D357" s="14"/>
      <c r="E357" s="14"/>
      <c r="F357" s="14"/>
      <c r="G357" s="14"/>
      <c r="H357" s="14"/>
      <c r="I357" s="14"/>
      <c r="J357" s="14"/>
      <c r="K357" s="1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14"/>
      <c r="AB357" s="20"/>
      <c r="AC357" s="20"/>
      <c r="AD357" s="20"/>
      <c r="AE357" s="20"/>
    </row>
    <row r="358">
      <c r="A358" s="3"/>
      <c r="B358" s="10"/>
      <c r="C358" s="10"/>
      <c r="D358" s="14"/>
      <c r="E358" s="14"/>
      <c r="F358" s="14"/>
      <c r="G358" s="14"/>
      <c r="H358" s="14"/>
      <c r="I358" s="14"/>
      <c r="J358" s="14"/>
      <c r="K358" s="1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14"/>
      <c r="AB358" s="20"/>
      <c r="AC358" s="20"/>
      <c r="AD358" s="20"/>
      <c r="AE358" s="20"/>
    </row>
    <row r="359">
      <c r="A359" s="3"/>
      <c r="B359" s="10"/>
      <c r="C359" s="10"/>
      <c r="D359" s="14"/>
      <c r="E359" s="14"/>
      <c r="F359" s="14"/>
      <c r="G359" s="14"/>
      <c r="H359" s="14"/>
      <c r="I359" s="14"/>
      <c r="J359" s="14"/>
      <c r="K359" s="1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14"/>
      <c r="AB359" s="20"/>
      <c r="AC359" s="20"/>
      <c r="AD359" s="20"/>
      <c r="AE359" s="20"/>
    </row>
    <row r="360">
      <c r="A360" s="3"/>
      <c r="B360" s="10"/>
      <c r="C360" s="10"/>
      <c r="D360" s="14"/>
      <c r="E360" s="14"/>
      <c r="F360" s="14"/>
      <c r="G360" s="14"/>
      <c r="H360" s="14"/>
      <c r="I360" s="14"/>
      <c r="J360" s="14"/>
      <c r="K360" s="1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14"/>
      <c r="AB360" s="20"/>
      <c r="AC360" s="20"/>
      <c r="AD360" s="20"/>
      <c r="AE360" s="20"/>
    </row>
    <row r="361">
      <c r="A361" s="3"/>
      <c r="B361" s="10"/>
      <c r="C361" s="10"/>
      <c r="D361" s="14"/>
      <c r="E361" s="14"/>
      <c r="F361" s="14"/>
      <c r="G361" s="14"/>
      <c r="H361" s="14"/>
      <c r="I361" s="14"/>
      <c r="J361" s="14"/>
      <c r="K361" s="1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14"/>
      <c r="AB361" s="20"/>
      <c r="AC361" s="20"/>
      <c r="AD361" s="20"/>
      <c r="AE361" s="20"/>
    </row>
    <row r="362">
      <c r="A362" s="3"/>
      <c r="B362" s="10"/>
      <c r="C362" s="10"/>
      <c r="D362" s="14"/>
      <c r="E362" s="14"/>
      <c r="F362" s="14"/>
      <c r="G362" s="14"/>
      <c r="H362" s="14"/>
      <c r="I362" s="14"/>
      <c r="J362" s="14"/>
      <c r="K362" s="1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14"/>
      <c r="AB362" s="20"/>
      <c r="AC362" s="20"/>
      <c r="AD362" s="20"/>
      <c r="AE362" s="20"/>
    </row>
    <row r="363">
      <c r="A363" s="3"/>
      <c r="B363" s="10"/>
      <c r="C363" s="10"/>
      <c r="D363" s="14"/>
      <c r="E363" s="14"/>
      <c r="F363" s="14"/>
      <c r="G363" s="14"/>
      <c r="H363" s="14"/>
      <c r="I363" s="14"/>
      <c r="J363" s="14"/>
      <c r="K363" s="1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14"/>
      <c r="AB363" s="20"/>
      <c r="AC363" s="20"/>
      <c r="AD363" s="20"/>
      <c r="AE363" s="20"/>
    </row>
    <row r="364">
      <c r="A364" s="3"/>
      <c r="B364" s="10"/>
      <c r="C364" s="10"/>
      <c r="D364" s="14"/>
      <c r="E364" s="14"/>
      <c r="F364" s="14"/>
      <c r="G364" s="14"/>
      <c r="H364" s="14"/>
      <c r="I364" s="14"/>
      <c r="J364" s="14"/>
      <c r="K364" s="1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14"/>
      <c r="AB364" s="20"/>
      <c r="AC364" s="20"/>
      <c r="AD364" s="20"/>
      <c r="AE364" s="20"/>
    </row>
    <row r="365">
      <c r="A365" s="3"/>
      <c r="B365" s="10"/>
      <c r="C365" s="10"/>
      <c r="D365" s="14"/>
      <c r="E365" s="14"/>
      <c r="F365" s="14"/>
      <c r="G365" s="14"/>
      <c r="H365" s="14"/>
      <c r="I365" s="14"/>
      <c r="J365" s="14"/>
      <c r="K365" s="1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14"/>
      <c r="AB365" s="20"/>
      <c r="AC365" s="20"/>
      <c r="AD365" s="20"/>
      <c r="AE365" s="20"/>
    </row>
    <row r="366">
      <c r="A366" s="3"/>
      <c r="B366" s="10"/>
      <c r="C366" s="10"/>
      <c r="D366" s="14"/>
      <c r="E366" s="14"/>
      <c r="F366" s="14"/>
      <c r="G366" s="14"/>
      <c r="H366" s="14"/>
      <c r="I366" s="14"/>
      <c r="J366" s="14"/>
      <c r="K366" s="1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14"/>
      <c r="AB366" s="20"/>
      <c r="AC366" s="20"/>
      <c r="AD366" s="20"/>
      <c r="AE366" s="20"/>
    </row>
    <row r="367">
      <c r="A367" s="3"/>
      <c r="B367" s="10"/>
      <c r="C367" s="10"/>
      <c r="D367" s="14"/>
      <c r="E367" s="14"/>
      <c r="F367" s="14"/>
      <c r="G367" s="14"/>
      <c r="H367" s="14"/>
      <c r="I367" s="14"/>
      <c r="J367" s="14"/>
      <c r="K367" s="1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14"/>
      <c r="AB367" s="20"/>
      <c r="AC367" s="20"/>
      <c r="AD367" s="20"/>
      <c r="AE367" s="20"/>
    </row>
    <row r="368">
      <c r="A368" s="3"/>
      <c r="B368" s="10"/>
      <c r="C368" s="10"/>
      <c r="D368" s="14"/>
      <c r="E368" s="14"/>
      <c r="F368" s="14"/>
      <c r="G368" s="14"/>
      <c r="H368" s="14"/>
      <c r="I368" s="14"/>
      <c r="J368" s="14"/>
      <c r="K368" s="1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14"/>
      <c r="AB368" s="20"/>
      <c r="AC368" s="20"/>
      <c r="AD368" s="20"/>
      <c r="AE368" s="20"/>
    </row>
    <row r="369">
      <c r="A369" s="3"/>
      <c r="B369" s="10"/>
      <c r="C369" s="10"/>
      <c r="D369" s="14"/>
      <c r="E369" s="14"/>
      <c r="F369" s="14"/>
      <c r="G369" s="14"/>
      <c r="H369" s="14"/>
      <c r="I369" s="14"/>
      <c r="J369" s="14"/>
      <c r="K369" s="1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14"/>
      <c r="AB369" s="20"/>
      <c r="AC369" s="20"/>
      <c r="AD369" s="20"/>
      <c r="AE369" s="20"/>
    </row>
    <row r="370">
      <c r="A370" s="3"/>
      <c r="B370" s="10"/>
      <c r="C370" s="10"/>
      <c r="D370" s="14"/>
      <c r="E370" s="14"/>
      <c r="F370" s="14"/>
      <c r="G370" s="14"/>
      <c r="H370" s="14"/>
      <c r="I370" s="14"/>
      <c r="J370" s="14"/>
      <c r="K370" s="1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14"/>
      <c r="AB370" s="20"/>
      <c r="AC370" s="20"/>
      <c r="AD370" s="20"/>
      <c r="AE370" s="20"/>
    </row>
    <row r="371">
      <c r="A371" s="3"/>
      <c r="B371" s="10"/>
      <c r="C371" s="10"/>
      <c r="D371" s="14"/>
      <c r="E371" s="14"/>
      <c r="F371" s="14"/>
      <c r="G371" s="14"/>
      <c r="H371" s="14"/>
      <c r="I371" s="14"/>
      <c r="J371" s="14"/>
      <c r="K371" s="1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14"/>
      <c r="AB371" s="20"/>
      <c r="AC371" s="20"/>
      <c r="AD371" s="20"/>
      <c r="AE371" s="20"/>
    </row>
    <row r="372">
      <c r="A372" s="3"/>
      <c r="B372" s="10"/>
      <c r="C372" s="10"/>
      <c r="D372" s="14"/>
      <c r="E372" s="14"/>
      <c r="F372" s="14"/>
      <c r="G372" s="14"/>
      <c r="H372" s="14"/>
      <c r="I372" s="14"/>
      <c r="J372" s="14"/>
      <c r="K372" s="1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14"/>
      <c r="AB372" s="20"/>
      <c r="AC372" s="20"/>
      <c r="AD372" s="20"/>
      <c r="AE372" s="20"/>
    </row>
    <row r="373">
      <c r="A373" s="3"/>
      <c r="B373" s="10"/>
      <c r="C373" s="10"/>
      <c r="D373" s="14"/>
      <c r="E373" s="14"/>
      <c r="F373" s="14"/>
      <c r="G373" s="14"/>
      <c r="H373" s="14"/>
      <c r="I373" s="14"/>
      <c r="J373" s="14"/>
      <c r="K373" s="1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14"/>
      <c r="AB373" s="20"/>
      <c r="AC373" s="20"/>
      <c r="AD373" s="20"/>
      <c r="AE373" s="20"/>
    </row>
    <row r="374">
      <c r="A374" s="3"/>
      <c r="B374" s="10"/>
      <c r="C374" s="10"/>
      <c r="D374" s="14"/>
      <c r="E374" s="14"/>
      <c r="F374" s="14"/>
      <c r="G374" s="14"/>
      <c r="H374" s="14"/>
      <c r="I374" s="14"/>
      <c r="J374" s="14"/>
      <c r="K374" s="1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14"/>
      <c r="AB374" s="20"/>
      <c r="AC374" s="20"/>
      <c r="AD374" s="20"/>
      <c r="AE374" s="20"/>
    </row>
    <row r="375">
      <c r="A375" s="3"/>
      <c r="B375" s="10"/>
      <c r="C375" s="10"/>
      <c r="D375" s="14"/>
      <c r="E375" s="14"/>
      <c r="F375" s="14"/>
      <c r="G375" s="14"/>
      <c r="H375" s="14"/>
      <c r="I375" s="14"/>
      <c r="J375" s="14"/>
      <c r="K375" s="1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14"/>
      <c r="AB375" s="20"/>
      <c r="AC375" s="20"/>
      <c r="AD375" s="20"/>
      <c r="AE375" s="20"/>
    </row>
    <row r="376">
      <c r="A376" s="3"/>
      <c r="B376" s="10"/>
      <c r="C376" s="10"/>
      <c r="D376" s="14"/>
      <c r="E376" s="14"/>
      <c r="F376" s="14"/>
      <c r="G376" s="14"/>
      <c r="H376" s="14"/>
      <c r="I376" s="14"/>
      <c r="J376" s="14"/>
      <c r="K376" s="1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14"/>
      <c r="AB376" s="20"/>
      <c r="AC376" s="20"/>
      <c r="AD376" s="20"/>
      <c r="AE376" s="20"/>
    </row>
    <row r="377">
      <c r="A377" s="3"/>
      <c r="B377" s="10"/>
      <c r="C377" s="10"/>
      <c r="D377" s="14"/>
      <c r="E377" s="14"/>
      <c r="F377" s="14"/>
      <c r="G377" s="14"/>
      <c r="H377" s="14"/>
      <c r="I377" s="14"/>
      <c r="J377" s="14"/>
      <c r="K377" s="1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14"/>
      <c r="AB377" s="20"/>
      <c r="AC377" s="20"/>
      <c r="AD377" s="20"/>
      <c r="AE377" s="20"/>
    </row>
    <row r="378">
      <c r="A378" s="3"/>
      <c r="B378" s="10"/>
      <c r="C378" s="10"/>
      <c r="D378" s="14"/>
      <c r="E378" s="14"/>
      <c r="F378" s="14"/>
      <c r="G378" s="14"/>
      <c r="H378" s="14"/>
      <c r="I378" s="14"/>
      <c r="J378" s="14"/>
      <c r="K378" s="1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14"/>
      <c r="AB378" s="20"/>
      <c r="AC378" s="20"/>
      <c r="AD378" s="20"/>
      <c r="AE378" s="20"/>
    </row>
    <row r="379">
      <c r="A379" s="3"/>
      <c r="B379" s="10"/>
      <c r="C379" s="10"/>
      <c r="D379" s="14"/>
      <c r="E379" s="14"/>
      <c r="F379" s="14"/>
      <c r="G379" s="14"/>
      <c r="H379" s="14"/>
      <c r="I379" s="14"/>
      <c r="J379" s="14"/>
      <c r="K379" s="1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14"/>
      <c r="AB379" s="20"/>
      <c r="AC379" s="20"/>
      <c r="AD379" s="20"/>
      <c r="AE379" s="20"/>
    </row>
    <row r="380">
      <c r="A380" s="3"/>
      <c r="B380" s="10"/>
      <c r="C380" s="10"/>
      <c r="D380" s="14"/>
      <c r="E380" s="14"/>
      <c r="F380" s="14"/>
      <c r="G380" s="14"/>
      <c r="H380" s="14"/>
      <c r="I380" s="14"/>
      <c r="J380" s="14"/>
      <c r="K380" s="1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14"/>
      <c r="AB380" s="20"/>
      <c r="AC380" s="20"/>
      <c r="AD380" s="20"/>
      <c r="AE380" s="20"/>
    </row>
    <row r="381">
      <c r="A381" s="3"/>
      <c r="B381" s="10"/>
      <c r="C381" s="10"/>
      <c r="D381" s="14"/>
      <c r="E381" s="14"/>
      <c r="F381" s="14"/>
      <c r="G381" s="14"/>
      <c r="H381" s="14"/>
      <c r="I381" s="14"/>
      <c r="J381" s="14"/>
      <c r="K381" s="1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14"/>
      <c r="AB381" s="20"/>
      <c r="AC381" s="20"/>
      <c r="AD381" s="20"/>
      <c r="AE381" s="20"/>
    </row>
    <row r="382">
      <c r="A382" s="3"/>
      <c r="B382" s="10"/>
      <c r="C382" s="10"/>
      <c r="D382" s="14"/>
      <c r="E382" s="14"/>
      <c r="F382" s="14"/>
      <c r="G382" s="14"/>
      <c r="H382" s="14"/>
      <c r="I382" s="14"/>
      <c r="J382" s="14"/>
      <c r="K382" s="1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14"/>
      <c r="AB382" s="20"/>
      <c r="AC382" s="20"/>
      <c r="AD382" s="20"/>
      <c r="AE382" s="20"/>
    </row>
    <row r="383">
      <c r="A383" s="3"/>
      <c r="B383" s="10"/>
      <c r="C383" s="10"/>
      <c r="D383" s="14"/>
      <c r="E383" s="14"/>
      <c r="F383" s="14"/>
      <c r="G383" s="14"/>
      <c r="H383" s="14"/>
      <c r="I383" s="14"/>
      <c r="J383" s="14"/>
      <c r="K383" s="1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14"/>
      <c r="AB383" s="20"/>
      <c r="AC383" s="20"/>
      <c r="AD383" s="20"/>
      <c r="AE383" s="20"/>
    </row>
    <row r="384">
      <c r="A384" s="3"/>
      <c r="B384" s="10"/>
      <c r="C384" s="10"/>
      <c r="D384" s="14"/>
      <c r="E384" s="14"/>
      <c r="F384" s="14"/>
      <c r="G384" s="14"/>
      <c r="H384" s="14"/>
      <c r="I384" s="14"/>
      <c r="J384" s="14"/>
      <c r="K384" s="1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14"/>
      <c r="AB384" s="20"/>
      <c r="AC384" s="20"/>
      <c r="AD384" s="20"/>
      <c r="AE384" s="20"/>
    </row>
    <row r="385">
      <c r="A385" s="3"/>
      <c r="B385" s="10"/>
      <c r="C385" s="10"/>
      <c r="D385" s="14"/>
      <c r="E385" s="14"/>
      <c r="F385" s="14"/>
      <c r="G385" s="14"/>
      <c r="H385" s="14"/>
      <c r="I385" s="14"/>
      <c r="J385" s="14"/>
      <c r="K385" s="1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14"/>
      <c r="AB385" s="20"/>
      <c r="AC385" s="20"/>
      <c r="AD385" s="20"/>
      <c r="AE385" s="20"/>
    </row>
    <row r="386">
      <c r="A386" s="3"/>
      <c r="B386" s="10"/>
      <c r="C386" s="10"/>
      <c r="D386" s="14"/>
      <c r="E386" s="14"/>
      <c r="F386" s="14"/>
      <c r="G386" s="14"/>
      <c r="H386" s="14"/>
      <c r="I386" s="14"/>
      <c r="J386" s="14"/>
      <c r="K386" s="1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14"/>
      <c r="AB386" s="20"/>
      <c r="AC386" s="20"/>
      <c r="AD386" s="20"/>
      <c r="AE386" s="20"/>
    </row>
    <row r="387">
      <c r="A387" s="3"/>
      <c r="B387" s="10"/>
      <c r="C387" s="10"/>
      <c r="D387" s="14"/>
      <c r="E387" s="14"/>
      <c r="F387" s="14"/>
      <c r="G387" s="14"/>
      <c r="H387" s="14"/>
      <c r="I387" s="14"/>
      <c r="J387" s="14"/>
      <c r="K387" s="1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14"/>
      <c r="AB387" s="20"/>
      <c r="AC387" s="20"/>
      <c r="AD387" s="20"/>
      <c r="AE387" s="20"/>
    </row>
    <row r="388">
      <c r="A388" s="3"/>
      <c r="B388" s="10"/>
      <c r="C388" s="10"/>
      <c r="D388" s="14"/>
      <c r="E388" s="14"/>
      <c r="F388" s="14"/>
      <c r="G388" s="14"/>
      <c r="H388" s="14"/>
      <c r="I388" s="14"/>
      <c r="J388" s="14"/>
      <c r="K388" s="1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14"/>
      <c r="AB388" s="20"/>
      <c r="AC388" s="20"/>
      <c r="AD388" s="20"/>
      <c r="AE388" s="20"/>
    </row>
    <row r="389">
      <c r="A389" s="3"/>
      <c r="B389" s="10"/>
      <c r="C389" s="10"/>
      <c r="D389" s="14"/>
      <c r="E389" s="14"/>
      <c r="F389" s="14"/>
      <c r="G389" s="14"/>
      <c r="H389" s="14"/>
      <c r="I389" s="14"/>
      <c r="J389" s="14"/>
      <c r="K389" s="1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14"/>
      <c r="AB389" s="20"/>
      <c r="AC389" s="20"/>
      <c r="AD389" s="20"/>
      <c r="AE389" s="20"/>
    </row>
    <row r="390">
      <c r="A390" s="3"/>
      <c r="B390" s="10"/>
      <c r="C390" s="10"/>
      <c r="D390" s="14"/>
      <c r="E390" s="14"/>
      <c r="F390" s="14"/>
      <c r="G390" s="14"/>
      <c r="H390" s="14"/>
      <c r="I390" s="14"/>
      <c r="J390" s="14"/>
      <c r="K390" s="1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14"/>
      <c r="AB390" s="20"/>
      <c r="AC390" s="20"/>
      <c r="AD390" s="20"/>
      <c r="AE390" s="20"/>
    </row>
    <row r="391">
      <c r="A391" s="3"/>
      <c r="B391" s="10"/>
      <c r="C391" s="10"/>
      <c r="D391" s="14"/>
      <c r="E391" s="14"/>
      <c r="F391" s="14"/>
      <c r="G391" s="14"/>
      <c r="H391" s="14"/>
      <c r="I391" s="14"/>
      <c r="J391" s="14"/>
      <c r="K391" s="1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14"/>
      <c r="AB391" s="20"/>
      <c r="AC391" s="20"/>
      <c r="AD391" s="20"/>
      <c r="AE391" s="20"/>
    </row>
    <row r="392">
      <c r="A392" s="3"/>
      <c r="B392" s="10"/>
      <c r="C392" s="10"/>
      <c r="D392" s="14"/>
      <c r="E392" s="14"/>
      <c r="F392" s="14"/>
      <c r="G392" s="14"/>
      <c r="H392" s="14"/>
      <c r="I392" s="14"/>
      <c r="J392" s="14"/>
      <c r="K392" s="1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14"/>
      <c r="AB392" s="20"/>
      <c r="AC392" s="20"/>
      <c r="AD392" s="20"/>
      <c r="AE392" s="20"/>
    </row>
    <row r="393">
      <c r="A393" s="3"/>
      <c r="B393" s="10"/>
      <c r="C393" s="10"/>
      <c r="D393" s="14"/>
      <c r="E393" s="14"/>
      <c r="F393" s="14"/>
      <c r="G393" s="14"/>
      <c r="H393" s="14"/>
      <c r="I393" s="14"/>
      <c r="J393" s="14"/>
      <c r="K393" s="1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14"/>
      <c r="AB393" s="20"/>
      <c r="AC393" s="20"/>
      <c r="AD393" s="20"/>
      <c r="AE393" s="20"/>
    </row>
    <row r="394">
      <c r="A394" s="3"/>
      <c r="B394" s="10"/>
      <c r="C394" s="10"/>
      <c r="D394" s="14"/>
      <c r="E394" s="14"/>
      <c r="F394" s="14"/>
      <c r="G394" s="14"/>
      <c r="H394" s="14"/>
      <c r="I394" s="14"/>
      <c r="J394" s="14"/>
      <c r="K394" s="1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14"/>
      <c r="AB394" s="20"/>
      <c r="AC394" s="20"/>
      <c r="AD394" s="20"/>
      <c r="AE394" s="20"/>
    </row>
    <row r="395">
      <c r="A395" s="3"/>
      <c r="B395" s="10"/>
      <c r="C395" s="10"/>
      <c r="D395" s="14"/>
      <c r="E395" s="14"/>
      <c r="F395" s="14"/>
      <c r="G395" s="14"/>
      <c r="H395" s="14"/>
      <c r="I395" s="14"/>
      <c r="J395" s="14"/>
      <c r="K395" s="1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14"/>
      <c r="AB395" s="20"/>
      <c r="AC395" s="20"/>
      <c r="AD395" s="20"/>
      <c r="AE395" s="20"/>
    </row>
    <row r="396">
      <c r="A396" s="3"/>
      <c r="B396" s="10"/>
      <c r="C396" s="10"/>
      <c r="D396" s="14"/>
      <c r="E396" s="14"/>
      <c r="F396" s="14"/>
      <c r="G396" s="14"/>
      <c r="H396" s="14"/>
      <c r="I396" s="14"/>
      <c r="J396" s="14"/>
      <c r="K396" s="1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14"/>
      <c r="AB396" s="20"/>
      <c r="AC396" s="20"/>
      <c r="AD396" s="20"/>
      <c r="AE396" s="20"/>
    </row>
    <row r="397">
      <c r="A397" s="3"/>
      <c r="B397" s="10"/>
      <c r="C397" s="10"/>
      <c r="D397" s="14"/>
      <c r="E397" s="14"/>
      <c r="F397" s="14"/>
      <c r="G397" s="14"/>
      <c r="H397" s="14"/>
      <c r="I397" s="14"/>
      <c r="J397" s="14"/>
      <c r="K397" s="1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14"/>
      <c r="AB397" s="20"/>
      <c r="AC397" s="20"/>
      <c r="AD397" s="20"/>
      <c r="AE397" s="20"/>
    </row>
    <row r="398">
      <c r="A398" s="3"/>
      <c r="B398" s="10"/>
      <c r="C398" s="10"/>
      <c r="D398" s="14"/>
      <c r="E398" s="14"/>
      <c r="F398" s="14"/>
      <c r="G398" s="14"/>
      <c r="H398" s="14"/>
      <c r="I398" s="14"/>
      <c r="J398" s="14"/>
      <c r="K398" s="1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14"/>
      <c r="AB398" s="20"/>
      <c r="AC398" s="20"/>
      <c r="AD398" s="20"/>
      <c r="AE398" s="20"/>
    </row>
    <row r="399">
      <c r="A399" s="3"/>
      <c r="B399" s="10"/>
      <c r="C399" s="10"/>
      <c r="D399" s="14"/>
      <c r="E399" s="14"/>
      <c r="F399" s="14"/>
      <c r="G399" s="14"/>
      <c r="H399" s="14"/>
      <c r="I399" s="14"/>
      <c r="J399" s="14"/>
      <c r="K399" s="1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14"/>
      <c r="AB399" s="20"/>
      <c r="AC399" s="20"/>
      <c r="AD399" s="20"/>
      <c r="AE399" s="20"/>
    </row>
    <row r="400">
      <c r="A400" s="3"/>
      <c r="B400" s="10"/>
      <c r="C400" s="10"/>
      <c r="D400" s="14"/>
      <c r="E400" s="14"/>
      <c r="F400" s="14"/>
      <c r="G400" s="14"/>
      <c r="H400" s="14"/>
      <c r="I400" s="14"/>
      <c r="J400" s="14"/>
      <c r="K400" s="1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14"/>
      <c r="AB400" s="20"/>
      <c r="AC400" s="20"/>
      <c r="AD400" s="20"/>
      <c r="AE400" s="20"/>
    </row>
    <row r="401">
      <c r="A401" s="3"/>
      <c r="B401" s="10"/>
      <c r="C401" s="10"/>
      <c r="D401" s="14"/>
      <c r="E401" s="14"/>
      <c r="F401" s="14"/>
      <c r="G401" s="14"/>
      <c r="H401" s="14"/>
      <c r="I401" s="14"/>
      <c r="J401" s="14"/>
      <c r="K401" s="1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14"/>
      <c r="AB401" s="20"/>
      <c r="AC401" s="20"/>
      <c r="AD401" s="20"/>
      <c r="AE401" s="20"/>
    </row>
    <row r="402">
      <c r="A402" s="3"/>
      <c r="B402" s="10"/>
      <c r="C402" s="10"/>
      <c r="D402" s="14"/>
      <c r="E402" s="14"/>
      <c r="F402" s="14"/>
      <c r="G402" s="14"/>
      <c r="H402" s="14"/>
      <c r="I402" s="14"/>
      <c r="J402" s="14"/>
      <c r="K402" s="1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14"/>
      <c r="AB402" s="20"/>
      <c r="AC402" s="20"/>
      <c r="AD402" s="20"/>
      <c r="AE402" s="20"/>
    </row>
    <row r="403">
      <c r="A403" s="3"/>
      <c r="B403" s="10"/>
      <c r="C403" s="10"/>
      <c r="D403" s="14"/>
      <c r="E403" s="14"/>
      <c r="F403" s="14"/>
      <c r="G403" s="14"/>
      <c r="H403" s="14"/>
      <c r="I403" s="14"/>
      <c r="J403" s="14"/>
      <c r="K403" s="1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14"/>
      <c r="AB403" s="20"/>
      <c r="AC403" s="20"/>
      <c r="AD403" s="20"/>
      <c r="AE403" s="20"/>
    </row>
    <row r="404">
      <c r="A404" s="3"/>
      <c r="B404" s="10"/>
      <c r="C404" s="10"/>
      <c r="D404" s="14"/>
      <c r="E404" s="14"/>
      <c r="F404" s="14"/>
      <c r="G404" s="14"/>
      <c r="H404" s="14"/>
      <c r="I404" s="14"/>
      <c r="J404" s="14"/>
      <c r="K404" s="1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14"/>
      <c r="AB404" s="20"/>
      <c r="AC404" s="20"/>
      <c r="AD404" s="20"/>
      <c r="AE404" s="20"/>
    </row>
    <row r="405">
      <c r="A405" s="3"/>
      <c r="B405" s="10"/>
      <c r="C405" s="10"/>
      <c r="D405" s="14"/>
      <c r="E405" s="14"/>
      <c r="F405" s="14"/>
      <c r="G405" s="14"/>
      <c r="H405" s="14"/>
      <c r="I405" s="14"/>
      <c r="J405" s="14"/>
      <c r="K405" s="1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14"/>
      <c r="AB405" s="20"/>
      <c r="AC405" s="20"/>
      <c r="AD405" s="20"/>
      <c r="AE405" s="20"/>
    </row>
    <row r="406">
      <c r="A406" s="3"/>
      <c r="B406" s="10"/>
      <c r="C406" s="10"/>
      <c r="D406" s="14"/>
      <c r="E406" s="14"/>
      <c r="F406" s="14"/>
      <c r="G406" s="14"/>
      <c r="H406" s="14"/>
      <c r="I406" s="14"/>
      <c r="J406" s="14"/>
      <c r="K406" s="1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14"/>
      <c r="AB406" s="20"/>
      <c r="AC406" s="20"/>
      <c r="AD406" s="20"/>
      <c r="AE406" s="20"/>
    </row>
    <row r="407">
      <c r="A407" s="3"/>
      <c r="B407" s="10"/>
      <c r="C407" s="10"/>
      <c r="D407" s="14"/>
      <c r="E407" s="14"/>
      <c r="F407" s="14"/>
      <c r="G407" s="14"/>
      <c r="H407" s="14"/>
      <c r="I407" s="14"/>
      <c r="J407" s="14"/>
      <c r="K407" s="1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14"/>
      <c r="AB407" s="20"/>
      <c r="AC407" s="20"/>
      <c r="AD407" s="20"/>
      <c r="AE407" s="20"/>
    </row>
    <row r="408">
      <c r="A408" s="3"/>
      <c r="B408" s="10"/>
      <c r="C408" s="10"/>
      <c r="D408" s="14"/>
      <c r="E408" s="14"/>
      <c r="F408" s="14"/>
      <c r="G408" s="14"/>
      <c r="H408" s="14"/>
      <c r="I408" s="14"/>
      <c r="J408" s="14"/>
      <c r="K408" s="1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14"/>
      <c r="AB408" s="20"/>
      <c r="AC408" s="20"/>
      <c r="AD408" s="20"/>
      <c r="AE408" s="20"/>
    </row>
    <row r="409">
      <c r="A409" s="3"/>
      <c r="B409" s="10"/>
      <c r="C409" s="10"/>
      <c r="D409" s="14"/>
      <c r="E409" s="14"/>
      <c r="F409" s="14"/>
      <c r="G409" s="14"/>
      <c r="H409" s="14"/>
      <c r="I409" s="14"/>
      <c r="J409" s="14"/>
      <c r="K409" s="1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14"/>
      <c r="AB409" s="20"/>
      <c r="AC409" s="20"/>
      <c r="AD409" s="20"/>
      <c r="AE409" s="20"/>
    </row>
    <row r="410">
      <c r="A410" s="3"/>
      <c r="B410" s="10"/>
      <c r="C410" s="10"/>
      <c r="D410" s="14"/>
      <c r="E410" s="14"/>
      <c r="F410" s="14"/>
      <c r="G410" s="14"/>
      <c r="H410" s="14"/>
      <c r="I410" s="14"/>
      <c r="J410" s="14"/>
      <c r="K410" s="1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14"/>
      <c r="AB410" s="20"/>
      <c r="AC410" s="20"/>
      <c r="AD410" s="20"/>
      <c r="AE410" s="20"/>
    </row>
    <row r="411">
      <c r="A411" s="3"/>
      <c r="B411" s="10"/>
      <c r="C411" s="10"/>
      <c r="D411" s="14"/>
      <c r="E411" s="14"/>
      <c r="F411" s="14"/>
      <c r="G411" s="14"/>
      <c r="H411" s="14"/>
      <c r="I411" s="14"/>
      <c r="J411" s="14"/>
      <c r="K411" s="1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14"/>
      <c r="AB411" s="20"/>
      <c r="AC411" s="20"/>
      <c r="AD411" s="20"/>
      <c r="AE411" s="20"/>
    </row>
    <row r="412">
      <c r="A412" s="3"/>
      <c r="B412" s="10"/>
      <c r="C412" s="10"/>
      <c r="D412" s="14"/>
      <c r="E412" s="14"/>
      <c r="F412" s="14"/>
      <c r="G412" s="14"/>
      <c r="H412" s="14"/>
      <c r="I412" s="14"/>
      <c r="J412" s="14"/>
      <c r="K412" s="1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14"/>
      <c r="AB412" s="20"/>
      <c r="AC412" s="20"/>
      <c r="AD412" s="20"/>
      <c r="AE412" s="20"/>
    </row>
    <row r="413">
      <c r="A413" s="3"/>
      <c r="B413" s="10"/>
      <c r="C413" s="10"/>
      <c r="D413" s="14"/>
      <c r="E413" s="14"/>
      <c r="F413" s="14"/>
      <c r="G413" s="14"/>
      <c r="H413" s="14"/>
      <c r="I413" s="14"/>
      <c r="J413" s="14"/>
      <c r="K413" s="1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14"/>
      <c r="AB413" s="20"/>
      <c r="AC413" s="20"/>
      <c r="AD413" s="20"/>
      <c r="AE413" s="20"/>
    </row>
    <row r="414">
      <c r="A414" s="3"/>
      <c r="B414" s="10"/>
      <c r="C414" s="10"/>
      <c r="D414" s="14"/>
      <c r="E414" s="14"/>
      <c r="F414" s="14"/>
      <c r="G414" s="14"/>
      <c r="H414" s="14"/>
      <c r="I414" s="14"/>
      <c r="J414" s="14"/>
      <c r="K414" s="1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14"/>
      <c r="AB414" s="20"/>
      <c r="AC414" s="20"/>
      <c r="AD414" s="20"/>
      <c r="AE414" s="20"/>
    </row>
    <row r="415">
      <c r="A415" s="3"/>
      <c r="B415" s="10"/>
      <c r="C415" s="10"/>
      <c r="D415" s="14"/>
      <c r="E415" s="14"/>
      <c r="F415" s="14"/>
      <c r="G415" s="14"/>
      <c r="H415" s="14"/>
      <c r="I415" s="14"/>
      <c r="J415" s="14"/>
      <c r="K415" s="1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14"/>
      <c r="AB415" s="20"/>
      <c r="AC415" s="20"/>
      <c r="AD415" s="20"/>
      <c r="AE415" s="20"/>
    </row>
    <row r="416">
      <c r="A416" s="3"/>
      <c r="B416" s="10"/>
      <c r="C416" s="10"/>
      <c r="D416" s="14"/>
      <c r="E416" s="14"/>
      <c r="F416" s="14"/>
      <c r="G416" s="14"/>
      <c r="H416" s="14"/>
      <c r="I416" s="14"/>
      <c r="J416" s="14"/>
      <c r="K416" s="1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14"/>
      <c r="AB416" s="20"/>
      <c r="AC416" s="20"/>
      <c r="AD416" s="20"/>
      <c r="AE416" s="20"/>
    </row>
    <row r="417">
      <c r="A417" s="3"/>
      <c r="B417" s="10"/>
      <c r="C417" s="10"/>
      <c r="D417" s="14"/>
      <c r="E417" s="14"/>
      <c r="F417" s="14"/>
      <c r="G417" s="14"/>
      <c r="H417" s="14"/>
      <c r="I417" s="14"/>
      <c r="J417" s="14"/>
      <c r="K417" s="1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14"/>
      <c r="AB417" s="20"/>
      <c r="AC417" s="20"/>
      <c r="AD417" s="20"/>
      <c r="AE417" s="20"/>
    </row>
    <row r="418">
      <c r="A418" s="3"/>
      <c r="B418" s="10"/>
      <c r="C418" s="10"/>
      <c r="D418" s="14"/>
      <c r="E418" s="14"/>
      <c r="F418" s="14"/>
      <c r="G418" s="14"/>
      <c r="H418" s="14"/>
      <c r="I418" s="14"/>
      <c r="J418" s="14"/>
      <c r="K418" s="1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14"/>
      <c r="AB418" s="20"/>
      <c r="AC418" s="20"/>
      <c r="AD418" s="20"/>
      <c r="AE418" s="20"/>
    </row>
    <row r="419">
      <c r="A419" s="3"/>
      <c r="B419" s="10"/>
      <c r="C419" s="10"/>
      <c r="D419" s="14"/>
      <c r="E419" s="14"/>
      <c r="F419" s="14"/>
      <c r="G419" s="14"/>
      <c r="H419" s="14"/>
      <c r="I419" s="14"/>
      <c r="J419" s="14"/>
      <c r="K419" s="1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14"/>
      <c r="AB419" s="20"/>
      <c r="AC419" s="20"/>
      <c r="AD419" s="20"/>
      <c r="AE419" s="20"/>
    </row>
    <row r="420">
      <c r="A420" s="3"/>
      <c r="B420" s="10"/>
      <c r="C420" s="10"/>
      <c r="D420" s="14"/>
      <c r="E420" s="14"/>
      <c r="F420" s="14"/>
      <c r="G420" s="14"/>
      <c r="H420" s="14"/>
      <c r="I420" s="14"/>
      <c r="J420" s="14"/>
      <c r="K420" s="1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14"/>
      <c r="AB420" s="20"/>
      <c r="AC420" s="20"/>
      <c r="AD420" s="20"/>
      <c r="AE420" s="20"/>
    </row>
    <row r="421">
      <c r="A421" s="3"/>
      <c r="B421" s="10"/>
      <c r="C421" s="10"/>
      <c r="D421" s="14"/>
      <c r="E421" s="14"/>
      <c r="F421" s="14"/>
      <c r="G421" s="14"/>
      <c r="H421" s="14"/>
      <c r="I421" s="14"/>
      <c r="J421" s="14"/>
      <c r="K421" s="1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14"/>
      <c r="AB421" s="20"/>
      <c r="AC421" s="20"/>
      <c r="AD421" s="20"/>
      <c r="AE421" s="20"/>
    </row>
    <row r="422">
      <c r="A422" s="3"/>
      <c r="B422" s="10"/>
      <c r="C422" s="10"/>
      <c r="D422" s="14"/>
      <c r="E422" s="14"/>
      <c r="F422" s="14"/>
      <c r="G422" s="14"/>
      <c r="H422" s="14"/>
      <c r="I422" s="14"/>
      <c r="J422" s="14"/>
      <c r="K422" s="1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14"/>
      <c r="AB422" s="20"/>
      <c r="AC422" s="20"/>
      <c r="AD422" s="20"/>
      <c r="AE422" s="20"/>
    </row>
    <row r="423">
      <c r="A423" s="3"/>
      <c r="B423" s="10"/>
      <c r="C423" s="10"/>
      <c r="D423" s="14"/>
      <c r="E423" s="14"/>
      <c r="F423" s="14"/>
      <c r="G423" s="14"/>
      <c r="H423" s="14"/>
      <c r="I423" s="14"/>
      <c r="J423" s="14"/>
      <c r="K423" s="1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14"/>
      <c r="AB423" s="20"/>
      <c r="AC423" s="20"/>
      <c r="AD423" s="20"/>
      <c r="AE423" s="20"/>
    </row>
    <row r="424">
      <c r="A424" s="3"/>
      <c r="B424" s="10"/>
      <c r="C424" s="10"/>
      <c r="D424" s="14"/>
      <c r="E424" s="14"/>
      <c r="F424" s="14"/>
      <c r="G424" s="14"/>
      <c r="H424" s="14"/>
      <c r="I424" s="14"/>
      <c r="J424" s="14"/>
      <c r="K424" s="1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14"/>
      <c r="AB424" s="20"/>
      <c r="AC424" s="20"/>
      <c r="AD424" s="20"/>
      <c r="AE424" s="20"/>
    </row>
    <row r="425">
      <c r="A425" s="3"/>
      <c r="B425" s="10"/>
      <c r="C425" s="10"/>
      <c r="D425" s="14"/>
      <c r="E425" s="14"/>
      <c r="F425" s="14"/>
      <c r="G425" s="14"/>
      <c r="H425" s="14"/>
      <c r="I425" s="14"/>
      <c r="J425" s="14"/>
      <c r="K425" s="1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14"/>
      <c r="AB425" s="20"/>
      <c r="AC425" s="20"/>
      <c r="AD425" s="20"/>
      <c r="AE425" s="20"/>
    </row>
    <row r="426">
      <c r="A426" s="3"/>
      <c r="B426" s="10"/>
      <c r="C426" s="10"/>
      <c r="D426" s="14"/>
      <c r="E426" s="14"/>
      <c r="F426" s="14"/>
      <c r="G426" s="14"/>
      <c r="H426" s="14"/>
      <c r="I426" s="14"/>
      <c r="J426" s="14"/>
      <c r="K426" s="1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14"/>
      <c r="AB426" s="20"/>
      <c r="AC426" s="20"/>
      <c r="AD426" s="20"/>
      <c r="AE426" s="20"/>
    </row>
    <row r="427">
      <c r="A427" s="3"/>
      <c r="B427" s="10"/>
      <c r="C427" s="10"/>
      <c r="D427" s="14"/>
      <c r="E427" s="14"/>
      <c r="F427" s="14"/>
      <c r="G427" s="14"/>
      <c r="H427" s="14"/>
      <c r="I427" s="14"/>
      <c r="J427" s="14"/>
      <c r="K427" s="1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14"/>
      <c r="AB427" s="20"/>
      <c r="AC427" s="20"/>
      <c r="AD427" s="20"/>
      <c r="AE427" s="20"/>
    </row>
    <row r="428">
      <c r="A428" s="3"/>
      <c r="B428" s="10"/>
      <c r="C428" s="10"/>
      <c r="D428" s="14"/>
      <c r="E428" s="14"/>
      <c r="F428" s="14"/>
      <c r="G428" s="14"/>
      <c r="H428" s="14"/>
      <c r="I428" s="14"/>
      <c r="J428" s="14"/>
      <c r="K428" s="1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14"/>
      <c r="AB428" s="20"/>
      <c r="AC428" s="20"/>
      <c r="AD428" s="20"/>
      <c r="AE428" s="20"/>
    </row>
    <row r="429">
      <c r="A429" s="3"/>
      <c r="B429" s="10"/>
      <c r="C429" s="10"/>
      <c r="D429" s="14"/>
      <c r="E429" s="14"/>
      <c r="F429" s="14"/>
      <c r="G429" s="14"/>
      <c r="H429" s="14"/>
      <c r="I429" s="14"/>
      <c r="J429" s="14"/>
      <c r="K429" s="1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14"/>
      <c r="AB429" s="20"/>
      <c r="AC429" s="20"/>
      <c r="AD429" s="20"/>
      <c r="AE429" s="20"/>
    </row>
    <row r="430">
      <c r="A430" s="3"/>
      <c r="B430" s="10"/>
      <c r="C430" s="10"/>
      <c r="D430" s="14"/>
      <c r="E430" s="14"/>
      <c r="F430" s="14"/>
      <c r="G430" s="14"/>
      <c r="H430" s="14"/>
      <c r="I430" s="14"/>
      <c r="J430" s="14"/>
      <c r="K430" s="1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14"/>
      <c r="AB430" s="20"/>
      <c r="AC430" s="20"/>
      <c r="AD430" s="20"/>
      <c r="AE430" s="20"/>
    </row>
    <row r="431">
      <c r="A431" s="3"/>
      <c r="B431" s="10"/>
      <c r="C431" s="10"/>
      <c r="D431" s="14"/>
      <c r="E431" s="14"/>
      <c r="F431" s="14"/>
      <c r="G431" s="14"/>
      <c r="H431" s="14"/>
      <c r="I431" s="14"/>
      <c r="J431" s="14"/>
      <c r="K431" s="1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14"/>
      <c r="AB431" s="20"/>
      <c r="AC431" s="20"/>
      <c r="AD431" s="20"/>
      <c r="AE431" s="20"/>
    </row>
    <row r="432">
      <c r="A432" s="3"/>
      <c r="B432" s="10"/>
      <c r="C432" s="10"/>
      <c r="D432" s="14"/>
      <c r="E432" s="14"/>
      <c r="F432" s="14"/>
      <c r="G432" s="14"/>
      <c r="H432" s="14"/>
      <c r="I432" s="14"/>
      <c r="J432" s="14"/>
      <c r="K432" s="1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14"/>
      <c r="AB432" s="20"/>
      <c r="AC432" s="20"/>
      <c r="AD432" s="20"/>
      <c r="AE432" s="20"/>
    </row>
    <row r="433">
      <c r="A433" s="3"/>
      <c r="B433" s="10"/>
      <c r="C433" s="10"/>
      <c r="D433" s="14"/>
      <c r="E433" s="14"/>
      <c r="F433" s="14"/>
      <c r="G433" s="14"/>
      <c r="H433" s="14"/>
      <c r="I433" s="14"/>
      <c r="J433" s="14"/>
      <c r="K433" s="1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14"/>
      <c r="AB433" s="20"/>
      <c r="AC433" s="20"/>
      <c r="AD433" s="20"/>
      <c r="AE433" s="20"/>
    </row>
    <row r="434">
      <c r="A434" s="3"/>
      <c r="B434" s="10"/>
      <c r="C434" s="10"/>
      <c r="D434" s="14"/>
      <c r="E434" s="14"/>
      <c r="F434" s="14"/>
      <c r="G434" s="14"/>
      <c r="H434" s="14"/>
      <c r="I434" s="14"/>
      <c r="J434" s="14"/>
      <c r="K434" s="1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14"/>
      <c r="AB434" s="20"/>
      <c r="AC434" s="20"/>
      <c r="AD434" s="20"/>
      <c r="AE434" s="20"/>
    </row>
    <row r="435">
      <c r="A435" s="3"/>
      <c r="B435" s="10"/>
      <c r="C435" s="10"/>
      <c r="D435" s="14"/>
      <c r="E435" s="14"/>
      <c r="F435" s="14"/>
      <c r="G435" s="14"/>
      <c r="H435" s="14"/>
      <c r="I435" s="14"/>
      <c r="J435" s="14"/>
      <c r="K435" s="1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14"/>
      <c r="AB435" s="20"/>
      <c r="AC435" s="20"/>
      <c r="AD435" s="20"/>
      <c r="AE435" s="20"/>
    </row>
    <row r="436">
      <c r="A436" s="3"/>
      <c r="B436" s="10"/>
      <c r="C436" s="10"/>
      <c r="D436" s="14"/>
      <c r="E436" s="14"/>
      <c r="F436" s="14"/>
      <c r="G436" s="14"/>
      <c r="H436" s="14"/>
      <c r="I436" s="14"/>
      <c r="J436" s="14"/>
      <c r="K436" s="1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14"/>
      <c r="AB436" s="20"/>
      <c r="AC436" s="20"/>
      <c r="AD436" s="20"/>
      <c r="AE436" s="20"/>
    </row>
    <row r="437">
      <c r="A437" s="3"/>
      <c r="B437" s="10"/>
      <c r="C437" s="10"/>
      <c r="D437" s="14"/>
      <c r="E437" s="14"/>
      <c r="F437" s="14"/>
      <c r="G437" s="14"/>
      <c r="H437" s="14"/>
      <c r="I437" s="14"/>
      <c r="J437" s="14"/>
      <c r="K437" s="1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14"/>
      <c r="AB437" s="20"/>
      <c r="AC437" s="20"/>
      <c r="AD437" s="20"/>
      <c r="AE437" s="20"/>
    </row>
    <row r="438">
      <c r="A438" s="3"/>
      <c r="B438" s="10"/>
      <c r="C438" s="10"/>
      <c r="D438" s="14"/>
      <c r="E438" s="14"/>
      <c r="F438" s="14"/>
      <c r="G438" s="14"/>
      <c r="H438" s="14"/>
      <c r="I438" s="14"/>
      <c r="J438" s="14"/>
      <c r="K438" s="1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14"/>
      <c r="AB438" s="20"/>
      <c r="AC438" s="20"/>
      <c r="AD438" s="20"/>
      <c r="AE438" s="20"/>
    </row>
    <row r="439">
      <c r="A439" s="3"/>
      <c r="B439" s="10"/>
      <c r="C439" s="10"/>
      <c r="D439" s="14"/>
      <c r="E439" s="14"/>
      <c r="F439" s="14"/>
      <c r="G439" s="14"/>
      <c r="H439" s="14"/>
      <c r="I439" s="14"/>
      <c r="J439" s="14"/>
      <c r="K439" s="1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14"/>
      <c r="AB439" s="20"/>
      <c r="AC439" s="20"/>
      <c r="AD439" s="20"/>
      <c r="AE439" s="20"/>
    </row>
    <row r="440">
      <c r="A440" s="3"/>
      <c r="B440" s="10"/>
      <c r="C440" s="10"/>
      <c r="D440" s="14"/>
      <c r="E440" s="14"/>
      <c r="F440" s="14"/>
      <c r="G440" s="14"/>
      <c r="H440" s="14"/>
      <c r="I440" s="14"/>
      <c r="J440" s="14"/>
      <c r="K440" s="1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14"/>
      <c r="AB440" s="20"/>
      <c r="AC440" s="20"/>
      <c r="AD440" s="20"/>
      <c r="AE440" s="20"/>
    </row>
    <row r="441">
      <c r="A441" s="3"/>
      <c r="B441" s="10"/>
      <c r="C441" s="10"/>
      <c r="D441" s="14"/>
      <c r="E441" s="14"/>
      <c r="F441" s="14"/>
      <c r="G441" s="14"/>
      <c r="H441" s="14"/>
      <c r="I441" s="14"/>
      <c r="J441" s="14"/>
      <c r="K441" s="1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14"/>
      <c r="AB441" s="20"/>
      <c r="AC441" s="20"/>
      <c r="AD441" s="20"/>
      <c r="AE441" s="20"/>
    </row>
    <row r="442">
      <c r="A442" s="3"/>
      <c r="B442" s="10"/>
      <c r="C442" s="10"/>
      <c r="D442" s="14"/>
      <c r="E442" s="14"/>
      <c r="F442" s="14"/>
      <c r="G442" s="14"/>
      <c r="H442" s="14"/>
      <c r="I442" s="14"/>
      <c r="J442" s="14"/>
      <c r="K442" s="1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14"/>
      <c r="AB442" s="20"/>
      <c r="AC442" s="20"/>
      <c r="AD442" s="20"/>
      <c r="AE442" s="20"/>
    </row>
    <row r="443">
      <c r="A443" s="3"/>
      <c r="B443" s="10"/>
      <c r="C443" s="10"/>
      <c r="D443" s="14"/>
      <c r="E443" s="14"/>
      <c r="F443" s="14"/>
      <c r="G443" s="14"/>
      <c r="H443" s="14"/>
      <c r="I443" s="14"/>
      <c r="J443" s="14"/>
      <c r="K443" s="1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14"/>
      <c r="AB443" s="20"/>
      <c r="AC443" s="20"/>
      <c r="AD443" s="20"/>
      <c r="AE443" s="20"/>
    </row>
    <row r="444">
      <c r="A444" s="3"/>
      <c r="B444" s="10"/>
      <c r="C444" s="10"/>
      <c r="D444" s="14"/>
      <c r="E444" s="14"/>
      <c r="F444" s="14"/>
      <c r="G444" s="14"/>
      <c r="H444" s="14"/>
      <c r="I444" s="14"/>
      <c r="J444" s="14"/>
      <c r="K444" s="1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14"/>
      <c r="AB444" s="20"/>
      <c r="AC444" s="20"/>
      <c r="AD444" s="20"/>
      <c r="AE444" s="20"/>
    </row>
    <row r="445">
      <c r="A445" s="3"/>
      <c r="B445" s="10"/>
      <c r="C445" s="10"/>
      <c r="D445" s="14"/>
      <c r="E445" s="14"/>
      <c r="F445" s="14"/>
      <c r="G445" s="14"/>
      <c r="H445" s="14"/>
      <c r="I445" s="14"/>
      <c r="J445" s="14"/>
      <c r="K445" s="1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14"/>
      <c r="AB445" s="20"/>
      <c r="AC445" s="20"/>
      <c r="AD445" s="20"/>
      <c r="AE445" s="20"/>
    </row>
    <row r="446">
      <c r="A446" s="3"/>
      <c r="B446" s="10"/>
      <c r="C446" s="10"/>
      <c r="D446" s="14"/>
      <c r="E446" s="14"/>
      <c r="F446" s="14"/>
      <c r="G446" s="14"/>
      <c r="H446" s="14"/>
      <c r="I446" s="14"/>
      <c r="J446" s="14"/>
      <c r="K446" s="1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14"/>
      <c r="AB446" s="20"/>
      <c r="AC446" s="20"/>
      <c r="AD446" s="20"/>
      <c r="AE446" s="20"/>
    </row>
    <row r="447">
      <c r="A447" s="3"/>
      <c r="B447" s="10"/>
      <c r="C447" s="10"/>
      <c r="D447" s="14"/>
      <c r="E447" s="14"/>
      <c r="F447" s="14"/>
      <c r="G447" s="14"/>
      <c r="H447" s="14"/>
      <c r="I447" s="14"/>
      <c r="J447" s="14"/>
      <c r="K447" s="1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14"/>
      <c r="AB447" s="20"/>
      <c r="AC447" s="20"/>
      <c r="AD447" s="20"/>
      <c r="AE447" s="20"/>
    </row>
    <row r="448">
      <c r="A448" s="3"/>
      <c r="B448" s="10"/>
      <c r="C448" s="10"/>
      <c r="D448" s="14"/>
      <c r="E448" s="14"/>
      <c r="F448" s="14"/>
      <c r="G448" s="14"/>
      <c r="H448" s="14"/>
      <c r="I448" s="14"/>
      <c r="J448" s="14"/>
      <c r="K448" s="1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14"/>
      <c r="AB448" s="20"/>
      <c r="AC448" s="20"/>
      <c r="AD448" s="20"/>
      <c r="AE448" s="20"/>
    </row>
    <row r="449">
      <c r="A449" s="3"/>
      <c r="B449" s="10"/>
      <c r="C449" s="10"/>
      <c r="D449" s="14"/>
      <c r="E449" s="14"/>
      <c r="F449" s="14"/>
      <c r="G449" s="14"/>
      <c r="H449" s="14"/>
      <c r="I449" s="14"/>
      <c r="J449" s="14"/>
      <c r="K449" s="1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14"/>
      <c r="AB449" s="20"/>
      <c r="AC449" s="20"/>
      <c r="AD449" s="20"/>
      <c r="AE449" s="20"/>
    </row>
    <row r="450">
      <c r="A450" s="3"/>
      <c r="B450" s="10"/>
      <c r="C450" s="10"/>
      <c r="D450" s="14"/>
      <c r="E450" s="14"/>
      <c r="F450" s="14"/>
      <c r="G450" s="14"/>
      <c r="H450" s="14"/>
      <c r="I450" s="14"/>
      <c r="J450" s="14"/>
      <c r="K450" s="1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14"/>
      <c r="AB450" s="20"/>
      <c r="AC450" s="20"/>
      <c r="AD450" s="20"/>
      <c r="AE450" s="20"/>
    </row>
    <row r="451">
      <c r="A451" s="3"/>
      <c r="B451" s="10"/>
      <c r="C451" s="10"/>
      <c r="D451" s="14"/>
      <c r="E451" s="14"/>
      <c r="F451" s="14"/>
      <c r="G451" s="14"/>
      <c r="H451" s="14"/>
      <c r="I451" s="14"/>
      <c r="J451" s="14"/>
      <c r="K451" s="1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14"/>
      <c r="AB451" s="20"/>
      <c r="AC451" s="20"/>
      <c r="AD451" s="20"/>
      <c r="AE451" s="20"/>
    </row>
    <row r="452">
      <c r="A452" s="3"/>
      <c r="B452" s="10"/>
      <c r="C452" s="10"/>
      <c r="D452" s="14"/>
      <c r="E452" s="14"/>
      <c r="F452" s="14"/>
      <c r="G452" s="14"/>
      <c r="H452" s="14"/>
      <c r="I452" s="14"/>
      <c r="J452" s="14"/>
      <c r="K452" s="1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14"/>
      <c r="AB452" s="20"/>
      <c r="AC452" s="20"/>
      <c r="AD452" s="20"/>
      <c r="AE452" s="20"/>
    </row>
    <row r="453">
      <c r="A453" s="3"/>
      <c r="B453" s="10"/>
      <c r="C453" s="10"/>
      <c r="D453" s="14"/>
      <c r="E453" s="14"/>
      <c r="F453" s="14"/>
      <c r="G453" s="14"/>
      <c r="H453" s="14"/>
      <c r="I453" s="14"/>
      <c r="J453" s="14"/>
      <c r="K453" s="1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14"/>
      <c r="AB453" s="20"/>
      <c r="AC453" s="20"/>
      <c r="AD453" s="20"/>
      <c r="AE453" s="20"/>
    </row>
    <row r="454">
      <c r="A454" s="3"/>
      <c r="B454" s="10"/>
      <c r="C454" s="10"/>
      <c r="D454" s="14"/>
      <c r="E454" s="14"/>
      <c r="F454" s="14"/>
      <c r="G454" s="14"/>
      <c r="H454" s="14"/>
      <c r="I454" s="14"/>
      <c r="J454" s="14"/>
      <c r="K454" s="1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14"/>
      <c r="AB454" s="20"/>
      <c r="AC454" s="20"/>
      <c r="AD454" s="20"/>
      <c r="AE454" s="20"/>
    </row>
    <row r="455">
      <c r="A455" s="3"/>
      <c r="B455" s="10"/>
      <c r="C455" s="10"/>
      <c r="D455" s="14"/>
      <c r="E455" s="14"/>
      <c r="F455" s="14"/>
      <c r="G455" s="14"/>
      <c r="H455" s="14"/>
      <c r="I455" s="14"/>
      <c r="J455" s="14"/>
      <c r="K455" s="1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14"/>
      <c r="AB455" s="20"/>
      <c r="AC455" s="20"/>
      <c r="AD455" s="20"/>
      <c r="AE455" s="20"/>
    </row>
    <row r="456">
      <c r="A456" s="3"/>
      <c r="B456" s="10"/>
      <c r="C456" s="10"/>
      <c r="D456" s="14"/>
      <c r="E456" s="14"/>
      <c r="F456" s="14"/>
      <c r="G456" s="14"/>
      <c r="H456" s="14"/>
      <c r="I456" s="14"/>
      <c r="J456" s="14"/>
      <c r="K456" s="1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14"/>
      <c r="AB456" s="20"/>
      <c r="AC456" s="20"/>
      <c r="AD456" s="20"/>
      <c r="AE456" s="20"/>
    </row>
    <row r="457">
      <c r="A457" s="3"/>
      <c r="B457" s="10"/>
      <c r="C457" s="10"/>
      <c r="D457" s="14"/>
      <c r="E457" s="14"/>
      <c r="F457" s="14"/>
      <c r="G457" s="14"/>
      <c r="H457" s="14"/>
      <c r="I457" s="14"/>
      <c r="J457" s="14"/>
      <c r="K457" s="1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14"/>
      <c r="AB457" s="20"/>
      <c r="AC457" s="20"/>
      <c r="AD457" s="20"/>
      <c r="AE457" s="20"/>
    </row>
    <row r="458">
      <c r="A458" s="3"/>
      <c r="B458" s="10"/>
      <c r="C458" s="10"/>
      <c r="D458" s="14"/>
      <c r="E458" s="14"/>
      <c r="F458" s="14"/>
      <c r="G458" s="14"/>
      <c r="H458" s="14"/>
      <c r="I458" s="14"/>
      <c r="J458" s="14"/>
      <c r="K458" s="1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14"/>
      <c r="AB458" s="20"/>
      <c r="AC458" s="20"/>
      <c r="AD458" s="20"/>
      <c r="AE458" s="20"/>
    </row>
    <row r="459">
      <c r="A459" s="3"/>
      <c r="B459" s="10"/>
      <c r="C459" s="10"/>
      <c r="D459" s="14"/>
      <c r="E459" s="14"/>
      <c r="F459" s="14"/>
      <c r="G459" s="14"/>
      <c r="H459" s="14"/>
      <c r="I459" s="14"/>
      <c r="J459" s="14"/>
      <c r="K459" s="1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14"/>
      <c r="AB459" s="20"/>
      <c r="AC459" s="20"/>
      <c r="AD459" s="20"/>
      <c r="AE459" s="20"/>
    </row>
    <row r="460">
      <c r="A460" s="3"/>
      <c r="B460" s="10"/>
      <c r="C460" s="10"/>
      <c r="D460" s="14"/>
      <c r="E460" s="14"/>
      <c r="F460" s="14"/>
      <c r="G460" s="14"/>
      <c r="H460" s="14"/>
      <c r="I460" s="14"/>
      <c r="J460" s="14"/>
      <c r="K460" s="1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14"/>
      <c r="AB460" s="20"/>
      <c r="AC460" s="20"/>
      <c r="AD460" s="20"/>
      <c r="AE460" s="20"/>
    </row>
    <row r="461">
      <c r="A461" s="3"/>
      <c r="B461" s="10"/>
      <c r="C461" s="10"/>
      <c r="D461" s="14"/>
      <c r="E461" s="14"/>
      <c r="F461" s="14"/>
      <c r="G461" s="14"/>
      <c r="H461" s="14"/>
      <c r="I461" s="14"/>
      <c r="J461" s="14"/>
      <c r="K461" s="1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14"/>
      <c r="AB461" s="20"/>
      <c r="AC461" s="20"/>
      <c r="AD461" s="20"/>
      <c r="AE461" s="20"/>
    </row>
    <row r="462">
      <c r="A462" s="3"/>
      <c r="B462" s="10"/>
      <c r="C462" s="10"/>
      <c r="D462" s="14"/>
      <c r="E462" s="14"/>
      <c r="F462" s="14"/>
      <c r="G462" s="14"/>
      <c r="H462" s="14"/>
      <c r="I462" s="14"/>
      <c r="J462" s="14"/>
      <c r="K462" s="1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14"/>
      <c r="AB462" s="20"/>
      <c r="AC462" s="20"/>
      <c r="AD462" s="20"/>
      <c r="AE462" s="20"/>
    </row>
    <row r="463">
      <c r="A463" s="3"/>
      <c r="B463" s="10"/>
      <c r="C463" s="10"/>
      <c r="D463" s="14"/>
      <c r="E463" s="14"/>
      <c r="F463" s="14"/>
      <c r="G463" s="14"/>
      <c r="H463" s="14"/>
      <c r="I463" s="14"/>
      <c r="J463" s="14"/>
      <c r="K463" s="1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14"/>
      <c r="AB463" s="20"/>
      <c r="AC463" s="20"/>
      <c r="AD463" s="20"/>
      <c r="AE463" s="20"/>
    </row>
    <row r="464">
      <c r="A464" s="3"/>
      <c r="B464" s="10"/>
      <c r="C464" s="10"/>
      <c r="D464" s="14"/>
      <c r="E464" s="14"/>
      <c r="F464" s="14"/>
      <c r="G464" s="14"/>
      <c r="H464" s="14"/>
      <c r="I464" s="14"/>
      <c r="J464" s="14"/>
      <c r="K464" s="1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14"/>
      <c r="AB464" s="20"/>
      <c r="AC464" s="20"/>
      <c r="AD464" s="20"/>
      <c r="AE464" s="20"/>
    </row>
    <row r="465">
      <c r="A465" s="3"/>
      <c r="B465" s="10"/>
      <c r="C465" s="10"/>
      <c r="D465" s="14"/>
      <c r="E465" s="14"/>
      <c r="F465" s="14"/>
      <c r="G465" s="14"/>
      <c r="H465" s="14"/>
      <c r="I465" s="14"/>
      <c r="J465" s="14"/>
      <c r="K465" s="1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14"/>
      <c r="AB465" s="20"/>
      <c r="AC465" s="20"/>
      <c r="AD465" s="20"/>
      <c r="AE465" s="20"/>
    </row>
    <row r="466">
      <c r="A466" s="3"/>
      <c r="B466" s="10"/>
      <c r="C466" s="10"/>
      <c r="D466" s="14"/>
      <c r="E466" s="14"/>
      <c r="F466" s="14"/>
      <c r="G466" s="14"/>
      <c r="H466" s="14"/>
      <c r="I466" s="14"/>
      <c r="J466" s="14"/>
      <c r="K466" s="1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14"/>
      <c r="AB466" s="20"/>
      <c r="AC466" s="20"/>
      <c r="AD466" s="20"/>
      <c r="AE466" s="20"/>
    </row>
    <row r="467">
      <c r="A467" s="3"/>
      <c r="B467" s="10"/>
      <c r="C467" s="10"/>
      <c r="D467" s="14"/>
      <c r="E467" s="14"/>
      <c r="F467" s="14"/>
      <c r="G467" s="14"/>
      <c r="H467" s="14"/>
      <c r="I467" s="14"/>
      <c r="J467" s="14"/>
      <c r="K467" s="1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14"/>
      <c r="AB467" s="20"/>
      <c r="AC467" s="20"/>
      <c r="AD467" s="20"/>
      <c r="AE467" s="20"/>
    </row>
    <row r="468">
      <c r="A468" s="3"/>
      <c r="B468" s="10"/>
      <c r="C468" s="10"/>
      <c r="D468" s="14"/>
      <c r="E468" s="14"/>
      <c r="F468" s="14"/>
      <c r="G468" s="14"/>
      <c r="H468" s="14"/>
      <c r="I468" s="14"/>
      <c r="J468" s="14"/>
      <c r="K468" s="1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14"/>
      <c r="AB468" s="20"/>
      <c r="AC468" s="20"/>
      <c r="AD468" s="20"/>
      <c r="AE468" s="20"/>
    </row>
    <row r="469">
      <c r="A469" s="3"/>
      <c r="B469" s="10"/>
      <c r="C469" s="10"/>
      <c r="D469" s="14"/>
      <c r="E469" s="14"/>
      <c r="F469" s="14"/>
      <c r="G469" s="14"/>
      <c r="H469" s="14"/>
      <c r="I469" s="14"/>
      <c r="J469" s="14"/>
      <c r="K469" s="1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14"/>
      <c r="AB469" s="20"/>
      <c r="AC469" s="20"/>
      <c r="AD469" s="20"/>
      <c r="AE469" s="20"/>
    </row>
    <row r="470">
      <c r="A470" s="3"/>
      <c r="B470" s="10"/>
      <c r="C470" s="10"/>
      <c r="D470" s="14"/>
      <c r="E470" s="14"/>
      <c r="F470" s="14"/>
      <c r="G470" s="14"/>
      <c r="H470" s="14"/>
      <c r="I470" s="14"/>
      <c r="J470" s="14"/>
      <c r="K470" s="1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14"/>
      <c r="AB470" s="20"/>
      <c r="AC470" s="20"/>
      <c r="AD470" s="20"/>
      <c r="AE470" s="20"/>
    </row>
    <row r="471">
      <c r="A471" s="3"/>
      <c r="B471" s="10"/>
      <c r="C471" s="10"/>
      <c r="D471" s="14"/>
      <c r="E471" s="14"/>
      <c r="F471" s="14"/>
      <c r="G471" s="14"/>
      <c r="H471" s="14"/>
      <c r="I471" s="14"/>
      <c r="J471" s="14"/>
      <c r="K471" s="1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14"/>
      <c r="AB471" s="20"/>
      <c r="AC471" s="20"/>
      <c r="AD471" s="20"/>
      <c r="AE471" s="20"/>
    </row>
    <row r="472">
      <c r="A472" s="3"/>
      <c r="B472" s="10"/>
      <c r="C472" s="10"/>
      <c r="D472" s="14"/>
      <c r="E472" s="14"/>
      <c r="F472" s="14"/>
      <c r="G472" s="14"/>
      <c r="H472" s="14"/>
      <c r="I472" s="14"/>
      <c r="J472" s="14"/>
      <c r="K472" s="1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14"/>
      <c r="AB472" s="20"/>
      <c r="AC472" s="20"/>
      <c r="AD472" s="20"/>
      <c r="AE472" s="20"/>
    </row>
    <row r="473">
      <c r="A473" s="3"/>
      <c r="B473" s="10"/>
      <c r="C473" s="10"/>
      <c r="D473" s="14"/>
      <c r="E473" s="14"/>
      <c r="F473" s="14"/>
      <c r="G473" s="14"/>
      <c r="H473" s="14"/>
      <c r="I473" s="14"/>
      <c r="J473" s="14"/>
      <c r="K473" s="1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14"/>
      <c r="AB473" s="20"/>
      <c r="AC473" s="20"/>
      <c r="AD473" s="20"/>
      <c r="AE473" s="20"/>
    </row>
    <row r="474">
      <c r="A474" s="3"/>
      <c r="B474" s="10"/>
      <c r="C474" s="10"/>
      <c r="D474" s="14"/>
      <c r="E474" s="14"/>
      <c r="F474" s="14"/>
      <c r="G474" s="14"/>
      <c r="H474" s="14"/>
      <c r="I474" s="14"/>
      <c r="J474" s="14"/>
      <c r="K474" s="1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14"/>
      <c r="AB474" s="20"/>
      <c r="AC474" s="20"/>
      <c r="AD474" s="20"/>
      <c r="AE474" s="20"/>
    </row>
    <row r="475">
      <c r="A475" s="3"/>
      <c r="B475" s="10"/>
      <c r="C475" s="10"/>
      <c r="D475" s="14"/>
      <c r="E475" s="14"/>
      <c r="F475" s="14"/>
      <c r="G475" s="14"/>
      <c r="H475" s="14"/>
      <c r="I475" s="14"/>
      <c r="J475" s="14"/>
      <c r="K475" s="1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14"/>
      <c r="AB475" s="20"/>
      <c r="AC475" s="20"/>
      <c r="AD475" s="20"/>
      <c r="AE475" s="20"/>
    </row>
    <row r="476">
      <c r="A476" s="3"/>
      <c r="B476" s="10"/>
      <c r="C476" s="10"/>
      <c r="D476" s="14"/>
      <c r="E476" s="14"/>
      <c r="F476" s="14"/>
      <c r="G476" s="14"/>
      <c r="H476" s="14"/>
      <c r="I476" s="14"/>
      <c r="J476" s="14"/>
      <c r="K476" s="1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14"/>
      <c r="AB476" s="20"/>
      <c r="AC476" s="20"/>
      <c r="AD476" s="20"/>
      <c r="AE476" s="20"/>
    </row>
    <row r="477">
      <c r="A477" s="3"/>
      <c r="B477" s="10"/>
      <c r="C477" s="10"/>
      <c r="D477" s="14"/>
      <c r="E477" s="14"/>
      <c r="F477" s="14"/>
      <c r="G477" s="14"/>
      <c r="H477" s="14"/>
      <c r="I477" s="14"/>
      <c r="J477" s="14"/>
      <c r="K477" s="1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14"/>
      <c r="AB477" s="20"/>
      <c r="AC477" s="20"/>
      <c r="AD477" s="20"/>
      <c r="AE477" s="20"/>
    </row>
    <row r="478">
      <c r="A478" s="3"/>
      <c r="B478" s="10"/>
      <c r="C478" s="10"/>
      <c r="D478" s="14"/>
      <c r="E478" s="14"/>
      <c r="F478" s="14"/>
      <c r="G478" s="14"/>
      <c r="H478" s="14"/>
      <c r="I478" s="14"/>
      <c r="J478" s="14"/>
      <c r="K478" s="1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14"/>
      <c r="AB478" s="20"/>
      <c r="AC478" s="20"/>
      <c r="AD478" s="20"/>
      <c r="AE478" s="20"/>
    </row>
    <row r="479">
      <c r="A479" s="3"/>
      <c r="B479" s="10"/>
      <c r="C479" s="10"/>
      <c r="D479" s="14"/>
      <c r="E479" s="14"/>
      <c r="F479" s="14"/>
      <c r="G479" s="14"/>
      <c r="H479" s="14"/>
      <c r="I479" s="14"/>
      <c r="J479" s="14"/>
      <c r="K479" s="1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14"/>
      <c r="AB479" s="20"/>
      <c r="AC479" s="20"/>
      <c r="AD479" s="20"/>
      <c r="AE479" s="20"/>
    </row>
    <row r="480">
      <c r="A480" s="3"/>
      <c r="B480" s="10"/>
      <c r="C480" s="10"/>
      <c r="D480" s="14"/>
      <c r="E480" s="14"/>
      <c r="F480" s="14"/>
      <c r="G480" s="14"/>
      <c r="H480" s="14"/>
      <c r="I480" s="14"/>
      <c r="J480" s="14"/>
      <c r="K480" s="1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14"/>
      <c r="AB480" s="20"/>
      <c r="AC480" s="20"/>
      <c r="AD480" s="20"/>
      <c r="AE480" s="20"/>
    </row>
    <row r="481">
      <c r="A481" s="3"/>
      <c r="B481" s="10"/>
      <c r="C481" s="10"/>
      <c r="D481" s="14"/>
      <c r="E481" s="14"/>
      <c r="F481" s="14"/>
      <c r="G481" s="14"/>
      <c r="H481" s="14"/>
      <c r="I481" s="14"/>
      <c r="J481" s="14"/>
      <c r="K481" s="1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14"/>
      <c r="AB481" s="20"/>
      <c r="AC481" s="20"/>
      <c r="AD481" s="20"/>
      <c r="AE481" s="20"/>
    </row>
    <row r="482">
      <c r="A482" s="3"/>
      <c r="B482" s="10"/>
      <c r="C482" s="10"/>
      <c r="D482" s="14"/>
      <c r="E482" s="14"/>
      <c r="F482" s="14"/>
      <c r="G482" s="14"/>
      <c r="H482" s="14"/>
      <c r="I482" s="14"/>
      <c r="J482" s="14"/>
      <c r="K482" s="1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14"/>
      <c r="AB482" s="20"/>
      <c r="AC482" s="20"/>
      <c r="AD482" s="20"/>
      <c r="AE482" s="20"/>
    </row>
    <row r="483">
      <c r="A483" s="3"/>
      <c r="B483" s="10"/>
      <c r="C483" s="10"/>
      <c r="D483" s="14"/>
      <c r="E483" s="14"/>
      <c r="F483" s="14"/>
      <c r="G483" s="14"/>
      <c r="H483" s="14"/>
      <c r="I483" s="14"/>
      <c r="J483" s="14"/>
      <c r="K483" s="1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14"/>
      <c r="AB483" s="20"/>
      <c r="AC483" s="20"/>
      <c r="AD483" s="20"/>
      <c r="AE483" s="20"/>
    </row>
    <row r="484">
      <c r="A484" s="3"/>
      <c r="B484" s="10"/>
      <c r="C484" s="10"/>
      <c r="D484" s="14"/>
      <c r="E484" s="14"/>
      <c r="F484" s="14"/>
      <c r="G484" s="14"/>
      <c r="H484" s="14"/>
      <c r="I484" s="14"/>
      <c r="J484" s="14"/>
      <c r="K484" s="1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14"/>
      <c r="AB484" s="20"/>
      <c r="AC484" s="20"/>
      <c r="AD484" s="20"/>
      <c r="AE484" s="20"/>
    </row>
    <row r="485">
      <c r="A485" s="3"/>
      <c r="B485" s="10"/>
      <c r="C485" s="10"/>
      <c r="D485" s="14"/>
      <c r="E485" s="14"/>
      <c r="F485" s="14"/>
      <c r="G485" s="14"/>
      <c r="H485" s="14"/>
      <c r="I485" s="14"/>
      <c r="J485" s="14"/>
      <c r="K485" s="1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14"/>
      <c r="AB485" s="20"/>
      <c r="AC485" s="20"/>
      <c r="AD485" s="20"/>
      <c r="AE485" s="20"/>
    </row>
    <row r="486">
      <c r="A486" s="3"/>
      <c r="B486" s="10"/>
      <c r="C486" s="10"/>
      <c r="D486" s="14"/>
      <c r="E486" s="14"/>
      <c r="F486" s="14"/>
      <c r="G486" s="14"/>
      <c r="H486" s="14"/>
      <c r="I486" s="14"/>
      <c r="J486" s="14"/>
      <c r="K486" s="1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14"/>
      <c r="AB486" s="20"/>
      <c r="AC486" s="20"/>
      <c r="AD486" s="20"/>
      <c r="AE486" s="20"/>
    </row>
    <row r="487">
      <c r="A487" s="3"/>
      <c r="B487" s="10"/>
      <c r="C487" s="10"/>
      <c r="D487" s="14"/>
      <c r="E487" s="14"/>
      <c r="F487" s="14"/>
      <c r="G487" s="14"/>
      <c r="H487" s="14"/>
      <c r="I487" s="14"/>
      <c r="J487" s="14"/>
      <c r="K487" s="1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14"/>
      <c r="AB487" s="20"/>
      <c r="AC487" s="20"/>
      <c r="AD487" s="20"/>
      <c r="AE487" s="20"/>
    </row>
    <row r="488">
      <c r="A488" s="3"/>
      <c r="B488" s="10"/>
      <c r="C488" s="10"/>
      <c r="D488" s="14"/>
      <c r="E488" s="14"/>
      <c r="F488" s="14"/>
      <c r="G488" s="14"/>
      <c r="H488" s="14"/>
      <c r="I488" s="14"/>
      <c r="J488" s="14"/>
      <c r="K488" s="1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14"/>
      <c r="AB488" s="20"/>
      <c r="AC488" s="20"/>
      <c r="AD488" s="20"/>
      <c r="AE488" s="20"/>
    </row>
    <row r="489">
      <c r="A489" s="3"/>
      <c r="B489" s="10"/>
      <c r="C489" s="10"/>
      <c r="D489" s="14"/>
      <c r="E489" s="14"/>
      <c r="F489" s="14"/>
      <c r="G489" s="14"/>
      <c r="H489" s="14"/>
      <c r="I489" s="14"/>
      <c r="J489" s="14"/>
      <c r="K489" s="1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14"/>
      <c r="AB489" s="20"/>
      <c r="AC489" s="20"/>
      <c r="AD489" s="20"/>
      <c r="AE489" s="20"/>
    </row>
    <row r="490">
      <c r="A490" s="3"/>
      <c r="B490" s="10"/>
      <c r="C490" s="10"/>
      <c r="D490" s="14"/>
      <c r="E490" s="14"/>
      <c r="F490" s="14"/>
      <c r="G490" s="14"/>
      <c r="H490" s="14"/>
      <c r="I490" s="14"/>
      <c r="J490" s="14"/>
      <c r="K490" s="1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14"/>
      <c r="AB490" s="20"/>
      <c r="AC490" s="20"/>
      <c r="AD490" s="20"/>
      <c r="AE490" s="20"/>
    </row>
    <row r="491">
      <c r="A491" s="3"/>
      <c r="B491" s="10"/>
      <c r="C491" s="10"/>
      <c r="D491" s="14"/>
      <c r="E491" s="14"/>
      <c r="F491" s="14"/>
      <c r="G491" s="14"/>
      <c r="H491" s="14"/>
      <c r="I491" s="14"/>
      <c r="J491" s="14"/>
      <c r="K491" s="1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14"/>
      <c r="AB491" s="20"/>
      <c r="AC491" s="20"/>
      <c r="AD491" s="20"/>
      <c r="AE491" s="20"/>
    </row>
    <row r="492">
      <c r="A492" s="3"/>
      <c r="B492" s="10"/>
      <c r="C492" s="10"/>
      <c r="D492" s="14"/>
      <c r="E492" s="14"/>
      <c r="F492" s="14"/>
      <c r="G492" s="14"/>
      <c r="H492" s="14"/>
      <c r="I492" s="14"/>
      <c r="J492" s="14"/>
      <c r="K492" s="1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14"/>
      <c r="AB492" s="20"/>
      <c r="AC492" s="20"/>
      <c r="AD492" s="20"/>
      <c r="AE492" s="20"/>
    </row>
    <row r="493">
      <c r="A493" s="3"/>
      <c r="B493" s="10"/>
      <c r="C493" s="10"/>
      <c r="D493" s="14"/>
      <c r="E493" s="14"/>
      <c r="F493" s="14"/>
      <c r="G493" s="14"/>
      <c r="H493" s="14"/>
      <c r="I493" s="14"/>
      <c r="J493" s="14"/>
      <c r="K493" s="1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14"/>
      <c r="AB493" s="20"/>
      <c r="AC493" s="20"/>
      <c r="AD493" s="20"/>
      <c r="AE493" s="20"/>
    </row>
    <row r="494">
      <c r="A494" s="3"/>
      <c r="B494" s="10"/>
      <c r="C494" s="10"/>
      <c r="D494" s="14"/>
      <c r="E494" s="14"/>
      <c r="F494" s="14"/>
      <c r="G494" s="14"/>
      <c r="H494" s="14"/>
      <c r="I494" s="14"/>
      <c r="J494" s="14"/>
      <c r="K494" s="1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14"/>
      <c r="AB494" s="20"/>
      <c r="AC494" s="20"/>
      <c r="AD494" s="20"/>
      <c r="AE494" s="20"/>
    </row>
    <row r="495">
      <c r="A495" s="3"/>
      <c r="B495" s="10"/>
      <c r="C495" s="10"/>
      <c r="D495" s="14"/>
      <c r="E495" s="14"/>
      <c r="F495" s="14"/>
      <c r="G495" s="14"/>
      <c r="H495" s="14"/>
      <c r="I495" s="14"/>
      <c r="J495" s="14"/>
      <c r="K495" s="1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14"/>
      <c r="AB495" s="20"/>
      <c r="AC495" s="20"/>
      <c r="AD495" s="20"/>
      <c r="AE495" s="20"/>
    </row>
    <row r="496">
      <c r="A496" s="3"/>
      <c r="B496" s="10"/>
      <c r="C496" s="10"/>
      <c r="D496" s="14"/>
      <c r="E496" s="14"/>
      <c r="F496" s="14"/>
      <c r="G496" s="14"/>
      <c r="H496" s="14"/>
      <c r="I496" s="14"/>
      <c r="J496" s="14"/>
      <c r="K496" s="1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14"/>
      <c r="AB496" s="20"/>
      <c r="AC496" s="20"/>
      <c r="AD496" s="20"/>
      <c r="AE496" s="20"/>
    </row>
    <row r="497">
      <c r="A497" s="3"/>
      <c r="B497" s="10"/>
      <c r="C497" s="10"/>
      <c r="D497" s="14"/>
      <c r="E497" s="14"/>
      <c r="F497" s="14"/>
      <c r="G497" s="14"/>
      <c r="H497" s="14"/>
      <c r="I497" s="14"/>
      <c r="J497" s="14"/>
      <c r="K497" s="1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14"/>
      <c r="AB497" s="20"/>
      <c r="AC497" s="20"/>
      <c r="AD497" s="20"/>
      <c r="AE497" s="20"/>
    </row>
    <row r="498">
      <c r="A498" s="3"/>
      <c r="B498" s="10"/>
      <c r="C498" s="10"/>
      <c r="D498" s="14"/>
      <c r="E498" s="14"/>
      <c r="F498" s="14"/>
      <c r="G498" s="14"/>
      <c r="H498" s="14"/>
      <c r="I498" s="14"/>
      <c r="J498" s="14"/>
      <c r="K498" s="1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14"/>
      <c r="AB498" s="20"/>
      <c r="AC498" s="20"/>
      <c r="AD498" s="20"/>
      <c r="AE498" s="20"/>
    </row>
    <row r="499">
      <c r="A499" s="3"/>
      <c r="B499" s="10"/>
      <c r="C499" s="10"/>
      <c r="D499" s="14"/>
      <c r="E499" s="14"/>
      <c r="F499" s="14"/>
      <c r="G499" s="14"/>
      <c r="H499" s="14"/>
      <c r="I499" s="14"/>
      <c r="J499" s="14"/>
      <c r="K499" s="1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14"/>
      <c r="AB499" s="20"/>
      <c r="AC499" s="20"/>
      <c r="AD499" s="20"/>
      <c r="AE499" s="20"/>
    </row>
    <row r="500">
      <c r="A500" s="3"/>
      <c r="B500" s="10"/>
      <c r="C500" s="10"/>
      <c r="D500" s="14"/>
      <c r="E500" s="14"/>
      <c r="F500" s="14"/>
      <c r="G500" s="14"/>
      <c r="H500" s="14"/>
      <c r="I500" s="14"/>
      <c r="J500" s="14"/>
      <c r="K500" s="1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14"/>
      <c r="AB500" s="20"/>
      <c r="AC500" s="20"/>
      <c r="AD500" s="20"/>
      <c r="AE500" s="20"/>
    </row>
    <row r="501">
      <c r="A501" s="3"/>
      <c r="B501" s="10"/>
      <c r="C501" s="10"/>
      <c r="D501" s="14"/>
      <c r="E501" s="14"/>
      <c r="F501" s="14"/>
      <c r="G501" s="14"/>
      <c r="H501" s="14"/>
      <c r="I501" s="14"/>
      <c r="J501" s="14"/>
      <c r="K501" s="1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14"/>
      <c r="AB501" s="20"/>
      <c r="AC501" s="20"/>
      <c r="AD501" s="20"/>
      <c r="AE501" s="20"/>
    </row>
    <row r="502">
      <c r="A502" s="3"/>
      <c r="B502" s="10"/>
      <c r="C502" s="10"/>
      <c r="D502" s="14"/>
      <c r="E502" s="14"/>
      <c r="F502" s="14"/>
      <c r="G502" s="14"/>
      <c r="H502" s="14"/>
      <c r="I502" s="14"/>
      <c r="J502" s="14"/>
      <c r="K502" s="1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14"/>
      <c r="AB502" s="20"/>
      <c r="AC502" s="20"/>
      <c r="AD502" s="20"/>
      <c r="AE502" s="20"/>
    </row>
    <row r="503">
      <c r="A503" s="3"/>
      <c r="B503" s="10"/>
      <c r="C503" s="10"/>
      <c r="D503" s="14"/>
      <c r="E503" s="14"/>
      <c r="F503" s="14"/>
      <c r="G503" s="14"/>
      <c r="H503" s="14"/>
      <c r="I503" s="14"/>
      <c r="J503" s="14"/>
      <c r="K503" s="1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14"/>
      <c r="AB503" s="20"/>
      <c r="AC503" s="20"/>
      <c r="AD503" s="20"/>
      <c r="AE503" s="20"/>
    </row>
    <row r="504">
      <c r="A504" s="3"/>
      <c r="B504" s="10"/>
      <c r="C504" s="10"/>
      <c r="D504" s="14"/>
      <c r="E504" s="14"/>
      <c r="F504" s="14"/>
      <c r="G504" s="14"/>
      <c r="H504" s="14"/>
      <c r="I504" s="14"/>
      <c r="J504" s="14"/>
      <c r="K504" s="1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14"/>
      <c r="AB504" s="20"/>
      <c r="AC504" s="20"/>
      <c r="AD504" s="20"/>
      <c r="AE504" s="20"/>
    </row>
    <row r="505">
      <c r="A505" s="3"/>
      <c r="B505" s="10"/>
      <c r="C505" s="10"/>
      <c r="D505" s="14"/>
      <c r="E505" s="14"/>
      <c r="F505" s="14"/>
      <c r="G505" s="14"/>
      <c r="H505" s="14"/>
      <c r="I505" s="14"/>
      <c r="J505" s="14"/>
      <c r="K505" s="1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14"/>
      <c r="AB505" s="20"/>
      <c r="AC505" s="20"/>
      <c r="AD505" s="20"/>
      <c r="AE505" s="20"/>
    </row>
    <row r="506">
      <c r="A506" s="3"/>
      <c r="B506" s="10"/>
      <c r="C506" s="10"/>
      <c r="D506" s="14"/>
      <c r="E506" s="14"/>
      <c r="F506" s="14"/>
      <c r="G506" s="14"/>
      <c r="H506" s="14"/>
      <c r="I506" s="14"/>
      <c r="J506" s="14"/>
      <c r="K506" s="1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14"/>
      <c r="AB506" s="20"/>
      <c r="AC506" s="20"/>
      <c r="AD506" s="20"/>
      <c r="AE506" s="20"/>
    </row>
    <row r="507">
      <c r="A507" s="3"/>
      <c r="B507" s="10"/>
      <c r="C507" s="10"/>
      <c r="D507" s="14"/>
      <c r="E507" s="14"/>
      <c r="F507" s="14"/>
      <c r="G507" s="14"/>
      <c r="H507" s="14"/>
      <c r="I507" s="14"/>
      <c r="J507" s="14"/>
      <c r="K507" s="1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14"/>
      <c r="AB507" s="20"/>
      <c r="AC507" s="20"/>
      <c r="AD507" s="20"/>
      <c r="AE507" s="20"/>
    </row>
    <row r="508">
      <c r="A508" s="3"/>
      <c r="B508" s="10"/>
      <c r="C508" s="10"/>
      <c r="D508" s="14"/>
      <c r="E508" s="14"/>
      <c r="F508" s="14"/>
      <c r="G508" s="14"/>
      <c r="H508" s="14"/>
      <c r="I508" s="14"/>
      <c r="J508" s="14"/>
      <c r="K508" s="1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14"/>
      <c r="AB508" s="20"/>
      <c r="AC508" s="20"/>
      <c r="AD508" s="20"/>
      <c r="AE508" s="20"/>
    </row>
    <row r="509">
      <c r="A509" s="3"/>
      <c r="B509" s="10"/>
      <c r="C509" s="10"/>
      <c r="D509" s="14"/>
      <c r="E509" s="14"/>
      <c r="F509" s="14"/>
      <c r="G509" s="14"/>
      <c r="H509" s="14"/>
      <c r="I509" s="14"/>
      <c r="J509" s="14"/>
      <c r="K509" s="1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14"/>
      <c r="AB509" s="20"/>
      <c r="AC509" s="20"/>
      <c r="AD509" s="20"/>
      <c r="AE509" s="20"/>
    </row>
    <row r="510">
      <c r="A510" s="3"/>
      <c r="B510" s="10"/>
      <c r="C510" s="10"/>
      <c r="D510" s="14"/>
      <c r="E510" s="14"/>
      <c r="F510" s="14"/>
      <c r="G510" s="14"/>
      <c r="H510" s="14"/>
      <c r="I510" s="14"/>
      <c r="J510" s="14"/>
      <c r="K510" s="1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14"/>
      <c r="AB510" s="20"/>
      <c r="AC510" s="20"/>
      <c r="AD510" s="20"/>
      <c r="AE510" s="20"/>
    </row>
    <row r="511">
      <c r="A511" s="3"/>
      <c r="B511" s="10"/>
      <c r="C511" s="10"/>
      <c r="D511" s="14"/>
      <c r="E511" s="14"/>
      <c r="F511" s="14"/>
      <c r="G511" s="14"/>
      <c r="H511" s="14"/>
      <c r="I511" s="14"/>
      <c r="J511" s="14"/>
      <c r="K511" s="1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14"/>
      <c r="AB511" s="20"/>
      <c r="AC511" s="20"/>
      <c r="AD511" s="20"/>
      <c r="AE511" s="20"/>
    </row>
    <row r="512">
      <c r="A512" s="3"/>
      <c r="B512" s="10"/>
      <c r="C512" s="10"/>
      <c r="D512" s="14"/>
      <c r="E512" s="14"/>
      <c r="F512" s="14"/>
      <c r="G512" s="14"/>
      <c r="H512" s="14"/>
      <c r="I512" s="14"/>
      <c r="J512" s="14"/>
      <c r="K512" s="1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14"/>
      <c r="AB512" s="20"/>
      <c r="AC512" s="20"/>
      <c r="AD512" s="20"/>
      <c r="AE512" s="20"/>
    </row>
    <row r="513">
      <c r="A513" s="3"/>
      <c r="B513" s="10"/>
      <c r="C513" s="10"/>
      <c r="D513" s="14"/>
      <c r="E513" s="14"/>
      <c r="F513" s="14"/>
      <c r="G513" s="14"/>
      <c r="H513" s="14"/>
      <c r="I513" s="14"/>
      <c r="J513" s="14"/>
      <c r="K513" s="1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14"/>
      <c r="AB513" s="20"/>
      <c r="AC513" s="20"/>
      <c r="AD513" s="20"/>
      <c r="AE513" s="20"/>
    </row>
    <row r="514">
      <c r="A514" s="3"/>
      <c r="B514" s="10"/>
      <c r="C514" s="10"/>
      <c r="D514" s="14"/>
      <c r="E514" s="14"/>
      <c r="F514" s="14"/>
      <c r="G514" s="14"/>
      <c r="H514" s="14"/>
      <c r="I514" s="14"/>
      <c r="J514" s="14"/>
      <c r="K514" s="1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14"/>
      <c r="AB514" s="20"/>
      <c r="AC514" s="20"/>
      <c r="AD514" s="20"/>
      <c r="AE514" s="20"/>
    </row>
    <row r="515">
      <c r="A515" s="3"/>
      <c r="B515" s="10"/>
      <c r="C515" s="10"/>
      <c r="D515" s="14"/>
      <c r="E515" s="14"/>
      <c r="F515" s="14"/>
      <c r="G515" s="14"/>
      <c r="H515" s="14"/>
      <c r="I515" s="14"/>
      <c r="J515" s="14"/>
      <c r="K515" s="1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14"/>
      <c r="AB515" s="20"/>
      <c r="AC515" s="20"/>
      <c r="AD515" s="20"/>
      <c r="AE515" s="20"/>
    </row>
    <row r="516">
      <c r="A516" s="3"/>
      <c r="B516" s="10"/>
      <c r="C516" s="10"/>
      <c r="D516" s="14"/>
      <c r="E516" s="14"/>
      <c r="F516" s="14"/>
      <c r="G516" s="14"/>
      <c r="H516" s="14"/>
      <c r="I516" s="14"/>
      <c r="J516" s="14"/>
      <c r="K516" s="1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14"/>
      <c r="AB516" s="20"/>
      <c r="AC516" s="20"/>
      <c r="AD516" s="20"/>
      <c r="AE516" s="20"/>
    </row>
    <row r="517">
      <c r="A517" s="3"/>
      <c r="B517" s="10"/>
      <c r="C517" s="10"/>
      <c r="D517" s="14"/>
      <c r="E517" s="14"/>
      <c r="F517" s="14"/>
      <c r="G517" s="14"/>
      <c r="H517" s="14"/>
      <c r="I517" s="14"/>
      <c r="J517" s="14"/>
      <c r="K517" s="1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14"/>
      <c r="AB517" s="20"/>
      <c r="AC517" s="20"/>
      <c r="AD517" s="20"/>
      <c r="AE517" s="20"/>
    </row>
    <row r="518">
      <c r="A518" s="3"/>
      <c r="B518" s="10"/>
      <c r="C518" s="10"/>
      <c r="D518" s="14"/>
      <c r="E518" s="14"/>
      <c r="F518" s="14"/>
      <c r="G518" s="14"/>
      <c r="H518" s="14"/>
      <c r="I518" s="14"/>
      <c r="J518" s="14"/>
      <c r="K518" s="1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14"/>
      <c r="AB518" s="20"/>
      <c r="AC518" s="20"/>
      <c r="AD518" s="20"/>
      <c r="AE518" s="20"/>
    </row>
    <row r="519">
      <c r="A519" s="3"/>
      <c r="B519" s="10"/>
      <c r="C519" s="10"/>
      <c r="D519" s="14"/>
      <c r="E519" s="14"/>
      <c r="F519" s="14"/>
      <c r="G519" s="14"/>
      <c r="H519" s="14"/>
      <c r="I519" s="14"/>
      <c r="J519" s="14"/>
      <c r="K519" s="1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14"/>
      <c r="AB519" s="20"/>
      <c r="AC519" s="20"/>
      <c r="AD519" s="20"/>
      <c r="AE519" s="20"/>
    </row>
    <row r="520">
      <c r="A520" s="3"/>
      <c r="B520" s="10"/>
      <c r="C520" s="10"/>
      <c r="D520" s="14"/>
      <c r="E520" s="14"/>
      <c r="F520" s="14"/>
      <c r="G520" s="14"/>
      <c r="H520" s="14"/>
      <c r="I520" s="14"/>
      <c r="J520" s="14"/>
      <c r="K520" s="1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14"/>
      <c r="AB520" s="20"/>
      <c r="AC520" s="20"/>
      <c r="AD520" s="20"/>
      <c r="AE520" s="20"/>
    </row>
    <row r="521">
      <c r="A521" s="3"/>
      <c r="B521" s="10"/>
      <c r="C521" s="10"/>
      <c r="D521" s="14"/>
      <c r="E521" s="14"/>
      <c r="F521" s="14"/>
      <c r="G521" s="14"/>
      <c r="H521" s="14"/>
      <c r="I521" s="14"/>
      <c r="J521" s="14"/>
      <c r="K521" s="1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14"/>
      <c r="AB521" s="20"/>
      <c r="AC521" s="20"/>
      <c r="AD521" s="20"/>
      <c r="AE521" s="20"/>
    </row>
    <row r="522">
      <c r="A522" s="3"/>
      <c r="B522" s="10"/>
      <c r="C522" s="10"/>
      <c r="D522" s="14"/>
      <c r="E522" s="14"/>
      <c r="F522" s="14"/>
      <c r="G522" s="14"/>
      <c r="H522" s="14"/>
      <c r="I522" s="14"/>
      <c r="J522" s="14"/>
      <c r="K522" s="1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14"/>
      <c r="AB522" s="20"/>
      <c r="AC522" s="20"/>
      <c r="AD522" s="20"/>
      <c r="AE522" s="20"/>
    </row>
    <row r="523">
      <c r="A523" s="3"/>
      <c r="B523" s="10"/>
      <c r="C523" s="10"/>
      <c r="D523" s="14"/>
      <c r="E523" s="14"/>
      <c r="F523" s="14"/>
      <c r="G523" s="14"/>
      <c r="H523" s="14"/>
      <c r="I523" s="14"/>
      <c r="J523" s="14"/>
      <c r="K523" s="1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14"/>
      <c r="AB523" s="20"/>
      <c r="AC523" s="20"/>
      <c r="AD523" s="20"/>
      <c r="AE523" s="20"/>
    </row>
    <row r="524">
      <c r="A524" s="3"/>
      <c r="B524" s="10"/>
      <c r="C524" s="10"/>
      <c r="D524" s="14"/>
      <c r="E524" s="14"/>
      <c r="F524" s="14"/>
      <c r="G524" s="14"/>
      <c r="H524" s="14"/>
      <c r="I524" s="14"/>
      <c r="J524" s="14"/>
      <c r="K524" s="1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14"/>
      <c r="AB524" s="20"/>
      <c r="AC524" s="20"/>
      <c r="AD524" s="20"/>
      <c r="AE524" s="20"/>
    </row>
    <row r="525">
      <c r="A525" s="3"/>
      <c r="B525" s="10"/>
      <c r="C525" s="10"/>
      <c r="D525" s="14"/>
      <c r="E525" s="14"/>
      <c r="F525" s="14"/>
      <c r="G525" s="14"/>
      <c r="H525" s="14"/>
      <c r="I525" s="14"/>
      <c r="J525" s="14"/>
      <c r="K525" s="1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14"/>
      <c r="AB525" s="20"/>
      <c r="AC525" s="20"/>
      <c r="AD525" s="20"/>
      <c r="AE525" s="20"/>
    </row>
    <row r="526">
      <c r="A526" s="3"/>
      <c r="B526" s="10"/>
      <c r="C526" s="10"/>
      <c r="D526" s="14"/>
      <c r="E526" s="14"/>
      <c r="F526" s="14"/>
      <c r="G526" s="14"/>
      <c r="H526" s="14"/>
      <c r="I526" s="14"/>
      <c r="J526" s="14"/>
      <c r="K526" s="1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14"/>
      <c r="AB526" s="20"/>
      <c r="AC526" s="20"/>
      <c r="AD526" s="20"/>
      <c r="AE526" s="20"/>
    </row>
    <row r="527">
      <c r="A527" s="3"/>
      <c r="B527" s="10"/>
      <c r="C527" s="10"/>
      <c r="D527" s="14"/>
      <c r="E527" s="14"/>
      <c r="F527" s="14"/>
      <c r="G527" s="14"/>
      <c r="H527" s="14"/>
      <c r="I527" s="14"/>
      <c r="J527" s="14"/>
      <c r="K527" s="1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14"/>
      <c r="AB527" s="20"/>
      <c r="AC527" s="20"/>
      <c r="AD527" s="20"/>
      <c r="AE527" s="20"/>
    </row>
    <row r="528">
      <c r="A528" s="3"/>
      <c r="B528" s="10"/>
      <c r="C528" s="10"/>
      <c r="D528" s="14"/>
      <c r="E528" s="14"/>
      <c r="F528" s="14"/>
      <c r="G528" s="14"/>
      <c r="H528" s="14"/>
      <c r="I528" s="14"/>
      <c r="J528" s="14"/>
      <c r="K528" s="1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14"/>
      <c r="AB528" s="20"/>
      <c r="AC528" s="20"/>
      <c r="AD528" s="20"/>
      <c r="AE528" s="20"/>
    </row>
    <row r="529">
      <c r="A529" s="3"/>
      <c r="B529" s="10"/>
      <c r="C529" s="10"/>
      <c r="D529" s="14"/>
      <c r="E529" s="14"/>
      <c r="F529" s="14"/>
      <c r="G529" s="14"/>
      <c r="H529" s="14"/>
      <c r="I529" s="14"/>
      <c r="J529" s="14"/>
      <c r="K529" s="1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14"/>
      <c r="AB529" s="20"/>
      <c r="AC529" s="20"/>
      <c r="AD529" s="20"/>
      <c r="AE529" s="20"/>
    </row>
    <row r="530">
      <c r="A530" s="3"/>
      <c r="B530" s="10"/>
      <c r="C530" s="10"/>
      <c r="D530" s="14"/>
      <c r="E530" s="14"/>
      <c r="F530" s="14"/>
      <c r="G530" s="14"/>
      <c r="H530" s="14"/>
      <c r="I530" s="14"/>
      <c r="J530" s="14"/>
      <c r="K530" s="1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14"/>
      <c r="AB530" s="20"/>
      <c r="AC530" s="20"/>
      <c r="AD530" s="20"/>
      <c r="AE530" s="20"/>
    </row>
    <row r="531">
      <c r="A531" s="3"/>
      <c r="B531" s="10"/>
      <c r="C531" s="10"/>
      <c r="D531" s="14"/>
      <c r="E531" s="14"/>
      <c r="F531" s="14"/>
      <c r="G531" s="14"/>
      <c r="H531" s="14"/>
      <c r="I531" s="14"/>
      <c r="J531" s="14"/>
      <c r="K531" s="1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14"/>
      <c r="AB531" s="20"/>
      <c r="AC531" s="20"/>
      <c r="AD531" s="20"/>
      <c r="AE531" s="20"/>
    </row>
    <row r="532">
      <c r="A532" s="3"/>
      <c r="B532" s="10"/>
      <c r="C532" s="10"/>
      <c r="D532" s="14"/>
      <c r="E532" s="14"/>
      <c r="F532" s="14"/>
      <c r="G532" s="14"/>
      <c r="H532" s="14"/>
      <c r="I532" s="14"/>
      <c r="J532" s="14"/>
      <c r="K532" s="1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14"/>
      <c r="AB532" s="20"/>
      <c r="AC532" s="20"/>
      <c r="AD532" s="20"/>
      <c r="AE532" s="20"/>
    </row>
    <row r="533">
      <c r="A533" s="3"/>
      <c r="B533" s="10"/>
      <c r="C533" s="10"/>
      <c r="D533" s="14"/>
      <c r="E533" s="14"/>
      <c r="F533" s="14"/>
      <c r="G533" s="14"/>
      <c r="H533" s="14"/>
      <c r="I533" s="14"/>
      <c r="J533" s="14"/>
      <c r="K533" s="1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14"/>
      <c r="AB533" s="20"/>
      <c r="AC533" s="20"/>
      <c r="AD533" s="20"/>
      <c r="AE533" s="20"/>
    </row>
    <row r="534">
      <c r="A534" s="3"/>
      <c r="B534" s="10"/>
      <c r="C534" s="10"/>
      <c r="D534" s="14"/>
      <c r="E534" s="14"/>
      <c r="F534" s="14"/>
      <c r="G534" s="14"/>
      <c r="H534" s="14"/>
      <c r="I534" s="14"/>
      <c r="J534" s="14"/>
      <c r="K534" s="1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14"/>
      <c r="AB534" s="20"/>
      <c r="AC534" s="20"/>
      <c r="AD534" s="20"/>
      <c r="AE534" s="20"/>
    </row>
    <row r="535">
      <c r="A535" s="3"/>
      <c r="B535" s="10"/>
      <c r="C535" s="10"/>
      <c r="D535" s="14"/>
      <c r="E535" s="14"/>
      <c r="F535" s="14"/>
      <c r="G535" s="14"/>
      <c r="H535" s="14"/>
      <c r="I535" s="14"/>
      <c r="J535" s="14"/>
      <c r="K535" s="1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14"/>
      <c r="AB535" s="20"/>
      <c r="AC535" s="20"/>
      <c r="AD535" s="20"/>
      <c r="AE535" s="20"/>
    </row>
    <row r="536">
      <c r="A536" s="3"/>
      <c r="B536" s="10"/>
      <c r="C536" s="10"/>
      <c r="D536" s="14"/>
      <c r="E536" s="14"/>
      <c r="F536" s="14"/>
      <c r="G536" s="14"/>
      <c r="H536" s="14"/>
      <c r="I536" s="14"/>
      <c r="J536" s="14"/>
      <c r="K536" s="1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14"/>
      <c r="AB536" s="20"/>
      <c r="AC536" s="20"/>
      <c r="AD536" s="20"/>
      <c r="AE536" s="20"/>
    </row>
    <row r="537">
      <c r="A537" s="3"/>
      <c r="B537" s="10"/>
      <c r="C537" s="10"/>
      <c r="D537" s="14"/>
      <c r="E537" s="14"/>
      <c r="F537" s="14"/>
      <c r="G537" s="14"/>
      <c r="H537" s="14"/>
      <c r="I537" s="14"/>
      <c r="J537" s="14"/>
      <c r="K537" s="1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14"/>
      <c r="AB537" s="20"/>
      <c r="AC537" s="20"/>
      <c r="AD537" s="20"/>
      <c r="AE537" s="20"/>
    </row>
    <row r="538">
      <c r="A538" s="3"/>
      <c r="B538" s="10"/>
      <c r="C538" s="10"/>
      <c r="D538" s="14"/>
      <c r="E538" s="14"/>
      <c r="F538" s="14"/>
      <c r="G538" s="14"/>
      <c r="H538" s="14"/>
      <c r="I538" s="14"/>
      <c r="J538" s="14"/>
      <c r="K538" s="1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14"/>
      <c r="AB538" s="20"/>
      <c r="AC538" s="20"/>
      <c r="AD538" s="20"/>
      <c r="AE538" s="20"/>
    </row>
    <row r="539">
      <c r="A539" s="3"/>
      <c r="B539" s="10"/>
      <c r="C539" s="10"/>
      <c r="D539" s="14"/>
      <c r="E539" s="14"/>
      <c r="F539" s="14"/>
      <c r="G539" s="14"/>
      <c r="H539" s="14"/>
      <c r="I539" s="14"/>
      <c r="J539" s="14"/>
      <c r="K539" s="1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14"/>
      <c r="AB539" s="20"/>
      <c r="AC539" s="20"/>
      <c r="AD539" s="20"/>
      <c r="AE539" s="20"/>
    </row>
    <row r="540">
      <c r="A540" s="3"/>
      <c r="B540" s="10"/>
      <c r="C540" s="10"/>
      <c r="D540" s="14"/>
      <c r="E540" s="14"/>
      <c r="F540" s="14"/>
      <c r="G540" s="14"/>
      <c r="H540" s="14"/>
      <c r="I540" s="14"/>
      <c r="J540" s="14"/>
      <c r="K540" s="1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14"/>
      <c r="AB540" s="20"/>
      <c r="AC540" s="20"/>
      <c r="AD540" s="20"/>
      <c r="AE540" s="20"/>
    </row>
    <row r="541">
      <c r="A541" s="3"/>
      <c r="B541" s="10"/>
      <c r="C541" s="10"/>
      <c r="D541" s="14"/>
      <c r="E541" s="14"/>
      <c r="F541" s="14"/>
      <c r="G541" s="14"/>
      <c r="H541" s="14"/>
      <c r="I541" s="14"/>
      <c r="J541" s="14"/>
      <c r="K541" s="1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14"/>
      <c r="AB541" s="20"/>
      <c r="AC541" s="20"/>
      <c r="AD541" s="20"/>
      <c r="AE541" s="20"/>
    </row>
    <row r="542">
      <c r="A542" s="3"/>
      <c r="B542" s="10"/>
      <c r="C542" s="10"/>
      <c r="D542" s="14"/>
      <c r="E542" s="14"/>
      <c r="F542" s="14"/>
      <c r="G542" s="14"/>
      <c r="H542" s="14"/>
      <c r="I542" s="14"/>
      <c r="J542" s="14"/>
      <c r="K542" s="1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14"/>
      <c r="AB542" s="20"/>
      <c r="AC542" s="20"/>
      <c r="AD542" s="20"/>
      <c r="AE542" s="20"/>
    </row>
    <row r="543">
      <c r="A543" s="3"/>
      <c r="B543" s="10"/>
      <c r="C543" s="10"/>
      <c r="D543" s="14"/>
      <c r="E543" s="14"/>
      <c r="F543" s="14"/>
      <c r="G543" s="14"/>
      <c r="H543" s="14"/>
      <c r="I543" s="14"/>
      <c r="J543" s="14"/>
      <c r="K543" s="1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14"/>
      <c r="AB543" s="20"/>
      <c r="AC543" s="20"/>
      <c r="AD543" s="20"/>
      <c r="AE543" s="20"/>
    </row>
    <row r="544">
      <c r="A544" s="3"/>
      <c r="B544" s="10"/>
      <c r="C544" s="10"/>
      <c r="D544" s="14"/>
      <c r="E544" s="14"/>
      <c r="F544" s="14"/>
      <c r="G544" s="14"/>
      <c r="H544" s="14"/>
      <c r="I544" s="14"/>
      <c r="J544" s="14"/>
      <c r="K544" s="1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14"/>
      <c r="AB544" s="20"/>
      <c r="AC544" s="20"/>
      <c r="AD544" s="20"/>
      <c r="AE544" s="20"/>
    </row>
    <row r="545">
      <c r="A545" s="3"/>
      <c r="B545" s="10"/>
      <c r="C545" s="10"/>
      <c r="D545" s="14"/>
      <c r="E545" s="14"/>
      <c r="F545" s="14"/>
      <c r="G545" s="14"/>
      <c r="H545" s="14"/>
      <c r="I545" s="14"/>
      <c r="J545" s="14"/>
      <c r="K545" s="1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14"/>
      <c r="AB545" s="20"/>
      <c r="AC545" s="20"/>
      <c r="AD545" s="20"/>
      <c r="AE545" s="20"/>
    </row>
    <row r="546">
      <c r="A546" s="3"/>
      <c r="B546" s="10"/>
      <c r="C546" s="10"/>
      <c r="D546" s="14"/>
      <c r="E546" s="14"/>
      <c r="F546" s="14"/>
      <c r="G546" s="14"/>
      <c r="H546" s="14"/>
      <c r="I546" s="14"/>
      <c r="J546" s="14"/>
      <c r="K546" s="1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14"/>
      <c r="AB546" s="20"/>
      <c r="AC546" s="20"/>
      <c r="AD546" s="20"/>
      <c r="AE546" s="20"/>
    </row>
    <row r="547">
      <c r="A547" s="3"/>
      <c r="B547" s="10"/>
      <c r="C547" s="10"/>
      <c r="D547" s="14"/>
      <c r="E547" s="14"/>
      <c r="F547" s="14"/>
      <c r="G547" s="14"/>
      <c r="H547" s="14"/>
      <c r="I547" s="14"/>
      <c r="J547" s="14"/>
      <c r="K547" s="1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14"/>
      <c r="AB547" s="20"/>
      <c r="AC547" s="20"/>
      <c r="AD547" s="20"/>
      <c r="AE547" s="20"/>
    </row>
    <row r="548">
      <c r="A548" s="3"/>
      <c r="B548" s="10"/>
      <c r="C548" s="10"/>
      <c r="D548" s="14"/>
      <c r="E548" s="14"/>
      <c r="F548" s="14"/>
      <c r="G548" s="14"/>
      <c r="H548" s="14"/>
      <c r="I548" s="14"/>
      <c r="J548" s="14"/>
      <c r="K548" s="1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14"/>
      <c r="AB548" s="20"/>
      <c r="AC548" s="20"/>
      <c r="AD548" s="20"/>
      <c r="AE548" s="20"/>
    </row>
    <row r="549">
      <c r="A549" s="3"/>
      <c r="B549" s="10"/>
      <c r="C549" s="10"/>
      <c r="D549" s="14"/>
      <c r="E549" s="14"/>
      <c r="F549" s="14"/>
      <c r="G549" s="14"/>
      <c r="H549" s="14"/>
      <c r="I549" s="14"/>
      <c r="J549" s="14"/>
      <c r="K549" s="1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14"/>
      <c r="AB549" s="20"/>
      <c r="AC549" s="20"/>
      <c r="AD549" s="20"/>
      <c r="AE549" s="20"/>
    </row>
    <row r="550">
      <c r="A550" s="3"/>
      <c r="B550" s="10"/>
      <c r="C550" s="10"/>
      <c r="D550" s="14"/>
      <c r="E550" s="14"/>
      <c r="F550" s="14"/>
      <c r="G550" s="14"/>
      <c r="H550" s="14"/>
      <c r="I550" s="14"/>
      <c r="J550" s="14"/>
      <c r="K550" s="1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14"/>
      <c r="AB550" s="20"/>
      <c r="AC550" s="20"/>
      <c r="AD550" s="20"/>
      <c r="AE550" s="20"/>
    </row>
    <row r="551">
      <c r="A551" s="3"/>
      <c r="B551" s="10"/>
      <c r="C551" s="10"/>
      <c r="D551" s="14"/>
      <c r="E551" s="14"/>
      <c r="F551" s="14"/>
      <c r="G551" s="14"/>
      <c r="H551" s="14"/>
      <c r="I551" s="14"/>
      <c r="J551" s="14"/>
      <c r="K551" s="1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14"/>
      <c r="AB551" s="20"/>
      <c r="AC551" s="20"/>
      <c r="AD551" s="20"/>
      <c r="AE551" s="20"/>
    </row>
    <row r="552">
      <c r="A552" s="3"/>
      <c r="B552" s="10"/>
      <c r="C552" s="10"/>
      <c r="D552" s="14"/>
      <c r="E552" s="14"/>
      <c r="F552" s="14"/>
      <c r="G552" s="14"/>
      <c r="H552" s="14"/>
      <c r="I552" s="14"/>
      <c r="J552" s="14"/>
      <c r="K552" s="1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14"/>
      <c r="AB552" s="20"/>
      <c r="AC552" s="20"/>
      <c r="AD552" s="20"/>
      <c r="AE552" s="20"/>
    </row>
    <row r="553">
      <c r="A553" s="3"/>
      <c r="B553" s="10"/>
      <c r="C553" s="10"/>
      <c r="D553" s="14"/>
      <c r="E553" s="14"/>
      <c r="F553" s="14"/>
      <c r="G553" s="14"/>
      <c r="H553" s="14"/>
      <c r="I553" s="14"/>
      <c r="J553" s="14"/>
      <c r="K553" s="1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14"/>
      <c r="AB553" s="20"/>
      <c r="AC553" s="20"/>
      <c r="AD553" s="20"/>
      <c r="AE553" s="20"/>
    </row>
    <row r="554">
      <c r="A554" s="3"/>
      <c r="B554" s="10"/>
      <c r="C554" s="10"/>
      <c r="D554" s="14"/>
      <c r="E554" s="14"/>
      <c r="F554" s="14"/>
      <c r="G554" s="14"/>
      <c r="H554" s="14"/>
      <c r="I554" s="14"/>
      <c r="J554" s="14"/>
      <c r="K554" s="1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14"/>
      <c r="AB554" s="20"/>
      <c r="AC554" s="20"/>
      <c r="AD554" s="20"/>
      <c r="AE554" s="20"/>
    </row>
    <row r="555">
      <c r="A555" s="3"/>
      <c r="B555" s="10"/>
      <c r="C555" s="10"/>
      <c r="D555" s="14"/>
      <c r="E555" s="14"/>
      <c r="F555" s="14"/>
      <c r="G555" s="14"/>
      <c r="H555" s="14"/>
      <c r="I555" s="14"/>
      <c r="J555" s="14"/>
      <c r="K555" s="1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14"/>
      <c r="AB555" s="20"/>
      <c r="AC555" s="20"/>
      <c r="AD555" s="20"/>
      <c r="AE555" s="20"/>
    </row>
    <row r="556">
      <c r="A556" s="3"/>
      <c r="B556" s="10"/>
      <c r="C556" s="10"/>
      <c r="D556" s="14"/>
      <c r="E556" s="14"/>
      <c r="F556" s="14"/>
      <c r="G556" s="14"/>
      <c r="H556" s="14"/>
      <c r="I556" s="14"/>
      <c r="J556" s="14"/>
      <c r="K556" s="1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14"/>
      <c r="AB556" s="20"/>
      <c r="AC556" s="20"/>
      <c r="AD556" s="20"/>
      <c r="AE556" s="20"/>
    </row>
    <row r="557">
      <c r="A557" s="3"/>
      <c r="B557" s="10"/>
      <c r="C557" s="10"/>
      <c r="D557" s="14"/>
      <c r="E557" s="14"/>
      <c r="F557" s="14"/>
      <c r="G557" s="14"/>
      <c r="H557" s="14"/>
      <c r="I557" s="14"/>
      <c r="J557" s="14"/>
      <c r="K557" s="1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14"/>
      <c r="AB557" s="20"/>
      <c r="AC557" s="20"/>
      <c r="AD557" s="20"/>
      <c r="AE557" s="20"/>
    </row>
    <row r="558">
      <c r="A558" s="3"/>
      <c r="B558" s="10"/>
      <c r="C558" s="10"/>
      <c r="D558" s="14"/>
      <c r="E558" s="14"/>
      <c r="F558" s="14"/>
      <c r="G558" s="14"/>
      <c r="H558" s="14"/>
      <c r="I558" s="14"/>
      <c r="J558" s="14"/>
      <c r="K558" s="1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14"/>
      <c r="AB558" s="20"/>
      <c r="AC558" s="20"/>
      <c r="AD558" s="20"/>
      <c r="AE558" s="20"/>
    </row>
    <row r="559">
      <c r="A559" s="3"/>
      <c r="B559" s="10"/>
      <c r="C559" s="10"/>
      <c r="D559" s="14"/>
      <c r="E559" s="14"/>
      <c r="F559" s="14"/>
      <c r="G559" s="14"/>
      <c r="H559" s="14"/>
      <c r="I559" s="14"/>
      <c r="J559" s="14"/>
      <c r="K559" s="1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14"/>
      <c r="AB559" s="20"/>
      <c r="AC559" s="20"/>
      <c r="AD559" s="20"/>
      <c r="AE559" s="20"/>
    </row>
    <row r="560">
      <c r="A560" s="3"/>
      <c r="B560" s="10"/>
      <c r="C560" s="10"/>
      <c r="D560" s="14"/>
      <c r="E560" s="14"/>
      <c r="F560" s="14"/>
      <c r="G560" s="14"/>
      <c r="H560" s="14"/>
      <c r="I560" s="14"/>
      <c r="J560" s="14"/>
      <c r="K560" s="1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14"/>
      <c r="AB560" s="20"/>
      <c r="AC560" s="20"/>
      <c r="AD560" s="20"/>
      <c r="AE560" s="20"/>
    </row>
    <row r="561">
      <c r="A561" s="3"/>
      <c r="B561" s="10"/>
      <c r="C561" s="10"/>
      <c r="D561" s="14"/>
      <c r="E561" s="14"/>
      <c r="F561" s="14"/>
      <c r="G561" s="14"/>
      <c r="H561" s="14"/>
      <c r="I561" s="14"/>
      <c r="J561" s="14"/>
      <c r="K561" s="1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14"/>
      <c r="AB561" s="20"/>
      <c r="AC561" s="20"/>
      <c r="AD561" s="20"/>
      <c r="AE561" s="20"/>
    </row>
    <row r="562">
      <c r="A562" s="3"/>
      <c r="B562" s="10"/>
      <c r="C562" s="10"/>
      <c r="D562" s="14"/>
      <c r="E562" s="14"/>
      <c r="F562" s="14"/>
      <c r="G562" s="14"/>
      <c r="H562" s="14"/>
      <c r="I562" s="14"/>
      <c r="J562" s="14"/>
      <c r="K562" s="1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14"/>
      <c r="AB562" s="20"/>
      <c r="AC562" s="20"/>
      <c r="AD562" s="20"/>
      <c r="AE562" s="20"/>
    </row>
    <row r="563">
      <c r="A563" s="3"/>
      <c r="B563" s="10"/>
      <c r="C563" s="10"/>
      <c r="D563" s="14"/>
      <c r="E563" s="14"/>
      <c r="F563" s="14"/>
      <c r="G563" s="14"/>
      <c r="H563" s="14"/>
      <c r="I563" s="14"/>
      <c r="J563" s="14"/>
      <c r="K563" s="1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14"/>
      <c r="AB563" s="20"/>
      <c r="AC563" s="20"/>
      <c r="AD563" s="20"/>
      <c r="AE563" s="20"/>
    </row>
    <row r="564">
      <c r="A564" s="3"/>
      <c r="B564" s="10"/>
      <c r="C564" s="10"/>
      <c r="D564" s="14"/>
      <c r="E564" s="14"/>
      <c r="F564" s="14"/>
      <c r="G564" s="14"/>
      <c r="H564" s="14"/>
      <c r="I564" s="14"/>
      <c r="J564" s="14"/>
      <c r="K564" s="1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14"/>
      <c r="AB564" s="20"/>
      <c r="AC564" s="20"/>
      <c r="AD564" s="20"/>
      <c r="AE564" s="20"/>
    </row>
    <row r="565">
      <c r="A565" s="3"/>
      <c r="B565" s="10"/>
      <c r="C565" s="10"/>
      <c r="D565" s="14"/>
      <c r="E565" s="14"/>
      <c r="F565" s="14"/>
      <c r="G565" s="14"/>
      <c r="H565" s="14"/>
      <c r="I565" s="14"/>
      <c r="J565" s="14"/>
      <c r="K565" s="1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14"/>
      <c r="AB565" s="20"/>
      <c r="AC565" s="20"/>
      <c r="AD565" s="20"/>
      <c r="AE565" s="20"/>
    </row>
    <row r="566">
      <c r="A566" s="3"/>
      <c r="B566" s="10"/>
      <c r="C566" s="10"/>
      <c r="D566" s="14"/>
      <c r="E566" s="14"/>
      <c r="F566" s="14"/>
      <c r="G566" s="14"/>
      <c r="H566" s="14"/>
      <c r="I566" s="14"/>
      <c r="J566" s="14"/>
      <c r="K566" s="1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14"/>
      <c r="AB566" s="20"/>
      <c r="AC566" s="20"/>
      <c r="AD566" s="20"/>
      <c r="AE566" s="20"/>
    </row>
    <row r="567">
      <c r="A567" s="3"/>
      <c r="B567" s="10"/>
      <c r="C567" s="10"/>
      <c r="D567" s="14"/>
      <c r="E567" s="14"/>
      <c r="F567" s="14"/>
      <c r="G567" s="14"/>
      <c r="H567" s="14"/>
      <c r="I567" s="14"/>
      <c r="J567" s="14"/>
      <c r="K567" s="1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14"/>
      <c r="AB567" s="20"/>
      <c r="AC567" s="20"/>
      <c r="AD567" s="20"/>
      <c r="AE567" s="20"/>
    </row>
    <row r="568">
      <c r="A568" s="3"/>
      <c r="B568" s="10"/>
      <c r="C568" s="10"/>
      <c r="D568" s="14"/>
      <c r="E568" s="14"/>
      <c r="F568" s="14"/>
      <c r="G568" s="14"/>
      <c r="H568" s="14"/>
      <c r="I568" s="14"/>
      <c r="J568" s="14"/>
      <c r="K568" s="1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14"/>
      <c r="AB568" s="20"/>
      <c r="AC568" s="20"/>
      <c r="AD568" s="20"/>
      <c r="AE568" s="20"/>
    </row>
    <row r="569">
      <c r="A569" s="3"/>
      <c r="B569" s="10"/>
      <c r="C569" s="10"/>
      <c r="D569" s="14"/>
      <c r="E569" s="14"/>
      <c r="F569" s="14"/>
      <c r="G569" s="14"/>
      <c r="H569" s="14"/>
      <c r="I569" s="14"/>
      <c r="J569" s="14"/>
      <c r="K569" s="1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14"/>
      <c r="AB569" s="20"/>
      <c r="AC569" s="20"/>
      <c r="AD569" s="20"/>
      <c r="AE569" s="20"/>
    </row>
    <row r="570">
      <c r="A570" s="3"/>
      <c r="B570" s="10"/>
      <c r="C570" s="10"/>
      <c r="D570" s="14"/>
      <c r="E570" s="14"/>
      <c r="F570" s="14"/>
      <c r="G570" s="14"/>
      <c r="H570" s="14"/>
      <c r="I570" s="14"/>
      <c r="J570" s="14"/>
      <c r="K570" s="1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14"/>
      <c r="AB570" s="20"/>
      <c r="AC570" s="20"/>
      <c r="AD570" s="20"/>
      <c r="AE570" s="20"/>
    </row>
    <row r="571">
      <c r="A571" s="3"/>
      <c r="B571" s="10"/>
      <c r="C571" s="10"/>
      <c r="D571" s="14"/>
      <c r="E571" s="14"/>
      <c r="F571" s="14"/>
      <c r="G571" s="14"/>
      <c r="H571" s="14"/>
      <c r="I571" s="14"/>
      <c r="J571" s="14"/>
      <c r="K571" s="1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14"/>
      <c r="AB571" s="20"/>
      <c r="AC571" s="20"/>
      <c r="AD571" s="20"/>
      <c r="AE571" s="20"/>
    </row>
    <row r="572">
      <c r="A572" s="3"/>
      <c r="B572" s="10"/>
      <c r="C572" s="10"/>
      <c r="D572" s="14"/>
      <c r="E572" s="14"/>
      <c r="F572" s="14"/>
      <c r="G572" s="14"/>
      <c r="H572" s="14"/>
      <c r="I572" s="14"/>
      <c r="J572" s="14"/>
      <c r="K572" s="1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14"/>
      <c r="AB572" s="20"/>
      <c r="AC572" s="20"/>
      <c r="AD572" s="20"/>
      <c r="AE572" s="20"/>
    </row>
    <row r="573">
      <c r="A573" s="3"/>
      <c r="B573" s="10"/>
      <c r="C573" s="10"/>
      <c r="D573" s="14"/>
      <c r="E573" s="14"/>
      <c r="F573" s="14"/>
      <c r="G573" s="14"/>
      <c r="H573" s="14"/>
      <c r="I573" s="14"/>
      <c r="J573" s="14"/>
      <c r="K573" s="1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14"/>
      <c r="AB573" s="20"/>
      <c r="AC573" s="20"/>
      <c r="AD573" s="20"/>
      <c r="AE573" s="20"/>
    </row>
    <row r="574">
      <c r="A574" s="3"/>
      <c r="B574" s="10"/>
      <c r="C574" s="10"/>
      <c r="D574" s="14"/>
      <c r="E574" s="14"/>
      <c r="F574" s="14"/>
      <c r="G574" s="14"/>
      <c r="H574" s="14"/>
      <c r="I574" s="14"/>
      <c r="J574" s="14"/>
      <c r="K574" s="1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14"/>
      <c r="AB574" s="20"/>
      <c r="AC574" s="20"/>
      <c r="AD574" s="20"/>
      <c r="AE574" s="20"/>
    </row>
    <row r="575">
      <c r="A575" s="3"/>
      <c r="B575" s="10"/>
      <c r="C575" s="10"/>
      <c r="D575" s="14"/>
      <c r="E575" s="14"/>
      <c r="F575" s="14"/>
      <c r="G575" s="14"/>
      <c r="H575" s="14"/>
      <c r="I575" s="14"/>
      <c r="J575" s="14"/>
      <c r="K575" s="1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14"/>
      <c r="AB575" s="20"/>
      <c r="AC575" s="20"/>
      <c r="AD575" s="20"/>
      <c r="AE575" s="20"/>
    </row>
    <row r="576">
      <c r="A576" s="3"/>
      <c r="B576" s="10"/>
      <c r="C576" s="10"/>
      <c r="D576" s="14"/>
      <c r="E576" s="14"/>
      <c r="F576" s="14"/>
      <c r="G576" s="14"/>
      <c r="H576" s="14"/>
      <c r="I576" s="14"/>
      <c r="J576" s="14"/>
      <c r="K576" s="1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14"/>
      <c r="AB576" s="20"/>
      <c r="AC576" s="20"/>
      <c r="AD576" s="20"/>
      <c r="AE576" s="20"/>
    </row>
    <row r="577">
      <c r="A577" s="3"/>
      <c r="B577" s="10"/>
      <c r="C577" s="10"/>
      <c r="D577" s="14"/>
      <c r="E577" s="14"/>
      <c r="F577" s="14"/>
      <c r="G577" s="14"/>
      <c r="H577" s="14"/>
      <c r="I577" s="14"/>
      <c r="J577" s="14"/>
      <c r="K577" s="1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14"/>
      <c r="AB577" s="20"/>
      <c r="AC577" s="20"/>
      <c r="AD577" s="20"/>
      <c r="AE577" s="20"/>
    </row>
    <row r="578">
      <c r="A578" s="3"/>
      <c r="B578" s="10"/>
      <c r="C578" s="10"/>
      <c r="D578" s="14"/>
      <c r="E578" s="14"/>
      <c r="F578" s="14"/>
      <c r="G578" s="14"/>
      <c r="H578" s="14"/>
      <c r="I578" s="14"/>
      <c r="J578" s="14"/>
      <c r="K578" s="1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14"/>
      <c r="AB578" s="20"/>
      <c r="AC578" s="20"/>
      <c r="AD578" s="20"/>
      <c r="AE578" s="20"/>
    </row>
    <row r="579">
      <c r="A579" s="3"/>
      <c r="B579" s="10"/>
      <c r="C579" s="10"/>
      <c r="D579" s="14"/>
      <c r="E579" s="14"/>
      <c r="F579" s="14"/>
      <c r="G579" s="14"/>
      <c r="H579" s="14"/>
      <c r="I579" s="14"/>
      <c r="J579" s="14"/>
      <c r="K579" s="1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14"/>
      <c r="AB579" s="20"/>
      <c r="AC579" s="20"/>
      <c r="AD579" s="20"/>
      <c r="AE579" s="20"/>
    </row>
    <row r="580">
      <c r="A580" s="3"/>
      <c r="B580" s="10"/>
      <c r="C580" s="10"/>
      <c r="D580" s="14"/>
      <c r="E580" s="14"/>
      <c r="F580" s="14"/>
      <c r="G580" s="14"/>
      <c r="H580" s="14"/>
      <c r="I580" s="14"/>
      <c r="J580" s="14"/>
      <c r="K580" s="1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14"/>
      <c r="AB580" s="20"/>
      <c r="AC580" s="20"/>
      <c r="AD580" s="20"/>
      <c r="AE580" s="20"/>
    </row>
    <row r="581">
      <c r="A581" s="3"/>
      <c r="B581" s="10"/>
      <c r="C581" s="10"/>
      <c r="D581" s="14"/>
      <c r="E581" s="14"/>
      <c r="F581" s="14"/>
      <c r="G581" s="14"/>
      <c r="H581" s="14"/>
      <c r="I581" s="14"/>
      <c r="J581" s="14"/>
      <c r="K581" s="1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14"/>
      <c r="AB581" s="20"/>
      <c r="AC581" s="20"/>
      <c r="AD581" s="20"/>
      <c r="AE581" s="20"/>
    </row>
    <row r="582">
      <c r="A582" s="3"/>
      <c r="B582" s="10"/>
      <c r="C582" s="10"/>
      <c r="D582" s="14"/>
      <c r="E582" s="14"/>
      <c r="F582" s="14"/>
      <c r="G582" s="14"/>
      <c r="H582" s="14"/>
      <c r="I582" s="14"/>
      <c r="J582" s="14"/>
      <c r="K582" s="1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14"/>
      <c r="AB582" s="20"/>
      <c r="AC582" s="20"/>
      <c r="AD582" s="20"/>
      <c r="AE582" s="20"/>
    </row>
    <row r="583">
      <c r="A583" s="3"/>
      <c r="B583" s="10"/>
      <c r="C583" s="10"/>
      <c r="D583" s="14"/>
      <c r="E583" s="14"/>
      <c r="F583" s="14"/>
      <c r="G583" s="14"/>
      <c r="H583" s="14"/>
      <c r="I583" s="14"/>
      <c r="J583" s="14"/>
      <c r="K583" s="1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14"/>
      <c r="AB583" s="20"/>
      <c r="AC583" s="20"/>
      <c r="AD583" s="20"/>
      <c r="AE583" s="20"/>
    </row>
    <row r="584">
      <c r="A584" s="3"/>
      <c r="B584" s="10"/>
      <c r="C584" s="10"/>
      <c r="D584" s="14"/>
      <c r="E584" s="14"/>
      <c r="F584" s="14"/>
      <c r="G584" s="14"/>
      <c r="H584" s="14"/>
      <c r="I584" s="14"/>
      <c r="J584" s="14"/>
      <c r="K584" s="1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14"/>
      <c r="AB584" s="20"/>
      <c r="AC584" s="20"/>
      <c r="AD584" s="20"/>
      <c r="AE584" s="20"/>
    </row>
    <row r="585">
      <c r="A585" s="3"/>
      <c r="B585" s="10"/>
      <c r="C585" s="10"/>
      <c r="D585" s="14"/>
      <c r="E585" s="14"/>
      <c r="F585" s="14"/>
      <c r="G585" s="14"/>
      <c r="H585" s="14"/>
      <c r="I585" s="14"/>
      <c r="J585" s="14"/>
      <c r="K585" s="1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14"/>
      <c r="AB585" s="20"/>
      <c r="AC585" s="20"/>
      <c r="AD585" s="20"/>
      <c r="AE585" s="20"/>
    </row>
    <row r="586">
      <c r="A586" s="3"/>
      <c r="B586" s="10"/>
      <c r="C586" s="10"/>
      <c r="D586" s="14"/>
      <c r="E586" s="14"/>
      <c r="F586" s="14"/>
      <c r="G586" s="14"/>
      <c r="H586" s="14"/>
      <c r="I586" s="14"/>
      <c r="J586" s="14"/>
      <c r="K586" s="1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14"/>
      <c r="AB586" s="20"/>
      <c r="AC586" s="20"/>
      <c r="AD586" s="20"/>
      <c r="AE586" s="20"/>
    </row>
    <row r="587">
      <c r="A587" s="3"/>
      <c r="B587" s="10"/>
      <c r="C587" s="10"/>
      <c r="D587" s="14"/>
      <c r="E587" s="14"/>
      <c r="F587" s="14"/>
      <c r="G587" s="14"/>
      <c r="H587" s="14"/>
      <c r="I587" s="14"/>
      <c r="J587" s="14"/>
      <c r="K587" s="1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14"/>
      <c r="AB587" s="20"/>
      <c r="AC587" s="20"/>
      <c r="AD587" s="20"/>
      <c r="AE587" s="20"/>
    </row>
    <row r="588">
      <c r="A588" s="3"/>
      <c r="B588" s="10"/>
      <c r="C588" s="10"/>
      <c r="D588" s="14"/>
      <c r="E588" s="14"/>
      <c r="F588" s="14"/>
      <c r="G588" s="14"/>
      <c r="H588" s="14"/>
      <c r="I588" s="14"/>
      <c r="J588" s="14"/>
      <c r="K588" s="1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14"/>
      <c r="AB588" s="20"/>
      <c r="AC588" s="20"/>
      <c r="AD588" s="20"/>
      <c r="AE588" s="20"/>
    </row>
    <row r="589">
      <c r="A589" s="3"/>
      <c r="B589" s="10"/>
      <c r="C589" s="10"/>
      <c r="D589" s="14"/>
      <c r="E589" s="14"/>
      <c r="F589" s="14"/>
      <c r="G589" s="14"/>
      <c r="H589" s="14"/>
      <c r="I589" s="14"/>
      <c r="J589" s="14"/>
      <c r="K589" s="1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14"/>
      <c r="AB589" s="20"/>
      <c r="AC589" s="20"/>
      <c r="AD589" s="20"/>
      <c r="AE589" s="20"/>
    </row>
    <row r="590">
      <c r="A590" s="3"/>
      <c r="B590" s="10"/>
      <c r="C590" s="10"/>
      <c r="D590" s="14"/>
      <c r="E590" s="14"/>
      <c r="F590" s="14"/>
      <c r="G590" s="14"/>
      <c r="H590" s="14"/>
      <c r="I590" s="14"/>
      <c r="J590" s="14"/>
      <c r="K590" s="1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14"/>
      <c r="AB590" s="20"/>
      <c r="AC590" s="20"/>
      <c r="AD590" s="20"/>
      <c r="AE590" s="20"/>
    </row>
    <row r="591">
      <c r="A591" s="3"/>
      <c r="B591" s="10"/>
      <c r="C591" s="10"/>
      <c r="D591" s="14"/>
      <c r="E591" s="14"/>
      <c r="F591" s="14"/>
      <c r="G591" s="14"/>
      <c r="H591" s="14"/>
      <c r="I591" s="14"/>
      <c r="J591" s="14"/>
      <c r="K591" s="1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14"/>
      <c r="AB591" s="20"/>
      <c r="AC591" s="20"/>
      <c r="AD591" s="20"/>
      <c r="AE591" s="20"/>
    </row>
    <row r="592">
      <c r="A592" s="3"/>
      <c r="B592" s="10"/>
      <c r="C592" s="10"/>
      <c r="D592" s="14"/>
      <c r="E592" s="14"/>
      <c r="F592" s="14"/>
      <c r="G592" s="14"/>
      <c r="H592" s="14"/>
      <c r="I592" s="14"/>
      <c r="J592" s="14"/>
      <c r="K592" s="1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14"/>
      <c r="AB592" s="20"/>
      <c r="AC592" s="20"/>
      <c r="AD592" s="20"/>
      <c r="AE592" s="20"/>
    </row>
    <row r="593">
      <c r="A593" s="3"/>
      <c r="B593" s="10"/>
      <c r="C593" s="10"/>
      <c r="D593" s="14"/>
      <c r="E593" s="14"/>
      <c r="F593" s="14"/>
      <c r="G593" s="14"/>
      <c r="H593" s="14"/>
      <c r="I593" s="14"/>
      <c r="J593" s="14"/>
      <c r="K593" s="1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14"/>
      <c r="AB593" s="20"/>
      <c r="AC593" s="20"/>
      <c r="AD593" s="20"/>
      <c r="AE593" s="20"/>
    </row>
    <row r="594">
      <c r="A594" s="3"/>
      <c r="B594" s="10"/>
      <c r="C594" s="10"/>
      <c r="D594" s="14"/>
      <c r="E594" s="14"/>
      <c r="F594" s="14"/>
      <c r="G594" s="14"/>
      <c r="H594" s="14"/>
      <c r="I594" s="14"/>
      <c r="J594" s="14"/>
      <c r="K594" s="1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14"/>
      <c r="AB594" s="20"/>
      <c r="AC594" s="20"/>
      <c r="AD594" s="20"/>
      <c r="AE594" s="20"/>
    </row>
    <row r="595">
      <c r="A595" s="3"/>
      <c r="B595" s="10"/>
      <c r="C595" s="10"/>
      <c r="D595" s="14"/>
      <c r="E595" s="14"/>
      <c r="F595" s="14"/>
      <c r="G595" s="14"/>
      <c r="H595" s="14"/>
      <c r="I595" s="14"/>
      <c r="J595" s="14"/>
      <c r="K595" s="1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14"/>
      <c r="AB595" s="20"/>
      <c r="AC595" s="20"/>
      <c r="AD595" s="20"/>
      <c r="AE595" s="20"/>
    </row>
    <row r="596">
      <c r="A596" s="3"/>
      <c r="B596" s="10"/>
      <c r="C596" s="10"/>
      <c r="D596" s="14"/>
      <c r="E596" s="14"/>
      <c r="F596" s="14"/>
      <c r="G596" s="14"/>
      <c r="H596" s="14"/>
      <c r="I596" s="14"/>
      <c r="J596" s="14"/>
      <c r="K596" s="1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14"/>
      <c r="AB596" s="20"/>
      <c r="AC596" s="20"/>
      <c r="AD596" s="20"/>
      <c r="AE596" s="20"/>
    </row>
    <row r="597">
      <c r="A597" s="3"/>
      <c r="B597" s="10"/>
      <c r="C597" s="10"/>
      <c r="D597" s="14"/>
      <c r="E597" s="14"/>
      <c r="F597" s="14"/>
      <c r="G597" s="14"/>
      <c r="H597" s="14"/>
      <c r="I597" s="14"/>
      <c r="J597" s="14"/>
      <c r="K597" s="1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14"/>
      <c r="AB597" s="20"/>
      <c r="AC597" s="20"/>
      <c r="AD597" s="20"/>
      <c r="AE597" s="20"/>
    </row>
    <row r="598">
      <c r="A598" s="3"/>
      <c r="B598" s="10"/>
      <c r="C598" s="10"/>
      <c r="D598" s="14"/>
      <c r="E598" s="14"/>
      <c r="F598" s="14"/>
      <c r="G598" s="14"/>
      <c r="H598" s="14"/>
      <c r="I598" s="14"/>
      <c r="J598" s="14"/>
      <c r="K598" s="1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14"/>
      <c r="AB598" s="20"/>
      <c r="AC598" s="20"/>
      <c r="AD598" s="20"/>
      <c r="AE598" s="20"/>
    </row>
    <row r="599">
      <c r="A599" s="3"/>
      <c r="B599" s="10"/>
      <c r="C599" s="10"/>
      <c r="D599" s="14"/>
      <c r="E599" s="14"/>
      <c r="F599" s="14"/>
      <c r="G599" s="14"/>
      <c r="H599" s="14"/>
      <c r="I599" s="14"/>
      <c r="J599" s="14"/>
      <c r="K599" s="1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14"/>
      <c r="AB599" s="20"/>
      <c r="AC599" s="20"/>
      <c r="AD599" s="20"/>
      <c r="AE599" s="20"/>
    </row>
    <row r="600">
      <c r="A600" s="3"/>
      <c r="B600" s="10"/>
      <c r="C600" s="10"/>
      <c r="D600" s="14"/>
      <c r="E600" s="14"/>
      <c r="F600" s="14"/>
      <c r="G600" s="14"/>
      <c r="H600" s="14"/>
      <c r="I600" s="14"/>
      <c r="J600" s="14"/>
      <c r="K600" s="1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14"/>
      <c r="AB600" s="20"/>
      <c r="AC600" s="20"/>
      <c r="AD600" s="20"/>
      <c r="AE600" s="20"/>
    </row>
    <row r="601">
      <c r="A601" s="3"/>
      <c r="B601" s="10"/>
      <c r="C601" s="10"/>
      <c r="D601" s="14"/>
      <c r="E601" s="14"/>
      <c r="F601" s="14"/>
      <c r="G601" s="14"/>
      <c r="H601" s="14"/>
      <c r="I601" s="14"/>
      <c r="J601" s="14"/>
      <c r="K601" s="1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14"/>
      <c r="AB601" s="20"/>
      <c r="AC601" s="20"/>
      <c r="AD601" s="20"/>
      <c r="AE601" s="20"/>
    </row>
    <row r="602">
      <c r="A602" s="3"/>
      <c r="B602" s="10"/>
      <c r="C602" s="10"/>
      <c r="D602" s="14"/>
      <c r="E602" s="14"/>
      <c r="F602" s="14"/>
      <c r="G602" s="14"/>
      <c r="H602" s="14"/>
      <c r="I602" s="14"/>
      <c r="J602" s="14"/>
      <c r="K602" s="1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14"/>
      <c r="AB602" s="20"/>
      <c r="AC602" s="20"/>
      <c r="AD602" s="20"/>
      <c r="AE602" s="20"/>
    </row>
    <row r="603">
      <c r="A603" s="3"/>
      <c r="B603" s="10"/>
      <c r="C603" s="10"/>
      <c r="D603" s="14"/>
      <c r="E603" s="14"/>
      <c r="F603" s="14"/>
      <c r="G603" s="14"/>
      <c r="H603" s="14"/>
      <c r="I603" s="14"/>
      <c r="J603" s="14"/>
      <c r="K603" s="1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14"/>
      <c r="AB603" s="20"/>
      <c r="AC603" s="20"/>
      <c r="AD603" s="20"/>
      <c r="AE603" s="20"/>
    </row>
    <row r="604">
      <c r="A604" s="3"/>
      <c r="B604" s="10"/>
      <c r="C604" s="10"/>
      <c r="D604" s="14"/>
      <c r="E604" s="14"/>
      <c r="F604" s="14"/>
      <c r="G604" s="14"/>
      <c r="H604" s="14"/>
      <c r="I604" s="14"/>
      <c r="J604" s="14"/>
      <c r="K604" s="1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14"/>
      <c r="AB604" s="20"/>
      <c r="AC604" s="20"/>
      <c r="AD604" s="20"/>
      <c r="AE604" s="20"/>
    </row>
    <row r="605">
      <c r="A605" s="3"/>
      <c r="B605" s="10"/>
      <c r="C605" s="10"/>
      <c r="D605" s="14"/>
      <c r="E605" s="14"/>
      <c r="F605" s="14"/>
      <c r="G605" s="14"/>
      <c r="H605" s="14"/>
      <c r="I605" s="14"/>
      <c r="J605" s="14"/>
      <c r="K605" s="1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14"/>
      <c r="AB605" s="20"/>
      <c r="AC605" s="20"/>
      <c r="AD605" s="20"/>
      <c r="AE605" s="20"/>
    </row>
    <row r="606">
      <c r="A606" s="3"/>
      <c r="B606" s="10"/>
      <c r="C606" s="10"/>
      <c r="D606" s="14"/>
      <c r="E606" s="14"/>
      <c r="F606" s="14"/>
      <c r="G606" s="14"/>
      <c r="H606" s="14"/>
      <c r="I606" s="14"/>
      <c r="J606" s="14"/>
      <c r="K606" s="1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14"/>
      <c r="AB606" s="20"/>
      <c r="AC606" s="20"/>
      <c r="AD606" s="20"/>
      <c r="AE606" s="20"/>
    </row>
    <row r="607">
      <c r="A607" s="3"/>
      <c r="B607" s="10"/>
      <c r="C607" s="10"/>
      <c r="D607" s="14"/>
      <c r="E607" s="14"/>
      <c r="F607" s="14"/>
      <c r="G607" s="14"/>
      <c r="H607" s="14"/>
      <c r="I607" s="14"/>
      <c r="J607" s="14"/>
      <c r="K607" s="1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14"/>
      <c r="AB607" s="20"/>
      <c r="AC607" s="20"/>
      <c r="AD607" s="20"/>
      <c r="AE607" s="20"/>
    </row>
    <row r="608">
      <c r="A608" s="3"/>
      <c r="B608" s="10"/>
      <c r="C608" s="10"/>
      <c r="D608" s="14"/>
      <c r="E608" s="14"/>
      <c r="F608" s="14"/>
      <c r="G608" s="14"/>
      <c r="H608" s="14"/>
      <c r="I608" s="14"/>
      <c r="J608" s="14"/>
      <c r="K608" s="1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14"/>
      <c r="AB608" s="20"/>
      <c r="AC608" s="20"/>
      <c r="AD608" s="20"/>
      <c r="AE608" s="20"/>
    </row>
    <row r="609">
      <c r="A609" s="3"/>
      <c r="B609" s="10"/>
      <c r="C609" s="10"/>
      <c r="D609" s="14"/>
      <c r="E609" s="14"/>
      <c r="F609" s="14"/>
      <c r="G609" s="14"/>
      <c r="H609" s="14"/>
      <c r="I609" s="14"/>
      <c r="J609" s="14"/>
      <c r="K609" s="1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14"/>
      <c r="AB609" s="20"/>
      <c r="AC609" s="20"/>
      <c r="AD609" s="20"/>
      <c r="AE609" s="20"/>
    </row>
    <row r="610">
      <c r="A610" s="3"/>
      <c r="B610" s="10"/>
      <c r="C610" s="10"/>
      <c r="D610" s="14"/>
      <c r="E610" s="14"/>
      <c r="F610" s="14"/>
      <c r="G610" s="14"/>
      <c r="H610" s="14"/>
      <c r="I610" s="14"/>
      <c r="J610" s="14"/>
      <c r="K610" s="1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14"/>
      <c r="AB610" s="20"/>
      <c r="AC610" s="20"/>
      <c r="AD610" s="20"/>
      <c r="AE610" s="20"/>
    </row>
    <row r="611">
      <c r="A611" s="3"/>
      <c r="B611" s="10"/>
      <c r="C611" s="10"/>
      <c r="D611" s="14"/>
      <c r="E611" s="14"/>
      <c r="F611" s="14"/>
      <c r="G611" s="14"/>
      <c r="H611" s="14"/>
      <c r="I611" s="14"/>
      <c r="J611" s="14"/>
      <c r="K611" s="1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14"/>
      <c r="AB611" s="20"/>
      <c r="AC611" s="20"/>
      <c r="AD611" s="20"/>
      <c r="AE611" s="20"/>
    </row>
    <row r="612">
      <c r="A612" s="3"/>
      <c r="B612" s="10"/>
      <c r="C612" s="10"/>
      <c r="D612" s="14"/>
      <c r="E612" s="14"/>
      <c r="F612" s="14"/>
      <c r="G612" s="14"/>
      <c r="H612" s="14"/>
      <c r="I612" s="14"/>
      <c r="J612" s="14"/>
      <c r="K612" s="1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14"/>
      <c r="AB612" s="20"/>
      <c r="AC612" s="20"/>
      <c r="AD612" s="20"/>
      <c r="AE612" s="20"/>
    </row>
    <row r="613">
      <c r="A613" s="3"/>
      <c r="B613" s="10"/>
      <c r="C613" s="10"/>
      <c r="D613" s="14"/>
      <c r="E613" s="14"/>
      <c r="F613" s="14"/>
      <c r="G613" s="14"/>
      <c r="H613" s="14"/>
      <c r="I613" s="14"/>
      <c r="J613" s="14"/>
      <c r="K613" s="1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14"/>
      <c r="AB613" s="20"/>
      <c r="AC613" s="20"/>
      <c r="AD613" s="20"/>
      <c r="AE613" s="20"/>
    </row>
    <row r="614">
      <c r="A614" s="3"/>
      <c r="B614" s="10"/>
      <c r="C614" s="10"/>
      <c r="D614" s="14"/>
      <c r="E614" s="14"/>
      <c r="F614" s="14"/>
      <c r="G614" s="14"/>
      <c r="H614" s="14"/>
      <c r="I614" s="14"/>
      <c r="J614" s="14"/>
      <c r="K614" s="1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14"/>
      <c r="AB614" s="20"/>
      <c r="AC614" s="20"/>
      <c r="AD614" s="20"/>
      <c r="AE614" s="20"/>
    </row>
    <row r="615">
      <c r="A615" s="3"/>
      <c r="B615" s="10"/>
      <c r="C615" s="10"/>
      <c r="D615" s="14"/>
      <c r="E615" s="14"/>
      <c r="F615" s="14"/>
      <c r="G615" s="14"/>
      <c r="H615" s="14"/>
      <c r="I615" s="14"/>
      <c r="J615" s="14"/>
      <c r="K615" s="1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14"/>
      <c r="AB615" s="20"/>
      <c r="AC615" s="20"/>
      <c r="AD615" s="20"/>
      <c r="AE615" s="20"/>
    </row>
    <row r="616">
      <c r="A616" s="3"/>
      <c r="B616" s="10"/>
      <c r="C616" s="10"/>
      <c r="D616" s="14"/>
      <c r="E616" s="14"/>
      <c r="F616" s="14"/>
      <c r="G616" s="14"/>
      <c r="H616" s="14"/>
      <c r="I616" s="14"/>
      <c r="J616" s="14"/>
      <c r="K616" s="1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14"/>
      <c r="AB616" s="20"/>
      <c r="AC616" s="20"/>
      <c r="AD616" s="20"/>
      <c r="AE616" s="20"/>
    </row>
    <row r="617">
      <c r="A617" s="3"/>
      <c r="B617" s="10"/>
      <c r="C617" s="10"/>
      <c r="D617" s="14"/>
      <c r="E617" s="14"/>
      <c r="F617" s="14"/>
      <c r="G617" s="14"/>
      <c r="H617" s="14"/>
      <c r="I617" s="14"/>
      <c r="J617" s="14"/>
      <c r="K617" s="1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14"/>
      <c r="AB617" s="20"/>
      <c r="AC617" s="20"/>
      <c r="AD617" s="20"/>
      <c r="AE617" s="20"/>
    </row>
    <row r="618">
      <c r="A618" s="3"/>
      <c r="B618" s="10"/>
      <c r="C618" s="10"/>
      <c r="D618" s="14"/>
      <c r="E618" s="14"/>
      <c r="F618" s="14"/>
      <c r="G618" s="14"/>
      <c r="H618" s="14"/>
      <c r="I618" s="14"/>
      <c r="J618" s="14"/>
      <c r="K618" s="1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14"/>
      <c r="AB618" s="20"/>
      <c r="AC618" s="20"/>
      <c r="AD618" s="20"/>
      <c r="AE618" s="20"/>
    </row>
    <row r="619">
      <c r="A619" s="3"/>
      <c r="B619" s="10"/>
      <c r="C619" s="10"/>
      <c r="D619" s="14"/>
      <c r="E619" s="14"/>
      <c r="F619" s="14"/>
      <c r="G619" s="14"/>
      <c r="H619" s="14"/>
      <c r="I619" s="14"/>
      <c r="J619" s="14"/>
      <c r="K619" s="1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14"/>
      <c r="AB619" s="20"/>
      <c r="AC619" s="20"/>
      <c r="AD619" s="20"/>
      <c r="AE619" s="20"/>
    </row>
    <row r="620">
      <c r="A620" s="3"/>
      <c r="B620" s="10"/>
      <c r="C620" s="10"/>
      <c r="D620" s="14"/>
      <c r="E620" s="14"/>
      <c r="F620" s="14"/>
      <c r="G620" s="14"/>
      <c r="H620" s="14"/>
      <c r="I620" s="14"/>
      <c r="J620" s="14"/>
      <c r="K620" s="1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14"/>
      <c r="AB620" s="20"/>
      <c r="AC620" s="20"/>
      <c r="AD620" s="20"/>
      <c r="AE620" s="20"/>
    </row>
    <row r="621">
      <c r="A621" s="3"/>
      <c r="B621" s="10"/>
      <c r="C621" s="10"/>
      <c r="D621" s="14"/>
      <c r="E621" s="14"/>
      <c r="F621" s="14"/>
      <c r="G621" s="14"/>
      <c r="H621" s="14"/>
      <c r="I621" s="14"/>
      <c r="J621" s="14"/>
      <c r="K621" s="1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14"/>
      <c r="AB621" s="20"/>
      <c r="AC621" s="20"/>
      <c r="AD621" s="20"/>
      <c r="AE621" s="20"/>
    </row>
    <row r="622">
      <c r="A622" s="3"/>
      <c r="B622" s="10"/>
      <c r="C622" s="10"/>
      <c r="D622" s="14"/>
      <c r="E622" s="14"/>
      <c r="F622" s="14"/>
      <c r="G622" s="14"/>
      <c r="H622" s="14"/>
      <c r="I622" s="14"/>
      <c r="J622" s="14"/>
      <c r="K622" s="1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14"/>
      <c r="AB622" s="20"/>
      <c r="AC622" s="20"/>
      <c r="AD622" s="20"/>
      <c r="AE622" s="20"/>
    </row>
    <row r="623">
      <c r="A623" s="3"/>
      <c r="B623" s="10"/>
      <c r="C623" s="10"/>
      <c r="D623" s="14"/>
      <c r="E623" s="14"/>
      <c r="F623" s="14"/>
      <c r="G623" s="14"/>
      <c r="H623" s="14"/>
      <c r="I623" s="14"/>
      <c r="J623" s="14"/>
      <c r="K623" s="1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14"/>
      <c r="AB623" s="20"/>
      <c r="AC623" s="20"/>
      <c r="AD623" s="20"/>
      <c r="AE623" s="20"/>
    </row>
    <row r="624">
      <c r="A624" s="3"/>
      <c r="B624" s="10"/>
      <c r="C624" s="10"/>
      <c r="D624" s="14"/>
      <c r="E624" s="14"/>
      <c r="F624" s="14"/>
      <c r="G624" s="14"/>
      <c r="H624" s="14"/>
      <c r="I624" s="14"/>
      <c r="J624" s="14"/>
      <c r="K624" s="1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14"/>
      <c r="AB624" s="20"/>
      <c r="AC624" s="20"/>
      <c r="AD624" s="20"/>
      <c r="AE624" s="20"/>
    </row>
    <row r="625">
      <c r="A625" s="3"/>
      <c r="B625" s="10"/>
      <c r="C625" s="10"/>
      <c r="D625" s="14"/>
      <c r="E625" s="14"/>
      <c r="F625" s="14"/>
      <c r="G625" s="14"/>
      <c r="H625" s="14"/>
      <c r="I625" s="14"/>
      <c r="J625" s="14"/>
      <c r="K625" s="1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14"/>
      <c r="AB625" s="20"/>
      <c r="AC625" s="20"/>
      <c r="AD625" s="20"/>
      <c r="AE625" s="20"/>
    </row>
    <row r="626">
      <c r="A626" s="3"/>
      <c r="B626" s="10"/>
      <c r="C626" s="10"/>
      <c r="D626" s="14"/>
      <c r="E626" s="14"/>
      <c r="F626" s="14"/>
      <c r="G626" s="14"/>
      <c r="H626" s="14"/>
      <c r="I626" s="14"/>
      <c r="J626" s="14"/>
      <c r="K626" s="1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14"/>
      <c r="AB626" s="20"/>
      <c r="AC626" s="20"/>
      <c r="AD626" s="20"/>
      <c r="AE626" s="20"/>
    </row>
    <row r="627">
      <c r="A627" s="3"/>
      <c r="B627" s="10"/>
      <c r="C627" s="10"/>
      <c r="D627" s="14"/>
      <c r="E627" s="14"/>
      <c r="F627" s="14"/>
      <c r="G627" s="14"/>
      <c r="H627" s="14"/>
      <c r="I627" s="14"/>
      <c r="J627" s="14"/>
      <c r="K627" s="1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14"/>
      <c r="AB627" s="20"/>
      <c r="AC627" s="20"/>
      <c r="AD627" s="20"/>
      <c r="AE627" s="20"/>
    </row>
    <row r="628">
      <c r="A628" s="3"/>
      <c r="B628" s="10"/>
      <c r="C628" s="10"/>
      <c r="D628" s="14"/>
      <c r="E628" s="14"/>
      <c r="F628" s="14"/>
      <c r="G628" s="14"/>
      <c r="H628" s="14"/>
      <c r="I628" s="14"/>
      <c r="J628" s="14"/>
      <c r="K628" s="1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14"/>
      <c r="AB628" s="20"/>
      <c r="AC628" s="20"/>
      <c r="AD628" s="20"/>
      <c r="AE628" s="20"/>
    </row>
    <row r="629">
      <c r="A629" s="3"/>
      <c r="B629" s="10"/>
      <c r="C629" s="10"/>
      <c r="D629" s="14"/>
      <c r="E629" s="14"/>
      <c r="F629" s="14"/>
      <c r="G629" s="14"/>
      <c r="H629" s="14"/>
      <c r="I629" s="14"/>
      <c r="J629" s="14"/>
      <c r="K629" s="1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14"/>
      <c r="AB629" s="20"/>
      <c r="AC629" s="20"/>
      <c r="AD629" s="20"/>
      <c r="AE629" s="20"/>
    </row>
    <row r="630">
      <c r="A630" s="3"/>
      <c r="B630" s="10"/>
      <c r="C630" s="10"/>
      <c r="D630" s="14"/>
      <c r="E630" s="14"/>
      <c r="F630" s="14"/>
      <c r="G630" s="14"/>
      <c r="H630" s="14"/>
      <c r="I630" s="14"/>
      <c r="J630" s="14"/>
      <c r="K630" s="1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14"/>
      <c r="AB630" s="20"/>
      <c r="AC630" s="20"/>
      <c r="AD630" s="20"/>
      <c r="AE630" s="20"/>
    </row>
    <row r="631">
      <c r="A631" s="3"/>
      <c r="B631" s="10"/>
      <c r="C631" s="10"/>
      <c r="D631" s="14"/>
      <c r="E631" s="14"/>
      <c r="F631" s="14"/>
      <c r="G631" s="14"/>
      <c r="H631" s="14"/>
      <c r="I631" s="14"/>
      <c r="J631" s="14"/>
      <c r="K631" s="1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14"/>
      <c r="AB631" s="20"/>
      <c r="AC631" s="20"/>
      <c r="AD631" s="20"/>
      <c r="AE631" s="20"/>
    </row>
    <row r="632">
      <c r="A632" s="3"/>
      <c r="B632" s="10"/>
      <c r="C632" s="10"/>
      <c r="D632" s="14"/>
      <c r="E632" s="14"/>
      <c r="F632" s="14"/>
      <c r="G632" s="14"/>
      <c r="H632" s="14"/>
      <c r="I632" s="14"/>
      <c r="J632" s="14"/>
      <c r="K632" s="1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14"/>
      <c r="AB632" s="20"/>
      <c r="AC632" s="20"/>
      <c r="AD632" s="20"/>
      <c r="AE632" s="20"/>
    </row>
    <row r="633">
      <c r="A633" s="3"/>
      <c r="B633" s="10"/>
      <c r="C633" s="10"/>
      <c r="D633" s="14"/>
      <c r="E633" s="14"/>
      <c r="F633" s="14"/>
      <c r="G633" s="14"/>
      <c r="H633" s="14"/>
      <c r="I633" s="14"/>
      <c r="J633" s="14"/>
      <c r="K633" s="1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14"/>
      <c r="AB633" s="20"/>
      <c r="AC633" s="20"/>
      <c r="AD633" s="20"/>
      <c r="AE633" s="20"/>
    </row>
    <row r="634">
      <c r="A634" s="3"/>
      <c r="B634" s="10"/>
      <c r="C634" s="10"/>
      <c r="D634" s="14"/>
      <c r="E634" s="14"/>
      <c r="F634" s="14"/>
      <c r="G634" s="14"/>
      <c r="H634" s="14"/>
      <c r="I634" s="14"/>
      <c r="J634" s="14"/>
      <c r="K634" s="1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14"/>
      <c r="AB634" s="20"/>
      <c r="AC634" s="20"/>
      <c r="AD634" s="20"/>
      <c r="AE634" s="20"/>
    </row>
    <row r="635">
      <c r="A635" s="3"/>
      <c r="B635" s="10"/>
      <c r="C635" s="10"/>
      <c r="D635" s="14"/>
      <c r="E635" s="14"/>
      <c r="F635" s="14"/>
      <c r="G635" s="14"/>
      <c r="H635" s="14"/>
      <c r="I635" s="14"/>
      <c r="J635" s="14"/>
      <c r="K635" s="1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14"/>
      <c r="AB635" s="20"/>
      <c r="AC635" s="20"/>
      <c r="AD635" s="20"/>
      <c r="AE635" s="20"/>
    </row>
    <row r="636">
      <c r="A636" s="3"/>
      <c r="B636" s="10"/>
      <c r="C636" s="10"/>
      <c r="D636" s="14"/>
      <c r="E636" s="14"/>
      <c r="F636" s="14"/>
      <c r="G636" s="14"/>
      <c r="H636" s="14"/>
      <c r="I636" s="14"/>
      <c r="J636" s="14"/>
      <c r="K636" s="1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14"/>
      <c r="AB636" s="20"/>
      <c r="AC636" s="20"/>
      <c r="AD636" s="20"/>
      <c r="AE636" s="20"/>
    </row>
    <row r="637">
      <c r="A637" s="3"/>
      <c r="B637" s="10"/>
      <c r="C637" s="10"/>
      <c r="D637" s="14"/>
      <c r="E637" s="14"/>
      <c r="F637" s="14"/>
      <c r="G637" s="14"/>
      <c r="H637" s="14"/>
      <c r="I637" s="14"/>
      <c r="J637" s="14"/>
      <c r="K637" s="1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14"/>
      <c r="AB637" s="20"/>
      <c r="AC637" s="20"/>
      <c r="AD637" s="20"/>
      <c r="AE637" s="20"/>
    </row>
    <row r="638">
      <c r="A638" s="3"/>
      <c r="B638" s="10"/>
      <c r="C638" s="10"/>
      <c r="D638" s="14"/>
      <c r="E638" s="14"/>
      <c r="F638" s="14"/>
      <c r="G638" s="14"/>
      <c r="H638" s="14"/>
      <c r="I638" s="14"/>
      <c r="J638" s="14"/>
      <c r="K638" s="1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14"/>
      <c r="AB638" s="20"/>
      <c r="AC638" s="20"/>
      <c r="AD638" s="20"/>
      <c r="AE638" s="20"/>
    </row>
    <row r="639">
      <c r="A639" s="3"/>
      <c r="B639" s="10"/>
      <c r="C639" s="10"/>
      <c r="D639" s="14"/>
      <c r="E639" s="14"/>
      <c r="F639" s="14"/>
      <c r="G639" s="14"/>
      <c r="H639" s="14"/>
      <c r="I639" s="14"/>
      <c r="J639" s="14"/>
      <c r="K639" s="1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14"/>
      <c r="AB639" s="20"/>
      <c r="AC639" s="20"/>
      <c r="AD639" s="20"/>
      <c r="AE639" s="20"/>
    </row>
    <row r="640">
      <c r="A640" s="3"/>
      <c r="B640" s="10"/>
      <c r="C640" s="10"/>
      <c r="D640" s="14"/>
      <c r="E640" s="14"/>
      <c r="F640" s="14"/>
      <c r="G640" s="14"/>
      <c r="H640" s="14"/>
      <c r="I640" s="14"/>
      <c r="J640" s="14"/>
      <c r="K640" s="1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14"/>
      <c r="AB640" s="20"/>
      <c r="AC640" s="20"/>
      <c r="AD640" s="20"/>
      <c r="AE640" s="20"/>
    </row>
    <row r="641">
      <c r="A641" s="3"/>
      <c r="B641" s="10"/>
      <c r="C641" s="10"/>
      <c r="D641" s="14"/>
      <c r="E641" s="14"/>
      <c r="F641" s="14"/>
      <c r="G641" s="14"/>
      <c r="H641" s="14"/>
      <c r="I641" s="14"/>
      <c r="J641" s="14"/>
      <c r="K641" s="1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14"/>
      <c r="AB641" s="20"/>
      <c r="AC641" s="20"/>
      <c r="AD641" s="20"/>
      <c r="AE641" s="20"/>
    </row>
    <row r="642">
      <c r="A642" s="3"/>
      <c r="B642" s="10"/>
      <c r="C642" s="10"/>
      <c r="D642" s="14"/>
      <c r="E642" s="14"/>
      <c r="F642" s="14"/>
      <c r="G642" s="14"/>
      <c r="H642" s="14"/>
      <c r="I642" s="14"/>
      <c r="J642" s="14"/>
      <c r="K642" s="1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14"/>
      <c r="AB642" s="20"/>
      <c r="AC642" s="20"/>
      <c r="AD642" s="20"/>
      <c r="AE642" s="20"/>
    </row>
    <row r="643">
      <c r="A643" s="3"/>
      <c r="B643" s="10"/>
      <c r="C643" s="10"/>
      <c r="D643" s="14"/>
      <c r="E643" s="14"/>
      <c r="F643" s="14"/>
      <c r="G643" s="14"/>
      <c r="H643" s="14"/>
      <c r="I643" s="14"/>
      <c r="J643" s="14"/>
      <c r="K643" s="1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14"/>
      <c r="AB643" s="20"/>
      <c r="AC643" s="20"/>
      <c r="AD643" s="20"/>
      <c r="AE643" s="20"/>
    </row>
    <row r="644">
      <c r="A644" s="3"/>
      <c r="B644" s="10"/>
      <c r="C644" s="10"/>
      <c r="D644" s="14"/>
      <c r="E644" s="14"/>
      <c r="F644" s="14"/>
      <c r="G644" s="14"/>
      <c r="H644" s="14"/>
      <c r="I644" s="14"/>
      <c r="J644" s="14"/>
      <c r="K644" s="1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14"/>
      <c r="AB644" s="20"/>
      <c r="AC644" s="20"/>
      <c r="AD644" s="20"/>
      <c r="AE644" s="20"/>
    </row>
    <row r="645">
      <c r="A645" s="3"/>
      <c r="B645" s="10"/>
      <c r="C645" s="10"/>
      <c r="D645" s="14"/>
      <c r="E645" s="14"/>
      <c r="F645" s="14"/>
      <c r="G645" s="14"/>
      <c r="H645" s="14"/>
      <c r="I645" s="14"/>
      <c r="J645" s="14"/>
      <c r="K645" s="1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14"/>
      <c r="AB645" s="20"/>
      <c r="AC645" s="20"/>
      <c r="AD645" s="20"/>
      <c r="AE645" s="20"/>
    </row>
    <row r="646">
      <c r="A646" s="3"/>
      <c r="B646" s="10"/>
      <c r="C646" s="10"/>
      <c r="D646" s="14"/>
      <c r="E646" s="14"/>
      <c r="F646" s="14"/>
      <c r="G646" s="14"/>
      <c r="H646" s="14"/>
      <c r="I646" s="14"/>
      <c r="J646" s="14"/>
      <c r="K646" s="1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14"/>
      <c r="AB646" s="20"/>
      <c r="AC646" s="20"/>
      <c r="AD646" s="20"/>
      <c r="AE646" s="20"/>
    </row>
    <row r="647">
      <c r="A647" s="3"/>
      <c r="B647" s="10"/>
      <c r="C647" s="10"/>
      <c r="D647" s="14"/>
      <c r="E647" s="14"/>
      <c r="F647" s="14"/>
      <c r="G647" s="14"/>
      <c r="H647" s="14"/>
      <c r="I647" s="14"/>
      <c r="J647" s="14"/>
      <c r="K647" s="1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14"/>
      <c r="AB647" s="20"/>
      <c r="AC647" s="20"/>
      <c r="AD647" s="20"/>
      <c r="AE647" s="20"/>
    </row>
    <row r="648">
      <c r="A648" s="3"/>
      <c r="B648" s="10"/>
      <c r="C648" s="10"/>
      <c r="D648" s="14"/>
      <c r="E648" s="14"/>
      <c r="F648" s="14"/>
      <c r="G648" s="14"/>
      <c r="H648" s="14"/>
      <c r="I648" s="14"/>
      <c r="J648" s="14"/>
      <c r="K648" s="1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14"/>
      <c r="AB648" s="20"/>
      <c r="AC648" s="20"/>
      <c r="AD648" s="20"/>
      <c r="AE648" s="20"/>
    </row>
    <row r="649">
      <c r="A649" s="3"/>
      <c r="B649" s="10"/>
      <c r="C649" s="10"/>
      <c r="D649" s="14"/>
      <c r="E649" s="14"/>
      <c r="F649" s="14"/>
      <c r="G649" s="14"/>
      <c r="H649" s="14"/>
      <c r="I649" s="14"/>
      <c r="J649" s="14"/>
      <c r="K649" s="1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14"/>
      <c r="AB649" s="20"/>
      <c r="AC649" s="20"/>
      <c r="AD649" s="20"/>
      <c r="AE649" s="20"/>
    </row>
    <row r="650">
      <c r="A650" s="3"/>
      <c r="B650" s="10"/>
      <c r="C650" s="10"/>
      <c r="D650" s="14"/>
      <c r="E650" s="14"/>
      <c r="F650" s="14"/>
      <c r="G650" s="14"/>
      <c r="H650" s="14"/>
      <c r="I650" s="14"/>
      <c r="J650" s="14"/>
      <c r="K650" s="1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14"/>
      <c r="AB650" s="20"/>
      <c r="AC650" s="20"/>
      <c r="AD650" s="20"/>
      <c r="AE650" s="20"/>
    </row>
    <row r="651">
      <c r="A651" s="3"/>
      <c r="B651" s="10"/>
      <c r="C651" s="10"/>
      <c r="D651" s="14"/>
      <c r="E651" s="14"/>
      <c r="F651" s="14"/>
      <c r="G651" s="14"/>
      <c r="H651" s="14"/>
      <c r="I651" s="14"/>
      <c r="J651" s="14"/>
      <c r="K651" s="1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14"/>
      <c r="AB651" s="20"/>
      <c r="AC651" s="20"/>
      <c r="AD651" s="20"/>
      <c r="AE651" s="20"/>
    </row>
    <row r="652">
      <c r="A652" s="3"/>
      <c r="B652" s="10"/>
      <c r="C652" s="10"/>
      <c r="D652" s="14"/>
      <c r="E652" s="14"/>
      <c r="F652" s="14"/>
      <c r="G652" s="14"/>
      <c r="H652" s="14"/>
      <c r="I652" s="14"/>
      <c r="J652" s="14"/>
      <c r="K652" s="1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14"/>
      <c r="AB652" s="20"/>
      <c r="AC652" s="20"/>
      <c r="AD652" s="20"/>
      <c r="AE652" s="20"/>
    </row>
    <row r="653">
      <c r="A653" s="3"/>
      <c r="B653" s="10"/>
      <c r="C653" s="10"/>
      <c r="D653" s="14"/>
      <c r="E653" s="14"/>
      <c r="F653" s="14"/>
      <c r="G653" s="14"/>
      <c r="H653" s="14"/>
      <c r="I653" s="14"/>
      <c r="J653" s="14"/>
      <c r="K653" s="1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14"/>
      <c r="AB653" s="20"/>
      <c r="AC653" s="20"/>
      <c r="AD653" s="20"/>
      <c r="AE653" s="20"/>
    </row>
    <row r="654">
      <c r="A654" s="3"/>
      <c r="B654" s="10"/>
      <c r="C654" s="10"/>
      <c r="D654" s="14"/>
      <c r="E654" s="14"/>
      <c r="F654" s="14"/>
      <c r="G654" s="14"/>
      <c r="H654" s="14"/>
      <c r="I654" s="14"/>
      <c r="J654" s="14"/>
      <c r="K654" s="1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14"/>
      <c r="AB654" s="20"/>
      <c r="AC654" s="20"/>
      <c r="AD654" s="20"/>
      <c r="AE654" s="20"/>
    </row>
    <row r="655">
      <c r="A655" s="3"/>
      <c r="B655" s="10"/>
      <c r="C655" s="10"/>
      <c r="D655" s="14"/>
      <c r="E655" s="14"/>
      <c r="F655" s="14"/>
      <c r="G655" s="14"/>
      <c r="H655" s="14"/>
      <c r="I655" s="14"/>
      <c r="J655" s="14"/>
      <c r="K655" s="1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14"/>
      <c r="AB655" s="20"/>
      <c r="AC655" s="20"/>
      <c r="AD655" s="20"/>
      <c r="AE655" s="20"/>
    </row>
    <row r="656">
      <c r="A656" s="3"/>
      <c r="B656" s="10"/>
      <c r="C656" s="10"/>
      <c r="D656" s="14"/>
      <c r="E656" s="14"/>
      <c r="F656" s="14"/>
      <c r="G656" s="14"/>
      <c r="H656" s="14"/>
      <c r="I656" s="14"/>
      <c r="J656" s="14"/>
      <c r="K656" s="1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14"/>
      <c r="AB656" s="20"/>
      <c r="AC656" s="20"/>
      <c r="AD656" s="20"/>
      <c r="AE656" s="20"/>
    </row>
    <row r="657">
      <c r="A657" s="3"/>
      <c r="B657" s="10"/>
      <c r="C657" s="10"/>
      <c r="D657" s="14"/>
      <c r="E657" s="14"/>
      <c r="F657" s="14"/>
      <c r="G657" s="14"/>
      <c r="H657" s="14"/>
      <c r="I657" s="14"/>
      <c r="J657" s="14"/>
      <c r="K657" s="1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14"/>
      <c r="AB657" s="20"/>
      <c r="AC657" s="20"/>
      <c r="AD657" s="20"/>
      <c r="AE657" s="20"/>
    </row>
    <row r="658">
      <c r="A658" s="3"/>
      <c r="B658" s="10"/>
      <c r="C658" s="10"/>
      <c r="D658" s="14"/>
      <c r="E658" s="14"/>
      <c r="F658" s="14"/>
      <c r="G658" s="14"/>
      <c r="H658" s="14"/>
      <c r="I658" s="14"/>
      <c r="J658" s="14"/>
      <c r="K658" s="1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14"/>
      <c r="AB658" s="20"/>
      <c r="AC658" s="20"/>
      <c r="AD658" s="20"/>
      <c r="AE658" s="20"/>
    </row>
    <row r="659">
      <c r="A659" s="3"/>
      <c r="B659" s="10"/>
      <c r="C659" s="10"/>
      <c r="D659" s="14"/>
      <c r="E659" s="14"/>
      <c r="F659" s="14"/>
      <c r="G659" s="14"/>
      <c r="H659" s="14"/>
      <c r="I659" s="14"/>
      <c r="J659" s="14"/>
      <c r="K659" s="1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14"/>
      <c r="AB659" s="20"/>
      <c r="AC659" s="20"/>
      <c r="AD659" s="20"/>
      <c r="AE659" s="20"/>
    </row>
    <row r="660">
      <c r="A660" s="3"/>
      <c r="B660" s="10"/>
      <c r="C660" s="10"/>
      <c r="D660" s="14"/>
      <c r="E660" s="14"/>
      <c r="F660" s="14"/>
      <c r="G660" s="14"/>
      <c r="H660" s="14"/>
      <c r="I660" s="14"/>
      <c r="J660" s="14"/>
      <c r="K660" s="1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14"/>
      <c r="AB660" s="20"/>
      <c r="AC660" s="20"/>
      <c r="AD660" s="20"/>
      <c r="AE660" s="20"/>
    </row>
    <row r="661">
      <c r="A661" s="3"/>
      <c r="B661" s="10"/>
      <c r="C661" s="10"/>
      <c r="D661" s="14"/>
      <c r="E661" s="14"/>
      <c r="F661" s="14"/>
      <c r="G661" s="14"/>
      <c r="H661" s="14"/>
      <c r="I661" s="14"/>
      <c r="J661" s="14"/>
      <c r="K661" s="1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14"/>
      <c r="AB661" s="20"/>
      <c r="AC661" s="20"/>
      <c r="AD661" s="20"/>
      <c r="AE661" s="20"/>
    </row>
    <row r="662">
      <c r="A662" s="3"/>
      <c r="B662" s="10"/>
      <c r="C662" s="10"/>
      <c r="D662" s="14"/>
      <c r="E662" s="14"/>
      <c r="F662" s="14"/>
      <c r="G662" s="14"/>
      <c r="H662" s="14"/>
      <c r="I662" s="14"/>
      <c r="J662" s="14"/>
      <c r="K662" s="1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14"/>
      <c r="AB662" s="20"/>
      <c r="AC662" s="20"/>
      <c r="AD662" s="20"/>
      <c r="AE662" s="20"/>
    </row>
    <row r="663">
      <c r="A663" s="3"/>
      <c r="B663" s="10"/>
      <c r="C663" s="10"/>
      <c r="D663" s="14"/>
      <c r="E663" s="14"/>
      <c r="F663" s="14"/>
      <c r="G663" s="14"/>
      <c r="H663" s="14"/>
      <c r="I663" s="14"/>
      <c r="J663" s="14"/>
      <c r="K663" s="1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14"/>
      <c r="AB663" s="20"/>
      <c r="AC663" s="20"/>
      <c r="AD663" s="20"/>
      <c r="AE663" s="20"/>
    </row>
    <row r="664">
      <c r="A664" s="3"/>
      <c r="B664" s="10"/>
      <c r="C664" s="10"/>
      <c r="D664" s="14"/>
      <c r="E664" s="14"/>
      <c r="F664" s="14"/>
      <c r="G664" s="14"/>
      <c r="H664" s="14"/>
      <c r="I664" s="14"/>
      <c r="J664" s="14"/>
      <c r="K664" s="1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14"/>
      <c r="AB664" s="20"/>
      <c r="AC664" s="20"/>
      <c r="AD664" s="20"/>
      <c r="AE664" s="20"/>
    </row>
    <row r="665">
      <c r="A665" s="3"/>
      <c r="B665" s="10"/>
      <c r="C665" s="10"/>
      <c r="D665" s="14"/>
      <c r="E665" s="14"/>
      <c r="F665" s="14"/>
      <c r="G665" s="14"/>
      <c r="H665" s="14"/>
      <c r="I665" s="14"/>
      <c r="J665" s="14"/>
      <c r="K665" s="1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14"/>
      <c r="AB665" s="20"/>
      <c r="AC665" s="20"/>
      <c r="AD665" s="20"/>
      <c r="AE665" s="20"/>
    </row>
    <row r="666">
      <c r="A666" s="3"/>
      <c r="B666" s="10"/>
      <c r="C666" s="10"/>
      <c r="D666" s="14"/>
      <c r="E666" s="14"/>
      <c r="F666" s="14"/>
      <c r="G666" s="14"/>
      <c r="H666" s="14"/>
      <c r="I666" s="14"/>
      <c r="J666" s="14"/>
      <c r="K666" s="1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14"/>
      <c r="AB666" s="20"/>
      <c r="AC666" s="20"/>
      <c r="AD666" s="20"/>
      <c r="AE666" s="20"/>
    </row>
    <row r="667">
      <c r="A667" s="3"/>
      <c r="B667" s="10"/>
      <c r="C667" s="10"/>
      <c r="D667" s="14"/>
      <c r="E667" s="14"/>
      <c r="F667" s="14"/>
      <c r="G667" s="14"/>
      <c r="H667" s="14"/>
      <c r="I667" s="14"/>
      <c r="J667" s="14"/>
      <c r="K667" s="1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14"/>
      <c r="AB667" s="20"/>
      <c r="AC667" s="20"/>
      <c r="AD667" s="20"/>
      <c r="AE667" s="20"/>
    </row>
    <row r="668">
      <c r="A668" s="3"/>
      <c r="B668" s="10"/>
      <c r="C668" s="10"/>
      <c r="D668" s="14"/>
      <c r="E668" s="14"/>
      <c r="F668" s="14"/>
      <c r="G668" s="14"/>
      <c r="H668" s="14"/>
      <c r="I668" s="14"/>
      <c r="J668" s="14"/>
      <c r="K668" s="1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14"/>
      <c r="AB668" s="20"/>
      <c r="AC668" s="20"/>
      <c r="AD668" s="20"/>
      <c r="AE668" s="20"/>
    </row>
    <row r="669">
      <c r="A669" s="3"/>
      <c r="B669" s="10"/>
      <c r="C669" s="10"/>
      <c r="D669" s="14"/>
      <c r="E669" s="14"/>
      <c r="F669" s="14"/>
      <c r="G669" s="14"/>
      <c r="H669" s="14"/>
      <c r="I669" s="14"/>
      <c r="J669" s="14"/>
      <c r="K669" s="1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14"/>
      <c r="AB669" s="20"/>
      <c r="AC669" s="20"/>
      <c r="AD669" s="20"/>
      <c r="AE669" s="20"/>
    </row>
    <row r="670">
      <c r="A670" s="3"/>
      <c r="B670" s="10"/>
      <c r="C670" s="10"/>
      <c r="D670" s="14"/>
      <c r="E670" s="14"/>
      <c r="F670" s="14"/>
      <c r="G670" s="14"/>
      <c r="H670" s="14"/>
      <c r="I670" s="14"/>
      <c r="J670" s="14"/>
      <c r="K670" s="1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14"/>
      <c r="AB670" s="20"/>
      <c r="AC670" s="20"/>
      <c r="AD670" s="20"/>
      <c r="AE670" s="20"/>
    </row>
    <row r="671">
      <c r="A671" s="3"/>
      <c r="B671" s="10"/>
      <c r="C671" s="10"/>
      <c r="D671" s="14"/>
      <c r="E671" s="14"/>
      <c r="F671" s="14"/>
      <c r="G671" s="14"/>
      <c r="H671" s="14"/>
      <c r="I671" s="14"/>
      <c r="J671" s="14"/>
      <c r="K671" s="1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14"/>
      <c r="AB671" s="20"/>
      <c r="AC671" s="20"/>
      <c r="AD671" s="20"/>
      <c r="AE671" s="20"/>
    </row>
    <row r="672">
      <c r="A672" s="3"/>
      <c r="B672" s="10"/>
      <c r="C672" s="10"/>
      <c r="D672" s="14"/>
      <c r="E672" s="14"/>
      <c r="F672" s="14"/>
      <c r="G672" s="14"/>
      <c r="H672" s="14"/>
      <c r="I672" s="14"/>
      <c r="J672" s="14"/>
      <c r="K672" s="1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14"/>
      <c r="AB672" s="20"/>
      <c r="AC672" s="20"/>
      <c r="AD672" s="20"/>
      <c r="AE672" s="20"/>
    </row>
    <row r="673">
      <c r="A673" s="3"/>
      <c r="B673" s="10"/>
      <c r="C673" s="10"/>
      <c r="D673" s="14"/>
      <c r="E673" s="14"/>
      <c r="F673" s="14"/>
      <c r="G673" s="14"/>
      <c r="H673" s="14"/>
      <c r="I673" s="14"/>
      <c r="J673" s="14"/>
      <c r="K673" s="1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14"/>
      <c r="AB673" s="20"/>
      <c r="AC673" s="20"/>
      <c r="AD673" s="20"/>
      <c r="AE673" s="20"/>
    </row>
    <row r="674">
      <c r="A674" s="3"/>
      <c r="B674" s="10"/>
      <c r="C674" s="10"/>
      <c r="D674" s="14"/>
      <c r="E674" s="14"/>
      <c r="F674" s="14"/>
      <c r="G674" s="14"/>
      <c r="H674" s="14"/>
      <c r="I674" s="14"/>
      <c r="J674" s="14"/>
      <c r="K674" s="1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14"/>
      <c r="AB674" s="20"/>
      <c r="AC674" s="20"/>
      <c r="AD674" s="20"/>
      <c r="AE674" s="20"/>
    </row>
    <row r="675">
      <c r="A675" s="3"/>
      <c r="B675" s="10"/>
      <c r="C675" s="10"/>
      <c r="D675" s="14"/>
      <c r="E675" s="14"/>
      <c r="F675" s="14"/>
      <c r="G675" s="14"/>
      <c r="H675" s="14"/>
      <c r="I675" s="14"/>
      <c r="J675" s="14"/>
      <c r="K675" s="1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14"/>
      <c r="AB675" s="20"/>
      <c r="AC675" s="20"/>
      <c r="AD675" s="20"/>
      <c r="AE675" s="20"/>
    </row>
    <row r="676">
      <c r="A676" s="3"/>
      <c r="B676" s="10"/>
      <c r="C676" s="10"/>
      <c r="D676" s="14"/>
      <c r="E676" s="14"/>
      <c r="F676" s="14"/>
      <c r="G676" s="14"/>
      <c r="H676" s="14"/>
      <c r="I676" s="14"/>
      <c r="J676" s="14"/>
      <c r="K676" s="1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14"/>
      <c r="AB676" s="20"/>
      <c r="AC676" s="20"/>
      <c r="AD676" s="20"/>
      <c r="AE676" s="20"/>
    </row>
    <row r="677">
      <c r="A677" s="3"/>
      <c r="B677" s="10"/>
      <c r="C677" s="10"/>
      <c r="D677" s="14"/>
      <c r="E677" s="14"/>
      <c r="F677" s="14"/>
      <c r="G677" s="14"/>
      <c r="H677" s="14"/>
      <c r="I677" s="14"/>
      <c r="J677" s="14"/>
      <c r="K677" s="1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14"/>
      <c r="AB677" s="20"/>
      <c r="AC677" s="20"/>
      <c r="AD677" s="20"/>
      <c r="AE677" s="20"/>
    </row>
    <row r="678">
      <c r="A678" s="3"/>
      <c r="B678" s="10"/>
      <c r="C678" s="10"/>
      <c r="D678" s="14"/>
      <c r="E678" s="14"/>
      <c r="F678" s="14"/>
      <c r="G678" s="14"/>
      <c r="H678" s="14"/>
      <c r="I678" s="14"/>
      <c r="J678" s="14"/>
      <c r="K678" s="1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14"/>
      <c r="AB678" s="20"/>
      <c r="AC678" s="20"/>
      <c r="AD678" s="20"/>
      <c r="AE678" s="20"/>
    </row>
    <row r="679">
      <c r="A679" s="3"/>
      <c r="B679" s="10"/>
      <c r="C679" s="10"/>
      <c r="D679" s="14"/>
      <c r="E679" s="14"/>
      <c r="F679" s="14"/>
      <c r="G679" s="14"/>
      <c r="H679" s="14"/>
      <c r="I679" s="14"/>
      <c r="J679" s="14"/>
      <c r="K679" s="1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14"/>
      <c r="AB679" s="20"/>
      <c r="AC679" s="20"/>
      <c r="AD679" s="20"/>
      <c r="AE679" s="20"/>
    </row>
    <row r="680">
      <c r="A680" s="3"/>
      <c r="B680" s="10"/>
      <c r="C680" s="10"/>
      <c r="D680" s="14"/>
      <c r="E680" s="14"/>
      <c r="F680" s="14"/>
      <c r="G680" s="14"/>
      <c r="H680" s="14"/>
      <c r="I680" s="14"/>
      <c r="J680" s="14"/>
      <c r="K680" s="1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14"/>
      <c r="AB680" s="20"/>
      <c r="AC680" s="20"/>
      <c r="AD680" s="20"/>
      <c r="AE680" s="20"/>
    </row>
    <row r="681">
      <c r="A681" s="3"/>
      <c r="B681" s="10"/>
      <c r="C681" s="10"/>
      <c r="D681" s="14"/>
      <c r="E681" s="14"/>
      <c r="F681" s="14"/>
      <c r="G681" s="14"/>
      <c r="H681" s="14"/>
      <c r="I681" s="14"/>
      <c r="J681" s="14"/>
      <c r="K681" s="1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14"/>
      <c r="AB681" s="20"/>
      <c r="AC681" s="20"/>
      <c r="AD681" s="20"/>
      <c r="AE681" s="20"/>
    </row>
    <row r="682">
      <c r="A682" s="3"/>
      <c r="B682" s="10"/>
      <c r="C682" s="10"/>
      <c r="D682" s="14"/>
      <c r="E682" s="14"/>
      <c r="F682" s="14"/>
      <c r="G682" s="14"/>
      <c r="H682" s="14"/>
      <c r="I682" s="14"/>
      <c r="J682" s="14"/>
      <c r="K682" s="1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14"/>
      <c r="AB682" s="20"/>
      <c r="AC682" s="20"/>
      <c r="AD682" s="20"/>
      <c r="AE682" s="20"/>
    </row>
    <row r="683">
      <c r="A683" s="3"/>
      <c r="B683" s="10"/>
      <c r="C683" s="10"/>
      <c r="D683" s="14"/>
      <c r="E683" s="14"/>
      <c r="F683" s="14"/>
      <c r="G683" s="14"/>
      <c r="H683" s="14"/>
      <c r="I683" s="14"/>
      <c r="J683" s="14"/>
      <c r="K683" s="1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14"/>
      <c r="AB683" s="20"/>
      <c r="AC683" s="20"/>
      <c r="AD683" s="20"/>
      <c r="AE683" s="20"/>
    </row>
    <row r="684">
      <c r="A684" s="3"/>
      <c r="B684" s="10"/>
      <c r="C684" s="10"/>
      <c r="D684" s="14"/>
      <c r="E684" s="14"/>
      <c r="F684" s="14"/>
      <c r="G684" s="14"/>
      <c r="H684" s="14"/>
      <c r="I684" s="14"/>
      <c r="J684" s="14"/>
      <c r="K684" s="1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14"/>
      <c r="AB684" s="20"/>
      <c r="AC684" s="20"/>
      <c r="AD684" s="20"/>
      <c r="AE684" s="20"/>
    </row>
    <row r="685">
      <c r="A685" s="3"/>
      <c r="B685" s="10"/>
      <c r="C685" s="10"/>
      <c r="D685" s="14"/>
      <c r="E685" s="14"/>
      <c r="F685" s="14"/>
      <c r="G685" s="14"/>
      <c r="H685" s="14"/>
      <c r="I685" s="14"/>
      <c r="J685" s="14"/>
      <c r="K685" s="1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14"/>
      <c r="AB685" s="20"/>
      <c r="AC685" s="20"/>
      <c r="AD685" s="20"/>
      <c r="AE685" s="20"/>
    </row>
    <row r="686">
      <c r="A686" s="3"/>
      <c r="B686" s="10"/>
      <c r="C686" s="10"/>
      <c r="D686" s="14"/>
      <c r="E686" s="14"/>
      <c r="F686" s="14"/>
      <c r="G686" s="14"/>
      <c r="H686" s="14"/>
      <c r="I686" s="14"/>
      <c r="J686" s="14"/>
      <c r="K686" s="1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14"/>
      <c r="AB686" s="20"/>
      <c r="AC686" s="20"/>
      <c r="AD686" s="20"/>
      <c r="AE686" s="20"/>
    </row>
    <row r="687">
      <c r="A687" s="3"/>
      <c r="B687" s="10"/>
      <c r="C687" s="10"/>
      <c r="D687" s="14"/>
      <c r="E687" s="14"/>
      <c r="F687" s="14"/>
      <c r="G687" s="14"/>
      <c r="H687" s="14"/>
      <c r="I687" s="14"/>
      <c r="J687" s="14"/>
      <c r="K687" s="1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14"/>
      <c r="AB687" s="20"/>
      <c r="AC687" s="20"/>
      <c r="AD687" s="20"/>
      <c r="AE687" s="20"/>
    </row>
    <row r="688">
      <c r="A688" s="3"/>
      <c r="B688" s="10"/>
      <c r="C688" s="10"/>
      <c r="D688" s="14"/>
      <c r="E688" s="14"/>
      <c r="F688" s="14"/>
      <c r="G688" s="14"/>
      <c r="H688" s="14"/>
      <c r="I688" s="14"/>
      <c r="J688" s="14"/>
      <c r="K688" s="1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14"/>
      <c r="AB688" s="20"/>
      <c r="AC688" s="20"/>
      <c r="AD688" s="20"/>
      <c r="AE688" s="20"/>
    </row>
    <row r="689">
      <c r="A689" s="3"/>
      <c r="B689" s="10"/>
      <c r="C689" s="10"/>
      <c r="D689" s="14"/>
      <c r="E689" s="14"/>
      <c r="F689" s="14"/>
      <c r="G689" s="14"/>
      <c r="H689" s="14"/>
      <c r="I689" s="14"/>
      <c r="J689" s="14"/>
      <c r="K689" s="1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14"/>
      <c r="AB689" s="20"/>
      <c r="AC689" s="20"/>
      <c r="AD689" s="20"/>
      <c r="AE689" s="20"/>
    </row>
    <row r="690">
      <c r="A690" s="3"/>
      <c r="B690" s="10"/>
      <c r="C690" s="10"/>
      <c r="D690" s="14"/>
      <c r="E690" s="14"/>
      <c r="F690" s="14"/>
      <c r="G690" s="14"/>
      <c r="H690" s="14"/>
      <c r="I690" s="14"/>
      <c r="J690" s="14"/>
      <c r="K690" s="1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14"/>
      <c r="AB690" s="20"/>
      <c r="AC690" s="20"/>
      <c r="AD690" s="20"/>
      <c r="AE690" s="20"/>
    </row>
    <row r="691">
      <c r="A691" s="3"/>
      <c r="B691" s="10"/>
      <c r="C691" s="10"/>
      <c r="D691" s="14"/>
      <c r="E691" s="14"/>
      <c r="F691" s="14"/>
      <c r="G691" s="14"/>
      <c r="H691" s="14"/>
      <c r="I691" s="14"/>
      <c r="J691" s="14"/>
      <c r="K691" s="1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14"/>
      <c r="AB691" s="20"/>
      <c r="AC691" s="20"/>
      <c r="AD691" s="20"/>
      <c r="AE691" s="20"/>
    </row>
    <row r="692">
      <c r="A692" s="3"/>
      <c r="B692" s="10"/>
      <c r="C692" s="10"/>
      <c r="D692" s="14"/>
      <c r="E692" s="14"/>
      <c r="F692" s="14"/>
      <c r="G692" s="14"/>
      <c r="H692" s="14"/>
      <c r="I692" s="14"/>
      <c r="J692" s="14"/>
      <c r="K692" s="1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14"/>
      <c r="AB692" s="20"/>
      <c r="AC692" s="20"/>
      <c r="AD692" s="20"/>
      <c r="AE692" s="20"/>
    </row>
    <row r="693">
      <c r="A693" s="3"/>
      <c r="B693" s="10"/>
      <c r="C693" s="10"/>
      <c r="D693" s="14"/>
      <c r="E693" s="14"/>
      <c r="F693" s="14"/>
      <c r="G693" s="14"/>
      <c r="H693" s="14"/>
      <c r="I693" s="14"/>
      <c r="J693" s="14"/>
      <c r="K693" s="1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14"/>
      <c r="AB693" s="20"/>
      <c r="AC693" s="20"/>
      <c r="AD693" s="20"/>
      <c r="AE693" s="20"/>
    </row>
    <row r="694">
      <c r="A694" s="3"/>
      <c r="B694" s="10"/>
      <c r="C694" s="10"/>
      <c r="D694" s="14"/>
      <c r="E694" s="14"/>
      <c r="F694" s="14"/>
      <c r="G694" s="14"/>
      <c r="H694" s="14"/>
      <c r="I694" s="14"/>
      <c r="J694" s="14"/>
      <c r="K694" s="1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14"/>
      <c r="AB694" s="20"/>
      <c r="AC694" s="20"/>
      <c r="AD694" s="20"/>
      <c r="AE694" s="20"/>
    </row>
    <row r="695">
      <c r="A695" s="3"/>
      <c r="B695" s="10"/>
      <c r="C695" s="10"/>
      <c r="D695" s="14"/>
      <c r="E695" s="14"/>
      <c r="F695" s="14"/>
      <c r="G695" s="14"/>
      <c r="H695" s="14"/>
      <c r="I695" s="14"/>
      <c r="J695" s="14"/>
      <c r="K695" s="1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14"/>
      <c r="AB695" s="20"/>
      <c r="AC695" s="20"/>
      <c r="AD695" s="20"/>
      <c r="AE695" s="20"/>
    </row>
    <row r="696">
      <c r="A696" s="3"/>
      <c r="B696" s="10"/>
      <c r="C696" s="10"/>
      <c r="D696" s="14"/>
      <c r="E696" s="14"/>
      <c r="F696" s="14"/>
      <c r="G696" s="14"/>
      <c r="H696" s="14"/>
      <c r="I696" s="14"/>
      <c r="J696" s="14"/>
      <c r="K696" s="1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14"/>
      <c r="AB696" s="20"/>
      <c r="AC696" s="20"/>
      <c r="AD696" s="20"/>
      <c r="AE696" s="20"/>
    </row>
    <row r="697">
      <c r="A697" s="3"/>
      <c r="B697" s="10"/>
      <c r="C697" s="10"/>
      <c r="D697" s="14"/>
      <c r="E697" s="14"/>
      <c r="F697" s="14"/>
      <c r="G697" s="14"/>
      <c r="H697" s="14"/>
      <c r="I697" s="14"/>
      <c r="J697" s="14"/>
      <c r="K697" s="1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14"/>
      <c r="AB697" s="20"/>
      <c r="AC697" s="20"/>
      <c r="AD697" s="20"/>
      <c r="AE697" s="20"/>
    </row>
    <row r="698">
      <c r="A698" s="3"/>
      <c r="B698" s="10"/>
      <c r="C698" s="10"/>
      <c r="D698" s="14"/>
      <c r="E698" s="14"/>
      <c r="F698" s="14"/>
      <c r="G698" s="14"/>
      <c r="H698" s="14"/>
      <c r="I698" s="14"/>
      <c r="J698" s="14"/>
      <c r="K698" s="1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14"/>
      <c r="AB698" s="20"/>
      <c r="AC698" s="20"/>
      <c r="AD698" s="20"/>
      <c r="AE698" s="20"/>
    </row>
    <row r="699">
      <c r="A699" s="3"/>
      <c r="B699" s="10"/>
      <c r="C699" s="10"/>
      <c r="D699" s="14"/>
      <c r="E699" s="14"/>
      <c r="F699" s="14"/>
      <c r="G699" s="14"/>
      <c r="H699" s="14"/>
      <c r="I699" s="14"/>
      <c r="J699" s="14"/>
      <c r="K699" s="1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14"/>
      <c r="AB699" s="20"/>
      <c r="AC699" s="20"/>
      <c r="AD699" s="20"/>
      <c r="AE699" s="20"/>
    </row>
    <row r="700">
      <c r="A700" s="3"/>
      <c r="B700" s="10"/>
      <c r="C700" s="10"/>
      <c r="D700" s="14"/>
      <c r="E700" s="14"/>
      <c r="F700" s="14"/>
      <c r="G700" s="14"/>
      <c r="H700" s="14"/>
      <c r="I700" s="14"/>
      <c r="J700" s="14"/>
      <c r="K700" s="1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14"/>
      <c r="AB700" s="20"/>
      <c r="AC700" s="20"/>
      <c r="AD700" s="20"/>
      <c r="AE700" s="20"/>
    </row>
    <row r="701">
      <c r="A701" s="3"/>
      <c r="B701" s="10"/>
      <c r="C701" s="10"/>
      <c r="D701" s="14"/>
      <c r="E701" s="14"/>
      <c r="F701" s="14"/>
      <c r="G701" s="14"/>
      <c r="H701" s="14"/>
      <c r="I701" s="14"/>
      <c r="J701" s="14"/>
      <c r="K701" s="1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14"/>
      <c r="AB701" s="20"/>
      <c r="AC701" s="20"/>
      <c r="AD701" s="20"/>
      <c r="AE701" s="20"/>
    </row>
    <row r="702">
      <c r="A702" s="3"/>
      <c r="B702" s="10"/>
      <c r="C702" s="10"/>
      <c r="D702" s="14"/>
      <c r="E702" s="14"/>
      <c r="F702" s="14"/>
      <c r="G702" s="14"/>
      <c r="H702" s="14"/>
      <c r="I702" s="14"/>
      <c r="J702" s="14"/>
      <c r="K702" s="1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14"/>
      <c r="AB702" s="20"/>
      <c r="AC702" s="20"/>
      <c r="AD702" s="20"/>
      <c r="AE702" s="20"/>
    </row>
    <row r="703">
      <c r="A703" s="3"/>
      <c r="B703" s="10"/>
      <c r="C703" s="10"/>
      <c r="D703" s="14"/>
      <c r="E703" s="14"/>
      <c r="F703" s="14"/>
      <c r="G703" s="14"/>
      <c r="H703" s="14"/>
      <c r="I703" s="14"/>
      <c r="J703" s="14"/>
      <c r="K703" s="1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14"/>
      <c r="AB703" s="20"/>
      <c r="AC703" s="20"/>
      <c r="AD703" s="20"/>
      <c r="AE703" s="20"/>
    </row>
    <row r="704">
      <c r="A704" s="3"/>
      <c r="B704" s="10"/>
      <c r="C704" s="10"/>
      <c r="D704" s="14"/>
      <c r="E704" s="14"/>
      <c r="F704" s="14"/>
      <c r="G704" s="14"/>
      <c r="H704" s="14"/>
      <c r="I704" s="14"/>
      <c r="J704" s="14"/>
      <c r="K704" s="1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14"/>
      <c r="AB704" s="20"/>
      <c r="AC704" s="20"/>
      <c r="AD704" s="20"/>
      <c r="AE704" s="20"/>
    </row>
    <row r="705">
      <c r="A705" s="3"/>
      <c r="B705" s="10"/>
      <c r="C705" s="10"/>
      <c r="D705" s="14"/>
      <c r="E705" s="14"/>
      <c r="F705" s="14"/>
      <c r="G705" s="14"/>
      <c r="H705" s="14"/>
      <c r="I705" s="14"/>
      <c r="J705" s="14"/>
      <c r="K705" s="1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14"/>
      <c r="AB705" s="20"/>
      <c r="AC705" s="20"/>
      <c r="AD705" s="20"/>
      <c r="AE705" s="20"/>
    </row>
    <row r="706">
      <c r="A706" s="3"/>
      <c r="B706" s="10"/>
      <c r="C706" s="10"/>
      <c r="D706" s="14"/>
      <c r="E706" s="14"/>
      <c r="F706" s="14"/>
      <c r="G706" s="14"/>
      <c r="H706" s="14"/>
      <c r="I706" s="14"/>
      <c r="J706" s="14"/>
      <c r="K706" s="1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14"/>
      <c r="AB706" s="20"/>
      <c r="AC706" s="20"/>
      <c r="AD706" s="20"/>
      <c r="AE706" s="20"/>
    </row>
    <row r="707">
      <c r="A707" s="3"/>
      <c r="B707" s="10"/>
      <c r="C707" s="10"/>
      <c r="D707" s="14"/>
      <c r="E707" s="14"/>
      <c r="F707" s="14"/>
      <c r="G707" s="14"/>
      <c r="H707" s="14"/>
      <c r="I707" s="14"/>
      <c r="J707" s="14"/>
      <c r="K707" s="1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14"/>
      <c r="AB707" s="20"/>
      <c r="AC707" s="20"/>
      <c r="AD707" s="20"/>
      <c r="AE707" s="20"/>
    </row>
    <row r="708">
      <c r="A708" s="3"/>
      <c r="B708" s="10"/>
      <c r="C708" s="10"/>
      <c r="D708" s="14"/>
      <c r="E708" s="14"/>
      <c r="F708" s="14"/>
      <c r="G708" s="14"/>
      <c r="H708" s="14"/>
      <c r="I708" s="14"/>
      <c r="J708" s="14"/>
      <c r="K708" s="1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14"/>
      <c r="AB708" s="20"/>
      <c r="AC708" s="20"/>
      <c r="AD708" s="20"/>
      <c r="AE708" s="20"/>
    </row>
    <row r="709">
      <c r="A709" s="3"/>
      <c r="B709" s="10"/>
      <c r="C709" s="10"/>
      <c r="D709" s="14"/>
      <c r="E709" s="14"/>
      <c r="F709" s="14"/>
      <c r="G709" s="14"/>
      <c r="H709" s="14"/>
      <c r="I709" s="14"/>
      <c r="J709" s="14"/>
      <c r="K709" s="1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14"/>
      <c r="AB709" s="20"/>
      <c r="AC709" s="20"/>
      <c r="AD709" s="20"/>
      <c r="AE709" s="20"/>
    </row>
    <row r="710">
      <c r="A710" s="3"/>
      <c r="B710" s="10"/>
      <c r="C710" s="10"/>
      <c r="D710" s="14"/>
      <c r="E710" s="14"/>
      <c r="F710" s="14"/>
      <c r="G710" s="14"/>
      <c r="H710" s="14"/>
      <c r="I710" s="14"/>
      <c r="J710" s="14"/>
      <c r="K710" s="1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14"/>
      <c r="AB710" s="20"/>
      <c r="AC710" s="20"/>
      <c r="AD710" s="20"/>
      <c r="AE710" s="20"/>
    </row>
    <row r="711">
      <c r="A711" s="3"/>
      <c r="B711" s="10"/>
      <c r="C711" s="10"/>
      <c r="D711" s="14"/>
      <c r="E711" s="14"/>
      <c r="F711" s="14"/>
      <c r="G711" s="14"/>
      <c r="H711" s="14"/>
      <c r="I711" s="14"/>
      <c r="J711" s="14"/>
      <c r="K711" s="1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14"/>
      <c r="AB711" s="20"/>
      <c r="AC711" s="20"/>
      <c r="AD711" s="20"/>
      <c r="AE711" s="20"/>
    </row>
    <row r="712">
      <c r="A712" s="3"/>
      <c r="B712" s="10"/>
      <c r="C712" s="10"/>
      <c r="D712" s="14"/>
      <c r="E712" s="14"/>
      <c r="F712" s="14"/>
      <c r="G712" s="14"/>
      <c r="H712" s="14"/>
      <c r="I712" s="14"/>
      <c r="J712" s="14"/>
      <c r="K712" s="1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14"/>
      <c r="AB712" s="20"/>
      <c r="AC712" s="20"/>
      <c r="AD712" s="20"/>
      <c r="AE712" s="20"/>
    </row>
    <row r="713">
      <c r="A713" s="3"/>
      <c r="B713" s="10"/>
      <c r="C713" s="10"/>
      <c r="D713" s="14"/>
      <c r="E713" s="14"/>
      <c r="F713" s="14"/>
      <c r="G713" s="14"/>
      <c r="H713" s="14"/>
      <c r="I713" s="14"/>
      <c r="J713" s="14"/>
      <c r="K713" s="1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14"/>
      <c r="AB713" s="20"/>
      <c r="AC713" s="20"/>
      <c r="AD713" s="20"/>
      <c r="AE713" s="20"/>
    </row>
    <row r="714">
      <c r="A714" s="3"/>
      <c r="B714" s="10"/>
      <c r="C714" s="10"/>
      <c r="D714" s="14"/>
      <c r="E714" s="14"/>
      <c r="F714" s="14"/>
      <c r="G714" s="14"/>
      <c r="H714" s="14"/>
      <c r="I714" s="14"/>
      <c r="J714" s="14"/>
      <c r="K714" s="1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14"/>
      <c r="AB714" s="20"/>
      <c r="AC714" s="20"/>
      <c r="AD714" s="20"/>
      <c r="AE714" s="20"/>
    </row>
    <row r="715">
      <c r="A715" s="3"/>
      <c r="B715" s="10"/>
      <c r="C715" s="10"/>
      <c r="D715" s="14"/>
      <c r="E715" s="14"/>
      <c r="F715" s="14"/>
      <c r="G715" s="14"/>
      <c r="H715" s="14"/>
      <c r="I715" s="14"/>
      <c r="J715" s="14"/>
      <c r="K715" s="1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14"/>
      <c r="AB715" s="20"/>
      <c r="AC715" s="20"/>
      <c r="AD715" s="20"/>
      <c r="AE715" s="20"/>
    </row>
    <row r="716">
      <c r="A716" s="3"/>
      <c r="B716" s="10"/>
      <c r="C716" s="10"/>
      <c r="D716" s="14"/>
      <c r="E716" s="14"/>
      <c r="F716" s="14"/>
      <c r="G716" s="14"/>
      <c r="H716" s="14"/>
      <c r="I716" s="14"/>
      <c r="J716" s="14"/>
      <c r="K716" s="1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14"/>
      <c r="AB716" s="20"/>
      <c r="AC716" s="20"/>
      <c r="AD716" s="20"/>
      <c r="AE716" s="20"/>
    </row>
    <row r="717">
      <c r="A717" s="3"/>
      <c r="B717" s="10"/>
      <c r="C717" s="10"/>
      <c r="D717" s="14"/>
      <c r="E717" s="14"/>
      <c r="F717" s="14"/>
      <c r="G717" s="14"/>
      <c r="H717" s="14"/>
      <c r="I717" s="14"/>
      <c r="J717" s="14"/>
      <c r="K717" s="1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14"/>
      <c r="AB717" s="20"/>
      <c r="AC717" s="20"/>
      <c r="AD717" s="20"/>
      <c r="AE717" s="20"/>
    </row>
    <row r="718">
      <c r="A718" s="3"/>
      <c r="B718" s="10"/>
      <c r="C718" s="10"/>
      <c r="D718" s="14"/>
      <c r="E718" s="14"/>
      <c r="F718" s="14"/>
      <c r="G718" s="14"/>
      <c r="H718" s="14"/>
      <c r="I718" s="14"/>
      <c r="J718" s="14"/>
      <c r="K718" s="1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14"/>
      <c r="AB718" s="20"/>
      <c r="AC718" s="20"/>
      <c r="AD718" s="20"/>
      <c r="AE718" s="20"/>
    </row>
    <row r="719">
      <c r="A719" s="3"/>
      <c r="B719" s="10"/>
      <c r="C719" s="10"/>
      <c r="D719" s="14"/>
      <c r="E719" s="14"/>
      <c r="F719" s="14"/>
      <c r="G719" s="14"/>
      <c r="H719" s="14"/>
      <c r="I719" s="14"/>
      <c r="J719" s="14"/>
      <c r="K719" s="1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14"/>
      <c r="AB719" s="20"/>
      <c r="AC719" s="20"/>
      <c r="AD719" s="20"/>
      <c r="AE719" s="20"/>
    </row>
    <row r="720">
      <c r="A720" s="3"/>
      <c r="B720" s="10"/>
      <c r="C720" s="10"/>
      <c r="D720" s="14"/>
      <c r="E720" s="14"/>
      <c r="F720" s="14"/>
      <c r="G720" s="14"/>
      <c r="H720" s="14"/>
      <c r="I720" s="14"/>
      <c r="J720" s="14"/>
      <c r="K720" s="1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14"/>
      <c r="AB720" s="20"/>
      <c r="AC720" s="20"/>
      <c r="AD720" s="20"/>
      <c r="AE720" s="20"/>
    </row>
    <row r="721">
      <c r="A721" s="3"/>
      <c r="B721" s="10"/>
      <c r="C721" s="10"/>
      <c r="D721" s="14"/>
      <c r="E721" s="14"/>
      <c r="F721" s="14"/>
      <c r="G721" s="14"/>
      <c r="H721" s="14"/>
      <c r="I721" s="14"/>
      <c r="J721" s="14"/>
      <c r="K721" s="1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14"/>
      <c r="AB721" s="20"/>
      <c r="AC721" s="20"/>
      <c r="AD721" s="20"/>
      <c r="AE721" s="20"/>
    </row>
    <row r="722">
      <c r="A722" s="3"/>
      <c r="B722" s="10"/>
      <c r="C722" s="10"/>
      <c r="D722" s="14"/>
      <c r="E722" s="14"/>
      <c r="F722" s="14"/>
      <c r="G722" s="14"/>
      <c r="H722" s="14"/>
      <c r="I722" s="14"/>
      <c r="J722" s="14"/>
      <c r="K722" s="1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14"/>
      <c r="AB722" s="20"/>
      <c r="AC722" s="20"/>
      <c r="AD722" s="20"/>
      <c r="AE722" s="20"/>
    </row>
    <row r="723">
      <c r="A723" s="3"/>
      <c r="B723" s="10"/>
      <c r="C723" s="10"/>
      <c r="D723" s="14"/>
      <c r="E723" s="14"/>
      <c r="F723" s="14"/>
      <c r="G723" s="14"/>
      <c r="H723" s="14"/>
      <c r="I723" s="14"/>
      <c r="J723" s="14"/>
      <c r="K723" s="1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14"/>
      <c r="AB723" s="20"/>
      <c r="AC723" s="20"/>
      <c r="AD723" s="20"/>
      <c r="AE723" s="20"/>
    </row>
    <row r="724">
      <c r="A724" s="3"/>
      <c r="B724" s="10"/>
      <c r="C724" s="10"/>
      <c r="D724" s="14"/>
      <c r="E724" s="14"/>
      <c r="F724" s="14"/>
      <c r="G724" s="14"/>
      <c r="H724" s="14"/>
      <c r="I724" s="14"/>
      <c r="J724" s="14"/>
      <c r="K724" s="1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14"/>
      <c r="AB724" s="20"/>
      <c r="AC724" s="20"/>
      <c r="AD724" s="20"/>
      <c r="AE724" s="20"/>
    </row>
    <row r="725">
      <c r="A725" s="3"/>
      <c r="B725" s="10"/>
      <c r="C725" s="10"/>
      <c r="D725" s="14"/>
      <c r="E725" s="14"/>
      <c r="F725" s="14"/>
      <c r="G725" s="14"/>
      <c r="H725" s="14"/>
      <c r="I725" s="14"/>
      <c r="J725" s="14"/>
      <c r="K725" s="1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14"/>
      <c r="AB725" s="20"/>
      <c r="AC725" s="20"/>
      <c r="AD725" s="20"/>
      <c r="AE725" s="20"/>
    </row>
    <row r="726">
      <c r="A726" s="3"/>
      <c r="B726" s="10"/>
      <c r="C726" s="10"/>
      <c r="D726" s="14"/>
      <c r="E726" s="14"/>
      <c r="F726" s="14"/>
      <c r="G726" s="14"/>
      <c r="H726" s="14"/>
      <c r="I726" s="14"/>
      <c r="J726" s="14"/>
      <c r="K726" s="1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14"/>
      <c r="AB726" s="20"/>
      <c r="AC726" s="20"/>
      <c r="AD726" s="20"/>
      <c r="AE726" s="20"/>
    </row>
    <row r="727">
      <c r="A727" s="3"/>
      <c r="B727" s="10"/>
      <c r="C727" s="10"/>
      <c r="D727" s="14"/>
      <c r="E727" s="14"/>
      <c r="F727" s="14"/>
      <c r="G727" s="14"/>
      <c r="H727" s="14"/>
      <c r="I727" s="14"/>
      <c r="J727" s="14"/>
      <c r="K727" s="1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14"/>
      <c r="AB727" s="20"/>
      <c r="AC727" s="20"/>
      <c r="AD727" s="20"/>
      <c r="AE727" s="20"/>
    </row>
    <row r="728">
      <c r="A728" s="3"/>
      <c r="B728" s="10"/>
      <c r="C728" s="10"/>
      <c r="D728" s="14"/>
      <c r="E728" s="14"/>
      <c r="F728" s="14"/>
      <c r="G728" s="14"/>
      <c r="H728" s="14"/>
      <c r="I728" s="14"/>
      <c r="J728" s="14"/>
      <c r="K728" s="1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14"/>
      <c r="AB728" s="20"/>
      <c r="AC728" s="20"/>
      <c r="AD728" s="20"/>
      <c r="AE728" s="20"/>
    </row>
    <row r="729">
      <c r="A729" s="3"/>
      <c r="B729" s="10"/>
      <c r="C729" s="10"/>
      <c r="D729" s="14"/>
      <c r="E729" s="14"/>
      <c r="F729" s="14"/>
      <c r="G729" s="14"/>
      <c r="H729" s="14"/>
      <c r="I729" s="14"/>
      <c r="J729" s="14"/>
      <c r="K729" s="1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14"/>
      <c r="AB729" s="20"/>
      <c r="AC729" s="20"/>
      <c r="AD729" s="20"/>
      <c r="AE729" s="20"/>
    </row>
    <row r="730">
      <c r="A730" s="3"/>
      <c r="B730" s="10"/>
      <c r="C730" s="10"/>
      <c r="D730" s="14"/>
      <c r="E730" s="14"/>
      <c r="F730" s="14"/>
      <c r="G730" s="14"/>
      <c r="H730" s="14"/>
      <c r="I730" s="14"/>
      <c r="J730" s="14"/>
      <c r="K730" s="1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14"/>
      <c r="AB730" s="20"/>
      <c r="AC730" s="20"/>
      <c r="AD730" s="20"/>
      <c r="AE730" s="20"/>
    </row>
    <row r="731">
      <c r="A731" s="3"/>
      <c r="B731" s="10"/>
      <c r="C731" s="10"/>
      <c r="D731" s="14"/>
      <c r="E731" s="14"/>
      <c r="F731" s="14"/>
      <c r="G731" s="14"/>
      <c r="H731" s="14"/>
      <c r="I731" s="14"/>
      <c r="J731" s="14"/>
      <c r="K731" s="1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14"/>
      <c r="AB731" s="20"/>
      <c r="AC731" s="20"/>
      <c r="AD731" s="20"/>
      <c r="AE731" s="20"/>
    </row>
    <row r="732">
      <c r="A732" s="3"/>
      <c r="B732" s="10"/>
      <c r="C732" s="10"/>
      <c r="D732" s="14"/>
      <c r="E732" s="14"/>
      <c r="F732" s="14"/>
      <c r="G732" s="14"/>
      <c r="H732" s="14"/>
      <c r="I732" s="14"/>
      <c r="J732" s="14"/>
      <c r="K732" s="1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14"/>
      <c r="AB732" s="20"/>
      <c r="AC732" s="20"/>
      <c r="AD732" s="20"/>
      <c r="AE732" s="20"/>
    </row>
    <row r="733">
      <c r="A733" s="3"/>
      <c r="B733" s="10"/>
      <c r="C733" s="10"/>
      <c r="D733" s="14"/>
      <c r="E733" s="14"/>
      <c r="F733" s="14"/>
      <c r="G733" s="14"/>
      <c r="H733" s="14"/>
      <c r="I733" s="14"/>
      <c r="J733" s="14"/>
      <c r="K733" s="1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14"/>
      <c r="AB733" s="20"/>
      <c r="AC733" s="20"/>
      <c r="AD733" s="20"/>
      <c r="AE733" s="20"/>
    </row>
    <row r="734">
      <c r="A734" s="3"/>
      <c r="B734" s="10"/>
      <c r="C734" s="10"/>
      <c r="D734" s="14"/>
      <c r="E734" s="14"/>
      <c r="F734" s="14"/>
      <c r="G734" s="14"/>
      <c r="H734" s="14"/>
      <c r="I734" s="14"/>
      <c r="J734" s="14"/>
      <c r="K734" s="1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14"/>
      <c r="AB734" s="20"/>
      <c r="AC734" s="20"/>
      <c r="AD734" s="20"/>
      <c r="AE734" s="20"/>
    </row>
    <row r="735">
      <c r="A735" s="3"/>
      <c r="B735" s="10"/>
      <c r="C735" s="10"/>
      <c r="D735" s="14"/>
      <c r="E735" s="14"/>
      <c r="F735" s="14"/>
      <c r="G735" s="14"/>
      <c r="H735" s="14"/>
      <c r="I735" s="14"/>
      <c r="J735" s="14"/>
      <c r="K735" s="1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14"/>
      <c r="AB735" s="20"/>
      <c r="AC735" s="20"/>
      <c r="AD735" s="20"/>
      <c r="AE735" s="20"/>
    </row>
    <row r="736">
      <c r="A736" s="3"/>
      <c r="B736" s="10"/>
      <c r="C736" s="10"/>
      <c r="D736" s="14"/>
      <c r="E736" s="14"/>
      <c r="F736" s="14"/>
      <c r="G736" s="14"/>
      <c r="H736" s="14"/>
      <c r="I736" s="14"/>
      <c r="J736" s="14"/>
      <c r="K736" s="1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14"/>
      <c r="AB736" s="20"/>
      <c r="AC736" s="20"/>
      <c r="AD736" s="20"/>
      <c r="AE736" s="20"/>
    </row>
    <row r="737">
      <c r="A737" s="3"/>
      <c r="B737" s="10"/>
      <c r="C737" s="10"/>
      <c r="D737" s="14"/>
      <c r="E737" s="14"/>
      <c r="F737" s="14"/>
      <c r="G737" s="14"/>
      <c r="H737" s="14"/>
      <c r="I737" s="14"/>
      <c r="J737" s="14"/>
      <c r="K737" s="1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14"/>
      <c r="AB737" s="20"/>
      <c r="AC737" s="20"/>
      <c r="AD737" s="20"/>
      <c r="AE737" s="20"/>
    </row>
    <row r="738">
      <c r="A738" s="3"/>
      <c r="B738" s="10"/>
      <c r="C738" s="10"/>
      <c r="D738" s="14"/>
      <c r="E738" s="14"/>
      <c r="F738" s="14"/>
      <c r="G738" s="14"/>
      <c r="H738" s="14"/>
      <c r="I738" s="14"/>
      <c r="J738" s="14"/>
      <c r="K738" s="1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14"/>
      <c r="AB738" s="20"/>
      <c r="AC738" s="20"/>
      <c r="AD738" s="20"/>
      <c r="AE738" s="20"/>
    </row>
    <row r="739">
      <c r="A739" s="3"/>
      <c r="B739" s="10"/>
      <c r="C739" s="10"/>
      <c r="D739" s="14"/>
      <c r="E739" s="14"/>
      <c r="F739" s="14"/>
      <c r="G739" s="14"/>
      <c r="H739" s="14"/>
      <c r="I739" s="14"/>
      <c r="J739" s="14"/>
      <c r="K739" s="1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14"/>
      <c r="AB739" s="20"/>
      <c r="AC739" s="20"/>
      <c r="AD739" s="20"/>
      <c r="AE739" s="20"/>
    </row>
    <row r="740">
      <c r="A740" s="3"/>
      <c r="B740" s="10"/>
      <c r="C740" s="10"/>
      <c r="D740" s="14"/>
      <c r="E740" s="14"/>
      <c r="F740" s="14"/>
      <c r="G740" s="14"/>
      <c r="H740" s="14"/>
      <c r="I740" s="14"/>
      <c r="J740" s="14"/>
      <c r="K740" s="1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14"/>
      <c r="AB740" s="20"/>
      <c r="AC740" s="20"/>
      <c r="AD740" s="20"/>
      <c r="AE740" s="20"/>
    </row>
    <row r="741">
      <c r="A741" s="3"/>
      <c r="B741" s="10"/>
      <c r="C741" s="10"/>
      <c r="D741" s="14"/>
      <c r="E741" s="14"/>
      <c r="F741" s="14"/>
      <c r="G741" s="14"/>
      <c r="H741" s="14"/>
      <c r="I741" s="14"/>
      <c r="J741" s="14"/>
      <c r="K741" s="1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14"/>
      <c r="AB741" s="20"/>
      <c r="AC741" s="20"/>
      <c r="AD741" s="20"/>
      <c r="AE741" s="20"/>
    </row>
    <row r="742">
      <c r="A742" s="3"/>
      <c r="B742" s="10"/>
      <c r="C742" s="10"/>
      <c r="D742" s="14"/>
      <c r="E742" s="14"/>
      <c r="F742" s="14"/>
      <c r="G742" s="14"/>
      <c r="H742" s="14"/>
      <c r="I742" s="14"/>
      <c r="J742" s="14"/>
      <c r="K742" s="1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14"/>
      <c r="AB742" s="20"/>
      <c r="AC742" s="20"/>
      <c r="AD742" s="20"/>
      <c r="AE742" s="20"/>
    </row>
    <row r="743">
      <c r="A743" s="3"/>
      <c r="B743" s="10"/>
      <c r="C743" s="10"/>
      <c r="D743" s="14"/>
      <c r="E743" s="14"/>
      <c r="F743" s="14"/>
      <c r="G743" s="14"/>
      <c r="H743" s="14"/>
      <c r="I743" s="14"/>
      <c r="J743" s="14"/>
      <c r="K743" s="1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14"/>
      <c r="AB743" s="20"/>
      <c r="AC743" s="20"/>
      <c r="AD743" s="20"/>
      <c r="AE743" s="20"/>
    </row>
    <row r="744">
      <c r="A744" s="3"/>
      <c r="B744" s="10"/>
      <c r="C744" s="10"/>
      <c r="D744" s="14"/>
      <c r="E744" s="14"/>
      <c r="F744" s="14"/>
      <c r="G744" s="14"/>
      <c r="H744" s="14"/>
      <c r="I744" s="14"/>
      <c r="J744" s="14"/>
      <c r="K744" s="1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14"/>
      <c r="AB744" s="20"/>
      <c r="AC744" s="20"/>
      <c r="AD744" s="20"/>
      <c r="AE744" s="20"/>
    </row>
    <row r="745">
      <c r="A745" s="3"/>
      <c r="B745" s="10"/>
      <c r="C745" s="10"/>
      <c r="D745" s="14"/>
      <c r="E745" s="14"/>
      <c r="F745" s="14"/>
      <c r="G745" s="14"/>
      <c r="H745" s="14"/>
      <c r="I745" s="14"/>
      <c r="J745" s="14"/>
      <c r="K745" s="1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14"/>
      <c r="AB745" s="20"/>
      <c r="AC745" s="20"/>
      <c r="AD745" s="20"/>
      <c r="AE745" s="20"/>
    </row>
    <row r="746">
      <c r="A746" s="3"/>
      <c r="B746" s="10"/>
      <c r="C746" s="10"/>
      <c r="D746" s="14"/>
      <c r="E746" s="14"/>
      <c r="F746" s="14"/>
      <c r="G746" s="14"/>
      <c r="H746" s="14"/>
      <c r="I746" s="14"/>
      <c r="J746" s="14"/>
      <c r="K746" s="1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14"/>
      <c r="AB746" s="20"/>
      <c r="AC746" s="20"/>
      <c r="AD746" s="20"/>
      <c r="AE746" s="20"/>
    </row>
    <row r="747">
      <c r="A747" s="3"/>
      <c r="B747" s="10"/>
      <c r="C747" s="10"/>
      <c r="D747" s="14"/>
      <c r="E747" s="14"/>
      <c r="F747" s="14"/>
      <c r="G747" s="14"/>
      <c r="H747" s="14"/>
      <c r="I747" s="14"/>
      <c r="J747" s="14"/>
      <c r="K747" s="1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14"/>
      <c r="AB747" s="20"/>
      <c r="AC747" s="20"/>
      <c r="AD747" s="20"/>
      <c r="AE747" s="20"/>
    </row>
    <row r="748">
      <c r="A748" s="3"/>
      <c r="B748" s="10"/>
      <c r="C748" s="10"/>
      <c r="D748" s="14"/>
      <c r="E748" s="14"/>
      <c r="F748" s="14"/>
      <c r="G748" s="14"/>
      <c r="H748" s="14"/>
      <c r="I748" s="14"/>
      <c r="J748" s="14"/>
      <c r="K748" s="1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14"/>
      <c r="AB748" s="20"/>
      <c r="AC748" s="20"/>
      <c r="AD748" s="20"/>
      <c r="AE748" s="20"/>
    </row>
    <row r="749">
      <c r="A749" s="3"/>
      <c r="B749" s="10"/>
      <c r="C749" s="10"/>
      <c r="D749" s="14"/>
      <c r="E749" s="14"/>
      <c r="F749" s="14"/>
      <c r="G749" s="14"/>
      <c r="H749" s="14"/>
      <c r="I749" s="14"/>
      <c r="J749" s="14"/>
      <c r="K749" s="1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14"/>
      <c r="AB749" s="20"/>
      <c r="AC749" s="20"/>
      <c r="AD749" s="20"/>
      <c r="AE749" s="20"/>
    </row>
    <row r="750">
      <c r="A750" s="3"/>
      <c r="B750" s="10"/>
      <c r="C750" s="10"/>
      <c r="D750" s="14"/>
      <c r="E750" s="14"/>
      <c r="F750" s="14"/>
      <c r="G750" s="14"/>
      <c r="H750" s="14"/>
      <c r="I750" s="14"/>
      <c r="J750" s="14"/>
      <c r="K750" s="1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14"/>
      <c r="AB750" s="20"/>
      <c r="AC750" s="20"/>
      <c r="AD750" s="20"/>
      <c r="AE750" s="20"/>
    </row>
    <row r="751">
      <c r="A751" s="3"/>
      <c r="B751" s="10"/>
      <c r="C751" s="10"/>
      <c r="D751" s="14"/>
      <c r="E751" s="14"/>
      <c r="F751" s="14"/>
      <c r="G751" s="14"/>
      <c r="H751" s="14"/>
      <c r="I751" s="14"/>
      <c r="J751" s="14"/>
      <c r="K751" s="1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14"/>
      <c r="AB751" s="20"/>
      <c r="AC751" s="20"/>
      <c r="AD751" s="20"/>
      <c r="AE751" s="20"/>
    </row>
    <row r="752">
      <c r="A752" s="3"/>
      <c r="B752" s="10"/>
      <c r="C752" s="10"/>
      <c r="D752" s="14"/>
      <c r="E752" s="14"/>
      <c r="F752" s="14"/>
      <c r="G752" s="14"/>
      <c r="H752" s="14"/>
      <c r="I752" s="14"/>
      <c r="J752" s="14"/>
      <c r="K752" s="1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14"/>
      <c r="AB752" s="20"/>
      <c r="AC752" s="20"/>
      <c r="AD752" s="20"/>
      <c r="AE752" s="20"/>
    </row>
    <row r="753">
      <c r="A753" s="3"/>
      <c r="B753" s="10"/>
      <c r="C753" s="10"/>
      <c r="D753" s="14"/>
      <c r="E753" s="14"/>
      <c r="F753" s="14"/>
      <c r="G753" s="14"/>
      <c r="H753" s="14"/>
      <c r="I753" s="14"/>
      <c r="J753" s="14"/>
      <c r="K753" s="1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14"/>
      <c r="AB753" s="20"/>
      <c r="AC753" s="20"/>
      <c r="AD753" s="20"/>
      <c r="AE753" s="20"/>
    </row>
    <row r="754">
      <c r="A754" s="3"/>
      <c r="B754" s="10"/>
      <c r="C754" s="10"/>
      <c r="D754" s="14"/>
      <c r="E754" s="14"/>
      <c r="F754" s="14"/>
      <c r="G754" s="14"/>
      <c r="H754" s="14"/>
      <c r="I754" s="14"/>
      <c r="J754" s="14"/>
      <c r="K754" s="1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14"/>
      <c r="AB754" s="20"/>
      <c r="AC754" s="20"/>
      <c r="AD754" s="20"/>
      <c r="AE754" s="20"/>
    </row>
    <row r="755">
      <c r="A755" s="3"/>
      <c r="B755" s="10"/>
      <c r="C755" s="10"/>
      <c r="D755" s="14"/>
      <c r="E755" s="14"/>
      <c r="F755" s="14"/>
      <c r="G755" s="14"/>
      <c r="H755" s="14"/>
      <c r="I755" s="14"/>
      <c r="J755" s="14"/>
      <c r="K755" s="1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14"/>
      <c r="AB755" s="20"/>
      <c r="AC755" s="20"/>
      <c r="AD755" s="20"/>
      <c r="AE755" s="20"/>
    </row>
    <row r="756">
      <c r="A756" s="3"/>
      <c r="B756" s="10"/>
      <c r="C756" s="10"/>
      <c r="D756" s="14"/>
      <c r="E756" s="14"/>
      <c r="F756" s="14"/>
      <c r="G756" s="14"/>
      <c r="H756" s="14"/>
      <c r="I756" s="14"/>
      <c r="J756" s="14"/>
      <c r="K756" s="1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14"/>
      <c r="AB756" s="20"/>
      <c r="AC756" s="20"/>
      <c r="AD756" s="20"/>
      <c r="AE756" s="20"/>
    </row>
    <row r="757">
      <c r="A757" s="3"/>
      <c r="B757" s="10"/>
      <c r="C757" s="10"/>
      <c r="D757" s="14"/>
      <c r="E757" s="14"/>
      <c r="F757" s="14"/>
      <c r="G757" s="14"/>
      <c r="H757" s="14"/>
      <c r="I757" s="14"/>
      <c r="J757" s="14"/>
      <c r="K757" s="1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14"/>
      <c r="AB757" s="20"/>
      <c r="AC757" s="20"/>
      <c r="AD757" s="20"/>
      <c r="AE757" s="20"/>
    </row>
    <row r="758">
      <c r="A758" s="3"/>
      <c r="B758" s="10"/>
      <c r="C758" s="10"/>
      <c r="D758" s="14"/>
      <c r="E758" s="14"/>
      <c r="F758" s="14"/>
      <c r="G758" s="14"/>
      <c r="H758" s="14"/>
      <c r="I758" s="14"/>
      <c r="J758" s="14"/>
      <c r="K758" s="1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14"/>
      <c r="AB758" s="20"/>
      <c r="AC758" s="20"/>
      <c r="AD758" s="20"/>
      <c r="AE758" s="20"/>
    </row>
    <row r="759">
      <c r="A759" s="3"/>
      <c r="B759" s="10"/>
      <c r="C759" s="10"/>
      <c r="D759" s="14"/>
      <c r="E759" s="14"/>
      <c r="F759" s="14"/>
      <c r="G759" s="14"/>
      <c r="H759" s="14"/>
      <c r="I759" s="14"/>
      <c r="J759" s="14"/>
      <c r="K759" s="1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14"/>
      <c r="AB759" s="20"/>
      <c r="AC759" s="20"/>
      <c r="AD759" s="20"/>
      <c r="AE759" s="20"/>
    </row>
    <row r="760">
      <c r="A760" s="3"/>
      <c r="B760" s="10"/>
      <c r="C760" s="10"/>
      <c r="D760" s="14"/>
      <c r="E760" s="14"/>
      <c r="F760" s="14"/>
      <c r="G760" s="14"/>
      <c r="H760" s="14"/>
      <c r="I760" s="14"/>
      <c r="J760" s="14"/>
      <c r="K760" s="1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14"/>
      <c r="AB760" s="20"/>
      <c r="AC760" s="20"/>
      <c r="AD760" s="20"/>
      <c r="AE760" s="20"/>
    </row>
    <row r="761">
      <c r="A761" s="3"/>
      <c r="B761" s="10"/>
      <c r="C761" s="10"/>
      <c r="D761" s="14"/>
      <c r="E761" s="14"/>
      <c r="F761" s="14"/>
      <c r="G761" s="14"/>
      <c r="H761" s="14"/>
      <c r="I761" s="14"/>
      <c r="J761" s="14"/>
      <c r="K761" s="1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14"/>
      <c r="AB761" s="20"/>
      <c r="AC761" s="20"/>
      <c r="AD761" s="20"/>
      <c r="AE761" s="20"/>
    </row>
    <row r="762">
      <c r="A762" s="3"/>
      <c r="B762" s="10"/>
      <c r="C762" s="10"/>
      <c r="D762" s="14"/>
      <c r="E762" s="14"/>
      <c r="F762" s="14"/>
      <c r="G762" s="14"/>
      <c r="H762" s="14"/>
      <c r="I762" s="14"/>
      <c r="J762" s="14"/>
      <c r="K762" s="1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14"/>
      <c r="AB762" s="20"/>
      <c r="AC762" s="20"/>
      <c r="AD762" s="20"/>
      <c r="AE762" s="20"/>
    </row>
    <row r="763">
      <c r="A763" s="3"/>
      <c r="B763" s="10"/>
      <c r="C763" s="10"/>
      <c r="D763" s="14"/>
      <c r="E763" s="14"/>
      <c r="F763" s="14"/>
      <c r="G763" s="14"/>
      <c r="H763" s="14"/>
      <c r="I763" s="14"/>
      <c r="J763" s="14"/>
      <c r="K763" s="1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14"/>
      <c r="AB763" s="20"/>
      <c r="AC763" s="20"/>
      <c r="AD763" s="20"/>
      <c r="AE763" s="20"/>
    </row>
    <row r="764">
      <c r="A764" s="3"/>
      <c r="B764" s="10"/>
      <c r="C764" s="10"/>
      <c r="D764" s="14"/>
      <c r="E764" s="14"/>
      <c r="F764" s="14"/>
      <c r="G764" s="14"/>
      <c r="H764" s="14"/>
      <c r="I764" s="14"/>
      <c r="J764" s="14"/>
      <c r="K764" s="1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14"/>
      <c r="AB764" s="20"/>
      <c r="AC764" s="20"/>
      <c r="AD764" s="20"/>
      <c r="AE764" s="20"/>
    </row>
    <row r="765">
      <c r="A765" s="3"/>
      <c r="B765" s="10"/>
      <c r="C765" s="10"/>
      <c r="D765" s="14"/>
      <c r="E765" s="14"/>
      <c r="F765" s="14"/>
      <c r="G765" s="14"/>
      <c r="H765" s="14"/>
      <c r="I765" s="14"/>
      <c r="J765" s="14"/>
      <c r="K765" s="1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14"/>
      <c r="AB765" s="20"/>
      <c r="AC765" s="20"/>
      <c r="AD765" s="20"/>
      <c r="AE765" s="20"/>
    </row>
    <row r="766">
      <c r="A766" s="3"/>
      <c r="B766" s="10"/>
      <c r="C766" s="10"/>
      <c r="D766" s="14"/>
      <c r="E766" s="14"/>
      <c r="F766" s="14"/>
      <c r="G766" s="14"/>
      <c r="H766" s="14"/>
      <c r="I766" s="14"/>
      <c r="J766" s="14"/>
      <c r="K766" s="1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14"/>
      <c r="AB766" s="20"/>
      <c r="AC766" s="20"/>
      <c r="AD766" s="20"/>
      <c r="AE766" s="20"/>
    </row>
    <row r="767">
      <c r="A767" s="3"/>
      <c r="B767" s="10"/>
      <c r="C767" s="10"/>
      <c r="D767" s="14"/>
      <c r="E767" s="14"/>
      <c r="F767" s="14"/>
      <c r="G767" s="14"/>
      <c r="H767" s="14"/>
      <c r="I767" s="14"/>
      <c r="J767" s="14"/>
      <c r="K767" s="1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14"/>
      <c r="AB767" s="20"/>
      <c r="AC767" s="20"/>
      <c r="AD767" s="20"/>
      <c r="AE767" s="20"/>
    </row>
    <row r="768">
      <c r="A768" s="3"/>
      <c r="B768" s="10"/>
      <c r="C768" s="10"/>
      <c r="D768" s="14"/>
      <c r="E768" s="14"/>
      <c r="F768" s="14"/>
      <c r="G768" s="14"/>
      <c r="H768" s="14"/>
      <c r="I768" s="14"/>
      <c r="J768" s="14"/>
      <c r="K768" s="1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14"/>
      <c r="AB768" s="20"/>
      <c r="AC768" s="20"/>
      <c r="AD768" s="20"/>
      <c r="AE768" s="20"/>
    </row>
    <row r="769">
      <c r="A769" s="3"/>
      <c r="B769" s="10"/>
      <c r="C769" s="10"/>
      <c r="D769" s="14"/>
      <c r="E769" s="14"/>
      <c r="F769" s="14"/>
      <c r="G769" s="14"/>
      <c r="H769" s="14"/>
      <c r="I769" s="14"/>
      <c r="J769" s="14"/>
      <c r="K769" s="1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14"/>
      <c r="AB769" s="20"/>
      <c r="AC769" s="20"/>
      <c r="AD769" s="20"/>
      <c r="AE769" s="20"/>
    </row>
    <row r="770">
      <c r="A770" s="3"/>
      <c r="B770" s="10"/>
      <c r="C770" s="10"/>
      <c r="D770" s="14"/>
      <c r="E770" s="14"/>
      <c r="F770" s="14"/>
      <c r="G770" s="14"/>
      <c r="H770" s="14"/>
      <c r="I770" s="14"/>
      <c r="J770" s="14"/>
      <c r="K770" s="1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14"/>
      <c r="AB770" s="20"/>
      <c r="AC770" s="20"/>
      <c r="AD770" s="20"/>
      <c r="AE770" s="20"/>
    </row>
    <row r="771">
      <c r="A771" s="3"/>
      <c r="B771" s="10"/>
      <c r="C771" s="10"/>
      <c r="D771" s="14"/>
      <c r="E771" s="14"/>
      <c r="F771" s="14"/>
      <c r="G771" s="14"/>
      <c r="H771" s="14"/>
      <c r="I771" s="14"/>
      <c r="J771" s="14"/>
      <c r="K771" s="1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14"/>
      <c r="AB771" s="20"/>
      <c r="AC771" s="20"/>
      <c r="AD771" s="20"/>
      <c r="AE771" s="20"/>
    </row>
    <row r="772">
      <c r="A772" s="3"/>
      <c r="B772" s="10"/>
      <c r="C772" s="10"/>
      <c r="D772" s="14"/>
      <c r="E772" s="14"/>
      <c r="F772" s="14"/>
      <c r="G772" s="14"/>
      <c r="H772" s="14"/>
      <c r="I772" s="14"/>
      <c r="J772" s="14"/>
      <c r="K772" s="1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14"/>
      <c r="AB772" s="20"/>
      <c r="AC772" s="20"/>
      <c r="AD772" s="20"/>
      <c r="AE772" s="20"/>
    </row>
    <row r="773">
      <c r="A773" s="3"/>
      <c r="B773" s="10"/>
      <c r="C773" s="10"/>
      <c r="D773" s="14"/>
      <c r="E773" s="14"/>
      <c r="F773" s="14"/>
      <c r="G773" s="14"/>
      <c r="H773" s="14"/>
      <c r="I773" s="14"/>
      <c r="J773" s="14"/>
      <c r="K773" s="1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14"/>
      <c r="AB773" s="20"/>
      <c r="AC773" s="20"/>
      <c r="AD773" s="20"/>
      <c r="AE773" s="20"/>
    </row>
    <row r="774">
      <c r="A774" s="3"/>
      <c r="B774" s="10"/>
      <c r="C774" s="10"/>
      <c r="D774" s="14"/>
      <c r="E774" s="14"/>
      <c r="F774" s="14"/>
      <c r="G774" s="14"/>
      <c r="H774" s="14"/>
      <c r="I774" s="14"/>
      <c r="J774" s="14"/>
      <c r="K774" s="1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14"/>
      <c r="AB774" s="20"/>
      <c r="AC774" s="20"/>
      <c r="AD774" s="20"/>
      <c r="AE774" s="20"/>
    </row>
    <row r="775">
      <c r="A775" s="3"/>
      <c r="B775" s="10"/>
      <c r="C775" s="10"/>
      <c r="D775" s="14"/>
      <c r="E775" s="14"/>
      <c r="F775" s="14"/>
      <c r="G775" s="14"/>
      <c r="H775" s="14"/>
      <c r="I775" s="14"/>
      <c r="J775" s="14"/>
      <c r="K775" s="1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14"/>
      <c r="AB775" s="20"/>
      <c r="AC775" s="20"/>
      <c r="AD775" s="20"/>
      <c r="AE775" s="20"/>
    </row>
    <row r="776">
      <c r="A776" s="3"/>
      <c r="B776" s="10"/>
      <c r="C776" s="10"/>
      <c r="D776" s="14"/>
      <c r="E776" s="14"/>
      <c r="F776" s="14"/>
      <c r="G776" s="14"/>
      <c r="H776" s="14"/>
      <c r="I776" s="14"/>
      <c r="J776" s="14"/>
      <c r="K776" s="1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14"/>
      <c r="AB776" s="20"/>
      <c r="AC776" s="20"/>
      <c r="AD776" s="20"/>
      <c r="AE776" s="20"/>
    </row>
    <row r="777">
      <c r="A777" s="3"/>
      <c r="B777" s="10"/>
      <c r="C777" s="10"/>
      <c r="D777" s="14"/>
      <c r="E777" s="14"/>
      <c r="F777" s="14"/>
      <c r="G777" s="14"/>
      <c r="H777" s="14"/>
      <c r="I777" s="14"/>
      <c r="J777" s="14"/>
      <c r="K777" s="1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14"/>
      <c r="AB777" s="20"/>
      <c r="AC777" s="20"/>
      <c r="AD777" s="20"/>
      <c r="AE777" s="20"/>
    </row>
    <row r="778">
      <c r="A778" s="3"/>
      <c r="B778" s="10"/>
      <c r="C778" s="10"/>
      <c r="D778" s="14"/>
      <c r="E778" s="14"/>
      <c r="F778" s="14"/>
      <c r="G778" s="14"/>
      <c r="H778" s="14"/>
      <c r="I778" s="14"/>
      <c r="J778" s="14"/>
      <c r="K778" s="1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14"/>
      <c r="AB778" s="20"/>
      <c r="AC778" s="20"/>
      <c r="AD778" s="20"/>
      <c r="AE778" s="20"/>
    </row>
    <row r="779">
      <c r="A779" s="3"/>
      <c r="B779" s="10"/>
      <c r="C779" s="10"/>
      <c r="D779" s="14"/>
      <c r="E779" s="14"/>
      <c r="F779" s="14"/>
      <c r="G779" s="14"/>
      <c r="H779" s="14"/>
      <c r="I779" s="14"/>
      <c r="J779" s="14"/>
      <c r="K779" s="1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14"/>
      <c r="AB779" s="20"/>
      <c r="AC779" s="20"/>
      <c r="AD779" s="20"/>
      <c r="AE779" s="20"/>
    </row>
    <row r="780">
      <c r="A780" s="3"/>
      <c r="B780" s="10"/>
      <c r="C780" s="10"/>
      <c r="D780" s="14"/>
      <c r="E780" s="14"/>
      <c r="F780" s="14"/>
      <c r="G780" s="14"/>
      <c r="H780" s="14"/>
      <c r="I780" s="14"/>
      <c r="J780" s="14"/>
      <c r="K780" s="1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14"/>
      <c r="AB780" s="20"/>
      <c r="AC780" s="20"/>
      <c r="AD780" s="20"/>
      <c r="AE780" s="20"/>
    </row>
    <row r="781">
      <c r="A781" s="3"/>
      <c r="B781" s="10"/>
      <c r="C781" s="10"/>
      <c r="D781" s="14"/>
      <c r="E781" s="14"/>
      <c r="F781" s="14"/>
      <c r="G781" s="14"/>
      <c r="H781" s="14"/>
      <c r="I781" s="14"/>
      <c r="J781" s="14"/>
      <c r="K781" s="1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14"/>
      <c r="AB781" s="20"/>
      <c r="AC781" s="20"/>
      <c r="AD781" s="20"/>
      <c r="AE781" s="20"/>
    </row>
    <row r="782">
      <c r="A782" s="3"/>
      <c r="B782" s="10"/>
      <c r="C782" s="10"/>
      <c r="D782" s="14"/>
      <c r="E782" s="14"/>
      <c r="F782" s="14"/>
      <c r="G782" s="14"/>
      <c r="H782" s="14"/>
      <c r="I782" s="14"/>
      <c r="J782" s="14"/>
      <c r="K782" s="1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14"/>
      <c r="AB782" s="20"/>
      <c r="AC782" s="20"/>
      <c r="AD782" s="20"/>
      <c r="AE782" s="20"/>
    </row>
    <row r="783">
      <c r="A783" s="3"/>
      <c r="B783" s="10"/>
      <c r="C783" s="10"/>
      <c r="D783" s="14"/>
      <c r="E783" s="14"/>
      <c r="F783" s="14"/>
      <c r="G783" s="14"/>
      <c r="H783" s="14"/>
      <c r="I783" s="14"/>
      <c r="J783" s="14"/>
      <c r="K783" s="1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14"/>
      <c r="AB783" s="20"/>
      <c r="AC783" s="20"/>
      <c r="AD783" s="20"/>
      <c r="AE783" s="20"/>
    </row>
    <row r="784">
      <c r="A784" s="3"/>
      <c r="B784" s="10"/>
      <c r="C784" s="10"/>
      <c r="D784" s="14"/>
      <c r="E784" s="14"/>
      <c r="F784" s="14"/>
      <c r="G784" s="14"/>
      <c r="H784" s="14"/>
      <c r="I784" s="14"/>
      <c r="J784" s="14"/>
      <c r="K784" s="1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14"/>
      <c r="AB784" s="20"/>
      <c r="AC784" s="20"/>
      <c r="AD784" s="20"/>
      <c r="AE784" s="20"/>
    </row>
    <row r="785">
      <c r="A785" s="3"/>
      <c r="B785" s="10"/>
      <c r="C785" s="10"/>
      <c r="D785" s="14"/>
      <c r="E785" s="14"/>
      <c r="F785" s="14"/>
      <c r="G785" s="14"/>
      <c r="H785" s="14"/>
      <c r="I785" s="14"/>
      <c r="J785" s="14"/>
      <c r="K785" s="1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14"/>
      <c r="AB785" s="20"/>
      <c r="AC785" s="20"/>
      <c r="AD785" s="20"/>
      <c r="AE785" s="20"/>
    </row>
    <row r="786">
      <c r="A786" s="3"/>
      <c r="B786" s="10"/>
      <c r="C786" s="10"/>
      <c r="D786" s="14"/>
      <c r="E786" s="14"/>
      <c r="F786" s="14"/>
      <c r="G786" s="14"/>
      <c r="H786" s="14"/>
      <c r="I786" s="14"/>
      <c r="J786" s="14"/>
      <c r="K786" s="1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14"/>
      <c r="AB786" s="20"/>
      <c r="AC786" s="20"/>
      <c r="AD786" s="20"/>
      <c r="AE786" s="20"/>
    </row>
    <row r="787">
      <c r="A787" s="3"/>
      <c r="B787" s="10"/>
      <c r="C787" s="10"/>
      <c r="D787" s="14"/>
      <c r="E787" s="14"/>
      <c r="F787" s="14"/>
      <c r="G787" s="14"/>
      <c r="H787" s="14"/>
      <c r="I787" s="14"/>
      <c r="J787" s="14"/>
      <c r="K787" s="1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14"/>
      <c r="AB787" s="20"/>
      <c r="AC787" s="20"/>
      <c r="AD787" s="20"/>
      <c r="AE787" s="20"/>
    </row>
    <row r="788">
      <c r="A788" s="3"/>
      <c r="B788" s="10"/>
      <c r="C788" s="10"/>
      <c r="D788" s="14"/>
      <c r="E788" s="14"/>
      <c r="F788" s="14"/>
      <c r="G788" s="14"/>
      <c r="H788" s="14"/>
      <c r="I788" s="14"/>
      <c r="J788" s="14"/>
      <c r="K788" s="1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14"/>
      <c r="AB788" s="20"/>
      <c r="AC788" s="20"/>
      <c r="AD788" s="20"/>
      <c r="AE788" s="20"/>
    </row>
    <row r="789">
      <c r="A789" s="3"/>
      <c r="B789" s="10"/>
      <c r="C789" s="10"/>
      <c r="D789" s="14"/>
      <c r="E789" s="14"/>
      <c r="F789" s="14"/>
      <c r="G789" s="14"/>
      <c r="H789" s="14"/>
      <c r="I789" s="14"/>
      <c r="J789" s="14"/>
      <c r="K789" s="1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14"/>
      <c r="AB789" s="20"/>
      <c r="AC789" s="20"/>
      <c r="AD789" s="20"/>
      <c r="AE789" s="20"/>
    </row>
    <row r="790">
      <c r="A790" s="3"/>
      <c r="B790" s="10"/>
      <c r="C790" s="10"/>
      <c r="D790" s="14"/>
      <c r="E790" s="14"/>
      <c r="F790" s="14"/>
      <c r="G790" s="14"/>
      <c r="H790" s="14"/>
      <c r="I790" s="14"/>
      <c r="J790" s="14"/>
      <c r="K790" s="1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14"/>
      <c r="AB790" s="20"/>
      <c r="AC790" s="20"/>
      <c r="AD790" s="20"/>
      <c r="AE790" s="20"/>
    </row>
    <row r="791">
      <c r="A791" s="3"/>
      <c r="B791" s="10"/>
      <c r="C791" s="10"/>
      <c r="D791" s="14"/>
      <c r="E791" s="14"/>
      <c r="F791" s="14"/>
      <c r="G791" s="14"/>
      <c r="H791" s="14"/>
      <c r="I791" s="14"/>
      <c r="J791" s="14"/>
      <c r="K791" s="1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14"/>
      <c r="AB791" s="20"/>
      <c r="AC791" s="20"/>
      <c r="AD791" s="20"/>
      <c r="AE791" s="20"/>
    </row>
    <row r="792">
      <c r="A792" s="3"/>
      <c r="B792" s="10"/>
      <c r="C792" s="10"/>
      <c r="D792" s="14"/>
      <c r="E792" s="14"/>
      <c r="F792" s="14"/>
      <c r="G792" s="14"/>
      <c r="H792" s="14"/>
      <c r="I792" s="14"/>
      <c r="J792" s="14"/>
      <c r="K792" s="1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14"/>
      <c r="AB792" s="20"/>
      <c r="AC792" s="20"/>
      <c r="AD792" s="20"/>
      <c r="AE792" s="20"/>
    </row>
    <row r="793">
      <c r="A793" s="3"/>
      <c r="B793" s="10"/>
      <c r="C793" s="10"/>
      <c r="D793" s="14"/>
      <c r="E793" s="14"/>
      <c r="F793" s="14"/>
      <c r="G793" s="14"/>
      <c r="H793" s="14"/>
      <c r="I793" s="14"/>
      <c r="J793" s="14"/>
      <c r="K793" s="1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14"/>
      <c r="AB793" s="20"/>
      <c r="AC793" s="20"/>
      <c r="AD793" s="20"/>
      <c r="AE793" s="20"/>
    </row>
    <row r="794">
      <c r="A794" s="3"/>
      <c r="B794" s="10"/>
      <c r="C794" s="10"/>
      <c r="D794" s="14"/>
      <c r="E794" s="14"/>
      <c r="F794" s="14"/>
      <c r="G794" s="14"/>
      <c r="H794" s="14"/>
      <c r="I794" s="14"/>
      <c r="J794" s="14"/>
      <c r="K794" s="1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14"/>
      <c r="AB794" s="20"/>
      <c r="AC794" s="20"/>
      <c r="AD794" s="20"/>
      <c r="AE794" s="20"/>
    </row>
    <row r="795">
      <c r="A795" s="3"/>
      <c r="B795" s="10"/>
      <c r="C795" s="10"/>
      <c r="D795" s="14"/>
      <c r="E795" s="14"/>
      <c r="F795" s="14"/>
      <c r="G795" s="14"/>
      <c r="H795" s="14"/>
      <c r="I795" s="14"/>
      <c r="J795" s="14"/>
      <c r="K795" s="1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14"/>
      <c r="AB795" s="20"/>
      <c r="AC795" s="20"/>
      <c r="AD795" s="20"/>
      <c r="AE795" s="20"/>
    </row>
    <row r="796">
      <c r="A796" s="3"/>
      <c r="B796" s="10"/>
      <c r="C796" s="10"/>
      <c r="D796" s="14"/>
      <c r="E796" s="14"/>
      <c r="F796" s="14"/>
      <c r="G796" s="14"/>
      <c r="H796" s="14"/>
      <c r="I796" s="14"/>
      <c r="J796" s="14"/>
      <c r="K796" s="1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14"/>
      <c r="AB796" s="20"/>
      <c r="AC796" s="20"/>
      <c r="AD796" s="20"/>
      <c r="AE796" s="20"/>
    </row>
    <row r="797">
      <c r="A797" s="3"/>
      <c r="B797" s="10"/>
      <c r="C797" s="10"/>
      <c r="D797" s="14"/>
      <c r="E797" s="14"/>
      <c r="F797" s="14"/>
      <c r="G797" s="14"/>
      <c r="H797" s="14"/>
      <c r="I797" s="14"/>
      <c r="J797" s="14"/>
      <c r="K797" s="1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14"/>
      <c r="AB797" s="20"/>
      <c r="AC797" s="20"/>
      <c r="AD797" s="20"/>
      <c r="AE797" s="20"/>
    </row>
    <row r="798">
      <c r="A798" s="3"/>
      <c r="B798" s="10"/>
      <c r="C798" s="10"/>
      <c r="D798" s="14"/>
      <c r="E798" s="14"/>
      <c r="F798" s="14"/>
      <c r="G798" s="14"/>
      <c r="H798" s="14"/>
      <c r="I798" s="14"/>
      <c r="J798" s="14"/>
      <c r="K798" s="1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14"/>
      <c r="AB798" s="20"/>
      <c r="AC798" s="20"/>
      <c r="AD798" s="20"/>
      <c r="AE798" s="20"/>
    </row>
    <row r="799">
      <c r="A799" s="3"/>
      <c r="B799" s="10"/>
      <c r="C799" s="10"/>
      <c r="D799" s="14"/>
      <c r="E799" s="14"/>
      <c r="F799" s="14"/>
      <c r="G799" s="14"/>
      <c r="H799" s="14"/>
      <c r="I799" s="14"/>
      <c r="J799" s="14"/>
      <c r="K799" s="1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14"/>
      <c r="AB799" s="20"/>
      <c r="AC799" s="20"/>
      <c r="AD799" s="20"/>
      <c r="AE799" s="20"/>
    </row>
    <row r="800">
      <c r="A800" s="3"/>
      <c r="B800" s="10"/>
      <c r="C800" s="10"/>
      <c r="D800" s="14"/>
      <c r="E800" s="14"/>
      <c r="F800" s="14"/>
      <c r="G800" s="14"/>
      <c r="H800" s="14"/>
      <c r="I800" s="14"/>
      <c r="J800" s="14"/>
      <c r="K800" s="1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14"/>
      <c r="AB800" s="20"/>
      <c r="AC800" s="20"/>
      <c r="AD800" s="20"/>
      <c r="AE800" s="20"/>
    </row>
    <row r="801">
      <c r="A801" s="3"/>
      <c r="B801" s="10"/>
      <c r="C801" s="10"/>
      <c r="D801" s="14"/>
      <c r="E801" s="14"/>
      <c r="F801" s="14"/>
      <c r="G801" s="14"/>
      <c r="H801" s="14"/>
      <c r="I801" s="14"/>
      <c r="J801" s="14"/>
      <c r="K801" s="1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14"/>
      <c r="AB801" s="20"/>
      <c r="AC801" s="20"/>
      <c r="AD801" s="20"/>
      <c r="AE801" s="20"/>
    </row>
    <row r="802">
      <c r="A802" s="3"/>
      <c r="B802" s="10"/>
      <c r="C802" s="10"/>
      <c r="D802" s="14"/>
      <c r="E802" s="14"/>
      <c r="F802" s="14"/>
      <c r="G802" s="14"/>
      <c r="H802" s="14"/>
      <c r="I802" s="14"/>
      <c r="J802" s="14"/>
      <c r="K802" s="1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14"/>
      <c r="AB802" s="20"/>
      <c r="AC802" s="20"/>
      <c r="AD802" s="20"/>
      <c r="AE802" s="20"/>
    </row>
    <row r="803">
      <c r="A803" s="3"/>
      <c r="B803" s="10"/>
      <c r="C803" s="10"/>
      <c r="D803" s="14"/>
      <c r="E803" s="14"/>
      <c r="F803" s="14"/>
      <c r="G803" s="14"/>
      <c r="H803" s="14"/>
      <c r="I803" s="14"/>
      <c r="J803" s="14"/>
      <c r="K803" s="1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14"/>
      <c r="AB803" s="20"/>
      <c r="AC803" s="20"/>
      <c r="AD803" s="20"/>
      <c r="AE803" s="20"/>
    </row>
    <row r="804">
      <c r="A804" s="3"/>
      <c r="B804" s="10"/>
      <c r="C804" s="10"/>
      <c r="D804" s="14"/>
      <c r="E804" s="14"/>
      <c r="F804" s="14"/>
      <c r="G804" s="14"/>
      <c r="H804" s="14"/>
      <c r="I804" s="14"/>
      <c r="J804" s="14"/>
      <c r="K804" s="1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14"/>
      <c r="AB804" s="20"/>
      <c r="AC804" s="20"/>
      <c r="AD804" s="20"/>
      <c r="AE804" s="20"/>
    </row>
    <row r="805">
      <c r="A805" s="3"/>
      <c r="B805" s="10"/>
      <c r="C805" s="10"/>
      <c r="D805" s="14"/>
      <c r="E805" s="14"/>
      <c r="F805" s="14"/>
      <c r="G805" s="14"/>
      <c r="H805" s="14"/>
      <c r="I805" s="14"/>
      <c r="J805" s="14"/>
      <c r="K805" s="1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14"/>
      <c r="AB805" s="20"/>
      <c r="AC805" s="20"/>
      <c r="AD805" s="20"/>
      <c r="AE805" s="20"/>
    </row>
    <row r="806">
      <c r="A806" s="3"/>
      <c r="B806" s="10"/>
      <c r="C806" s="10"/>
      <c r="D806" s="14"/>
      <c r="E806" s="14"/>
      <c r="F806" s="14"/>
      <c r="G806" s="14"/>
      <c r="H806" s="14"/>
      <c r="I806" s="14"/>
      <c r="J806" s="14"/>
      <c r="K806" s="1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14"/>
      <c r="AB806" s="20"/>
      <c r="AC806" s="20"/>
      <c r="AD806" s="20"/>
      <c r="AE806" s="20"/>
    </row>
    <row r="807">
      <c r="A807" s="3"/>
      <c r="B807" s="10"/>
      <c r="C807" s="10"/>
      <c r="D807" s="14"/>
      <c r="E807" s="14"/>
      <c r="F807" s="14"/>
      <c r="G807" s="14"/>
      <c r="H807" s="14"/>
      <c r="I807" s="14"/>
      <c r="J807" s="14"/>
      <c r="K807" s="1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14"/>
      <c r="AB807" s="20"/>
      <c r="AC807" s="20"/>
      <c r="AD807" s="20"/>
      <c r="AE807" s="20"/>
    </row>
    <row r="808">
      <c r="A808" s="3"/>
      <c r="B808" s="10"/>
      <c r="C808" s="10"/>
      <c r="D808" s="14"/>
      <c r="E808" s="14"/>
      <c r="F808" s="14"/>
      <c r="G808" s="14"/>
      <c r="H808" s="14"/>
      <c r="I808" s="14"/>
      <c r="J808" s="14"/>
      <c r="K808" s="1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14"/>
      <c r="AB808" s="20"/>
      <c r="AC808" s="20"/>
      <c r="AD808" s="20"/>
      <c r="AE808" s="20"/>
    </row>
    <row r="809">
      <c r="A809" s="3"/>
      <c r="B809" s="10"/>
      <c r="C809" s="10"/>
      <c r="D809" s="14"/>
      <c r="E809" s="14"/>
      <c r="F809" s="14"/>
      <c r="G809" s="14"/>
      <c r="H809" s="14"/>
      <c r="I809" s="14"/>
      <c r="J809" s="14"/>
      <c r="K809" s="1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14"/>
      <c r="AB809" s="20"/>
      <c r="AC809" s="20"/>
      <c r="AD809" s="20"/>
      <c r="AE809" s="20"/>
    </row>
    <row r="810">
      <c r="A810" s="3"/>
      <c r="B810" s="10"/>
      <c r="C810" s="10"/>
      <c r="D810" s="14"/>
      <c r="E810" s="14"/>
      <c r="F810" s="14"/>
      <c r="G810" s="14"/>
      <c r="H810" s="14"/>
      <c r="I810" s="14"/>
      <c r="J810" s="14"/>
      <c r="K810" s="1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14"/>
      <c r="AB810" s="20"/>
      <c r="AC810" s="20"/>
      <c r="AD810" s="20"/>
      <c r="AE810" s="20"/>
    </row>
    <row r="811">
      <c r="A811" s="3"/>
      <c r="B811" s="10"/>
      <c r="C811" s="10"/>
      <c r="D811" s="14"/>
      <c r="E811" s="14"/>
      <c r="F811" s="14"/>
      <c r="G811" s="14"/>
      <c r="H811" s="14"/>
      <c r="I811" s="14"/>
      <c r="J811" s="14"/>
      <c r="K811" s="1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14"/>
      <c r="AB811" s="20"/>
      <c r="AC811" s="20"/>
      <c r="AD811" s="20"/>
      <c r="AE811" s="20"/>
    </row>
    <row r="812">
      <c r="A812" s="3"/>
      <c r="B812" s="10"/>
      <c r="C812" s="10"/>
      <c r="D812" s="14"/>
      <c r="E812" s="14"/>
      <c r="F812" s="14"/>
      <c r="G812" s="14"/>
      <c r="H812" s="14"/>
      <c r="I812" s="14"/>
      <c r="J812" s="14"/>
      <c r="K812" s="1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14"/>
      <c r="AB812" s="20"/>
      <c r="AC812" s="20"/>
      <c r="AD812" s="20"/>
      <c r="AE812" s="20"/>
    </row>
    <row r="813">
      <c r="A813" s="3"/>
      <c r="B813" s="10"/>
      <c r="C813" s="10"/>
      <c r="D813" s="14"/>
      <c r="E813" s="14"/>
      <c r="F813" s="14"/>
      <c r="G813" s="14"/>
      <c r="H813" s="14"/>
      <c r="I813" s="14"/>
      <c r="J813" s="14"/>
      <c r="K813" s="1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14"/>
      <c r="AB813" s="20"/>
      <c r="AC813" s="20"/>
      <c r="AD813" s="20"/>
      <c r="AE813" s="20"/>
    </row>
    <row r="814">
      <c r="A814" s="3"/>
      <c r="B814" s="10"/>
      <c r="C814" s="10"/>
      <c r="D814" s="14"/>
      <c r="E814" s="14"/>
      <c r="F814" s="14"/>
      <c r="G814" s="14"/>
      <c r="H814" s="14"/>
      <c r="I814" s="14"/>
      <c r="J814" s="14"/>
      <c r="K814" s="1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14"/>
      <c r="AB814" s="20"/>
      <c r="AC814" s="20"/>
      <c r="AD814" s="20"/>
      <c r="AE814" s="20"/>
    </row>
    <row r="815">
      <c r="A815" s="3"/>
      <c r="B815" s="10"/>
      <c r="C815" s="10"/>
      <c r="D815" s="14"/>
      <c r="E815" s="14"/>
      <c r="F815" s="14"/>
      <c r="G815" s="14"/>
      <c r="H815" s="14"/>
      <c r="I815" s="14"/>
      <c r="J815" s="14"/>
      <c r="K815" s="1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14"/>
      <c r="AB815" s="20"/>
      <c r="AC815" s="20"/>
      <c r="AD815" s="20"/>
      <c r="AE815" s="20"/>
    </row>
    <row r="816">
      <c r="A816" s="3"/>
      <c r="B816" s="10"/>
      <c r="C816" s="10"/>
      <c r="D816" s="14"/>
      <c r="E816" s="14"/>
      <c r="F816" s="14"/>
      <c r="G816" s="14"/>
      <c r="H816" s="14"/>
      <c r="I816" s="14"/>
      <c r="J816" s="14"/>
      <c r="K816" s="1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14"/>
      <c r="AB816" s="20"/>
      <c r="AC816" s="20"/>
      <c r="AD816" s="20"/>
      <c r="AE816" s="20"/>
    </row>
    <row r="817">
      <c r="A817" s="3"/>
      <c r="B817" s="10"/>
      <c r="C817" s="10"/>
      <c r="D817" s="14"/>
      <c r="E817" s="14"/>
      <c r="F817" s="14"/>
      <c r="G817" s="14"/>
      <c r="H817" s="14"/>
      <c r="I817" s="14"/>
      <c r="J817" s="14"/>
      <c r="K817" s="1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14"/>
      <c r="AB817" s="20"/>
      <c r="AC817" s="20"/>
      <c r="AD817" s="20"/>
      <c r="AE817" s="20"/>
    </row>
    <row r="818">
      <c r="A818" s="3"/>
      <c r="B818" s="10"/>
      <c r="C818" s="10"/>
      <c r="D818" s="14"/>
      <c r="E818" s="14"/>
      <c r="F818" s="14"/>
      <c r="G818" s="14"/>
      <c r="H818" s="14"/>
      <c r="I818" s="14"/>
      <c r="J818" s="14"/>
      <c r="K818" s="1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14"/>
      <c r="AB818" s="20"/>
      <c r="AC818" s="20"/>
      <c r="AD818" s="20"/>
      <c r="AE818" s="20"/>
    </row>
    <row r="819">
      <c r="A819" s="3"/>
      <c r="B819" s="10"/>
      <c r="C819" s="10"/>
      <c r="D819" s="14"/>
      <c r="E819" s="14"/>
      <c r="F819" s="14"/>
      <c r="G819" s="14"/>
      <c r="H819" s="14"/>
      <c r="I819" s="14"/>
      <c r="J819" s="14"/>
      <c r="K819" s="1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14"/>
      <c r="AB819" s="20"/>
      <c r="AC819" s="20"/>
      <c r="AD819" s="20"/>
      <c r="AE819" s="20"/>
    </row>
    <row r="820">
      <c r="A820" s="3"/>
      <c r="B820" s="10"/>
      <c r="C820" s="10"/>
      <c r="D820" s="14"/>
      <c r="E820" s="14"/>
      <c r="F820" s="14"/>
      <c r="G820" s="14"/>
      <c r="H820" s="14"/>
      <c r="I820" s="14"/>
      <c r="J820" s="14"/>
      <c r="K820" s="1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14"/>
      <c r="AB820" s="20"/>
      <c r="AC820" s="20"/>
      <c r="AD820" s="20"/>
      <c r="AE820" s="20"/>
    </row>
    <row r="821">
      <c r="A821" s="3"/>
      <c r="B821" s="10"/>
      <c r="C821" s="10"/>
      <c r="D821" s="14"/>
      <c r="E821" s="14"/>
      <c r="F821" s="14"/>
      <c r="G821" s="14"/>
      <c r="H821" s="14"/>
      <c r="I821" s="14"/>
      <c r="J821" s="14"/>
      <c r="K821" s="1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14"/>
      <c r="AB821" s="20"/>
      <c r="AC821" s="20"/>
      <c r="AD821" s="20"/>
      <c r="AE821" s="20"/>
    </row>
    <row r="822">
      <c r="A822" s="3"/>
      <c r="B822" s="10"/>
      <c r="C822" s="10"/>
      <c r="D822" s="14"/>
      <c r="E822" s="14"/>
      <c r="F822" s="14"/>
      <c r="G822" s="14"/>
      <c r="H822" s="14"/>
      <c r="I822" s="14"/>
      <c r="J822" s="14"/>
      <c r="K822" s="1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14"/>
      <c r="AB822" s="20"/>
      <c r="AC822" s="20"/>
      <c r="AD822" s="20"/>
      <c r="AE822" s="20"/>
    </row>
    <row r="823">
      <c r="A823" s="3"/>
      <c r="B823" s="10"/>
      <c r="C823" s="10"/>
      <c r="D823" s="14"/>
      <c r="E823" s="14"/>
      <c r="F823" s="14"/>
      <c r="G823" s="14"/>
      <c r="H823" s="14"/>
      <c r="I823" s="14"/>
      <c r="J823" s="14"/>
      <c r="K823" s="1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14"/>
      <c r="AB823" s="20"/>
      <c r="AC823" s="20"/>
      <c r="AD823" s="20"/>
      <c r="AE823" s="20"/>
    </row>
    <row r="824">
      <c r="A824" s="3"/>
      <c r="B824" s="10"/>
      <c r="C824" s="10"/>
      <c r="D824" s="14"/>
      <c r="E824" s="14"/>
      <c r="F824" s="14"/>
      <c r="G824" s="14"/>
      <c r="H824" s="14"/>
      <c r="I824" s="14"/>
      <c r="J824" s="14"/>
      <c r="K824" s="1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14"/>
      <c r="AB824" s="20"/>
      <c r="AC824" s="20"/>
      <c r="AD824" s="20"/>
      <c r="AE824" s="20"/>
    </row>
    <row r="825">
      <c r="A825" s="3"/>
      <c r="B825" s="10"/>
      <c r="C825" s="10"/>
      <c r="D825" s="14"/>
      <c r="E825" s="14"/>
      <c r="F825" s="14"/>
      <c r="G825" s="14"/>
      <c r="H825" s="14"/>
      <c r="I825" s="14"/>
      <c r="J825" s="14"/>
      <c r="K825" s="1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14"/>
      <c r="AB825" s="20"/>
      <c r="AC825" s="20"/>
      <c r="AD825" s="20"/>
      <c r="AE825" s="20"/>
    </row>
    <row r="826">
      <c r="A826" s="3"/>
      <c r="B826" s="10"/>
      <c r="C826" s="10"/>
      <c r="D826" s="14"/>
      <c r="E826" s="14"/>
      <c r="F826" s="14"/>
      <c r="G826" s="14"/>
      <c r="H826" s="14"/>
      <c r="I826" s="14"/>
      <c r="J826" s="14"/>
      <c r="K826" s="1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14"/>
      <c r="AB826" s="20"/>
      <c r="AC826" s="20"/>
      <c r="AD826" s="20"/>
      <c r="AE826" s="20"/>
    </row>
    <row r="827">
      <c r="A827" s="3"/>
      <c r="B827" s="10"/>
      <c r="C827" s="10"/>
      <c r="D827" s="14"/>
      <c r="E827" s="14"/>
      <c r="F827" s="14"/>
      <c r="G827" s="14"/>
      <c r="H827" s="14"/>
      <c r="I827" s="14"/>
      <c r="J827" s="14"/>
      <c r="K827" s="1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14"/>
      <c r="AB827" s="20"/>
      <c r="AC827" s="20"/>
      <c r="AD827" s="20"/>
      <c r="AE827" s="20"/>
    </row>
    <row r="828">
      <c r="A828" s="3"/>
      <c r="B828" s="10"/>
      <c r="C828" s="10"/>
      <c r="D828" s="14"/>
      <c r="E828" s="14"/>
      <c r="F828" s="14"/>
      <c r="G828" s="14"/>
      <c r="H828" s="14"/>
      <c r="I828" s="14"/>
      <c r="J828" s="14"/>
      <c r="K828" s="1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14"/>
      <c r="AB828" s="20"/>
      <c r="AC828" s="20"/>
      <c r="AD828" s="20"/>
      <c r="AE828" s="20"/>
    </row>
    <row r="829">
      <c r="A829" s="3"/>
      <c r="B829" s="10"/>
      <c r="C829" s="10"/>
      <c r="D829" s="14"/>
      <c r="E829" s="14"/>
      <c r="F829" s="14"/>
      <c r="G829" s="14"/>
      <c r="H829" s="14"/>
      <c r="I829" s="14"/>
      <c r="J829" s="14"/>
      <c r="K829" s="1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14"/>
      <c r="AB829" s="20"/>
      <c r="AC829" s="20"/>
      <c r="AD829" s="20"/>
      <c r="AE829" s="20"/>
    </row>
    <row r="830">
      <c r="A830" s="3"/>
      <c r="B830" s="10"/>
      <c r="C830" s="10"/>
      <c r="D830" s="14"/>
      <c r="E830" s="14"/>
      <c r="F830" s="14"/>
      <c r="G830" s="14"/>
      <c r="H830" s="14"/>
      <c r="I830" s="14"/>
      <c r="J830" s="14"/>
      <c r="K830" s="1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14"/>
      <c r="AB830" s="20"/>
      <c r="AC830" s="20"/>
      <c r="AD830" s="20"/>
      <c r="AE830" s="20"/>
    </row>
    <row r="831">
      <c r="A831" s="3"/>
      <c r="B831" s="10"/>
      <c r="C831" s="10"/>
      <c r="D831" s="14"/>
      <c r="E831" s="14"/>
      <c r="F831" s="14"/>
      <c r="G831" s="14"/>
      <c r="H831" s="14"/>
      <c r="I831" s="14"/>
      <c r="J831" s="14"/>
      <c r="K831" s="1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14"/>
      <c r="AB831" s="20"/>
      <c r="AC831" s="20"/>
      <c r="AD831" s="20"/>
      <c r="AE831" s="20"/>
    </row>
    <row r="832">
      <c r="A832" s="3"/>
      <c r="B832" s="10"/>
      <c r="C832" s="10"/>
      <c r="D832" s="14"/>
      <c r="E832" s="14"/>
      <c r="F832" s="14"/>
      <c r="G832" s="14"/>
      <c r="H832" s="14"/>
      <c r="I832" s="14"/>
      <c r="J832" s="14"/>
      <c r="K832" s="1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14"/>
      <c r="AB832" s="20"/>
      <c r="AC832" s="20"/>
      <c r="AD832" s="20"/>
      <c r="AE832" s="20"/>
    </row>
    <row r="833">
      <c r="A833" s="3"/>
      <c r="B833" s="10"/>
      <c r="C833" s="10"/>
      <c r="D833" s="14"/>
      <c r="E833" s="14"/>
      <c r="F833" s="14"/>
      <c r="G833" s="14"/>
      <c r="H833" s="14"/>
      <c r="I833" s="14"/>
      <c r="J833" s="14"/>
      <c r="K833" s="1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14"/>
      <c r="AB833" s="20"/>
      <c r="AC833" s="20"/>
      <c r="AD833" s="20"/>
      <c r="AE833" s="20"/>
    </row>
    <row r="834">
      <c r="A834" s="3"/>
      <c r="B834" s="10"/>
      <c r="C834" s="10"/>
      <c r="D834" s="14"/>
      <c r="E834" s="14"/>
      <c r="F834" s="14"/>
      <c r="G834" s="14"/>
      <c r="H834" s="14"/>
      <c r="I834" s="14"/>
      <c r="J834" s="14"/>
      <c r="K834" s="1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14"/>
      <c r="AB834" s="20"/>
      <c r="AC834" s="20"/>
      <c r="AD834" s="20"/>
      <c r="AE834" s="20"/>
    </row>
    <row r="835">
      <c r="A835" s="3"/>
      <c r="B835" s="10"/>
      <c r="C835" s="10"/>
      <c r="D835" s="14"/>
      <c r="E835" s="14"/>
      <c r="F835" s="14"/>
      <c r="G835" s="14"/>
      <c r="H835" s="14"/>
      <c r="I835" s="14"/>
      <c r="J835" s="14"/>
      <c r="K835" s="1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14"/>
      <c r="AB835" s="20"/>
      <c r="AC835" s="20"/>
      <c r="AD835" s="20"/>
      <c r="AE835" s="20"/>
    </row>
    <row r="836">
      <c r="A836" s="3"/>
      <c r="B836" s="10"/>
      <c r="C836" s="10"/>
      <c r="D836" s="14"/>
      <c r="E836" s="14"/>
      <c r="F836" s="14"/>
      <c r="G836" s="14"/>
      <c r="H836" s="14"/>
      <c r="I836" s="14"/>
      <c r="J836" s="14"/>
      <c r="K836" s="1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14"/>
      <c r="AB836" s="20"/>
      <c r="AC836" s="20"/>
      <c r="AD836" s="20"/>
      <c r="AE836" s="20"/>
    </row>
    <row r="837">
      <c r="A837" s="3"/>
      <c r="B837" s="10"/>
      <c r="C837" s="10"/>
      <c r="D837" s="14"/>
      <c r="E837" s="14"/>
      <c r="F837" s="14"/>
      <c r="G837" s="14"/>
      <c r="H837" s="14"/>
      <c r="I837" s="14"/>
      <c r="J837" s="14"/>
      <c r="K837" s="1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14"/>
      <c r="AB837" s="20"/>
      <c r="AC837" s="20"/>
      <c r="AD837" s="20"/>
      <c r="AE837" s="20"/>
    </row>
    <row r="838">
      <c r="A838" s="3"/>
      <c r="B838" s="10"/>
      <c r="C838" s="10"/>
      <c r="D838" s="14"/>
      <c r="E838" s="14"/>
      <c r="F838" s="14"/>
      <c r="G838" s="14"/>
      <c r="H838" s="14"/>
      <c r="I838" s="14"/>
      <c r="J838" s="14"/>
      <c r="K838" s="1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14"/>
      <c r="AB838" s="20"/>
      <c r="AC838" s="20"/>
      <c r="AD838" s="20"/>
      <c r="AE838" s="20"/>
    </row>
    <row r="839">
      <c r="A839" s="3"/>
      <c r="B839" s="10"/>
      <c r="C839" s="10"/>
      <c r="D839" s="14"/>
      <c r="E839" s="14"/>
      <c r="F839" s="14"/>
      <c r="G839" s="14"/>
      <c r="H839" s="14"/>
      <c r="I839" s="14"/>
      <c r="J839" s="14"/>
      <c r="K839" s="1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14"/>
      <c r="AB839" s="20"/>
      <c r="AC839" s="20"/>
      <c r="AD839" s="20"/>
      <c r="AE839" s="20"/>
    </row>
    <row r="840">
      <c r="A840" s="3"/>
      <c r="B840" s="10"/>
      <c r="C840" s="10"/>
      <c r="D840" s="14"/>
      <c r="E840" s="14"/>
      <c r="F840" s="14"/>
      <c r="G840" s="14"/>
      <c r="H840" s="14"/>
      <c r="I840" s="14"/>
      <c r="J840" s="14"/>
      <c r="K840" s="1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14"/>
      <c r="AB840" s="20"/>
      <c r="AC840" s="20"/>
      <c r="AD840" s="20"/>
      <c r="AE840" s="20"/>
    </row>
    <row r="841">
      <c r="A841" s="3"/>
      <c r="B841" s="10"/>
      <c r="C841" s="10"/>
      <c r="D841" s="14"/>
      <c r="E841" s="14"/>
      <c r="F841" s="14"/>
      <c r="G841" s="14"/>
      <c r="H841" s="14"/>
      <c r="I841" s="14"/>
      <c r="J841" s="14"/>
      <c r="K841" s="1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14"/>
      <c r="AB841" s="20"/>
      <c r="AC841" s="20"/>
      <c r="AD841" s="20"/>
      <c r="AE841" s="20"/>
    </row>
    <row r="842">
      <c r="A842" s="3"/>
      <c r="B842" s="10"/>
      <c r="C842" s="10"/>
      <c r="D842" s="14"/>
      <c r="E842" s="14"/>
      <c r="F842" s="14"/>
      <c r="G842" s="14"/>
      <c r="H842" s="14"/>
      <c r="I842" s="14"/>
      <c r="J842" s="14"/>
      <c r="K842" s="1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14"/>
      <c r="AB842" s="20"/>
      <c r="AC842" s="20"/>
      <c r="AD842" s="20"/>
      <c r="AE842" s="20"/>
    </row>
    <row r="843">
      <c r="A843" s="3"/>
      <c r="B843" s="10"/>
      <c r="C843" s="10"/>
      <c r="D843" s="14"/>
      <c r="E843" s="14"/>
      <c r="F843" s="14"/>
      <c r="G843" s="14"/>
      <c r="H843" s="14"/>
      <c r="I843" s="14"/>
      <c r="J843" s="14"/>
      <c r="K843" s="1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14"/>
      <c r="AB843" s="20"/>
      <c r="AC843" s="20"/>
      <c r="AD843" s="20"/>
      <c r="AE843" s="20"/>
    </row>
    <row r="844">
      <c r="A844" s="3"/>
      <c r="B844" s="10"/>
      <c r="C844" s="10"/>
      <c r="D844" s="14"/>
      <c r="E844" s="14"/>
      <c r="F844" s="14"/>
      <c r="G844" s="14"/>
      <c r="H844" s="14"/>
      <c r="I844" s="14"/>
      <c r="J844" s="14"/>
      <c r="K844" s="1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14"/>
      <c r="AB844" s="20"/>
      <c r="AC844" s="20"/>
      <c r="AD844" s="20"/>
      <c r="AE844" s="20"/>
    </row>
    <row r="845">
      <c r="A845" s="3"/>
      <c r="B845" s="10"/>
      <c r="C845" s="10"/>
      <c r="D845" s="14"/>
      <c r="E845" s="14"/>
      <c r="F845" s="14"/>
      <c r="G845" s="14"/>
      <c r="H845" s="14"/>
      <c r="I845" s="14"/>
      <c r="J845" s="14"/>
      <c r="K845" s="1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14"/>
      <c r="AB845" s="20"/>
      <c r="AC845" s="20"/>
      <c r="AD845" s="20"/>
      <c r="AE845" s="20"/>
    </row>
    <row r="846">
      <c r="A846" s="3"/>
      <c r="B846" s="10"/>
      <c r="C846" s="10"/>
      <c r="D846" s="14"/>
      <c r="E846" s="14"/>
      <c r="F846" s="14"/>
      <c r="G846" s="14"/>
      <c r="H846" s="14"/>
      <c r="I846" s="14"/>
      <c r="J846" s="14"/>
      <c r="K846" s="1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14"/>
      <c r="AB846" s="20"/>
      <c r="AC846" s="20"/>
      <c r="AD846" s="20"/>
      <c r="AE846" s="20"/>
    </row>
    <row r="847">
      <c r="A847" s="3"/>
      <c r="B847" s="10"/>
      <c r="C847" s="10"/>
      <c r="D847" s="14"/>
      <c r="E847" s="14"/>
      <c r="F847" s="14"/>
      <c r="G847" s="14"/>
      <c r="H847" s="14"/>
      <c r="I847" s="14"/>
      <c r="J847" s="14"/>
      <c r="K847" s="1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14"/>
      <c r="AB847" s="20"/>
      <c r="AC847" s="20"/>
      <c r="AD847" s="20"/>
      <c r="AE847" s="20"/>
    </row>
    <row r="848">
      <c r="A848" s="3"/>
      <c r="B848" s="10"/>
      <c r="C848" s="10"/>
      <c r="D848" s="14"/>
      <c r="E848" s="14"/>
      <c r="F848" s="14"/>
      <c r="G848" s="14"/>
      <c r="H848" s="14"/>
      <c r="I848" s="14"/>
      <c r="J848" s="14"/>
      <c r="K848" s="1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14"/>
      <c r="AB848" s="20"/>
      <c r="AC848" s="20"/>
      <c r="AD848" s="20"/>
      <c r="AE848" s="20"/>
    </row>
    <row r="849">
      <c r="A849" s="3"/>
      <c r="B849" s="10"/>
      <c r="C849" s="10"/>
      <c r="D849" s="14"/>
      <c r="E849" s="14"/>
      <c r="F849" s="14"/>
      <c r="G849" s="14"/>
      <c r="H849" s="14"/>
      <c r="I849" s="14"/>
      <c r="J849" s="14"/>
      <c r="K849" s="1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14"/>
      <c r="AB849" s="20"/>
      <c r="AC849" s="20"/>
      <c r="AD849" s="20"/>
      <c r="AE849" s="20"/>
    </row>
    <row r="850">
      <c r="A850" s="3"/>
      <c r="B850" s="10"/>
      <c r="C850" s="10"/>
      <c r="D850" s="14"/>
      <c r="E850" s="14"/>
      <c r="F850" s="14"/>
      <c r="G850" s="14"/>
      <c r="H850" s="14"/>
      <c r="I850" s="14"/>
      <c r="J850" s="14"/>
      <c r="K850" s="1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14"/>
      <c r="AB850" s="20"/>
      <c r="AC850" s="20"/>
      <c r="AD850" s="20"/>
      <c r="AE850" s="20"/>
    </row>
    <row r="851">
      <c r="A851" s="3"/>
      <c r="B851" s="10"/>
      <c r="C851" s="10"/>
      <c r="D851" s="14"/>
      <c r="E851" s="14"/>
      <c r="F851" s="14"/>
      <c r="G851" s="14"/>
      <c r="H851" s="14"/>
      <c r="I851" s="14"/>
      <c r="J851" s="14"/>
      <c r="K851" s="1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14"/>
      <c r="AB851" s="20"/>
      <c r="AC851" s="20"/>
      <c r="AD851" s="20"/>
      <c r="AE851" s="20"/>
    </row>
    <row r="852">
      <c r="A852" s="3"/>
      <c r="B852" s="10"/>
      <c r="C852" s="10"/>
      <c r="D852" s="14"/>
      <c r="E852" s="14"/>
      <c r="F852" s="14"/>
      <c r="G852" s="14"/>
      <c r="H852" s="14"/>
      <c r="I852" s="14"/>
      <c r="J852" s="14"/>
      <c r="K852" s="1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14"/>
      <c r="AB852" s="20"/>
      <c r="AC852" s="20"/>
      <c r="AD852" s="20"/>
      <c r="AE852" s="20"/>
    </row>
    <row r="853">
      <c r="A853" s="3"/>
      <c r="B853" s="10"/>
      <c r="C853" s="10"/>
      <c r="D853" s="14"/>
      <c r="E853" s="14"/>
      <c r="F853" s="14"/>
      <c r="G853" s="14"/>
      <c r="H853" s="14"/>
      <c r="I853" s="14"/>
      <c r="J853" s="14"/>
      <c r="K853" s="1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14"/>
      <c r="AB853" s="20"/>
      <c r="AC853" s="20"/>
      <c r="AD853" s="20"/>
      <c r="AE853" s="20"/>
    </row>
    <row r="854">
      <c r="A854" s="3"/>
      <c r="B854" s="10"/>
      <c r="C854" s="10"/>
      <c r="D854" s="14"/>
      <c r="E854" s="14"/>
      <c r="F854" s="14"/>
      <c r="G854" s="14"/>
      <c r="H854" s="14"/>
      <c r="I854" s="14"/>
      <c r="J854" s="14"/>
      <c r="K854" s="1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14"/>
      <c r="AB854" s="20"/>
      <c r="AC854" s="20"/>
      <c r="AD854" s="20"/>
      <c r="AE854" s="20"/>
    </row>
    <row r="855">
      <c r="A855" s="3"/>
      <c r="B855" s="10"/>
      <c r="C855" s="10"/>
      <c r="D855" s="14"/>
      <c r="E855" s="14"/>
      <c r="F855" s="14"/>
      <c r="G855" s="14"/>
      <c r="H855" s="14"/>
      <c r="I855" s="14"/>
      <c r="J855" s="14"/>
      <c r="K855" s="1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14"/>
      <c r="AB855" s="20"/>
      <c r="AC855" s="20"/>
      <c r="AD855" s="20"/>
      <c r="AE855" s="20"/>
    </row>
    <row r="856">
      <c r="A856" s="3"/>
      <c r="B856" s="10"/>
      <c r="C856" s="10"/>
      <c r="D856" s="14"/>
      <c r="E856" s="14"/>
      <c r="F856" s="14"/>
      <c r="G856" s="14"/>
      <c r="H856" s="14"/>
      <c r="I856" s="14"/>
      <c r="J856" s="14"/>
      <c r="K856" s="1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14"/>
      <c r="AB856" s="20"/>
      <c r="AC856" s="20"/>
      <c r="AD856" s="20"/>
      <c r="AE856" s="20"/>
    </row>
    <row r="857">
      <c r="A857" s="3"/>
      <c r="B857" s="10"/>
      <c r="C857" s="10"/>
      <c r="D857" s="14"/>
      <c r="E857" s="14"/>
      <c r="F857" s="14"/>
      <c r="G857" s="14"/>
      <c r="H857" s="14"/>
      <c r="I857" s="14"/>
      <c r="J857" s="14"/>
      <c r="K857" s="1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14"/>
      <c r="AB857" s="20"/>
      <c r="AC857" s="20"/>
      <c r="AD857" s="20"/>
      <c r="AE857" s="20"/>
    </row>
    <row r="858">
      <c r="A858" s="3"/>
      <c r="B858" s="10"/>
      <c r="C858" s="10"/>
      <c r="D858" s="14"/>
      <c r="E858" s="14"/>
      <c r="F858" s="14"/>
      <c r="G858" s="14"/>
      <c r="H858" s="14"/>
      <c r="I858" s="14"/>
      <c r="J858" s="14"/>
      <c r="K858" s="1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14"/>
      <c r="AB858" s="20"/>
      <c r="AC858" s="20"/>
      <c r="AD858" s="20"/>
      <c r="AE858" s="20"/>
    </row>
    <row r="859">
      <c r="A859" s="3"/>
      <c r="B859" s="10"/>
      <c r="C859" s="10"/>
      <c r="D859" s="14"/>
      <c r="E859" s="14"/>
      <c r="F859" s="14"/>
      <c r="G859" s="14"/>
      <c r="H859" s="14"/>
      <c r="I859" s="14"/>
      <c r="J859" s="14"/>
      <c r="K859" s="1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14"/>
      <c r="AB859" s="20"/>
      <c r="AC859" s="20"/>
      <c r="AD859" s="20"/>
      <c r="AE859" s="20"/>
    </row>
    <row r="860">
      <c r="A860" s="3"/>
      <c r="B860" s="10"/>
      <c r="C860" s="10"/>
      <c r="D860" s="14"/>
      <c r="E860" s="14"/>
      <c r="F860" s="14"/>
      <c r="G860" s="14"/>
      <c r="H860" s="14"/>
      <c r="I860" s="14"/>
      <c r="J860" s="14"/>
      <c r="K860" s="1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14"/>
      <c r="AB860" s="20"/>
      <c r="AC860" s="20"/>
      <c r="AD860" s="20"/>
      <c r="AE860" s="20"/>
    </row>
    <row r="861">
      <c r="A861" s="3"/>
      <c r="B861" s="10"/>
      <c r="C861" s="10"/>
      <c r="D861" s="14"/>
      <c r="E861" s="14"/>
      <c r="F861" s="14"/>
      <c r="G861" s="14"/>
      <c r="H861" s="14"/>
      <c r="I861" s="14"/>
      <c r="J861" s="14"/>
      <c r="K861" s="1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14"/>
      <c r="AB861" s="20"/>
      <c r="AC861" s="20"/>
      <c r="AD861" s="20"/>
      <c r="AE861" s="20"/>
    </row>
    <row r="862">
      <c r="A862" s="3"/>
      <c r="B862" s="10"/>
      <c r="C862" s="10"/>
      <c r="D862" s="14"/>
      <c r="E862" s="14"/>
      <c r="F862" s="14"/>
      <c r="G862" s="14"/>
      <c r="H862" s="14"/>
      <c r="I862" s="14"/>
      <c r="J862" s="14"/>
      <c r="K862" s="1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14"/>
      <c r="AB862" s="20"/>
      <c r="AC862" s="20"/>
      <c r="AD862" s="20"/>
      <c r="AE862" s="20"/>
    </row>
    <row r="863">
      <c r="A863" s="3"/>
      <c r="B863" s="10"/>
      <c r="C863" s="10"/>
      <c r="D863" s="14"/>
      <c r="E863" s="14"/>
      <c r="F863" s="14"/>
      <c r="G863" s="14"/>
      <c r="H863" s="14"/>
      <c r="I863" s="14"/>
      <c r="J863" s="14"/>
      <c r="K863" s="1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14"/>
      <c r="AB863" s="20"/>
      <c r="AC863" s="20"/>
      <c r="AD863" s="20"/>
      <c r="AE863" s="20"/>
    </row>
    <row r="864">
      <c r="A864" s="3"/>
      <c r="B864" s="10"/>
      <c r="C864" s="10"/>
      <c r="D864" s="14"/>
      <c r="E864" s="14"/>
      <c r="F864" s="14"/>
      <c r="G864" s="14"/>
      <c r="H864" s="14"/>
      <c r="I864" s="14"/>
      <c r="J864" s="14"/>
      <c r="K864" s="1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14"/>
      <c r="AB864" s="20"/>
      <c r="AC864" s="20"/>
      <c r="AD864" s="20"/>
      <c r="AE864" s="20"/>
    </row>
    <row r="865">
      <c r="A865" s="3"/>
      <c r="B865" s="10"/>
      <c r="C865" s="10"/>
      <c r="D865" s="14"/>
      <c r="E865" s="14"/>
      <c r="F865" s="14"/>
      <c r="G865" s="14"/>
      <c r="H865" s="14"/>
      <c r="I865" s="14"/>
      <c r="J865" s="14"/>
      <c r="K865" s="1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14"/>
      <c r="AB865" s="20"/>
      <c r="AC865" s="20"/>
      <c r="AD865" s="20"/>
      <c r="AE865" s="20"/>
    </row>
    <row r="866">
      <c r="A866" s="3"/>
      <c r="B866" s="10"/>
      <c r="C866" s="10"/>
      <c r="D866" s="14"/>
      <c r="E866" s="14"/>
      <c r="F866" s="14"/>
      <c r="G866" s="14"/>
      <c r="H866" s="14"/>
      <c r="I866" s="14"/>
      <c r="J866" s="14"/>
      <c r="K866" s="1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14"/>
      <c r="AB866" s="20"/>
      <c r="AC866" s="20"/>
      <c r="AD866" s="20"/>
      <c r="AE866" s="20"/>
    </row>
    <row r="867">
      <c r="A867" s="3"/>
      <c r="B867" s="10"/>
      <c r="C867" s="10"/>
      <c r="D867" s="14"/>
      <c r="E867" s="14"/>
      <c r="F867" s="14"/>
      <c r="G867" s="14"/>
      <c r="H867" s="14"/>
      <c r="I867" s="14"/>
      <c r="J867" s="14"/>
      <c r="K867" s="1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14"/>
      <c r="AB867" s="20"/>
      <c r="AC867" s="20"/>
      <c r="AD867" s="20"/>
      <c r="AE867" s="20"/>
    </row>
    <row r="868">
      <c r="A868" s="3"/>
      <c r="B868" s="10"/>
      <c r="C868" s="10"/>
      <c r="D868" s="14"/>
      <c r="E868" s="14"/>
      <c r="F868" s="14"/>
      <c r="G868" s="14"/>
      <c r="H868" s="14"/>
      <c r="I868" s="14"/>
      <c r="J868" s="14"/>
      <c r="K868" s="1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14"/>
      <c r="AB868" s="20"/>
      <c r="AC868" s="20"/>
      <c r="AD868" s="20"/>
      <c r="AE868" s="20"/>
    </row>
    <row r="869">
      <c r="A869" s="3"/>
      <c r="B869" s="10"/>
      <c r="C869" s="10"/>
      <c r="D869" s="14"/>
      <c r="E869" s="14"/>
      <c r="F869" s="14"/>
      <c r="G869" s="14"/>
      <c r="H869" s="14"/>
      <c r="I869" s="14"/>
      <c r="J869" s="14"/>
      <c r="K869" s="1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14"/>
      <c r="AB869" s="20"/>
      <c r="AC869" s="20"/>
      <c r="AD869" s="20"/>
      <c r="AE869" s="20"/>
    </row>
    <row r="870">
      <c r="A870" s="3"/>
      <c r="B870" s="10"/>
      <c r="C870" s="10"/>
      <c r="D870" s="14"/>
      <c r="E870" s="14"/>
      <c r="F870" s="14"/>
      <c r="G870" s="14"/>
      <c r="H870" s="14"/>
      <c r="I870" s="14"/>
      <c r="J870" s="14"/>
      <c r="K870" s="1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14"/>
      <c r="AB870" s="20"/>
      <c r="AC870" s="20"/>
      <c r="AD870" s="20"/>
      <c r="AE870" s="20"/>
    </row>
    <row r="871">
      <c r="A871" s="3"/>
      <c r="B871" s="10"/>
      <c r="C871" s="10"/>
      <c r="D871" s="14"/>
      <c r="E871" s="14"/>
      <c r="F871" s="14"/>
      <c r="G871" s="14"/>
      <c r="H871" s="14"/>
      <c r="I871" s="14"/>
      <c r="J871" s="14"/>
      <c r="K871" s="1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14"/>
      <c r="AB871" s="20"/>
      <c r="AC871" s="20"/>
      <c r="AD871" s="20"/>
      <c r="AE871" s="20"/>
    </row>
    <row r="872">
      <c r="A872" s="3"/>
      <c r="B872" s="10"/>
      <c r="C872" s="10"/>
      <c r="D872" s="14"/>
      <c r="E872" s="14"/>
      <c r="F872" s="14"/>
      <c r="G872" s="14"/>
      <c r="H872" s="14"/>
      <c r="I872" s="14"/>
      <c r="J872" s="14"/>
      <c r="K872" s="1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14"/>
      <c r="AB872" s="20"/>
      <c r="AC872" s="20"/>
      <c r="AD872" s="20"/>
      <c r="AE872" s="20"/>
    </row>
    <row r="873">
      <c r="A873" s="3"/>
      <c r="B873" s="10"/>
      <c r="C873" s="10"/>
      <c r="D873" s="14"/>
      <c r="E873" s="14"/>
      <c r="F873" s="14"/>
      <c r="G873" s="14"/>
      <c r="H873" s="14"/>
      <c r="I873" s="14"/>
      <c r="J873" s="14"/>
      <c r="K873" s="1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14"/>
      <c r="AB873" s="20"/>
      <c r="AC873" s="20"/>
      <c r="AD873" s="20"/>
      <c r="AE873" s="20"/>
    </row>
    <row r="874">
      <c r="A874" s="3"/>
      <c r="B874" s="10"/>
      <c r="C874" s="10"/>
      <c r="D874" s="14"/>
      <c r="E874" s="14"/>
      <c r="F874" s="14"/>
      <c r="G874" s="14"/>
      <c r="H874" s="14"/>
      <c r="I874" s="14"/>
      <c r="J874" s="14"/>
      <c r="K874" s="1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14"/>
      <c r="AB874" s="20"/>
      <c r="AC874" s="20"/>
      <c r="AD874" s="20"/>
      <c r="AE874" s="20"/>
    </row>
    <row r="875">
      <c r="A875" s="3"/>
      <c r="B875" s="10"/>
      <c r="C875" s="10"/>
      <c r="D875" s="14"/>
      <c r="E875" s="14"/>
      <c r="F875" s="14"/>
      <c r="G875" s="14"/>
      <c r="H875" s="14"/>
      <c r="I875" s="14"/>
      <c r="J875" s="14"/>
      <c r="K875" s="1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14"/>
      <c r="AB875" s="20"/>
      <c r="AC875" s="20"/>
      <c r="AD875" s="20"/>
      <c r="AE875" s="20"/>
    </row>
    <row r="876">
      <c r="A876" s="3"/>
      <c r="B876" s="10"/>
      <c r="C876" s="10"/>
      <c r="D876" s="14"/>
      <c r="E876" s="14"/>
      <c r="F876" s="14"/>
      <c r="G876" s="14"/>
      <c r="H876" s="14"/>
      <c r="I876" s="14"/>
      <c r="J876" s="14"/>
      <c r="K876" s="1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14"/>
      <c r="AB876" s="20"/>
      <c r="AC876" s="20"/>
      <c r="AD876" s="20"/>
      <c r="AE876" s="20"/>
    </row>
    <row r="877">
      <c r="A877" s="3"/>
      <c r="B877" s="10"/>
      <c r="C877" s="10"/>
      <c r="D877" s="14"/>
      <c r="E877" s="14"/>
      <c r="F877" s="14"/>
      <c r="G877" s="14"/>
      <c r="H877" s="14"/>
      <c r="I877" s="14"/>
      <c r="J877" s="14"/>
      <c r="K877" s="1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14"/>
      <c r="AB877" s="20"/>
      <c r="AC877" s="20"/>
      <c r="AD877" s="20"/>
      <c r="AE877" s="20"/>
    </row>
    <row r="878">
      <c r="A878" s="3"/>
      <c r="B878" s="10"/>
      <c r="C878" s="10"/>
      <c r="D878" s="14"/>
      <c r="E878" s="14"/>
      <c r="F878" s="14"/>
      <c r="G878" s="14"/>
      <c r="H878" s="14"/>
      <c r="I878" s="14"/>
      <c r="J878" s="14"/>
      <c r="K878" s="1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14"/>
      <c r="AB878" s="20"/>
      <c r="AC878" s="20"/>
      <c r="AD878" s="20"/>
      <c r="AE878" s="20"/>
    </row>
    <row r="879">
      <c r="A879" s="3"/>
      <c r="B879" s="10"/>
      <c r="C879" s="10"/>
      <c r="D879" s="14"/>
      <c r="E879" s="14"/>
      <c r="F879" s="14"/>
      <c r="G879" s="14"/>
      <c r="H879" s="14"/>
      <c r="I879" s="14"/>
      <c r="J879" s="14"/>
      <c r="K879" s="1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14"/>
      <c r="AB879" s="20"/>
      <c r="AC879" s="20"/>
      <c r="AD879" s="20"/>
      <c r="AE879" s="20"/>
    </row>
    <row r="880">
      <c r="A880" s="3"/>
      <c r="B880" s="10"/>
      <c r="C880" s="10"/>
      <c r="D880" s="14"/>
      <c r="E880" s="14"/>
      <c r="F880" s="14"/>
      <c r="G880" s="14"/>
      <c r="H880" s="14"/>
      <c r="I880" s="14"/>
      <c r="J880" s="14"/>
      <c r="K880" s="1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14"/>
      <c r="AB880" s="20"/>
      <c r="AC880" s="20"/>
      <c r="AD880" s="20"/>
      <c r="AE880" s="20"/>
    </row>
    <row r="881">
      <c r="A881" s="3"/>
      <c r="B881" s="10"/>
      <c r="C881" s="10"/>
      <c r="D881" s="14"/>
      <c r="E881" s="14"/>
      <c r="F881" s="14"/>
      <c r="G881" s="14"/>
      <c r="H881" s="14"/>
      <c r="I881" s="14"/>
      <c r="J881" s="14"/>
      <c r="K881" s="1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14"/>
      <c r="AB881" s="20"/>
      <c r="AC881" s="20"/>
      <c r="AD881" s="20"/>
      <c r="AE881" s="20"/>
    </row>
    <row r="882">
      <c r="A882" s="3"/>
      <c r="B882" s="10"/>
      <c r="C882" s="10"/>
      <c r="D882" s="14"/>
      <c r="E882" s="14"/>
      <c r="F882" s="14"/>
      <c r="G882" s="14"/>
      <c r="H882" s="14"/>
      <c r="I882" s="14"/>
      <c r="J882" s="14"/>
      <c r="K882" s="1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14"/>
      <c r="AB882" s="20"/>
      <c r="AC882" s="20"/>
      <c r="AD882" s="20"/>
      <c r="AE882" s="20"/>
    </row>
    <row r="883">
      <c r="A883" s="3"/>
      <c r="B883" s="10"/>
      <c r="C883" s="10"/>
      <c r="D883" s="14"/>
      <c r="E883" s="14"/>
      <c r="F883" s="14"/>
      <c r="G883" s="14"/>
      <c r="H883" s="14"/>
      <c r="I883" s="14"/>
      <c r="J883" s="14"/>
      <c r="K883" s="1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14"/>
      <c r="AB883" s="20"/>
      <c r="AC883" s="20"/>
      <c r="AD883" s="20"/>
      <c r="AE883" s="20"/>
    </row>
    <row r="884">
      <c r="A884" s="3"/>
      <c r="B884" s="10"/>
      <c r="C884" s="10"/>
      <c r="D884" s="14"/>
      <c r="E884" s="14"/>
      <c r="F884" s="14"/>
      <c r="G884" s="14"/>
      <c r="H884" s="14"/>
      <c r="I884" s="14"/>
      <c r="J884" s="14"/>
      <c r="K884" s="1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14"/>
      <c r="AB884" s="20"/>
      <c r="AC884" s="20"/>
      <c r="AD884" s="20"/>
      <c r="AE884" s="20"/>
    </row>
    <row r="885">
      <c r="A885" s="3"/>
      <c r="B885" s="10"/>
      <c r="C885" s="10"/>
      <c r="D885" s="14"/>
      <c r="E885" s="14"/>
      <c r="F885" s="14"/>
      <c r="G885" s="14"/>
      <c r="H885" s="14"/>
      <c r="I885" s="14"/>
      <c r="J885" s="14"/>
      <c r="K885" s="1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14"/>
      <c r="AB885" s="20"/>
      <c r="AC885" s="20"/>
      <c r="AD885" s="20"/>
      <c r="AE885" s="20"/>
    </row>
    <row r="886">
      <c r="A886" s="3"/>
      <c r="B886" s="10"/>
      <c r="C886" s="10"/>
      <c r="D886" s="14"/>
      <c r="E886" s="14"/>
      <c r="F886" s="14"/>
      <c r="G886" s="14"/>
      <c r="H886" s="14"/>
      <c r="I886" s="14"/>
      <c r="J886" s="14"/>
      <c r="K886" s="1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14"/>
      <c r="AB886" s="20"/>
      <c r="AC886" s="20"/>
      <c r="AD886" s="20"/>
      <c r="AE886" s="20"/>
    </row>
    <row r="887">
      <c r="A887" s="3"/>
      <c r="B887" s="10"/>
      <c r="C887" s="10"/>
      <c r="D887" s="14"/>
      <c r="E887" s="14"/>
      <c r="F887" s="14"/>
      <c r="G887" s="14"/>
      <c r="H887" s="14"/>
      <c r="I887" s="14"/>
      <c r="J887" s="14"/>
      <c r="K887" s="1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14"/>
      <c r="AB887" s="20"/>
      <c r="AC887" s="20"/>
      <c r="AD887" s="20"/>
      <c r="AE887" s="20"/>
    </row>
    <row r="888">
      <c r="A888" s="3"/>
      <c r="B888" s="10"/>
      <c r="C888" s="10"/>
      <c r="D888" s="14"/>
      <c r="E888" s="14"/>
      <c r="F888" s="14"/>
      <c r="G888" s="14"/>
      <c r="H888" s="14"/>
      <c r="I888" s="14"/>
      <c r="J888" s="14"/>
      <c r="K888" s="1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14"/>
      <c r="AB888" s="20"/>
      <c r="AC888" s="20"/>
      <c r="AD888" s="20"/>
      <c r="AE888" s="20"/>
    </row>
    <row r="889">
      <c r="A889" s="3"/>
      <c r="B889" s="10"/>
      <c r="C889" s="10"/>
      <c r="D889" s="14"/>
      <c r="E889" s="14"/>
      <c r="F889" s="14"/>
      <c r="G889" s="14"/>
      <c r="H889" s="14"/>
      <c r="I889" s="14"/>
      <c r="J889" s="14"/>
      <c r="K889" s="1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14"/>
      <c r="AB889" s="20"/>
      <c r="AC889" s="20"/>
      <c r="AD889" s="20"/>
      <c r="AE889" s="20"/>
    </row>
    <row r="890">
      <c r="A890" s="3"/>
      <c r="B890" s="10"/>
      <c r="C890" s="10"/>
      <c r="D890" s="14"/>
      <c r="E890" s="14"/>
      <c r="F890" s="14"/>
      <c r="G890" s="14"/>
      <c r="H890" s="14"/>
      <c r="I890" s="14"/>
      <c r="J890" s="14"/>
      <c r="K890" s="1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14"/>
      <c r="AB890" s="20"/>
      <c r="AC890" s="20"/>
      <c r="AD890" s="20"/>
      <c r="AE890" s="20"/>
    </row>
    <row r="891">
      <c r="A891" s="3"/>
      <c r="B891" s="10"/>
      <c r="C891" s="10"/>
      <c r="D891" s="14"/>
      <c r="E891" s="14"/>
      <c r="F891" s="14"/>
      <c r="G891" s="14"/>
      <c r="H891" s="14"/>
      <c r="I891" s="14"/>
      <c r="J891" s="14"/>
      <c r="K891" s="1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14"/>
      <c r="AB891" s="20"/>
      <c r="AC891" s="20"/>
      <c r="AD891" s="20"/>
      <c r="AE891" s="20"/>
    </row>
    <row r="892">
      <c r="A892" s="3"/>
      <c r="B892" s="10"/>
      <c r="C892" s="10"/>
      <c r="D892" s="14"/>
      <c r="E892" s="14"/>
      <c r="F892" s="14"/>
      <c r="G892" s="14"/>
      <c r="H892" s="14"/>
      <c r="I892" s="14"/>
      <c r="J892" s="14"/>
      <c r="K892" s="1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14"/>
      <c r="AB892" s="20"/>
      <c r="AC892" s="20"/>
      <c r="AD892" s="20"/>
      <c r="AE892" s="20"/>
    </row>
    <row r="893">
      <c r="A893" s="3"/>
      <c r="B893" s="10"/>
      <c r="C893" s="10"/>
      <c r="D893" s="14"/>
      <c r="E893" s="14"/>
      <c r="F893" s="14"/>
      <c r="G893" s="14"/>
      <c r="H893" s="14"/>
      <c r="I893" s="14"/>
      <c r="J893" s="14"/>
      <c r="K893" s="1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14"/>
      <c r="AB893" s="20"/>
      <c r="AC893" s="20"/>
      <c r="AD893" s="20"/>
      <c r="AE893" s="20"/>
    </row>
    <row r="894">
      <c r="A894" s="3"/>
      <c r="B894" s="10"/>
      <c r="C894" s="10"/>
      <c r="D894" s="14"/>
      <c r="E894" s="14"/>
      <c r="F894" s="14"/>
      <c r="G894" s="14"/>
      <c r="H894" s="14"/>
      <c r="I894" s="14"/>
      <c r="J894" s="14"/>
      <c r="K894" s="1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14"/>
      <c r="AB894" s="20"/>
      <c r="AC894" s="20"/>
      <c r="AD894" s="20"/>
      <c r="AE894" s="20"/>
    </row>
    <row r="895">
      <c r="A895" s="3"/>
      <c r="B895" s="10"/>
      <c r="C895" s="10"/>
      <c r="D895" s="14"/>
      <c r="E895" s="14"/>
      <c r="F895" s="14"/>
      <c r="G895" s="14"/>
      <c r="H895" s="14"/>
      <c r="I895" s="14"/>
      <c r="J895" s="14"/>
      <c r="K895" s="1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14"/>
      <c r="AB895" s="20"/>
      <c r="AC895" s="20"/>
      <c r="AD895" s="20"/>
      <c r="AE895" s="20"/>
    </row>
    <row r="896">
      <c r="A896" s="3"/>
      <c r="B896" s="10"/>
      <c r="C896" s="10"/>
      <c r="D896" s="14"/>
      <c r="E896" s="14"/>
      <c r="F896" s="14"/>
      <c r="G896" s="14"/>
      <c r="H896" s="14"/>
      <c r="I896" s="14"/>
      <c r="J896" s="14"/>
      <c r="K896" s="1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14"/>
      <c r="AB896" s="20"/>
      <c r="AC896" s="20"/>
      <c r="AD896" s="20"/>
      <c r="AE896" s="20"/>
    </row>
    <row r="897">
      <c r="A897" s="3"/>
      <c r="B897" s="10"/>
      <c r="C897" s="10"/>
      <c r="D897" s="14"/>
      <c r="E897" s="14"/>
      <c r="F897" s="14"/>
      <c r="G897" s="14"/>
      <c r="H897" s="14"/>
      <c r="I897" s="14"/>
      <c r="J897" s="14"/>
      <c r="K897" s="1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14"/>
      <c r="AB897" s="20"/>
      <c r="AC897" s="20"/>
      <c r="AD897" s="20"/>
      <c r="AE897" s="20"/>
    </row>
    <row r="898">
      <c r="A898" s="3"/>
      <c r="B898" s="10"/>
      <c r="C898" s="10"/>
      <c r="D898" s="14"/>
      <c r="E898" s="14"/>
      <c r="F898" s="14"/>
      <c r="G898" s="14"/>
      <c r="H898" s="14"/>
      <c r="I898" s="14"/>
      <c r="J898" s="14"/>
      <c r="K898" s="1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14"/>
      <c r="AB898" s="20"/>
      <c r="AC898" s="20"/>
      <c r="AD898" s="20"/>
      <c r="AE898" s="20"/>
    </row>
    <row r="899">
      <c r="A899" s="3"/>
      <c r="B899" s="10"/>
      <c r="C899" s="10"/>
      <c r="D899" s="14"/>
      <c r="E899" s="14"/>
      <c r="F899" s="14"/>
      <c r="G899" s="14"/>
      <c r="H899" s="14"/>
      <c r="I899" s="14"/>
      <c r="J899" s="14"/>
      <c r="K899" s="1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14"/>
      <c r="AB899" s="20"/>
      <c r="AC899" s="20"/>
      <c r="AD899" s="20"/>
      <c r="AE899" s="20"/>
    </row>
    <row r="900">
      <c r="A900" s="3"/>
      <c r="B900" s="10"/>
      <c r="C900" s="10"/>
      <c r="D900" s="14"/>
      <c r="E900" s="14"/>
      <c r="F900" s="14"/>
      <c r="G900" s="14"/>
      <c r="H900" s="14"/>
      <c r="I900" s="14"/>
      <c r="J900" s="14"/>
      <c r="K900" s="1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14"/>
      <c r="AB900" s="20"/>
      <c r="AC900" s="20"/>
      <c r="AD900" s="20"/>
      <c r="AE900" s="20"/>
    </row>
    <row r="901">
      <c r="A901" s="3"/>
      <c r="B901" s="10"/>
      <c r="C901" s="10"/>
      <c r="D901" s="14"/>
      <c r="E901" s="14"/>
      <c r="F901" s="14"/>
      <c r="G901" s="14"/>
      <c r="H901" s="14"/>
      <c r="I901" s="14"/>
      <c r="J901" s="14"/>
      <c r="K901" s="1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14"/>
      <c r="AB901" s="20"/>
      <c r="AC901" s="20"/>
      <c r="AD901" s="20"/>
      <c r="AE901" s="20"/>
    </row>
    <row r="902">
      <c r="A902" s="3"/>
      <c r="B902" s="10"/>
      <c r="C902" s="10"/>
      <c r="D902" s="14"/>
      <c r="E902" s="14"/>
      <c r="F902" s="14"/>
      <c r="G902" s="14"/>
      <c r="H902" s="14"/>
      <c r="I902" s="14"/>
      <c r="J902" s="14"/>
      <c r="K902" s="1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14"/>
      <c r="AB902" s="20"/>
      <c r="AC902" s="20"/>
      <c r="AD902" s="20"/>
      <c r="AE902" s="20"/>
    </row>
    <row r="903">
      <c r="A903" s="3"/>
      <c r="B903" s="10"/>
      <c r="C903" s="10"/>
      <c r="D903" s="14"/>
      <c r="E903" s="14"/>
      <c r="F903" s="14"/>
      <c r="G903" s="14"/>
      <c r="H903" s="14"/>
      <c r="I903" s="14"/>
      <c r="J903" s="14"/>
      <c r="K903" s="1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14"/>
      <c r="AB903" s="20"/>
      <c r="AC903" s="20"/>
      <c r="AD903" s="20"/>
      <c r="AE903" s="20"/>
    </row>
    <row r="904">
      <c r="A904" s="3"/>
      <c r="B904" s="10"/>
      <c r="C904" s="10"/>
      <c r="D904" s="14"/>
      <c r="E904" s="14"/>
      <c r="F904" s="14"/>
      <c r="G904" s="14"/>
      <c r="H904" s="14"/>
      <c r="I904" s="14"/>
      <c r="J904" s="14"/>
      <c r="K904" s="1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14"/>
      <c r="AB904" s="20"/>
      <c r="AC904" s="20"/>
      <c r="AD904" s="20"/>
      <c r="AE904" s="20"/>
    </row>
    <row r="905">
      <c r="A905" s="3"/>
      <c r="B905" s="10"/>
      <c r="C905" s="10"/>
      <c r="D905" s="14"/>
      <c r="E905" s="14"/>
      <c r="F905" s="14"/>
      <c r="G905" s="14"/>
      <c r="H905" s="14"/>
      <c r="I905" s="14"/>
      <c r="J905" s="14"/>
      <c r="K905" s="1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14"/>
      <c r="AB905" s="20"/>
      <c r="AC905" s="20"/>
      <c r="AD905" s="20"/>
      <c r="AE905" s="20"/>
    </row>
    <row r="906">
      <c r="A906" s="3"/>
      <c r="B906" s="10"/>
      <c r="C906" s="10"/>
      <c r="D906" s="14"/>
      <c r="E906" s="14"/>
      <c r="F906" s="14"/>
      <c r="G906" s="14"/>
      <c r="H906" s="14"/>
      <c r="I906" s="14"/>
      <c r="J906" s="14"/>
      <c r="K906" s="1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14"/>
      <c r="AB906" s="20"/>
      <c r="AC906" s="20"/>
      <c r="AD906" s="20"/>
      <c r="AE906" s="20"/>
    </row>
    <row r="907">
      <c r="A907" s="3"/>
      <c r="B907" s="10"/>
      <c r="C907" s="10"/>
      <c r="D907" s="14"/>
      <c r="E907" s="14"/>
      <c r="F907" s="14"/>
      <c r="G907" s="14"/>
      <c r="H907" s="14"/>
      <c r="I907" s="14"/>
      <c r="J907" s="14"/>
      <c r="K907" s="1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14"/>
      <c r="AB907" s="20"/>
      <c r="AC907" s="20"/>
      <c r="AD907" s="20"/>
      <c r="AE907" s="20"/>
    </row>
    <row r="908">
      <c r="A908" s="3"/>
      <c r="B908" s="10"/>
      <c r="C908" s="10"/>
      <c r="D908" s="14"/>
      <c r="E908" s="14"/>
      <c r="F908" s="14"/>
      <c r="G908" s="14"/>
      <c r="H908" s="14"/>
      <c r="I908" s="14"/>
      <c r="J908" s="14"/>
      <c r="K908" s="1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14"/>
      <c r="AB908" s="20"/>
      <c r="AC908" s="20"/>
      <c r="AD908" s="20"/>
      <c r="AE908" s="20"/>
    </row>
    <row r="909">
      <c r="A909" s="3"/>
      <c r="B909" s="10"/>
      <c r="C909" s="10"/>
      <c r="D909" s="14"/>
      <c r="E909" s="14"/>
      <c r="F909" s="14"/>
      <c r="G909" s="14"/>
      <c r="H909" s="14"/>
      <c r="I909" s="14"/>
      <c r="J909" s="14"/>
      <c r="K909" s="1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14"/>
      <c r="AB909" s="20"/>
      <c r="AC909" s="20"/>
      <c r="AD909" s="20"/>
      <c r="AE909" s="20"/>
    </row>
    <row r="910">
      <c r="A910" s="3"/>
      <c r="B910" s="10"/>
      <c r="C910" s="10"/>
      <c r="D910" s="14"/>
      <c r="E910" s="14"/>
      <c r="F910" s="14"/>
      <c r="G910" s="14"/>
      <c r="H910" s="14"/>
      <c r="I910" s="14"/>
      <c r="J910" s="14"/>
      <c r="K910" s="1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14"/>
      <c r="AB910" s="20"/>
      <c r="AC910" s="20"/>
      <c r="AD910" s="20"/>
      <c r="AE910" s="20"/>
    </row>
    <row r="911">
      <c r="A911" s="3"/>
      <c r="B911" s="10"/>
      <c r="C911" s="10"/>
      <c r="D911" s="14"/>
      <c r="E911" s="14"/>
      <c r="F911" s="14"/>
      <c r="G911" s="14"/>
      <c r="H911" s="14"/>
      <c r="I911" s="14"/>
      <c r="J911" s="14"/>
      <c r="K911" s="1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14"/>
      <c r="AB911" s="20"/>
      <c r="AC911" s="20"/>
      <c r="AD911" s="20"/>
      <c r="AE911" s="20"/>
    </row>
    <row r="912">
      <c r="A912" s="3"/>
      <c r="B912" s="10"/>
      <c r="C912" s="10"/>
      <c r="D912" s="14"/>
      <c r="E912" s="14"/>
      <c r="F912" s="14"/>
      <c r="G912" s="14"/>
      <c r="H912" s="14"/>
      <c r="I912" s="14"/>
      <c r="J912" s="14"/>
      <c r="K912" s="1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14"/>
      <c r="AB912" s="20"/>
      <c r="AC912" s="20"/>
      <c r="AD912" s="20"/>
      <c r="AE912" s="20"/>
    </row>
    <row r="913">
      <c r="A913" s="3"/>
      <c r="B913" s="10"/>
      <c r="C913" s="10"/>
      <c r="D913" s="14"/>
      <c r="E913" s="14"/>
      <c r="F913" s="14"/>
      <c r="G913" s="14"/>
      <c r="H913" s="14"/>
      <c r="I913" s="14"/>
      <c r="J913" s="14"/>
      <c r="K913" s="1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14"/>
      <c r="AB913" s="20"/>
      <c r="AC913" s="20"/>
      <c r="AD913" s="20"/>
      <c r="AE913" s="20"/>
    </row>
    <row r="914">
      <c r="A914" s="3"/>
      <c r="B914" s="10"/>
      <c r="C914" s="10"/>
      <c r="D914" s="14"/>
      <c r="E914" s="14"/>
      <c r="F914" s="14"/>
      <c r="G914" s="14"/>
      <c r="H914" s="14"/>
      <c r="I914" s="14"/>
      <c r="J914" s="14"/>
      <c r="K914" s="1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14"/>
      <c r="AB914" s="20"/>
      <c r="AC914" s="20"/>
      <c r="AD914" s="20"/>
      <c r="AE914" s="20"/>
    </row>
    <row r="915">
      <c r="A915" s="3"/>
      <c r="B915" s="10"/>
      <c r="C915" s="10"/>
      <c r="D915" s="14"/>
      <c r="E915" s="14"/>
      <c r="F915" s="14"/>
      <c r="G915" s="14"/>
      <c r="H915" s="14"/>
      <c r="I915" s="14"/>
      <c r="J915" s="14"/>
      <c r="K915" s="1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14"/>
      <c r="AB915" s="20"/>
      <c r="AC915" s="20"/>
      <c r="AD915" s="20"/>
      <c r="AE915" s="20"/>
    </row>
    <row r="916">
      <c r="A916" s="3"/>
      <c r="B916" s="10"/>
      <c r="C916" s="10"/>
      <c r="D916" s="14"/>
      <c r="E916" s="14"/>
      <c r="F916" s="14"/>
      <c r="G916" s="14"/>
      <c r="H916" s="14"/>
      <c r="I916" s="14"/>
      <c r="J916" s="14"/>
      <c r="K916" s="1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14"/>
      <c r="AB916" s="20"/>
      <c r="AC916" s="20"/>
      <c r="AD916" s="20"/>
      <c r="AE916" s="20"/>
    </row>
    <row r="917">
      <c r="A917" s="3"/>
      <c r="B917" s="10"/>
      <c r="C917" s="10"/>
      <c r="D917" s="14"/>
      <c r="E917" s="14"/>
      <c r="F917" s="14"/>
      <c r="G917" s="14"/>
      <c r="H917" s="14"/>
      <c r="I917" s="14"/>
      <c r="J917" s="14"/>
      <c r="K917" s="1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14"/>
      <c r="AB917" s="20"/>
      <c r="AC917" s="20"/>
      <c r="AD917" s="20"/>
      <c r="AE917" s="20"/>
    </row>
    <row r="918">
      <c r="A918" s="3"/>
      <c r="B918" s="10"/>
      <c r="C918" s="10"/>
      <c r="D918" s="14"/>
      <c r="E918" s="14"/>
      <c r="F918" s="14"/>
      <c r="G918" s="14"/>
      <c r="H918" s="14"/>
      <c r="I918" s="14"/>
      <c r="J918" s="14"/>
      <c r="K918" s="1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14"/>
      <c r="AB918" s="20"/>
      <c r="AC918" s="20"/>
      <c r="AD918" s="20"/>
      <c r="AE918" s="20"/>
    </row>
    <row r="919">
      <c r="A919" s="3"/>
      <c r="B919" s="10"/>
      <c r="C919" s="10"/>
      <c r="D919" s="14"/>
      <c r="E919" s="14"/>
      <c r="F919" s="14"/>
      <c r="G919" s="14"/>
      <c r="H919" s="14"/>
      <c r="I919" s="14"/>
      <c r="J919" s="14"/>
      <c r="K919" s="1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14"/>
      <c r="AB919" s="20"/>
      <c r="AC919" s="20"/>
      <c r="AD919" s="20"/>
      <c r="AE919" s="20"/>
    </row>
    <row r="920">
      <c r="A920" s="3"/>
      <c r="B920" s="10"/>
      <c r="C920" s="10"/>
      <c r="D920" s="14"/>
      <c r="E920" s="14"/>
      <c r="F920" s="14"/>
      <c r="G920" s="14"/>
      <c r="H920" s="14"/>
      <c r="I920" s="14"/>
      <c r="J920" s="14"/>
      <c r="K920" s="1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14"/>
      <c r="AB920" s="20"/>
      <c r="AC920" s="20"/>
      <c r="AD920" s="20"/>
      <c r="AE920" s="20"/>
    </row>
    <row r="921">
      <c r="A921" s="3"/>
      <c r="B921" s="10"/>
      <c r="C921" s="10"/>
      <c r="D921" s="14"/>
      <c r="E921" s="14"/>
      <c r="F921" s="14"/>
      <c r="G921" s="14"/>
      <c r="H921" s="14"/>
      <c r="I921" s="14"/>
      <c r="J921" s="14"/>
      <c r="K921" s="1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14"/>
      <c r="AB921" s="20"/>
      <c r="AC921" s="20"/>
      <c r="AD921" s="20"/>
      <c r="AE921" s="20"/>
    </row>
    <row r="922">
      <c r="A922" s="3"/>
      <c r="B922" s="10"/>
      <c r="C922" s="10"/>
      <c r="D922" s="14"/>
      <c r="E922" s="14"/>
      <c r="F922" s="14"/>
      <c r="G922" s="14"/>
      <c r="H922" s="14"/>
      <c r="I922" s="14"/>
      <c r="J922" s="14"/>
      <c r="K922" s="1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14"/>
      <c r="AB922" s="20"/>
      <c r="AC922" s="20"/>
      <c r="AD922" s="20"/>
      <c r="AE922" s="20"/>
    </row>
    <row r="923">
      <c r="A923" s="3"/>
      <c r="B923" s="10"/>
      <c r="C923" s="10"/>
      <c r="D923" s="14"/>
      <c r="E923" s="14"/>
      <c r="F923" s="14"/>
      <c r="G923" s="14"/>
      <c r="H923" s="14"/>
      <c r="I923" s="14"/>
      <c r="J923" s="14"/>
      <c r="K923" s="1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14"/>
      <c r="AB923" s="20"/>
      <c r="AC923" s="20"/>
      <c r="AD923" s="20"/>
      <c r="AE923" s="20"/>
    </row>
    <row r="924">
      <c r="A924" s="3"/>
      <c r="B924" s="10"/>
      <c r="C924" s="10"/>
      <c r="D924" s="14"/>
      <c r="E924" s="14"/>
      <c r="F924" s="14"/>
      <c r="G924" s="14"/>
      <c r="H924" s="14"/>
      <c r="I924" s="14"/>
      <c r="J924" s="14"/>
      <c r="K924" s="1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14"/>
      <c r="AB924" s="20"/>
      <c r="AC924" s="20"/>
      <c r="AD924" s="20"/>
      <c r="AE924" s="20"/>
    </row>
    <row r="925">
      <c r="A925" s="3"/>
      <c r="B925" s="10"/>
      <c r="C925" s="10"/>
      <c r="D925" s="14"/>
      <c r="E925" s="14"/>
      <c r="F925" s="14"/>
      <c r="G925" s="14"/>
      <c r="H925" s="14"/>
      <c r="I925" s="14"/>
      <c r="J925" s="14"/>
      <c r="K925" s="1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14"/>
      <c r="AB925" s="20"/>
      <c r="AC925" s="20"/>
      <c r="AD925" s="20"/>
      <c r="AE925" s="20"/>
    </row>
    <row r="926">
      <c r="A926" s="3"/>
      <c r="B926" s="10"/>
      <c r="C926" s="10"/>
      <c r="D926" s="14"/>
      <c r="E926" s="14"/>
      <c r="F926" s="14"/>
      <c r="G926" s="14"/>
      <c r="H926" s="14"/>
      <c r="I926" s="14"/>
      <c r="J926" s="14"/>
      <c r="K926" s="1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14"/>
      <c r="AB926" s="20"/>
      <c r="AC926" s="20"/>
      <c r="AD926" s="20"/>
      <c r="AE926" s="20"/>
    </row>
    <row r="927">
      <c r="A927" s="3"/>
      <c r="B927" s="10"/>
      <c r="C927" s="10"/>
      <c r="D927" s="14"/>
      <c r="E927" s="14"/>
      <c r="F927" s="14"/>
      <c r="G927" s="14"/>
      <c r="H927" s="14"/>
      <c r="I927" s="14"/>
      <c r="J927" s="14"/>
      <c r="K927" s="1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14"/>
      <c r="AB927" s="20"/>
      <c r="AC927" s="20"/>
      <c r="AD927" s="20"/>
      <c r="AE927" s="20"/>
    </row>
    <row r="928">
      <c r="A928" s="3"/>
      <c r="B928" s="10"/>
      <c r="C928" s="10"/>
      <c r="D928" s="14"/>
      <c r="E928" s="14"/>
      <c r="F928" s="14"/>
      <c r="G928" s="14"/>
      <c r="H928" s="14"/>
      <c r="I928" s="14"/>
      <c r="J928" s="14"/>
      <c r="K928" s="1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14"/>
      <c r="AB928" s="20"/>
      <c r="AC928" s="20"/>
      <c r="AD928" s="20"/>
      <c r="AE928" s="20"/>
    </row>
    <row r="929">
      <c r="A929" s="3"/>
      <c r="B929" s="10"/>
      <c r="C929" s="10"/>
      <c r="D929" s="14"/>
      <c r="E929" s="14"/>
      <c r="F929" s="14"/>
      <c r="G929" s="14"/>
      <c r="H929" s="14"/>
      <c r="I929" s="14"/>
      <c r="J929" s="14"/>
      <c r="K929" s="1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14"/>
      <c r="AB929" s="20"/>
      <c r="AC929" s="20"/>
      <c r="AD929" s="20"/>
      <c r="AE929" s="20"/>
    </row>
    <row r="930">
      <c r="A930" s="3"/>
      <c r="B930" s="10"/>
      <c r="C930" s="10"/>
      <c r="D930" s="14"/>
      <c r="E930" s="14"/>
      <c r="F930" s="14"/>
      <c r="G930" s="14"/>
      <c r="H930" s="14"/>
      <c r="I930" s="14"/>
      <c r="J930" s="14"/>
      <c r="K930" s="1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14"/>
      <c r="AB930" s="20"/>
      <c r="AC930" s="20"/>
      <c r="AD930" s="20"/>
      <c r="AE930" s="20"/>
    </row>
    <row r="931">
      <c r="A931" s="3"/>
      <c r="B931" s="10"/>
      <c r="C931" s="10"/>
      <c r="D931" s="14"/>
      <c r="E931" s="14"/>
      <c r="F931" s="14"/>
      <c r="G931" s="14"/>
      <c r="H931" s="14"/>
      <c r="I931" s="14"/>
      <c r="J931" s="14"/>
      <c r="K931" s="1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14"/>
      <c r="AB931" s="20"/>
      <c r="AC931" s="20"/>
      <c r="AD931" s="20"/>
      <c r="AE931" s="20"/>
    </row>
    <row r="932">
      <c r="A932" s="3"/>
      <c r="B932" s="10"/>
      <c r="C932" s="10"/>
      <c r="D932" s="14"/>
      <c r="E932" s="14"/>
      <c r="F932" s="14"/>
      <c r="G932" s="14"/>
      <c r="H932" s="14"/>
      <c r="I932" s="14"/>
      <c r="J932" s="14"/>
      <c r="K932" s="1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14"/>
      <c r="AB932" s="20"/>
      <c r="AC932" s="20"/>
      <c r="AD932" s="20"/>
      <c r="AE932" s="20"/>
    </row>
    <row r="933">
      <c r="A933" s="3"/>
      <c r="B933" s="10"/>
      <c r="C933" s="10"/>
      <c r="D933" s="14"/>
      <c r="E933" s="14"/>
      <c r="F933" s="14"/>
      <c r="G933" s="14"/>
      <c r="H933" s="14"/>
      <c r="I933" s="14"/>
      <c r="J933" s="14"/>
      <c r="K933" s="1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14"/>
      <c r="AB933" s="20"/>
      <c r="AC933" s="20"/>
      <c r="AD933" s="20"/>
      <c r="AE933" s="20"/>
    </row>
    <row r="934">
      <c r="A934" s="3"/>
      <c r="B934" s="10"/>
      <c r="C934" s="10"/>
      <c r="D934" s="14"/>
      <c r="E934" s="14"/>
      <c r="F934" s="14"/>
      <c r="G934" s="14"/>
      <c r="H934" s="14"/>
      <c r="I934" s="14"/>
      <c r="J934" s="14"/>
      <c r="K934" s="1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14"/>
      <c r="AB934" s="20"/>
      <c r="AC934" s="20"/>
      <c r="AD934" s="20"/>
      <c r="AE934" s="20"/>
    </row>
    <row r="935">
      <c r="A935" s="3"/>
      <c r="B935" s="10"/>
      <c r="C935" s="10"/>
      <c r="D935" s="14"/>
      <c r="E935" s="14"/>
      <c r="F935" s="14"/>
      <c r="G935" s="14"/>
      <c r="H935" s="14"/>
      <c r="I935" s="14"/>
      <c r="J935" s="14"/>
      <c r="K935" s="1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14"/>
      <c r="AB935" s="20"/>
      <c r="AC935" s="20"/>
      <c r="AD935" s="20"/>
      <c r="AE935" s="20"/>
    </row>
    <row r="936">
      <c r="A936" s="3"/>
      <c r="B936" s="10"/>
      <c r="C936" s="10"/>
      <c r="D936" s="14"/>
      <c r="E936" s="14"/>
      <c r="F936" s="14"/>
      <c r="G936" s="14"/>
      <c r="H936" s="14"/>
      <c r="I936" s="14"/>
      <c r="J936" s="14"/>
      <c r="K936" s="1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14"/>
      <c r="AB936" s="20"/>
      <c r="AC936" s="20"/>
      <c r="AD936" s="20"/>
      <c r="AE936" s="20"/>
    </row>
    <row r="937">
      <c r="A937" s="3"/>
      <c r="B937" s="10"/>
      <c r="C937" s="10"/>
      <c r="D937" s="14"/>
      <c r="E937" s="14"/>
      <c r="F937" s="14"/>
      <c r="G937" s="14"/>
      <c r="H937" s="14"/>
      <c r="I937" s="14"/>
      <c r="J937" s="14"/>
      <c r="K937" s="1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14"/>
      <c r="AB937" s="20"/>
      <c r="AC937" s="20"/>
      <c r="AD937" s="20"/>
      <c r="AE937" s="20"/>
    </row>
    <row r="938">
      <c r="A938" s="3"/>
      <c r="B938" s="10"/>
      <c r="C938" s="10"/>
      <c r="D938" s="14"/>
      <c r="E938" s="14"/>
      <c r="F938" s="14"/>
      <c r="G938" s="14"/>
      <c r="H938" s="14"/>
      <c r="I938" s="14"/>
      <c r="J938" s="14"/>
      <c r="K938" s="1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14"/>
      <c r="AB938" s="20"/>
      <c r="AC938" s="20"/>
      <c r="AD938" s="20"/>
      <c r="AE938" s="20"/>
    </row>
    <row r="939">
      <c r="A939" s="3"/>
      <c r="B939" s="10"/>
      <c r="C939" s="10"/>
      <c r="D939" s="14"/>
      <c r="E939" s="14"/>
      <c r="F939" s="14"/>
      <c r="G939" s="14"/>
      <c r="H939" s="14"/>
      <c r="I939" s="14"/>
      <c r="J939" s="14"/>
      <c r="K939" s="1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14"/>
      <c r="AB939" s="20"/>
      <c r="AC939" s="20"/>
      <c r="AD939" s="20"/>
      <c r="AE939" s="20"/>
    </row>
    <row r="940">
      <c r="A940" s="3"/>
      <c r="B940" s="10"/>
      <c r="C940" s="10"/>
      <c r="D940" s="14"/>
      <c r="E940" s="14"/>
      <c r="F940" s="14"/>
      <c r="G940" s="14"/>
      <c r="H940" s="14"/>
      <c r="I940" s="14"/>
      <c r="J940" s="14"/>
      <c r="K940" s="1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14"/>
      <c r="AB940" s="20"/>
      <c r="AC940" s="20"/>
      <c r="AD940" s="20"/>
      <c r="AE940" s="20"/>
    </row>
    <row r="941">
      <c r="A941" s="3"/>
      <c r="B941" s="10"/>
      <c r="C941" s="10"/>
      <c r="D941" s="14"/>
      <c r="E941" s="14"/>
      <c r="F941" s="14"/>
      <c r="G941" s="14"/>
      <c r="H941" s="14"/>
      <c r="I941" s="14"/>
      <c r="J941" s="14"/>
      <c r="K941" s="1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14"/>
      <c r="AB941" s="20"/>
      <c r="AC941" s="20"/>
      <c r="AD941" s="20"/>
      <c r="AE941" s="20"/>
    </row>
    <row r="942">
      <c r="A942" s="3"/>
      <c r="B942" s="10"/>
      <c r="C942" s="10"/>
      <c r="D942" s="14"/>
      <c r="E942" s="14"/>
      <c r="F942" s="14"/>
      <c r="G942" s="14"/>
      <c r="H942" s="14"/>
      <c r="I942" s="14"/>
      <c r="J942" s="14"/>
      <c r="K942" s="1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14"/>
      <c r="AB942" s="20"/>
      <c r="AC942" s="20"/>
      <c r="AD942" s="20"/>
      <c r="AE942" s="20"/>
    </row>
    <row r="943">
      <c r="A943" s="3"/>
      <c r="B943" s="10"/>
      <c r="C943" s="10"/>
      <c r="D943" s="14"/>
      <c r="E943" s="14"/>
      <c r="F943" s="14"/>
      <c r="G943" s="14"/>
      <c r="H943" s="14"/>
      <c r="I943" s="14"/>
      <c r="J943" s="14"/>
      <c r="K943" s="1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14"/>
      <c r="AB943" s="20"/>
      <c r="AC943" s="20"/>
      <c r="AD943" s="20"/>
      <c r="AE943" s="20"/>
    </row>
    <row r="944">
      <c r="A944" s="3"/>
      <c r="B944" s="10"/>
      <c r="C944" s="10"/>
      <c r="D944" s="14"/>
      <c r="E944" s="14"/>
      <c r="F944" s="14"/>
      <c r="G944" s="14"/>
      <c r="H944" s="14"/>
      <c r="I944" s="14"/>
      <c r="J944" s="14"/>
      <c r="K944" s="1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14"/>
      <c r="AB944" s="20"/>
      <c r="AC944" s="20"/>
      <c r="AD944" s="20"/>
      <c r="AE944" s="20"/>
    </row>
    <row r="945">
      <c r="A945" s="3"/>
      <c r="B945" s="10"/>
      <c r="C945" s="10"/>
      <c r="D945" s="14"/>
      <c r="E945" s="14"/>
      <c r="F945" s="14"/>
      <c r="G945" s="14"/>
      <c r="H945" s="14"/>
      <c r="I945" s="14"/>
      <c r="J945" s="14"/>
      <c r="K945" s="1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14"/>
      <c r="AB945" s="20"/>
      <c r="AC945" s="20"/>
      <c r="AD945" s="20"/>
      <c r="AE945" s="20"/>
    </row>
    <row r="946">
      <c r="A946" s="3"/>
      <c r="B946" s="10"/>
      <c r="C946" s="10"/>
      <c r="D946" s="14"/>
      <c r="E946" s="14"/>
      <c r="F946" s="14"/>
      <c r="G946" s="14"/>
      <c r="H946" s="14"/>
      <c r="I946" s="14"/>
      <c r="J946" s="14"/>
      <c r="K946" s="1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14"/>
      <c r="AB946" s="20"/>
      <c r="AC946" s="20"/>
      <c r="AD946" s="20"/>
      <c r="AE946" s="20"/>
    </row>
    <row r="947">
      <c r="A947" s="3"/>
      <c r="B947" s="10"/>
      <c r="C947" s="10"/>
      <c r="D947" s="14"/>
      <c r="E947" s="14"/>
      <c r="F947" s="14"/>
      <c r="G947" s="14"/>
      <c r="H947" s="14"/>
      <c r="I947" s="14"/>
      <c r="J947" s="14"/>
      <c r="K947" s="1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14"/>
      <c r="AB947" s="20"/>
      <c r="AC947" s="20"/>
      <c r="AD947" s="20"/>
      <c r="AE947" s="20"/>
    </row>
    <row r="948">
      <c r="A948" s="3"/>
      <c r="B948" s="10"/>
      <c r="C948" s="10"/>
      <c r="D948" s="14"/>
      <c r="E948" s="14"/>
      <c r="F948" s="14"/>
      <c r="G948" s="14"/>
      <c r="H948" s="14"/>
      <c r="I948" s="14"/>
      <c r="J948" s="14"/>
      <c r="K948" s="1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14"/>
      <c r="AB948" s="20"/>
      <c r="AC948" s="20"/>
      <c r="AD948" s="20"/>
      <c r="AE948" s="20"/>
    </row>
    <row r="949">
      <c r="A949" s="3"/>
      <c r="B949" s="10"/>
      <c r="C949" s="10"/>
      <c r="D949" s="14"/>
      <c r="E949" s="14"/>
      <c r="F949" s="14"/>
      <c r="G949" s="14"/>
      <c r="H949" s="14"/>
      <c r="I949" s="14"/>
      <c r="J949" s="14"/>
      <c r="K949" s="1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14"/>
      <c r="AB949" s="20"/>
      <c r="AC949" s="20"/>
      <c r="AD949" s="20"/>
      <c r="AE949" s="20"/>
    </row>
    <row r="950">
      <c r="A950" s="3"/>
      <c r="B950" s="10"/>
      <c r="C950" s="10"/>
      <c r="D950" s="14"/>
      <c r="E950" s="14"/>
      <c r="F950" s="14"/>
      <c r="G950" s="14"/>
      <c r="H950" s="14"/>
      <c r="I950" s="14"/>
      <c r="J950" s="14"/>
      <c r="K950" s="1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14"/>
      <c r="AB950" s="20"/>
      <c r="AC950" s="20"/>
      <c r="AD950" s="20"/>
      <c r="AE950" s="20"/>
    </row>
    <row r="951">
      <c r="A951" s="3"/>
      <c r="B951" s="10"/>
      <c r="C951" s="10"/>
      <c r="D951" s="14"/>
      <c r="E951" s="14"/>
      <c r="F951" s="14"/>
      <c r="G951" s="14"/>
      <c r="H951" s="14"/>
      <c r="I951" s="14"/>
      <c r="J951" s="14"/>
      <c r="K951" s="1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14"/>
      <c r="AB951" s="20"/>
      <c r="AC951" s="20"/>
      <c r="AD951" s="20"/>
      <c r="AE951" s="20"/>
    </row>
    <row r="952">
      <c r="A952" s="3"/>
      <c r="B952" s="10"/>
      <c r="C952" s="10"/>
      <c r="D952" s="14"/>
      <c r="E952" s="14"/>
      <c r="F952" s="14"/>
      <c r="G952" s="14"/>
      <c r="H952" s="14"/>
      <c r="I952" s="14"/>
      <c r="J952" s="14"/>
      <c r="K952" s="1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14"/>
      <c r="AB952" s="20"/>
      <c r="AC952" s="20"/>
      <c r="AD952" s="20"/>
      <c r="AE952" s="20"/>
    </row>
    <row r="953">
      <c r="A953" s="3"/>
      <c r="B953" s="10"/>
      <c r="C953" s="10"/>
      <c r="D953" s="14"/>
      <c r="E953" s="14"/>
      <c r="F953" s="14"/>
      <c r="G953" s="14"/>
      <c r="H953" s="14"/>
      <c r="I953" s="14"/>
      <c r="J953" s="14"/>
      <c r="K953" s="1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14"/>
      <c r="AB953" s="20"/>
      <c r="AC953" s="20"/>
      <c r="AD953" s="20"/>
      <c r="AE953" s="20"/>
    </row>
    <row r="954">
      <c r="A954" s="3"/>
      <c r="B954" s="10"/>
      <c r="C954" s="10"/>
      <c r="D954" s="14"/>
      <c r="E954" s="14"/>
      <c r="F954" s="14"/>
      <c r="G954" s="14"/>
      <c r="H954" s="14"/>
      <c r="I954" s="14"/>
      <c r="J954" s="14"/>
      <c r="K954" s="1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14"/>
      <c r="AB954" s="20"/>
      <c r="AC954" s="20"/>
      <c r="AD954" s="20"/>
      <c r="AE954" s="20"/>
    </row>
    <row r="955">
      <c r="A955" s="3"/>
      <c r="B955" s="10"/>
      <c r="C955" s="10"/>
      <c r="D955" s="14"/>
      <c r="E955" s="14"/>
      <c r="F955" s="14"/>
      <c r="G955" s="14"/>
      <c r="H955" s="14"/>
      <c r="I955" s="14"/>
      <c r="J955" s="14"/>
      <c r="K955" s="1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14"/>
      <c r="AB955" s="20"/>
      <c r="AC955" s="20"/>
      <c r="AD955" s="20"/>
      <c r="AE955" s="20"/>
    </row>
    <row r="956">
      <c r="A956" s="3"/>
      <c r="B956" s="10"/>
      <c r="C956" s="10"/>
      <c r="D956" s="14"/>
      <c r="E956" s="14"/>
      <c r="F956" s="14"/>
      <c r="G956" s="14"/>
      <c r="H956" s="14"/>
      <c r="I956" s="14"/>
      <c r="J956" s="14"/>
      <c r="K956" s="1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14"/>
      <c r="AB956" s="20"/>
      <c r="AC956" s="20"/>
      <c r="AD956" s="20"/>
      <c r="AE956" s="20"/>
    </row>
    <row r="957">
      <c r="A957" s="3"/>
      <c r="B957" s="10"/>
      <c r="C957" s="10"/>
      <c r="D957" s="14"/>
      <c r="E957" s="14"/>
      <c r="F957" s="14"/>
      <c r="G957" s="14"/>
      <c r="H957" s="14"/>
      <c r="I957" s="14"/>
      <c r="J957" s="14"/>
      <c r="K957" s="1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14"/>
      <c r="AB957" s="20"/>
      <c r="AC957" s="20"/>
      <c r="AD957" s="20"/>
      <c r="AE957" s="20"/>
    </row>
    <row r="958">
      <c r="A958" s="3"/>
      <c r="B958" s="10"/>
      <c r="C958" s="10"/>
      <c r="D958" s="14"/>
      <c r="E958" s="14"/>
      <c r="F958" s="14"/>
      <c r="G958" s="14"/>
      <c r="H958" s="14"/>
      <c r="I958" s="14"/>
      <c r="J958" s="14"/>
      <c r="K958" s="1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14"/>
      <c r="AB958" s="20"/>
      <c r="AC958" s="20"/>
      <c r="AD958" s="20"/>
      <c r="AE958" s="20"/>
    </row>
    <row r="959">
      <c r="A959" s="3"/>
      <c r="B959" s="10"/>
      <c r="C959" s="10"/>
      <c r="D959" s="14"/>
      <c r="E959" s="14"/>
      <c r="F959" s="14"/>
      <c r="G959" s="14"/>
      <c r="H959" s="14"/>
      <c r="I959" s="14"/>
      <c r="J959" s="14"/>
      <c r="K959" s="1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14"/>
      <c r="AB959" s="20"/>
      <c r="AC959" s="20"/>
      <c r="AD959" s="20"/>
      <c r="AE959" s="20"/>
    </row>
    <row r="960">
      <c r="A960" s="3"/>
      <c r="B960" s="10"/>
      <c r="C960" s="10"/>
      <c r="D960" s="14"/>
      <c r="E960" s="14"/>
      <c r="F960" s="14"/>
      <c r="G960" s="14"/>
      <c r="H960" s="14"/>
      <c r="I960" s="14"/>
      <c r="J960" s="14"/>
      <c r="K960" s="1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14"/>
      <c r="AB960" s="20"/>
      <c r="AC960" s="20"/>
      <c r="AD960" s="20"/>
      <c r="AE960" s="20"/>
    </row>
    <row r="961">
      <c r="A961" s="3"/>
      <c r="B961" s="10"/>
      <c r="C961" s="10"/>
      <c r="D961" s="14"/>
      <c r="E961" s="14"/>
      <c r="F961" s="14"/>
      <c r="G961" s="14"/>
      <c r="H961" s="14"/>
      <c r="I961" s="14"/>
      <c r="J961" s="14"/>
      <c r="K961" s="1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14"/>
      <c r="AB961" s="20"/>
      <c r="AC961" s="20"/>
      <c r="AD961" s="20"/>
      <c r="AE961" s="20"/>
    </row>
    <row r="962">
      <c r="A962" s="3"/>
      <c r="B962" s="10"/>
      <c r="C962" s="10"/>
      <c r="D962" s="14"/>
      <c r="E962" s="14"/>
      <c r="F962" s="14"/>
      <c r="G962" s="14"/>
      <c r="H962" s="14"/>
      <c r="I962" s="14"/>
      <c r="J962" s="14"/>
      <c r="K962" s="1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14"/>
      <c r="AB962" s="20"/>
      <c r="AC962" s="20"/>
      <c r="AD962" s="20"/>
      <c r="AE962" s="20"/>
    </row>
    <row r="963">
      <c r="A963" s="3"/>
      <c r="B963" s="10"/>
      <c r="C963" s="10"/>
      <c r="D963" s="14"/>
      <c r="E963" s="14"/>
      <c r="F963" s="14"/>
      <c r="G963" s="14"/>
      <c r="H963" s="14"/>
      <c r="I963" s="14"/>
      <c r="J963" s="14"/>
      <c r="K963" s="1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14"/>
      <c r="AB963" s="20"/>
      <c r="AC963" s="20"/>
      <c r="AD963" s="20"/>
      <c r="AE963" s="20"/>
    </row>
    <row r="964">
      <c r="A964" s="3"/>
      <c r="B964" s="10"/>
      <c r="C964" s="10"/>
      <c r="D964" s="14"/>
      <c r="E964" s="14"/>
      <c r="F964" s="14"/>
      <c r="G964" s="14"/>
      <c r="H964" s="14"/>
      <c r="I964" s="14"/>
      <c r="J964" s="14"/>
      <c r="K964" s="1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14"/>
      <c r="AB964" s="20"/>
      <c r="AC964" s="20"/>
      <c r="AD964" s="20"/>
      <c r="AE964" s="20"/>
    </row>
    <row r="965">
      <c r="A965" s="3"/>
      <c r="B965" s="10"/>
      <c r="C965" s="10"/>
      <c r="D965" s="14"/>
      <c r="E965" s="14"/>
      <c r="F965" s="14"/>
      <c r="G965" s="14"/>
      <c r="H965" s="14"/>
      <c r="I965" s="14"/>
      <c r="J965" s="14"/>
      <c r="K965" s="1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14"/>
      <c r="AB965" s="20"/>
      <c r="AC965" s="20"/>
      <c r="AD965" s="20"/>
      <c r="AE965" s="20"/>
    </row>
    <row r="966">
      <c r="A966" s="3"/>
      <c r="B966" s="10"/>
      <c r="C966" s="10"/>
      <c r="D966" s="14"/>
      <c r="E966" s="14"/>
      <c r="F966" s="14"/>
      <c r="G966" s="14"/>
      <c r="H966" s="14"/>
      <c r="I966" s="14"/>
      <c r="J966" s="14"/>
      <c r="K966" s="1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14"/>
      <c r="AB966" s="20"/>
      <c r="AC966" s="20"/>
      <c r="AD966" s="20"/>
      <c r="AE966" s="20"/>
    </row>
    <row r="967">
      <c r="A967" s="3"/>
      <c r="B967" s="10"/>
      <c r="C967" s="10"/>
      <c r="D967" s="14"/>
      <c r="E967" s="14"/>
      <c r="F967" s="14"/>
      <c r="G967" s="14"/>
      <c r="H967" s="14"/>
      <c r="I967" s="14"/>
      <c r="J967" s="14"/>
      <c r="K967" s="1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14"/>
      <c r="AB967" s="20"/>
      <c r="AC967" s="20"/>
      <c r="AD967" s="20"/>
      <c r="AE967" s="20"/>
    </row>
    <row r="968">
      <c r="A968" s="3"/>
      <c r="B968" s="10"/>
      <c r="C968" s="10"/>
      <c r="D968" s="14"/>
      <c r="E968" s="14"/>
      <c r="F968" s="14"/>
      <c r="G968" s="14"/>
      <c r="H968" s="14"/>
      <c r="I968" s="14"/>
      <c r="J968" s="14"/>
      <c r="K968" s="1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14"/>
      <c r="AB968" s="20"/>
      <c r="AC968" s="20"/>
      <c r="AD968" s="20"/>
      <c r="AE968" s="20"/>
    </row>
    <row r="969">
      <c r="A969" s="3"/>
      <c r="B969" s="10"/>
      <c r="C969" s="10"/>
      <c r="D969" s="14"/>
      <c r="E969" s="14"/>
      <c r="F969" s="14"/>
      <c r="G969" s="14"/>
      <c r="H969" s="14"/>
      <c r="I969" s="14"/>
      <c r="J969" s="14"/>
      <c r="K969" s="1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14"/>
      <c r="AB969" s="20"/>
      <c r="AC969" s="20"/>
      <c r="AD969" s="20"/>
      <c r="AE969" s="20"/>
    </row>
    <row r="970">
      <c r="A970" s="3"/>
      <c r="B970" s="10"/>
      <c r="C970" s="10"/>
      <c r="D970" s="14"/>
      <c r="E970" s="14"/>
      <c r="F970" s="14"/>
      <c r="G970" s="14"/>
      <c r="H970" s="14"/>
      <c r="I970" s="14"/>
      <c r="J970" s="14"/>
      <c r="K970" s="1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14"/>
      <c r="AB970" s="20"/>
      <c r="AC970" s="20"/>
      <c r="AD970" s="20"/>
      <c r="AE970" s="20"/>
    </row>
    <row r="971">
      <c r="A971" s="3"/>
      <c r="B971" s="10"/>
      <c r="C971" s="10"/>
      <c r="D971" s="14"/>
      <c r="E971" s="14"/>
      <c r="F971" s="14"/>
      <c r="G971" s="14"/>
      <c r="H971" s="14"/>
      <c r="I971" s="14"/>
      <c r="J971" s="14"/>
      <c r="K971" s="1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14"/>
      <c r="AB971" s="20"/>
      <c r="AC971" s="20"/>
      <c r="AD971" s="20"/>
      <c r="AE971" s="20"/>
    </row>
    <row r="972">
      <c r="A972" s="3"/>
      <c r="B972" s="10"/>
      <c r="C972" s="10"/>
      <c r="D972" s="14"/>
      <c r="E972" s="14"/>
      <c r="F972" s="14"/>
      <c r="G972" s="14"/>
      <c r="H972" s="14"/>
      <c r="I972" s="14"/>
      <c r="J972" s="14"/>
      <c r="K972" s="1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14"/>
      <c r="AB972" s="20"/>
      <c r="AC972" s="20"/>
      <c r="AD972" s="20"/>
      <c r="AE972" s="20"/>
    </row>
    <row r="973">
      <c r="A973" s="3"/>
      <c r="B973" s="10"/>
      <c r="C973" s="10"/>
      <c r="D973" s="14"/>
      <c r="E973" s="14"/>
      <c r="F973" s="14"/>
      <c r="G973" s="14"/>
      <c r="H973" s="14"/>
      <c r="I973" s="14"/>
      <c r="J973" s="14"/>
      <c r="K973" s="1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14"/>
      <c r="AB973" s="20"/>
      <c r="AC973" s="20"/>
      <c r="AD973" s="20"/>
      <c r="AE973" s="20"/>
    </row>
    <row r="974">
      <c r="A974" s="3"/>
      <c r="B974" s="10"/>
      <c r="C974" s="10"/>
      <c r="D974" s="14"/>
      <c r="E974" s="14"/>
      <c r="F974" s="14"/>
      <c r="G974" s="14"/>
      <c r="H974" s="14"/>
      <c r="I974" s="14"/>
      <c r="J974" s="14"/>
      <c r="K974" s="1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14"/>
      <c r="AB974" s="20"/>
      <c r="AC974" s="20"/>
      <c r="AD974" s="20"/>
      <c r="AE974" s="20"/>
    </row>
    <row r="975">
      <c r="A975" s="3"/>
      <c r="B975" s="10"/>
      <c r="C975" s="10"/>
      <c r="D975" s="14"/>
      <c r="E975" s="14"/>
      <c r="F975" s="14"/>
      <c r="G975" s="14"/>
      <c r="H975" s="14"/>
      <c r="I975" s="14"/>
      <c r="J975" s="14"/>
      <c r="K975" s="1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14"/>
      <c r="AB975" s="20"/>
      <c r="AC975" s="20"/>
      <c r="AD975" s="20"/>
      <c r="AE975" s="20"/>
    </row>
    <row r="976">
      <c r="A976" s="3"/>
      <c r="B976" s="10"/>
      <c r="C976" s="10"/>
      <c r="D976" s="14"/>
      <c r="E976" s="14"/>
      <c r="F976" s="14"/>
      <c r="G976" s="14"/>
      <c r="H976" s="14"/>
      <c r="I976" s="14"/>
      <c r="J976" s="14"/>
      <c r="K976" s="1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14"/>
      <c r="AB976" s="20"/>
      <c r="AC976" s="20"/>
      <c r="AD976" s="20"/>
      <c r="AE976" s="20"/>
    </row>
    <row r="977">
      <c r="A977" s="3"/>
      <c r="B977" s="10"/>
      <c r="C977" s="10"/>
      <c r="D977" s="14"/>
      <c r="E977" s="14"/>
      <c r="F977" s="14"/>
      <c r="G977" s="14"/>
      <c r="H977" s="14"/>
      <c r="I977" s="14"/>
      <c r="J977" s="14"/>
      <c r="K977" s="1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14"/>
      <c r="AB977" s="20"/>
      <c r="AC977" s="20"/>
      <c r="AD977" s="20"/>
      <c r="AE977" s="20"/>
    </row>
    <row r="978">
      <c r="A978" s="3"/>
      <c r="B978" s="10"/>
      <c r="C978" s="10"/>
      <c r="D978" s="14"/>
      <c r="E978" s="14"/>
      <c r="F978" s="14"/>
      <c r="G978" s="14"/>
      <c r="H978" s="14"/>
      <c r="I978" s="14"/>
      <c r="J978" s="14"/>
      <c r="K978" s="1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14"/>
      <c r="AB978" s="20"/>
      <c r="AC978" s="20"/>
      <c r="AD978" s="20"/>
      <c r="AE978" s="20"/>
    </row>
    <row r="979">
      <c r="A979" s="3"/>
      <c r="B979" s="10"/>
      <c r="C979" s="10"/>
      <c r="D979" s="14"/>
      <c r="E979" s="14"/>
      <c r="F979" s="14"/>
      <c r="G979" s="14"/>
      <c r="H979" s="14"/>
      <c r="I979" s="14"/>
      <c r="J979" s="14"/>
      <c r="K979" s="1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14"/>
      <c r="AB979" s="20"/>
      <c r="AC979" s="20"/>
      <c r="AD979" s="20"/>
      <c r="AE979" s="20"/>
    </row>
    <row r="980">
      <c r="A980" s="3"/>
      <c r="B980" s="10"/>
      <c r="C980" s="10"/>
      <c r="D980" s="14"/>
      <c r="E980" s="14"/>
      <c r="F980" s="14"/>
      <c r="G980" s="14"/>
      <c r="H980" s="14"/>
      <c r="I980" s="14"/>
      <c r="J980" s="14"/>
      <c r="K980" s="1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14"/>
      <c r="AB980" s="20"/>
      <c r="AC980" s="20"/>
      <c r="AD980" s="20"/>
      <c r="AE980" s="20"/>
    </row>
    <row r="981">
      <c r="A981" s="3"/>
      <c r="B981" s="10"/>
      <c r="C981" s="10"/>
      <c r="D981" s="14"/>
      <c r="E981" s="14"/>
      <c r="F981" s="14"/>
      <c r="G981" s="14"/>
      <c r="H981" s="14"/>
      <c r="I981" s="14"/>
      <c r="J981" s="14"/>
      <c r="K981" s="1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14"/>
      <c r="AB981" s="20"/>
      <c r="AC981" s="20"/>
      <c r="AD981" s="20"/>
      <c r="AE981" s="20"/>
    </row>
    <row r="982">
      <c r="A982" s="3"/>
      <c r="B982" s="10"/>
      <c r="C982" s="10"/>
      <c r="D982" s="14"/>
      <c r="E982" s="14"/>
      <c r="F982" s="14"/>
      <c r="G982" s="14"/>
      <c r="H982" s="14"/>
      <c r="I982" s="14"/>
      <c r="J982" s="14"/>
      <c r="K982" s="1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14"/>
      <c r="AB982" s="20"/>
      <c r="AC982" s="20"/>
      <c r="AD982" s="20"/>
      <c r="AE982" s="20"/>
    </row>
    <row r="983">
      <c r="A983" s="3"/>
      <c r="B983" s="10"/>
      <c r="C983" s="10"/>
      <c r="D983" s="14"/>
      <c r="E983" s="14"/>
      <c r="F983" s="14"/>
      <c r="G983" s="14"/>
      <c r="H983" s="14"/>
      <c r="I983" s="14"/>
      <c r="J983" s="14"/>
      <c r="K983" s="1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14"/>
      <c r="AB983" s="20"/>
      <c r="AC983" s="20"/>
      <c r="AD983" s="20"/>
      <c r="AE983" s="20"/>
    </row>
    <row r="984">
      <c r="A984" s="3"/>
      <c r="B984" s="10"/>
      <c r="C984" s="10"/>
      <c r="D984" s="14"/>
      <c r="E984" s="14"/>
      <c r="F984" s="14"/>
      <c r="G984" s="14"/>
      <c r="H984" s="14"/>
      <c r="I984" s="14"/>
      <c r="J984" s="14"/>
      <c r="K984" s="1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14"/>
      <c r="AB984" s="20"/>
      <c r="AC984" s="20"/>
      <c r="AD984" s="20"/>
      <c r="AE984" s="20"/>
    </row>
    <row r="985">
      <c r="A985" s="3"/>
      <c r="B985" s="10"/>
      <c r="C985" s="10"/>
      <c r="D985" s="14"/>
      <c r="E985" s="14"/>
      <c r="F985" s="14"/>
      <c r="G985" s="14"/>
      <c r="H985" s="14"/>
      <c r="I985" s="14"/>
      <c r="J985" s="14"/>
      <c r="K985" s="1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14"/>
      <c r="AB985" s="20"/>
      <c r="AC985" s="20"/>
      <c r="AD985" s="20"/>
      <c r="AE985" s="20"/>
    </row>
    <row r="986">
      <c r="A986" s="3"/>
      <c r="B986" s="10"/>
      <c r="C986" s="10"/>
      <c r="D986" s="14"/>
      <c r="E986" s="14"/>
      <c r="F986" s="14"/>
      <c r="G986" s="14"/>
      <c r="H986" s="14"/>
      <c r="I986" s="14"/>
      <c r="J986" s="14"/>
      <c r="K986" s="1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14"/>
      <c r="AB986" s="20"/>
      <c r="AC986" s="20"/>
      <c r="AD986" s="20"/>
      <c r="AE986" s="20"/>
    </row>
    <row r="987">
      <c r="A987" s="3"/>
      <c r="B987" s="10"/>
      <c r="C987" s="10"/>
      <c r="D987" s="14"/>
      <c r="E987" s="14"/>
      <c r="F987" s="14"/>
      <c r="G987" s="14"/>
      <c r="H987" s="14"/>
      <c r="I987" s="14"/>
      <c r="J987" s="14"/>
      <c r="K987" s="1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14"/>
      <c r="AB987" s="20"/>
      <c r="AC987" s="20"/>
      <c r="AD987" s="20"/>
      <c r="AE987" s="20"/>
    </row>
    <row r="988">
      <c r="A988" s="3"/>
      <c r="B988" s="10"/>
      <c r="C988" s="10"/>
      <c r="D988" s="14"/>
      <c r="E988" s="14"/>
      <c r="F988" s="14"/>
      <c r="G988" s="14"/>
      <c r="H988" s="14"/>
      <c r="I988" s="14"/>
      <c r="J988" s="14"/>
      <c r="K988" s="1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14"/>
      <c r="AB988" s="20"/>
      <c r="AC988" s="20"/>
      <c r="AD988" s="20"/>
      <c r="AE988" s="20"/>
    </row>
    <row r="989">
      <c r="A989" s="3"/>
      <c r="B989" s="10"/>
      <c r="C989" s="10"/>
      <c r="D989" s="14"/>
      <c r="E989" s="14"/>
      <c r="F989" s="14"/>
      <c r="G989" s="14"/>
      <c r="H989" s="14"/>
      <c r="I989" s="14"/>
      <c r="J989" s="14"/>
      <c r="K989" s="1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14"/>
      <c r="AB989" s="20"/>
      <c r="AC989" s="20"/>
      <c r="AD989" s="20"/>
      <c r="AE989" s="20"/>
    </row>
    <row r="990">
      <c r="A990" s="3"/>
      <c r="B990" s="10"/>
      <c r="C990" s="10"/>
      <c r="D990" s="14"/>
      <c r="E990" s="14"/>
      <c r="F990" s="14"/>
      <c r="G990" s="14"/>
      <c r="H990" s="14"/>
      <c r="I990" s="14"/>
      <c r="J990" s="14"/>
      <c r="K990" s="1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14"/>
      <c r="AB990" s="20"/>
      <c r="AC990" s="20"/>
      <c r="AD990" s="20"/>
      <c r="AE990" s="20"/>
    </row>
    <row r="991">
      <c r="A991" s="3"/>
      <c r="B991" s="10"/>
      <c r="C991" s="10"/>
      <c r="D991" s="14"/>
      <c r="E991" s="14"/>
      <c r="F991" s="14"/>
      <c r="G991" s="14"/>
      <c r="H991" s="14"/>
      <c r="I991" s="14"/>
      <c r="J991" s="14"/>
      <c r="K991" s="1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14"/>
      <c r="AB991" s="20"/>
      <c r="AC991" s="20"/>
      <c r="AD991" s="20"/>
      <c r="AE991" s="20"/>
    </row>
    <row r="992">
      <c r="A992" s="3"/>
      <c r="B992" s="10"/>
      <c r="C992" s="10"/>
      <c r="D992" s="14"/>
      <c r="E992" s="14"/>
      <c r="F992" s="14"/>
      <c r="G992" s="14"/>
      <c r="H992" s="14"/>
      <c r="I992" s="14"/>
      <c r="J992" s="14"/>
      <c r="K992" s="1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14"/>
      <c r="AB992" s="20"/>
      <c r="AC992" s="20"/>
      <c r="AD992" s="20"/>
      <c r="AE992" s="20"/>
    </row>
    <row r="993">
      <c r="A993" s="3"/>
      <c r="B993" s="10"/>
      <c r="C993" s="10"/>
      <c r="D993" s="14"/>
      <c r="E993" s="14"/>
      <c r="F993" s="14"/>
      <c r="G993" s="14"/>
      <c r="H993" s="14"/>
      <c r="I993" s="14"/>
      <c r="J993" s="14"/>
      <c r="K993" s="1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14"/>
      <c r="AB993" s="20"/>
      <c r="AC993" s="20"/>
      <c r="AD993" s="20"/>
      <c r="AE993" s="20"/>
    </row>
    <row r="994">
      <c r="A994" s="3"/>
      <c r="B994" s="10"/>
      <c r="C994" s="10"/>
      <c r="D994" s="14"/>
      <c r="E994" s="14"/>
      <c r="F994" s="14"/>
      <c r="G994" s="14"/>
      <c r="H994" s="14"/>
      <c r="I994" s="14"/>
      <c r="J994" s="14"/>
      <c r="K994" s="1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14"/>
      <c r="AB994" s="20"/>
      <c r="AC994" s="20"/>
      <c r="AD994" s="20"/>
      <c r="AE994" s="20"/>
    </row>
    <row r="995">
      <c r="A995" s="3"/>
      <c r="B995" s="10"/>
      <c r="C995" s="10"/>
      <c r="D995" s="14"/>
      <c r="E995" s="14"/>
      <c r="F995" s="14"/>
      <c r="G995" s="14"/>
      <c r="H995" s="14"/>
      <c r="I995" s="14"/>
      <c r="J995" s="14"/>
      <c r="K995" s="1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14"/>
      <c r="AB995" s="20"/>
      <c r="AC995" s="20"/>
      <c r="AD995" s="20"/>
      <c r="AE995" s="20"/>
    </row>
    <row r="996">
      <c r="A996" s="3"/>
      <c r="B996" s="10"/>
      <c r="C996" s="10"/>
      <c r="D996" s="14"/>
      <c r="E996" s="14"/>
      <c r="F996" s="14"/>
      <c r="G996" s="14"/>
      <c r="H996" s="14"/>
      <c r="I996" s="14"/>
      <c r="J996" s="14"/>
      <c r="K996" s="1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14"/>
      <c r="AB996" s="20"/>
      <c r="AC996" s="20"/>
      <c r="AD996" s="20"/>
      <c r="AE996" s="20"/>
    </row>
    <row r="997">
      <c r="A997" s="3"/>
      <c r="B997" s="10"/>
      <c r="C997" s="10"/>
      <c r="D997" s="14"/>
      <c r="E997" s="14"/>
      <c r="F997" s="14"/>
      <c r="G997" s="14"/>
      <c r="H997" s="14"/>
      <c r="I997" s="14"/>
      <c r="J997" s="14"/>
      <c r="K997" s="1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14"/>
      <c r="AB997" s="20"/>
      <c r="AC997" s="20"/>
      <c r="AD997" s="20"/>
      <c r="AE997" s="20"/>
    </row>
    <row r="998">
      <c r="A998" s="3"/>
      <c r="B998" s="10"/>
      <c r="C998" s="10"/>
      <c r="D998" s="14"/>
      <c r="E998" s="14"/>
      <c r="F998" s="14"/>
      <c r="G998" s="14"/>
      <c r="H998" s="14"/>
      <c r="I998" s="14"/>
      <c r="J998" s="14"/>
      <c r="K998" s="1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14"/>
      <c r="AB998" s="20"/>
      <c r="AC998" s="20"/>
      <c r="AD998" s="20"/>
      <c r="AE998" s="20"/>
    </row>
    <row r="999">
      <c r="A999" s="3"/>
      <c r="B999" s="10"/>
      <c r="C999" s="10"/>
      <c r="D999" s="14"/>
      <c r="E999" s="14"/>
      <c r="F999" s="14"/>
      <c r="G999" s="14"/>
      <c r="H999" s="14"/>
      <c r="I999" s="14"/>
      <c r="J999" s="14"/>
      <c r="K999" s="1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14"/>
      <c r="AB999" s="20"/>
      <c r="AC999" s="20"/>
      <c r="AD999" s="20"/>
      <c r="AE999" s="20"/>
    </row>
  </sheetData>
  <mergeCells count="2">
    <mergeCell ref="D2:M2"/>
    <mergeCell ref="N2:AC2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 outlineLevelCol="1"/>
  <cols>
    <col customWidth="1" min="1" max="1" width="2.29"/>
    <col customWidth="1" min="2" max="2" width="23.43"/>
    <col customWidth="1" min="3" max="3" width="9.43"/>
    <col customWidth="1" min="4" max="4" width="65.57"/>
    <col customWidth="1" min="5" max="5" width="12.57"/>
    <col customWidth="1" min="6" max="6" width="12.71"/>
    <col customWidth="1" min="7" max="8" width="13.43"/>
    <col customWidth="1" min="9" max="17" width="11.0"/>
  </cols>
  <sheetData>
    <row r="1" ht="9.75" customHeight="1">
      <c r="A1" s="69" t="s">
        <v>832</v>
      </c>
      <c r="B1" s="70"/>
      <c r="C1" s="20"/>
      <c r="D1" s="20"/>
      <c r="E1" s="14"/>
      <c r="F1" s="71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ht="84.0" customHeight="1">
      <c r="A2" s="20"/>
      <c r="B2" s="72" t="s">
        <v>833</v>
      </c>
      <c r="C2" s="73" t="s">
        <v>834</v>
      </c>
      <c r="D2" s="72" t="s">
        <v>835</v>
      </c>
      <c r="E2" s="74" t="s">
        <v>836</v>
      </c>
      <c r="F2" s="74" t="s">
        <v>837</v>
      </c>
      <c r="G2" s="75" t="s">
        <v>838</v>
      </c>
      <c r="H2" s="74" t="s">
        <v>840</v>
      </c>
      <c r="I2" s="75" t="s">
        <v>838</v>
      </c>
      <c r="J2" s="20"/>
      <c r="K2" s="20"/>
      <c r="L2" s="20"/>
      <c r="M2" s="20"/>
      <c r="N2" s="20"/>
      <c r="O2" s="20"/>
      <c r="P2" s="20"/>
      <c r="Q2" s="20"/>
    </row>
    <row r="3" ht="24.75" customHeight="1">
      <c r="A3" s="20"/>
      <c r="B3" s="76" t="s">
        <v>23</v>
      </c>
      <c r="C3" s="27"/>
      <c r="D3" s="5" t="s">
        <v>25</v>
      </c>
      <c r="E3" s="30">
        <v>860.0</v>
      </c>
      <c r="F3" s="30">
        <v>1020.0</v>
      </c>
      <c r="G3" s="77">
        <f t="shared" ref="G3:G4" si="1">IFERROR(DIVIDE(MINUS(F3,E3),E3),)</f>
        <v>0.1860465116</v>
      </c>
      <c r="H3" s="30">
        <v>940.0</v>
      </c>
      <c r="I3" s="77">
        <f t="shared" ref="I3:I4" si="2">IFERROR(DIVIDE(MINUS(F3,H3),H3),)</f>
        <v>0.08510638298</v>
      </c>
      <c r="J3" s="78"/>
      <c r="K3" s="20"/>
      <c r="L3" s="20"/>
      <c r="M3" s="20"/>
      <c r="N3" s="20"/>
      <c r="O3" s="20"/>
      <c r="P3" s="20"/>
      <c r="Q3" s="20"/>
    </row>
    <row r="4" ht="24.75" customHeight="1">
      <c r="A4" s="20"/>
      <c r="B4" s="76" t="s">
        <v>72</v>
      </c>
      <c r="C4" s="27"/>
      <c r="D4" s="5" t="s">
        <v>73</v>
      </c>
      <c r="E4" s="30">
        <v>900.0</v>
      </c>
      <c r="F4" s="30">
        <v>1060.0</v>
      </c>
      <c r="G4" s="77">
        <f t="shared" si="1"/>
        <v>0.1777777778</v>
      </c>
      <c r="H4" s="30">
        <v>980.0</v>
      </c>
      <c r="I4" s="77">
        <f t="shared" si="2"/>
        <v>0.08163265306</v>
      </c>
      <c r="J4" s="20"/>
      <c r="K4" s="20"/>
      <c r="L4" s="20"/>
      <c r="M4" s="20"/>
      <c r="N4" s="20"/>
      <c r="O4" s="20"/>
      <c r="P4" s="20"/>
      <c r="Q4" s="20"/>
    </row>
    <row r="5" ht="5.25" customHeight="1">
      <c r="A5" s="20"/>
      <c r="B5" s="79"/>
      <c r="C5" s="80"/>
      <c r="D5" s="80"/>
      <c r="E5" s="81"/>
      <c r="F5" s="81"/>
      <c r="G5" s="82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ht="24.75" customHeight="1">
      <c r="A6" s="20"/>
      <c r="B6" s="83" t="s">
        <v>80</v>
      </c>
      <c r="C6" s="5" t="s">
        <v>82</v>
      </c>
      <c r="D6" s="5" t="s">
        <v>84</v>
      </c>
      <c r="E6" s="30">
        <v>330.0</v>
      </c>
      <c r="F6" s="30">
        <v>360.0</v>
      </c>
      <c r="G6" s="77">
        <f t="shared" ref="G6:G8" si="3">IFERROR(DIVIDE(MINUS(F6,E6),E6),)</f>
        <v>0.09090909091</v>
      </c>
      <c r="H6" s="20"/>
      <c r="I6" s="20"/>
      <c r="J6" s="20"/>
      <c r="K6" s="20"/>
      <c r="L6" s="20"/>
      <c r="M6" s="20"/>
      <c r="N6" s="20"/>
      <c r="O6" s="20"/>
      <c r="P6" s="20"/>
      <c r="Q6" s="20"/>
    </row>
    <row r="7" ht="24.75" customHeight="1">
      <c r="A7" s="20"/>
      <c r="B7" s="84"/>
      <c r="C7" s="5" t="s">
        <v>151</v>
      </c>
      <c r="D7" s="5" t="s">
        <v>152</v>
      </c>
      <c r="E7" s="30">
        <v>1190.0</v>
      </c>
      <c r="F7" s="30">
        <v>1290.0</v>
      </c>
      <c r="G7" s="77">
        <f t="shared" si="3"/>
        <v>0.08403361345</v>
      </c>
      <c r="H7" s="20"/>
      <c r="I7" s="20"/>
      <c r="J7" s="20"/>
      <c r="K7" s="20"/>
      <c r="L7" s="20"/>
      <c r="M7" s="20"/>
      <c r="N7" s="20"/>
      <c r="O7" s="20"/>
      <c r="P7" s="20"/>
      <c r="Q7" s="20"/>
    </row>
    <row r="8" ht="24.75" customHeight="1">
      <c r="A8" s="20"/>
      <c r="B8" s="85"/>
      <c r="C8" s="5" t="s">
        <v>163</v>
      </c>
      <c r="D8" s="5" t="s">
        <v>165</v>
      </c>
      <c r="E8" s="30">
        <v>1230.0</v>
      </c>
      <c r="F8" s="30">
        <v>1330.0</v>
      </c>
      <c r="G8" s="77">
        <f t="shared" si="3"/>
        <v>0.08130081301</v>
      </c>
      <c r="H8" s="20"/>
      <c r="I8" s="20"/>
      <c r="J8" s="20"/>
      <c r="K8" s="20"/>
      <c r="L8" s="20"/>
      <c r="M8" s="20"/>
      <c r="N8" s="20"/>
      <c r="O8" s="20"/>
      <c r="P8" s="20"/>
      <c r="Q8" s="20"/>
    </row>
    <row r="9" ht="6.0" customHeight="1">
      <c r="A9" s="20"/>
      <c r="B9" s="62"/>
      <c r="C9" s="18"/>
      <c r="D9" s="18"/>
      <c r="E9" s="60"/>
      <c r="F9" s="60"/>
      <c r="G9" s="82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ht="24.75" customHeight="1">
      <c r="A10" s="20"/>
      <c r="B10" s="83" t="s">
        <v>98</v>
      </c>
      <c r="C10" s="5" t="s">
        <v>178</v>
      </c>
      <c r="D10" s="5" t="s">
        <v>84</v>
      </c>
      <c r="E10" s="30">
        <v>330.0</v>
      </c>
      <c r="F10" s="30">
        <v>360.0</v>
      </c>
      <c r="G10" s="77">
        <f t="shared" ref="G10:G12" si="4">IFERROR(DIVIDE(MINUS(F10,E10),E10),)</f>
        <v>0.09090909091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ht="24.75" customHeight="1">
      <c r="A11" s="20"/>
      <c r="B11" s="84"/>
      <c r="C11" s="5" t="s">
        <v>188</v>
      </c>
      <c r="D11" s="5" t="s">
        <v>152</v>
      </c>
      <c r="E11" s="30">
        <v>1190.0</v>
      </c>
      <c r="F11" s="30">
        <v>1290.0</v>
      </c>
      <c r="G11" s="77">
        <f t="shared" si="4"/>
        <v>0.08403361345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ht="24.75" customHeight="1">
      <c r="A12" s="20"/>
      <c r="B12" s="85"/>
      <c r="C12" s="5" t="s">
        <v>199</v>
      </c>
      <c r="D12" s="5" t="s">
        <v>165</v>
      </c>
      <c r="E12" s="30">
        <v>1230.0</v>
      </c>
      <c r="F12" s="30">
        <v>1330.0</v>
      </c>
      <c r="G12" s="77">
        <f t="shared" si="4"/>
        <v>0.08130081301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ht="6.75" customHeight="1">
      <c r="A13" s="20"/>
      <c r="B13" s="62"/>
      <c r="C13" s="18"/>
      <c r="D13" s="18"/>
      <c r="E13" s="60"/>
      <c r="F13" s="60"/>
      <c r="G13" s="82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ht="24.75" customHeight="1">
      <c r="A14" s="20"/>
      <c r="B14" s="83" t="s">
        <v>104</v>
      </c>
      <c r="C14" s="5" t="s">
        <v>211</v>
      </c>
      <c r="D14" s="5" t="s">
        <v>84</v>
      </c>
      <c r="E14" s="30">
        <v>330.0</v>
      </c>
      <c r="F14" s="30">
        <v>360.0</v>
      </c>
      <c r="G14" s="77">
        <f t="shared" ref="G14:G16" si="5">IFERROR(DIVIDE(MINUS(F14,E14),E14),)</f>
        <v>0.09090909091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5" ht="24.75" customHeight="1">
      <c r="A15" s="20"/>
      <c r="B15" s="84"/>
      <c r="C15" s="5" t="s">
        <v>226</v>
      </c>
      <c r="D15" s="5" t="s">
        <v>152</v>
      </c>
      <c r="E15" s="30">
        <v>1190.0</v>
      </c>
      <c r="F15" s="30">
        <v>1290.0</v>
      </c>
      <c r="G15" s="77">
        <f t="shared" si="5"/>
        <v>0.08403361345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ht="24.75" customHeight="1">
      <c r="A16" s="20"/>
      <c r="B16" s="85"/>
      <c r="C16" s="5" t="s">
        <v>249</v>
      </c>
      <c r="D16" s="5" t="s">
        <v>165</v>
      </c>
      <c r="E16" s="30">
        <v>1230.0</v>
      </c>
      <c r="F16" s="30">
        <v>1330.0</v>
      </c>
      <c r="G16" s="77">
        <f t="shared" si="5"/>
        <v>0.08130081301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ht="6.0" customHeight="1">
      <c r="A17" s="20"/>
      <c r="B17" s="62"/>
      <c r="C17" s="18"/>
      <c r="D17" s="18"/>
      <c r="E17" s="60"/>
      <c r="F17" s="60"/>
      <c r="G17" s="82"/>
      <c r="H17" s="20"/>
      <c r="I17" s="20"/>
      <c r="J17" s="20"/>
      <c r="K17" s="20"/>
      <c r="L17" s="20"/>
      <c r="M17" s="20"/>
      <c r="N17" s="20"/>
      <c r="O17" s="20"/>
      <c r="P17" s="20"/>
      <c r="Q17" s="20"/>
    </row>
    <row r="18" ht="24.75" customHeight="1">
      <c r="A18" s="20"/>
      <c r="B18" s="83" t="s">
        <v>120</v>
      </c>
      <c r="C18" s="5" t="s">
        <v>264</v>
      </c>
      <c r="D18" s="5" t="s">
        <v>84</v>
      </c>
      <c r="E18" s="30">
        <v>330.0</v>
      </c>
      <c r="F18" s="30">
        <v>360.0</v>
      </c>
      <c r="G18" s="77">
        <f t="shared" ref="G18:G20" si="6">IFERROR(DIVIDE(MINUS(F18,E18),E18),)</f>
        <v>0.09090909091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</row>
    <row r="19" ht="24.75" customHeight="1">
      <c r="A19" s="20"/>
      <c r="B19" s="84"/>
      <c r="C19" s="5" t="s">
        <v>279</v>
      </c>
      <c r="D19" s="5" t="s">
        <v>152</v>
      </c>
      <c r="E19" s="30">
        <v>1190.0</v>
      </c>
      <c r="F19" s="30">
        <v>1290.0</v>
      </c>
      <c r="G19" s="77">
        <f t="shared" si="6"/>
        <v>0.08403361345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ht="24.75" customHeight="1">
      <c r="A20" s="20"/>
      <c r="B20" s="85"/>
      <c r="C20" s="5" t="s">
        <v>292</v>
      </c>
      <c r="D20" s="5" t="s">
        <v>165</v>
      </c>
      <c r="E20" s="30">
        <v>1230.0</v>
      </c>
      <c r="F20" s="30">
        <v>1330.0</v>
      </c>
      <c r="G20" s="77">
        <f t="shared" si="6"/>
        <v>0.08130081301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ht="24.75" customHeight="1">
      <c r="A21" s="20"/>
      <c r="B21" s="62"/>
      <c r="C21" s="18"/>
      <c r="D21" s="18"/>
      <c r="E21" s="60"/>
      <c r="F21" s="60"/>
      <c r="G21" s="82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ht="26.25" customHeight="1">
      <c r="A22" s="20"/>
      <c r="B22" s="83" t="s">
        <v>846</v>
      </c>
      <c r="C22" s="86" t="s">
        <v>847</v>
      </c>
      <c r="D22" s="5" t="s">
        <v>678</v>
      </c>
      <c r="E22" s="53">
        <v>1256.0</v>
      </c>
      <c r="F22" s="30">
        <v>1398.0</v>
      </c>
      <c r="G22" s="77">
        <f t="shared" ref="G22:G33" si="7">IFERROR(DIVIDE(MINUS(F22,E22),E22),)</f>
        <v>0.1130573248</v>
      </c>
      <c r="H22" s="20"/>
      <c r="I22" s="60"/>
      <c r="J22" s="20"/>
      <c r="K22" s="20"/>
      <c r="L22" s="20"/>
      <c r="M22" s="20"/>
      <c r="N22" s="20"/>
      <c r="O22" s="20"/>
      <c r="P22" s="20"/>
      <c r="Q22" s="20"/>
    </row>
    <row r="23" ht="26.25" customHeight="1">
      <c r="A23" s="20"/>
      <c r="B23" s="85"/>
      <c r="C23" s="86" t="s">
        <v>849</v>
      </c>
      <c r="D23" s="5" t="s">
        <v>693</v>
      </c>
      <c r="E23" s="53">
        <v>1276.0</v>
      </c>
      <c r="F23" s="30">
        <v>1428.0</v>
      </c>
      <c r="G23" s="77">
        <f t="shared" si="7"/>
        <v>0.1191222571</v>
      </c>
      <c r="H23" s="20"/>
      <c r="I23" s="60"/>
      <c r="J23" s="20"/>
      <c r="K23" s="20"/>
      <c r="L23" s="20"/>
      <c r="M23" s="20"/>
      <c r="N23" s="20"/>
      <c r="O23" s="20"/>
      <c r="P23" s="20"/>
      <c r="Q23" s="20"/>
    </row>
    <row r="24" ht="26.25" customHeight="1">
      <c r="A24" s="20"/>
      <c r="B24" s="83" t="s">
        <v>41</v>
      </c>
      <c r="C24" s="87" t="s">
        <v>739</v>
      </c>
      <c r="D24" s="5" t="s">
        <v>678</v>
      </c>
      <c r="E24" s="53">
        <v>1256.0</v>
      </c>
      <c r="F24" s="30">
        <v>1398.0</v>
      </c>
      <c r="G24" s="77">
        <f t="shared" si="7"/>
        <v>0.1130573248</v>
      </c>
      <c r="H24" s="20"/>
      <c r="I24" s="60"/>
      <c r="J24" s="20"/>
      <c r="K24" s="20"/>
      <c r="L24" s="20"/>
      <c r="M24" s="20"/>
      <c r="N24" s="20"/>
      <c r="O24" s="20"/>
      <c r="P24" s="20"/>
      <c r="Q24" s="20"/>
    </row>
    <row r="25" ht="26.25" customHeight="1">
      <c r="A25" s="20"/>
      <c r="B25" s="85"/>
      <c r="C25" s="87" t="s">
        <v>741</v>
      </c>
      <c r="D25" s="5" t="s">
        <v>693</v>
      </c>
      <c r="E25" s="53">
        <v>1276.0</v>
      </c>
      <c r="F25" s="30">
        <v>1428.0</v>
      </c>
      <c r="G25" s="77">
        <f t="shared" si="7"/>
        <v>0.1191222571</v>
      </c>
      <c r="H25" s="20"/>
      <c r="I25" s="60"/>
      <c r="J25" s="20"/>
      <c r="K25" s="20"/>
      <c r="L25" s="20"/>
      <c r="M25" s="20"/>
      <c r="N25" s="20"/>
      <c r="O25" s="20"/>
      <c r="P25" s="20"/>
      <c r="Q25" s="20"/>
    </row>
    <row r="26" ht="26.25" customHeight="1">
      <c r="A26" s="20"/>
      <c r="B26" s="83" t="s">
        <v>62</v>
      </c>
      <c r="C26" s="5" t="s">
        <v>850</v>
      </c>
      <c r="D26" s="5" t="s">
        <v>678</v>
      </c>
      <c r="E26" s="53">
        <v>1236.0</v>
      </c>
      <c r="F26" s="30">
        <v>1384.0</v>
      </c>
      <c r="G26" s="77">
        <f t="shared" si="7"/>
        <v>0.1197411003</v>
      </c>
      <c r="H26" s="20"/>
      <c r="I26" s="60"/>
      <c r="J26" s="20"/>
      <c r="K26" s="20"/>
      <c r="L26" s="20"/>
      <c r="M26" s="20"/>
      <c r="N26" s="20"/>
      <c r="O26" s="20"/>
      <c r="P26" s="20"/>
      <c r="Q26" s="20"/>
    </row>
    <row r="27" ht="26.25" customHeight="1">
      <c r="A27" s="20"/>
      <c r="B27" s="85"/>
      <c r="C27" s="5" t="s">
        <v>852</v>
      </c>
      <c r="D27" s="5" t="s">
        <v>693</v>
      </c>
      <c r="E27" s="53">
        <v>1248.0</v>
      </c>
      <c r="F27" s="30">
        <v>1398.0</v>
      </c>
      <c r="G27" s="77">
        <f t="shared" si="7"/>
        <v>0.1201923077</v>
      </c>
      <c r="H27" s="20"/>
      <c r="I27" s="60"/>
      <c r="J27" s="20"/>
      <c r="K27" s="20"/>
      <c r="L27" s="20"/>
      <c r="M27" s="20"/>
      <c r="N27" s="20"/>
      <c r="O27" s="20"/>
      <c r="P27" s="20"/>
      <c r="Q27" s="20"/>
    </row>
    <row r="28" ht="26.25" customHeight="1">
      <c r="A28" s="20"/>
      <c r="B28" s="83" t="s">
        <v>98</v>
      </c>
      <c r="C28" s="5" t="s">
        <v>853</v>
      </c>
      <c r="D28" s="5" t="s">
        <v>678</v>
      </c>
      <c r="E28" s="53">
        <v>1548.0</v>
      </c>
      <c r="F28" s="30">
        <v>1734.0</v>
      </c>
      <c r="G28" s="77">
        <f t="shared" si="7"/>
        <v>0.1201550388</v>
      </c>
      <c r="H28" s="20"/>
      <c r="I28" s="60"/>
      <c r="J28" s="20"/>
      <c r="K28" s="20"/>
      <c r="L28" s="20"/>
      <c r="M28" s="20"/>
      <c r="N28" s="20"/>
      <c r="O28" s="20"/>
      <c r="P28" s="20"/>
      <c r="Q28" s="20"/>
    </row>
    <row r="29" ht="26.25" customHeight="1">
      <c r="A29" s="20"/>
      <c r="B29" s="85"/>
      <c r="C29" s="5" t="s">
        <v>854</v>
      </c>
      <c r="D29" s="5" t="s">
        <v>693</v>
      </c>
      <c r="E29" s="53">
        <v>1576.0</v>
      </c>
      <c r="F29" s="30">
        <v>1766.0</v>
      </c>
      <c r="G29" s="77">
        <f t="shared" si="7"/>
        <v>0.1205583756</v>
      </c>
      <c r="H29" s="20"/>
      <c r="I29" s="60"/>
      <c r="J29" s="20"/>
      <c r="K29" s="20"/>
      <c r="L29" s="20"/>
      <c r="M29" s="20"/>
      <c r="N29" s="20"/>
      <c r="O29" s="20"/>
      <c r="P29" s="20"/>
      <c r="Q29" s="20"/>
    </row>
    <row r="30" ht="26.25" customHeight="1">
      <c r="A30" s="20"/>
      <c r="B30" s="83" t="s">
        <v>80</v>
      </c>
      <c r="C30" s="5" t="s">
        <v>738</v>
      </c>
      <c r="D30" s="5" t="s">
        <v>678</v>
      </c>
      <c r="E30" s="30">
        <v>1318.0</v>
      </c>
      <c r="F30" s="30">
        <v>1476.0</v>
      </c>
      <c r="G30" s="77">
        <f t="shared" si="7"/>
        <v>0.1198786039</v>
      </c>
      <c r="H30" s="20"/>
      <c r="I30" s="60"/>
      <c r="J30" s="20"/>
      <c r="K30" s="20"/>
      <c r="L30" s="20"/>
      <c r="M30" s="20"/>
      <c r="N30" s="20"/>
      <c r="O30" s="20"/>
      <c r="P30" s="20"/>
      <c r="Q30" s="20"/>
    </row>
    <row r="31" ht="26.25" customHeight="1">
      <c r="A31" s="20"/>
      <c r="B31" s="85"/>
      <c r="C31" s="5" t="s">
        <v>740</v>
      </c>
      <c r="D31" s="5" t="s">
        <v>693</v>
      </c>
      <c r="E31" s="30">
        <v>1346.0</v>
      </c>
      <c r="F31" s="30">
        <v>1498.0</v>
      </c>
      <c r="G31" s="77">
        <f t="shared" si="7"/>
        <v>0.1129271917</v>
      </c>
      <c r="H31" s="20"/>
      <c r="I31" s="60"/>
      <c r="J31" s="20"/>
      <c r="K31" s="20"/>
      <c r="L31" s="20"/>
      <c r="M31" s="20"/>
      <c r="N31" s="20"/>
      <c r="O31" s="20"/>
      <c r="P31" s="20"/>
      <c r="Q31" s="20"/>
    </row>
    <row r="32" ht="26.25" customHeight="1">
      <c r="A32" s="20"/>
      <c r="B32" s="83" t="s">
        <v>120</v>
      </c>
      <c r="C32" s="5" t="s">
        <v>770</v>
      </c>
      <c r="D32" s="5" t="s">
        <v>678</v>
      </c>
      <c r="E32" s="30">
        <v>1328.0</v>
      </c>
      <c r="F32" s="30">
        <v>1486.0</v>
      </c>
      <c r="G32" s="77">
        <f t="shared" si="7"/>
        <v>0.1189759036</v>
      </c>
      <c r="H32" s="20"/>
      <c r="I32" s="60"/>
      <c r="J32" s="20"/>
      <c r="K32" s="20"/>
      <c r="L32" s="20"/>
      <c r="M32" s="20"/>
      <c r="N32" s="20"/>
      <c r="O32" s="20"/>
      <c r="P32" s="20"/>
      <c r="Q32" s="20"/>
    </row>
    <row r="33" ht="26.25" customHeight="1">
      <c r="A33" s="20"/>
      <c r="B33" s="85"/>
      <c r="C33" s="5" t="s">
        <v>771</v>
      </c>
      <c r="D33" s="5" t="s">
        <v>693</v>
      </c>
      <c r="E33" s="30">
        <v>1346.0</v>
      </c>
      <c r="F33" s="30">
        <v>1498.0</v>
      </c>
      <c r="G33" s="77">
        <f t="shared" si="7"/>
        <v>0.1129271917</v>
      </c>
      <c r="H33" s="20"/>
      <c r="I33" s="60"/>
      <c r="J33" s="20"/>
      <c r="K33" s="20"/>
      <c r="L33" s="20"/>
      <c r="M33" s="20"/>
      <c r="N33" s="20"/>
      <c r="O33" s="20"/>
      <c r="P33" s="20"/>
      <c r="Q33" s="20"/>
    </row>
    <row r="34">
      <c r="A34" s="20"/>
      <c r="B34" s="88"/>
      <c r="C34" s="20"/>
      <c r="D34" s="20"/>
      <c r="E34" s="14"/>
      <c r="F34" s="14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</row>
    <row r="35">
      <c r="A35" s="20"/>
      <c r="B35" s="88"/>
      <c r="C35" s="20"/>
      <c r="D35" s="20"/>
      <c r="E35" s="14"/>
      <c r="F35" s="14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  <row r="36">
      <c r="A36" s="20"/>
      <c r="B36" s="88"/>
      <c r="C36" s="20"/>
      <c r="D36" s="20"/>
      <c r="E36" s="14"/>
      <c r="F36" s="14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</row>
    <row r="37">
      <c r="A37" s="20"/>
      <c r="B37" s="88"/>
      <c r="C37" s="20"/>
      <c r="D37" s="20"/>
      <c r="E37" s="14"/>
      <c r="F37" s="14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</row>
    <row r="38">
      <c r="A38" s="20"/>
      <c r="B38" s="88"/>
      <c r="C38" s="20"/>
      <c r="D38" s="20"/>
      <c r="E38" s="14"/>
      <c r="F38" s="14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</row>
    <row r="39">
      <c r="A39" s="20"/>
      <c r="B39" s="88"/>
      <c r="C39" s="20"/>
      <c r="D39" s="20"/>
      <c r="E39" s="14"/>
      <c r="F39" s="14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>
      <c r="A40" s="20"/>
      <c r="B40" s="88"/>
      <c r="C40" s="20"/>
      <c r="D40" s="20"/>
      <c r="E40" s="14"/>
      <c r="F40" s="14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</row>
    <row r="41">
      <c r="A41" s="20"/>
      <c r="B41" s="88"/>
      <c r="C41" s="20"/>
      <c r="D41" s="20"/>
      <c r="E41" s="14"/>
      <c r="F41" s="14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</row>
    <row r="42">
      <c r="A42" s="20"/>
      <c r="B42" s="88"/>
      <c r="C42" s="20"/>
      <c r="D42" s="20"/>
      <c r="E42" s="14"/>
      <c r="F42" s="14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>
      <c r="A43" s="20"/>
      <c r="B43" s="88"/>
      <c r="C43" s="20"/>
      <c r="D43" s="20"/>
      <c r="E43" s="14"/>
      <c r="F43" s="14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>
      <c r="A44" s="20"/>
      <c r="B44" s="88"/>
      <c r="C44" s="20"/>
      <c r="D44" s="20"/>
      <c r="E44" s="14"/>
      <c r="F44" s="14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</row>
    <row r="45">
      <c r="A45" s="20"/>
      <c r="B45" s="88"/>
      <c r="C45" s="20"/>
      <c r="D45" s="20"/>
      <c r="E45" s="14"/>
      <c r="F45" s="14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</row>
    <row r="46">
      <c r="A46" s="20"/>
      <c r="B46" s="88"/>
      <c r="C46" s="20"/>
      <c r="D46" s="20"/>
      <c r="E46" s="14"/>
      <c r="F46" s="14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</row>
    <row r="47">
      <c r="A47" s="20"/>
      <c r="B47" s="88"/>
      <c r="C47" s="20"/>
      <c r="D47" s="20"/>
      <c r="E47" s="14"/>
      <c r="F47" s="14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>
      <c r="A48" s="20"/>
      <c r="B48" s="88"/>
      <c r="C48" s="20"/>
      <c r="D48" s="20"/>
      <c r="E48" s="14"/>
      <c r="F48" s="14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>
      <c r="A49" s="20"/>
      <c r="B49" s="88"/>
      <c r="C49" s="20"/>
      <c r="D49" s="20"/>
      <c r="E49" s="14"/>
      <c r="F49" s="14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</row>
    <row r="50">
      <c r="A50" s="20"/>
      <c r="B50" s="88"/>
      <c r="C50" s="20"/>
      <c r="D50" s="20"/>
      <c r="E50" s="14"/>
      <c r="F50" s="14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</row>
    <row r="51">
      <c r="A51" s="20"/>
      <c r="B51" s="88"/>
      <c r="C51" s="20"/>
      <c r="D51" s="20"/>
      <c r="E51" s="14"/>
      <c r="F51" s="14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</row>
    <row r="52">
      <c r="A52" s="20"/>
      <c r="B52" s="88"/>
      <c r="C52" s="20"/>
      <c r="D52" s="20"/>
      <c r="E52" s="14"/>
      <c r="F52" s="14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</row>
    <row r="53">
      <c r="A53" s="20"/>
      <c r="B53" s="88"/>
      <c r="C53" s="20"/>
      <c r="D53" s="20"/>
      <c r="E53" s="14"/>
      <c r="F53" s="14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</row>
    <row r="54">
      <c r="A54" s="20"/>
      <c r="B54" s="88"/>
      <c r="C54" s="20"/>
      <c r="D54" s="20"/>
      <c r="E54" s="14"/>
      <c r="F54" s="14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  <row r="55">
      <c r="A55" s="20"/>
      <c r="B55" s="88"/>
      <c r="C55" s="20"/>
      <c r="D55" s="20"/>
      <c r="E55" s="14"/>
      <c r="F55" s="14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</row>
    <row r="56">
      <c r="A56" s="20"/>
      <c r="B56" s="88"/>
      <c r="C56" s="20"/>
      <c r="D56" s="20"/>
      <c r="E56" s="14"/>
      <c r="F56" s="14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7">
      <c r="A57" s="20"/>
      <c r="B57" s="88"/>
      <c r="C57" s="20"/>
      <c r="D57" s="20"/>
      <c r="E57" s="14"/>
      <c r="F57" s="14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</row>
    <row r="58">
      <c r="A58" s="20"/>
      <c r="B58" s="88"/>
      <c r="C58" s="20"/>
      <c r="D58" s="20"/>
      <c r="E58" s="14"/>
      <c r="F58" s="14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</row>
    <row r="59">
      <c r="A59" s="20"/>
      <c r="B59" s="88"/>
      <c r="C59" s="20"/>
      <c r="D59" s="20"/>
      <c r="E59" s="14"/>
      <c r="F59" s="14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</row>
    <row r="60">
      <c r="A60" s="20"/>
      <c r="B60" s="88"/>
      <c r="C60" s="20"/>
      <c r="D60" s="20"/>
      <c r="E60" s="14"/>
      <c r="F60" s="14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</row>
    <row r="61">
      <c r="A61" s="20"/>
      <c r="B61" s="88"/>
      <c r="C61" s="20"/>
      <c r="D61" s="20"/>
      <c r="E61" s="14"/>
      <c r="F61" s="14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</row>
    <row r="62">
      <c r="A62" s="20"/>
      <c r="B62" s="88"/>
      <c r="C62" s="20"/>
      <c r="D62" s="20"/>
      <c r="E62" s="14"/>
      <c r="F62" s="14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</row>
    <row r="63">
      <c r="A63" s="20"/>
      <c r="B63" s="88"/>
      <c r="C63" s="20"/>
      <c r="D63" s="20"/>
      <c r="E63" s="14"/>
      <c r="F63" s="14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</row>
    <row r="64">
      <c r="A64" s="20"/>
      <c r="B64" s="88"/>
      <c r="C64" s="20"/>
      <c r="D64" s="20"/>
      <c r="E64" s="14"/>
      <c r="F64" s="14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</row>
    <row r="65">
      <c r="A65" s="20"/>
      <c r="B65" s="88"/>
      <c r="C65" s="20"/>
      <c r="D65" s="20"/>
      <c r="E65" s="14"/>
      <c r="F65" s="14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</row>
    <row r="66">
      <c r="A66" s="20"/>
      <c r="B66" s="88"/>
      <c r="C66" s="20"/>
      <c r="D66" s="20"/>
      <c r="E66" s="14"/>
      <c r="F66" s="14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</row>
    <row r="67">
      <c r="A67" s="20"/>
      <c r="B67" s="88"/>
      <c r="C67" s="20"/>
      <c r="D67" s="20"/>
      <c r="E67" s="14"/>
      <c r="F67" s="14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</row>
    <row r="68">
      <c r="A68" s="20"/>
      <c r="B68" s="88"/>
      <c r="C68" s="20"/>
      <c r="D68" s="20"/>
      <c r="E68" s="14"/>
      <c r="F68" s="14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</row>
    <row r="69">
      <c r="A69" s="20"/>
      <c r="B69" s="88"/>
      <c r="C69" s="20"/>
      <c r="D69" s="20"/>
      <c r="E69" s="14"/>
      <c r="F69" s="14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</row>
    <row r="70">
      <c r="A70" s="20"/>
      <c r="B70" s="88"/>
      <c r="C70" s="20"/>
      <c r="D70" s="20"/>
      <c r="E70" s="14"/>
      <c r="F70" s="14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</row>
    <row r="71">
      <c r="A71" s="20"/>
      <c r="B71" s="88"/>
      <c r="C71" s="20"/>
      <c r="D71" s="20"/>
      <c r="E71" s="14"/>
      <c r="F71" s="14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</row>
    <row r="72">
      <c r="A72" s="20"/>
      <c r="B72" s="88"/>
      <c r="C72" s="20"/>
      <c r="D72" s="20"/>
      <c r="E72" s="14"/>
      <c r="F72" s="14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</row>
    <row r="73">
      <c r="A73" s="20"/>
      <c r="B73" s="88"/>
      <c r="C73" s="20"/>
      <c r="D73" s="20"/>
      <c r="E73" s="14"/>
      <c r="F73" s="14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</row>
    <row r="74">
      <c r="A74" s="20"/>
      <c r="B74" s="88"/>
      <c r="C74" s="20"/>
      <c r="D74" s="20"/>
      <c r="E74" s="14"/>
      <c r="F74" s="14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</row>
    <row r="75">
      <c r="A75" s="20"/>
      <c r="B75" s="88"/>
      <c r="C75" s="20"/>
      <c r="D75" s="20"/>
      <c r="E75" s="14"/>
      <c r="F75" s="14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</row>
    <row r="76">
      <c r="A76" s="20"/>
      <c r="B76" s="88"/>
      <c r="C76" s="20"/>
      <c r="D76" s="20"/>
      <c r="E76" s="14"/>
      <c r="F76" s="14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</row>
    <row r="77">
      <c r="A77" s="20"/>
      <c r="B77" s="88"/>
      <c r="C77" s="20"/>
      <c r="D77" s="20"/>
      <c r="E77" s="14"/>
      <c r="F77" s="14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</row>
    <row r="78">
      <c r="A78" s="20"/>
      <c r="B78" s="88"/>
      <c r="C78" s="20"/>
      <c r="D78" s="20"/>
      <c r="E78" s="14"/>
      <c r="F78" s="14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</row>
    <row r="79">
      <c r="A79" s="20"/>
      <c r="B79" s="88"/>
      <c r="C79" s="20"/>
      <c r="D79" s="20"/>
      <c r="E79" s="14"/>
      <c r="F79" s="14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</row>
    <row r="80">
      <c r="A80" s="20"/>
      <c r="B80" s="88"/>
      <c r="C80" s="20"/>
      <c r="D80" s="20"/>
      <c r="E80" s="14"/>
      <c r="F80" s="14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</row>
    <row r="81">
      <c r="A81" s="20"/>
      <c r="B81" s="88"/>
      <c r="C81" s="20"/>
      <c r="D81" s="20"/>
      <c r="E81" s="14"/>
      <c r="F81" s="14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</row>
    <row r="82">
      <c r="A82" s="20"/>
      <c r="B82" s="88"/>
      <c r="C82" s="20"/>
      <c r="D82" s="20"/>
      <c r="E82" s="14"/>
      <c r="F82" s="14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</row>
    <row r="83">
      <c r="A83" s="20"/>
      <c r="B83" s="88"/>
      <c r="C83" s="20"/>
      <c r="D83" s="20"/>
      <c r="E83" s="14"/>
      <c r="F83" s="14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</row>
    <row r="84">
      <c r="A84" s="20"/>
      <c r="B84" s="88"/>
      <c r="C84" s="20"/>
      <c r="D84" s="20"/>
      <c r="E84" s="14"/>
      <c r="F84" s="14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</row>
    <row r="85">
      <c r="A85" s="20"/>
      <c r="B85" s="88"/>
      <c r="C85" s="20"/>
      <c r="D85" s="20"/>
      <c r="E85" s="14"/>
      <c r="F85" s="14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</row>
    <row r="86">
      <c r="A86" s="20"/>
      <c r="B86" s="88"/>
      <c r="C86" s="20"/>
      <c r="D86" s="20"/>
      <c r="E86" s="14"/>
      <c r="F86" s="14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</row>
    <row r="87">
      <c r="A87" s="20"/>
      <c r="B87" s="88"/>
      <c r="C87" s="20"/>
      <c r="D87" s="20"/>
      <c r="E87" s="14"/>
      <c r="F87" s="14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</row>
    <row r="88">
      <c r="A88" s="20"/>
      <c r="B88" s="88"/>
      <c r="C88" s="20"/>
      <c r="D88" s="20"/>
      <c r="E88" s="14"/>
      <c r="F88" s="14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</row>
    <row r="89">
      <c r="A89" s="20"/>
      <c r="B89" s="88"/>
      <c r="C89" s="20"/>
      <c r="D89" s="20"/>
      <c r="E89" s="14"/>
      <c r="F89" s="14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</row>
    <row r="90">
      <c r="A90" s="20"/>
      <c r="B90" s="88"/>
      <c r="C90" s="20"/>
      <c r="D90" s="20"/>
      <c r="E90" s="14"/>
      <c r="F90" s="14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</row>
    <row r="91">
      <c r="A91" s="20"/>
      <c r="B91" s="88"/>
      <c r="C91" s="20"/>
      <c r="D91" s="20"/>
      <c r="E91" s="14"/>
      <c r="F91" s="14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</row>
    <row r="92">
      <c r="A92" s="20"/>
      <c r="B92" s="88"/>
      <c r="C92" s="20"/>
      <c r="D92" s="20"/>
      <c r="E92" s="14"/>
      <c r="F92" s="14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</row>
    <row r="93">
      <c r="A93" s="20"/>
      <c r="B93" s="88"/>
      <c r="C93" s="20"/>
      <c r="D93" s="20"/>
      <c r="E93" s="14"/>
      <c r="F93" s="14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</row>
    <row r="94">
      <c r="A94" s="20"/>
      <c r="B94" s="88"/>
      <c r="C94" s="20"/>
      <c r="D94" s="20"/>
      <c r="E94" s="14"/>
      <c r="F94" s="14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</row>
    <row r="95">
      <c r="A95" s="20"/>
      <c r="B95" s="88"/>
      <c r="C95" s="20"/>
      <c r="D95" s="20"/>
      <c r="E95" s="14"/>
      <c r="F95" s="14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</row>
    <row r="96">
      <c r="A96" s="20"/>
      <c r="B96" s="88"/>
      <c r="C96" s="20"/>
      <c r="D96" s="20"/>
      <c r="E96" s="14"/>
      <c r="F96" s="14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</row>
    <row r="97">
      <c r="A97" s="20"/>
      <c r="B97" s="88"/>
      <c r="C97" s="20"/>
      <c r="D97" s="20"/>
      <c r="E97" s="14"/>
      <c r="F97" s="14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</row>
    <row r="98">
      <c r="A98" s="20"/>
      <c r="B98" s="88"/>
      <c r="C98" s="20"/>
      <c r="D98" s="20"/>
      <c r="E98" s="14"/>
      <c r="F98" s="14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</row>
    <row r="99">
      <c r="A99" s="20"/>
      <c r="B99" s="88"/>
      <c r="C99" s="20"/>
      <c r="D99" s="20"/>
      <c r="E99" s="14"/>
      <c r="F99" s="14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</row>
    <row r="100">
      <c r="A100" s="20"/>
      <c r="B100" s="88"/>
      <c r="C100" s="20"/>
      <c r="D100" s="20"/>
      <c r="E100" s="14"/>
      <c r="F100" s="14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</row>
    <row r="101">
      <c r="A101" s="20"/>
      <c r="B101" s="88"/>
      <c r="C101" s="20"/>
      <c r="D101" s="20"/>
      <c r="E101" s="14"/>
      <c r="F101" s="14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</row>
    <row r="102">
      <c r="A102" s="20"/>
      <c r="B102" s="88"/>
      <c r="C102" s="20"/>
      <c r="D102" s="20"/>
      <c r="E102" s="14"/>
      <c r="F102" s="14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</row>
    <row r="103">
      <c r="A103" s="20"/>
      <c r="B103" s="88"/>
      <c r="C103" s="20"/>
      <c r="D103" s="20"/>
      <c r="E103" s="14"/>
      <c r="F103" s="14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</row>
    <row r="104">
      <c r="A104" s="20"/>
      <c r="B104" s="88"/>
      <c r="C104" s="20"/>
      <c r="D104" s="20"/>
      <c r="E104" s="14"/>
      <c r="F104" s="14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</row>
    <row r="105">
      <c r="A105" s="20"/>
      <c r="B105" s="88"/>
      <c r="C105" s="20"/>
      <c r="D105" s="20"/>
      <c r="E105" s="14"/>
      <c r="F105" s="14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</row>
    <row r="106">
      <c r="A106" s="20"/>
      <c r="B106" s="88"/>
      <c r="C106" s="20"/>
      <c r="D106" s="20"/>
      <c r="E106" s="14"/>
      <c r="F106" s="14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</row>
    <row r="107">
      <c r="A107" s="20"/>
      <c r="B107" s="88"/>
      <c r="C107" s="20"/>
      <c r="D107" s="20"/>
      <c r="E107" s="14"/>
      <c r="F107" s="14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</row>
    <row r="108">
      <c r="A108" s="20"/>
      <c r="B108" s="88"/>
      <c r="C108" s="20"/>
      <c r="D108" s="20"/>
      <c r="E108" s="14"/>
      <c r="F108" s="14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</row>
    <row r="109">
      <c r="A109" s="20"/>
      <c r="B109" s="88"/>
      <c r="C109" s="20"/>
      <c r="D109" s="20"/>
      <c r="E109" s="14"/>
      <c r="F109" s="14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</row>
    <row r="110">
      <c r="A110" s="20"/>
      <c r="B110" s="88"/>
      <c r="C110" s="20"/>
      <c r="D110" s="20"/>
      <c r="E110" s="14"/>
      <c r="F110" s="14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</row>
    <row r="111">
      <c r="A111" s="20"/>
      <c r="B111" s="88"/>
      <c r="C111" s="20"/>
      <c r="D111" s="20"/>
      <c r="E111" s="14"/>
      <c r="F111" s="14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</row>
    <row r="112">
      <c r="A112" s="20"/>
      <c r="B112" s="88"/>
      <c r="C112" s="20"/>
      <c r="D112" s="20"/>
      <c r="E112" s="14"/>
      <c r="F112" s="14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</row>
    <row r="113">
      <c r="A113" s="20"/>
      <c r="B113" s="88"/>
      <c r="C113" s="20"/>
      <c r="D113" s="20"/>
      <c r="E113" s="14"/>
      <c r="F113" s="14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</row>
    <row r="114">
      <c r="A114" s="20"/>
      <c r="B114" s="88"/>
      <c r="C114" s="20"/>
      <c r="D114" s="20"/>
      <c r="E114" s="14"/>
      <c r="F114" s="14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</row>
    <row r="115">
      <c r="A115" s="20"/>
      <c r="B115" s="88"/>
      <c r="C115" s="20"/>
      <c r="D115" s="20"/>
      <c r="E115" s="14"/>
      <c r="F115" s="14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</row>
    <row r="116">
      <c r="A116" s="20"/>
      <c r="B116" s="88"/>
      <c r="C116" s="20"/>
      <c r="D116" s="20"/>
      <c r="E116" s="14"/>
      <c r="F116" s="14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</row>
    <row r="117">
      <c r="A117" s="20"/>
      <c r="B117" s="88"/>
      <c r="C117" s="20"/>
      <c r="D117" s="20"/>
      <c r="E117" s="14"/>
      <c r="F117" s="14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</row>
    <row r="118">
      <c r="A118" s="20"/>
      <c r="B118" s="88"/>
      <c r="C118" s="20"/>
      <c r="D118" s="20"/>
      <c r="E118" s="14"/>
      <c r="F118" s="14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</row>
    <row r="119">
      <c r="A119" s="20"/>
      <c r="B119" s="88"/>
      <c r="C119" s="20"/>
      <c r="D119" s="20"/>
      <c r="E119" s="14"/>
      <c r="F119" s="14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</row>
    <row r="120">
      <c r="A120" s="20"/>
      <c r="B120" s="88"/>
      <c r="C120" s="20"/>
      <c r="D120" s="20"/>
      <c r="E120" s="14"/>
      <c r="F120" s="14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</row>
    <row r="121">
      <c r="A121" s="20"/>
      <c r="B121" s="88"/>
      <c r="C121" s="20"/>
      <c r="D121" s="20"/>
      <c r="E121" s="14"/>
      <c r="F121" s="14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</row>
    <row r="122">
      <c r="A122" s="20"/>
      <c r="B122" s="88"/>
      <c r="C122" s="20"/>
      <c r="D122" s="20"/>
      <c r="E122" s="14"/>
      <c r="F122" s="14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</row>
    <row r="123">
      <c r="A123" s="20"/>
      <c r="B123" s="88"/>
      <c r="C123" s="20"/>
      <c r="D123" s="20"/>
      <c r="E123" s="14"/>
      <c r="F123" s="14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</row>
    <row r="124">
      <c r="A124" s="20"/>
      <c r="B124" s="88"/>
      <c r="C124" s="20"/>
      <c r="D124" s="20"/>
      <c r="E124" s="14"/>
      <c r="F124" s="14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</row>
    <row r="125">
      <c r="A125" s="20"/>
      <c r="B125" s="88"/>
      <c r="C125" s="20"/>
      <c r="D125" s="20"/>
      <c r="E125" s="14"/>
      <c r="F125" s="14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</row>
    <row r="126">
      <c r="A126" s="20"/>
      <c r="B126" s="88"/>
      <c r="C126" s="20"/>
      <c r="D126" s="20"/>
      <c r="E126" s="14"/>
      <c r="F126" s="14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</row>
    <row r="127">
      <c r="A127" s="20"/>
      <c r="B127" s="88"/>
      <c r="C127" s="20"/>
      <c r="D127" s="20"/>
      <c r="E127" s="14"/>
      <c r="F127" s="14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</row>
    <row r="128">
      <c r="A128" s="20"/>
      <c r="B128" s="88"/>
      <c r="C128" s="20"/>
      <c r="D128" s="20"/>
      <c r="E128" s="14"/>
      <c r="F128" s="14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</row>
    <row r="129">
      <c r="A129" s="20"/>
      <c r="B129" s="88"/>
      <c r="C129" s="20"/>
      <c r="D129" s="20"/>
      <c r="E129" s="14"/>
      <c r="F129" s="14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</row>
    <row r="130">
      <c r="A130" s="20"/>
      <c r="B130" s="88"/>
      <c r="C130" s="20"/>
      <c r="D130" s="20"/>
      <c r="E130" s="14"/>
      <c r="F130" s="14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</row>
    <row r="131">
      <c r="A131" s="20"/>
      <c r="B131" s="88"/>
      <c r="C131" s="20"/>
      <c r="D131" s="20"/>
      <c r="E131" s="14"/>
      <c r="F131" s="14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</row>
    <row r="132">
      <c r="A132" s="20"/>
      <c r="B132" s="88"/>
      <c r="C132" s="20"/>
      <c r="D132" s="20"/>
      <c r="E132" s="14"/>
      <c r="F132" s="14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</row>
    <row r="133">
      <c r="A133" s="20"/>
      <c r="B133" s="88"/>
      <c r="C133" s="20"/>
      <c r="D133" s="20"/>
      <c r="E133" s="14"/>
      <c r="F133" s="14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</row>
    <row r="134">
      <c r="A134" s="20"/>
      <c r="B134" s="88"/>
      <c r="C134" s="20"/>
      <c r="D134" s="20"/>
      <c r="E134" s="14"/>
      <c r="F134" s="14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</row>
    <row r="135">
      <c r="A135" s="20"/>
      <c r="B135" s="88"/>
      <c r="C135" s="20"/>
      <c r="D135" s="20"/>
      <c r="E135" s="14"/>
      <c r="F135" s="14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</row>
    <row r="136">
      <c r="A136" s="20"/>
      <c r="B136" s="88"/>
      <c r="C136" s="20"/>
      <c r="D136" s="20"/>
      <c r="E136" s="14"/>
      <c r="F136" s="14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</row>
    <row r="137">
      <c r="A137" s="20"/>
      <c r="B137" s="88"/>
      <c r="C137" s="20"/>
      <c r="D137" s="20"/>
      <c r="E137" s="14"/>
      <c r="F137" s="14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</row>
    <row r="138">
      <c r="A138" s="20"/>
      <c r="B138" s="88"/>
      <c r="C138" s="20"/>
      <c r="D138" s="20"/>
      <c r="E138" s="14"/>
      <c r="F138" s="14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</row>
    <row r="139">
      <c r="A139" s="20"/>
      <c r="B139" s="88"/>
      <c r="C139" s="20"/>
      <c r="D139" s="20"/>
      <c r="E139" s="14"/>
      <c r="F139" s="14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</row>
    <row r="140">
      <c r="A140" s="20"/>
      <c r="B140" s="88"/>
      <c r="C140" s="20"/>
      <c r="D140" s="20"/>
      <c r="E140" s="14"/>
      <c r="F140" s="14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</row>
    <row r="141">
      <c r="A141" s="20"/>
      <c r="B141" s="88"/>
      <c r="C141" s="20"/>
      <c r="D141" s="20"/>
      <c r="E141" s="14"/>
      <c r="F141" s="14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</row>
    <row r="142">
      <c r="A142" s="20"/>
      <c r="B142" s="88"/>
      <c r="C142" s="20"/>
      <c r="D142" s="20"/>
      <c r="E142" s="14"/>
      <c r="F142" s="14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</row>
    <row r="143">
      <c r="A143" s="20"/>
      <c r="B143" s="88"/>
      <c r="C143" s="20"/>
      <c r="D143" s="20"/>
      <c r="E143" s="14"/>
      <c r="F143" s="14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</row>
    <row r="144">
      <c r="A144" s="20"/>
      <c r="B144" s="88"/>
      <c r="C144" s="20"/>
      <c r="D144" s="20"/>
      <c r="E144" s="14"/>
      <c r="F144" s="14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</row>
    <row r="145">
      <c r="A145" s="20"/>
      <c r="B145" s="88"/>
      <c r="C145" s="20"/>
      <c r="D145" s="20"/>
      <c r="E145" s="14"/>
      <c r="F145" s="14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</row>
    <row r="146">
      <c r="A146" s="20"/>
      <c r="B146" s="88"/>
      <c r="C146" s="20"/>
      <c r="D146" s="20"/>
      <c r="E146" s="14"/>
      <c r="F146" s="14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</row>
    <row r="147">
      <c r="A147" s="20"/>
      <c r="B147" s="88"/>
      <c r="C147" s="20"/>
      <c r="D147" s="20"/>
      <c r="E147" s="14"/>
      <c r="F147" s="14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</row>
    <row r="148">
      <c r="A148" s="20"/>
      <c r="B148" s="88"/>
      <c r="C148" s="20"/>
      <c r="D148" s="20"/>
      <c r="E148" s="14"/>
      <c r="F148" s="14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</row>
    <row r="149">
      <c r="A149" s="20"/>
      <c r="B149" s="88"/>
      <c r="C149" s="20"/>
      <c r="D149" s="20"/>
      <c r="E149" s="14"/>
      <c r="F149" s="14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</row>
    <row r="150">
      <c r="A150" s="20"/>
      <c r="B150" s="88"/>
      <c r="C150" s="20"/>
      <c r="D150" s="20"/>
      <c r="E150" s="14"/>
      <c r="F150" s="14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</row>
    <row r="151">
      <c r="A151" s="20"/>
      <c r="B151" s="88"/>
      <c r="C151" s="20"/>
      <c r="D151" s="20"/>
      <c r="E151" s="14"/>
      <c r="F151" s="14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</row>
    <row r="152">
      <c r="A152" s="20"/>
      <c r="B152" s="88"/>
      <c r="C152" s="20"/>
      <c r="D152" s="20"/>
      <c r="E152" s="14"/>
      <c r="F152" s="14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</row>
    <row r="153">
      <c r="A153" s="20"/>
      <c r="B153" s="88"/>
      <c r="C153" s="20"/>
      <c r="D153" s="20"/>
      <c r="E153" s="14"/>
      <c r="F153" s="14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</row>
    <row r="154">
      <c r="A154" s="20"/>
      <c r="B154" s="88"/>
      <c r="C154" s="20"/>
      <c r="D154" s="20"/>
      <c r="E154" s="14"/>
      <c r="F154" s="14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</row>
    <row r="155">
      <c r="A155" s="20"/>
      <c r="B155" s="88"/>
      <c r="C155" s="20"/>
      <c r="D155" s="20"/>
      <c r="E155" s="14"/>
      <c r="F155" s="14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</row>
    <row r="156">
      <c r="A156" s="20"/>
      <c r="B156" s="88"/>
      <c r="C156" s="20"/>
      <c r="D156" s="20"/>
      <c r="E156" s="14"/>
      <c r="F156" s="14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</row>
    <row r="157">
      <c r="A157" s="20"/>
      <c r="B157" s="88"/>
      <c r="C157" s="20"/>
      <c r="D157" s="20"/>
      <c r="E157" s="14"/>
      <c r="F157" s="14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</row>
    <row r="158">
      <c r="A158" s="20"/>
      <c r="B158" s="88"/>
      <c r="C158" s="20"/>
      <c r="D158" s="20"/>
      <c r="E158" s="14"/>
      <c r="F158" s="14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</row>
    <row r="159">
      <c r="A159" s="20"/>
      <c r="B159" s="88"/>
      <c r="C159" s="20"/>
      <c r="D159" s="20"/>
      <c r="E159" s="14"/>
      <c r="F159" s="14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</row>
    <row r="160">
      <c r="A160" s="20"/>
      <c r="B160" s="88"/>
      <c r="C160" s="20"/>
      <c r="D160" s="20"/>
      <c r="E160" s="14"/>
      <c r="F160" s="14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</row>
    <row r="161">
      <c r="A161" s="20"/>
      <c r="B161" s="88"/>
      <c r="C161" s="20"/>
      <c r="D161" s="20"/>
      <c r="E161" s="14"/>
      <c r="F161" s="14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</row>
    <row r="162">
      <c r="A162" s="20"/>
      <c r="B162" s="88"/>
      <c r="C162" s="20"/>
      <c r="D162" s="20"/>
      <c r="E162" s="14"/>
      <c r="F162" s="14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</row>
    <row r="163">
      <c r="A163" s="20"/>
      <c r="B163" s="88"/>
      <c r="C163" s="20"/>
      <c r="D163" s="20"/>
      <c r="E163" s="14"/>
      <c r="F163" s="14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</row>
    <row r="164">
      <c r="A164" s="20"/>
      <c r="B164" s="88"/>
      <c r="C164" s="20"/>
      <c r="D164" s="20"/>
      <c r="E164" s="14"/>
      <c r="F164" s="14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</row>
    <row r="165">
      <c r="A165" s="20"/>
      <c r="B165" s="88"/>
      <c r="C165" s="20"/>
      <c r="D165" s="20"/>
      <c r="E165" s="14"/>
      <c r="F165" s="14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</row>
    <row r="166">
      <c r="A166" s="20"/>
      <c r="B166" s="88"/>
      <c r="C166" s="20"/>
      <c r="D166" s="20"/>
      <c r="E166" s="14"/>
      <c r="F166" s="14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</row>
    <row r="167">
      <c r="A167" s="20"/>
      <c r="B167" s="88"/>
      <c r="C167" s="20"/>
      <c r="D167" s="20"/>
      <c r="E167" s="14"/>
      <c r="F167" s="14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</row>
    <row r="168">
      <c r="A168" s="20"/>
      <c r="B168" s="88"/>
      <c r="C168" s="20"/>
      <c r="D168" s="20"/>
      <c r="E168" s="14"/>
      <c r="F168" s="14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</row>
    <row r="169">
      <c r="A169" s="20"/>
      <c r="B169" s="88"/>
      <c r="C169" s="20"/>
      <c r="D169" s="20"/>
      <c r="E169" s="14"/>
      <c r="F169" s="14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</row>
    <row r="170">
      <c r="A170" s="20"/>
      <c r="B170" s="88"/>
      <c r="C170" s="20"/>
      <c r="D170" s="20"/>
      <c r="E170" s="14"/>
      <c r="F170" s="14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</row>
    <row r="171">
      <c r="A171" s="20"/>
      <c r="B171" s="88"/>
      <c r="C171" s="20"/>
      <c r="D171" s="20"/>
      <c r="E171" s="14"/>
      <c r="F171" s="14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</row>
    <row r="172">
      <c r="A172" s="20"/>
      <c r="B172" s="88"/>
      <c r="C172" s="20"/>
      <c r="D172" s="20"/>
      <c r="E172" s="14"/>
      <c r="F172" s="14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</row>
    <row r="173">
      <c r="A173" s="20"/>
      <c r="B173" s="88"/>
      <c r="C173" s="20"/>
      <c r="D173" s="20"/>
      <c r="E173" s="14"/>
      <c r="F173" s="14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</row>
    <row r="174">
      <c r="A174" s="20"/>
      <c r="B174" s="88"/>
      <c r="C174" s="20"/>
      <c r="D174" s="20"/>
      <c r="E174" s="14"/>
      <c r="F174" s="14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</row>
    <row r="175">
      <c r="A175" s="20"/>
      <c r="B175" s="88"/>
      <c r="C175" s="20"/>
      <c r="D175" s="20"/>
      <c r="E175" s="14"/>
      <c r="F175" s="14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</row>
    <row r="176">
      <c r="A176" s="20"/>
      <c r="B176" s="88"/>
      <c r="C176" s="20"/>
      <c r="D176" s="20"/>
      <c r="E176" s="14"/>
      <c r="F176" s="14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</row>
    <row r="177">
      <c r="A177" s="20"/>
      <c r="B177" s="88"/>
      <c r="C177" s="20"/>
      <c r="D177" s="20"/>
      <c r="E177" s="14"/>
      <c r="F177" s="14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</row>
    <row r="178">
      <c r="A178" s="20"/>
      <c r="B178" s="88"/>
      <c r="C178" s="20"/>
      <c r="D178" s="20"/>
      <c r="E178" s="14"/>
      <c r="F178" s="14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</row>
    <row r="179">
      <c r="A179" s="20"/>
      <c r="B179" s="88"/>
      <c r="C179" s="20"/>
      <c r="D179" s="20"/>
      <c r="E179" s="14"/>
      <c r="F179" s="14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</row>
    <row r="180">
      <c r="A180" s="20"/>
      <c r="B180" s="88"/>
      <c r="C180" s="20"/>
      <c r="D180" s="20"/>
      <c r="E180" s="14"/>
      <c r="F180" s="14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</row>
    <row r="181">
      <c r="A181" s="20"/>
      <c r="B181" s="88"/>
      <c r="C181" s="20"/>
      <c r="D181" s="20"/>
      <c r="E181" s="14"/>
      <c r="F181" s="14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</row>
    <row r="182">
      <c r="A182" s="20"/>
      <c r="B182" s="88"/>
      <c r="C182" s="20"/>
      <c r="D182" s="20"/>
      <c r="E182" s="14"/>
      <c r="F182" s="14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</row>
    <row r="183">
      <c r="A183" s="20"/>
      <c r="B183" s="88"/>
      <c r="C183" s="20"/>
      <c r="D183" s="20"/>
      <c r="E183" s="14"/>
      <c r="F183" s="14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</row>
    <row r="184">
      <c r="A184" s="20"/>
      <c r="B184" s="88"/>
      <c r="C184" s="20"/>
      <c r="D184" s="20"/>
      <c r="E184" s="14"/>
      <c r="F184" s="14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</row>
    <row r="185">
      <c r="A185" s="20"/>
      <c r="B185" s="88"/>
      <c r="C185" s="20"/>
      <c r="D185" s="20"/>
      <c r="E185" s="14"/>
      <c r="F185" s="14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</row>
    <row r="186">
      <c r="A186" s="20"/>
      <c r="B186" s="88"/>
      <c r="C186" s="20"/>
      <c r="D186" s="20"/>
      <c r="E186" s="14"/>
      <c r="F186" s="14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</row>
    <row r="187">
      <c r="A187" s="20"/>
      <c r="B187" s="88"/>
      <c r="C187" s="20"/>
      <c r="D187" s="20"/>
      <c r="E187" s="14"/>
      <c r="F187" s="14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</row>
    <row r="188">
      <c r="A188" s="20"/>
      <c r="B188" s="88"/>
      <c r="C188" s="20"/>
      <c r="D188" s="20"/>
      <c r="E188" s="14"/>
      <c r="F188" s="14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</row>
    <row r="189">
      <c r="A189" s="20"/>
      <c r="B189" s="88"/>
      <c r="C189" s="20"/>
      <c r="D189" s="20"/>
      <c r="E189" s="14"/>
      <c r="F189" s="14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</row>
    <row r="190">
      <c r="A190" s="20"/>
      <c r="B190" s="88"/>
      <c r="C190" s="20"/>
      <c r="D190" s="20"/>
      <c r="E190" s="14"/>
      <c r="F190" s="14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</row>
    <row r="191">
      <c r="A191" s="20"/>
      <c r="B191" s="88"/>
      <c r="C191" s="20"/>
      <c r="D191" s="20"/>
      <c r="E191" s="14"/>
      <c r="F191" s="14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</row>
    <row r="192">
      <c r="A192" s="20"/>
      <c r="B192" s="88"/>
      <c r="C192" s="20"/>
      <c r="D192" s="20"/>
      <c r="E192" s="14"/>
      <c r="F192" s="14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</row>
    <row r="193">
      <c r="A193" s="20"/>
      <c r="B193" s="88"/>
      <c r="C193" s="20"/>
      <c r="D193" s="20"/>
      <c r="E193" s="14"/>
      <c r="F193" s="14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</row>
    <row r="194">
      <c r="A194" s="20"/>
      <c r="B194" s="88"/>
      <c r="C194" s="20"/>
      <c r="D194" s="20"/>
      <c r="E194" s="14"/>
      <c r="F194" s="14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</row>
    <row r="195">
      <c r="A195" s="20"/>
      <c r="B195" s="88"/>
      <c r="C195" s="20"/>
      <c r="D195" s="20"/>
      <c r="E195" s="14"/>
      <c r="F195" s="14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</row>
    <row r="196">
      <c r="A196" s="20"/>
      <c r="B196" s="88"/>
      <c r="C196" s="20"/>
      <c r="D196" s="20"/>
      <c r="E196" s="14"/>
      <c r="F196" s="14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</row>
    <row r="197">
      <c r="A197" s="20"/>
      <c r="B197" s="88"/>
      <c r="C197" s="20"/>
      <c r="D197" s="20"/>
      <c r="E197" s="14"/>
      <c r="F197" s="14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</row>
    <row r="198">
      <c r="A198" s="20"/>
      <c r="B198" s="88"/>
      <c r="C198" s="20"/>
      <c r="D198" s="20"/>
      <c r="E198" s="14"/>
      <c r="F198" s="14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</row>
    <row r="199">
      <c r="A199" s="20"/>
      <c r="B199" s="88"/>
      <c r="C199" s="20"/>
      <c r="D199" s="20"/>
      <c r="E199" s="14"/>
      <c r="F199" s="14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</row>
    <row r="200">
      <c r="A200" s="20"/>
      <c r="B200" s="88"/>
      <c r="C200" s="20"/>
      <c r="D200" s="20"/>
      <c r="E200" s="14"/>
      <c r="F200" s="14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</row>
    <row r="201">
      <c r="A201" s="20"/>
      <c r="B201" s="88"/>
      <c r="C201" s="20"/>
      <c r="D201" s="20"/>
      <c r="E201" s="14"/>
      <c r="F201" s="14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</row>
    <row r="202">
      <c r="A202" s="20"/>
      <c r="B202" s="88"/>
      <c r="C202" s="20"/>
      <c r="D202" s="20"/>
      <c r="E202" s="14"/>
      <c r="F202" s="14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</row>
    <row r="203">
      <c r="A203" s="20"/>
      <c r="B203" s="88"/>
      <c r="C203" s="20"/>
      <c r="D203" s="20"/>
      <c r="E203" s="14"/>
      <c r="F203" s="14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</row>
    <row r="204">
      <c r="A204" s="20"/>
      <c r="B204" s="88"/>
      <c r="C204" s="20"/>
      <c r="D204" s="20"/>
      <c r="E204" s="14"/>
      <c r="F204" s="14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</row>
    <row r="205">
      <c r="A205" s="20"/>
      <c r="B205" s="88"/>
      <c r="C205" s="20"/>
      <c r="D205" s="20"/>
      <c r="E205" s="14"/>
      <c r="F205" s="14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</row>
    <row r="206">
      <c r="A206" s="20"/>
      <c r="B206" s="88"/>
      <c r="C206" s="20"/>
      <c r="D206" s="20"/>
      <c r="E206" s="14"/>
      <c r="F206" s="14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</row>
    <row r="207">
      <c r="A207" s="20"/>
      <c r="B207" s="88"/>
      <c r="C207" s="20"/>
      <c r="D207" s="20"/>
      <c r="E207" s="14"/>
      <c r="F207" s="14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</row>
    <row r="208">
      <c r="A208" s="20"/>
      <c r="B208" s="88"/>
      <c r="C208" s="20"/>
      <c r="D208" s="20"/>
      <c r="E208" s="14"/>
      <c r="F208" s="14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</row>
    <row r="209">
      <c r="A209" s="20"/>
      <c r="B209" s="88"/>
      <c r="C209" s="20"/>
      <c r="D209" s="20"/>
      <c r="E209" s="14"/>
      <c r="F209" s="14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</row>
    <row r="210">
      <c r="A210" s="20"/>
      <c r="B210" s="88"/>
      <c r="C210" s="20"/>
      <c r="D210" s="20"/>
      <c r="E210" s="14"/>
      <c r="F210" s="14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</row>
    <row r="211">
      <c r="A211" s="20"/>
      <c r="B211" s="88"/>
      <c r="C211" s="20"/>
      <c r="D211" s="20"/>
      <c r="E211" s="14"/>
      <c r="F211" s="14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</row>
    <row r="212">
      <c r="A212" s="20"/>
      <c r="B212" s="88"/>
      <c r="C212" s="20"/>
      <c r="D212" s="20"/>
      <c r="E212" s="14"/>
      <c r="F212" s="14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</row>
    <row r="213">
      <c r="A213" s="20"/>
      <c r="B213" s="88"/>
      <c r="C213" s="20"/>
      <c r="D213" s="20"/>
      <c r="E213" s="14"/>
      <c r="F213" s="14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</row>
    <row r="214">
      <c r="A214" s="20"/>
      <c r="B214" s="88"/>
      <c r="C214" s="20"/>
      <c r="D214" s="20"/>
      <c r="E214" s="14"/>
      <c r="F214" s="14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</row>
    <row r="215">
      <c r="A215" s="20"/>
      <c r="B215" s="88"/>
      <c r="C215" s="20"/>
      <c r="D215" s="20"/>
      <c r="E215" s="14"/>
      <c r="F215" s="14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</row>
    <row r="216">
      <c r="A216" s="20"/>
      <c r="B216" s="88"/>
      <c r="C216" s="20"/>
      <c r="D216" s="20"/>
      <c r="E216" s="14"/>
      <c r="F216" s="14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</row>
    <row r="217">
      <c r="A217" s="20"/>
      <c r="B217" s="88"/>
      <c r="C217" s="20"/>
      <c r="D217" s="20"/>
      <c r="E217" s="14"/>
      <c r="F217" s="14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</row>
    <row r="218">
      <c r="A218" s="20"/>
      <c r="B218" s="88"/>
      <c r="C218" s="20"/>
      <c r="D218" s="20"/>
      <c r="E218" s="14"/>
      <c r="F218" s="14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</row>
    <row r="219">
      <c r="A219" s="20"/>
      <c r="B219" s="88"/>
      <c r="C219" s="20"/>
      <c r="D219" s="20"/>
      <c r="E219" s="14"/>
      <c r="F219" s="14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</row>
    <row r="220">
      <c r="A220" s="20"/>
      <c r="B220" s="88"/>
      <c r="C220" s="20"/>
      <c r="D220" s="20"/>
      <c r="E220" s="14"/>
      <c r="F220" s="14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</row>
    <row r="221">
      <c r="A221" s="20"/>
      <c r="B221" s="88"/>
      <c r="C221" s="20"/>
      <c r="D221" s="20"/>
      <c r="E221" s="14"/>
      <c r="F221" s="14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</row>
    <row r="222">
      <c r="A222" s="20"/>
      <c r="B222" s="88"/>
      <c r="C222" s="20"/>
      <c r="D222" s="20"/>
      <c r="E222" s="14"/>
      <c r="F222" s="14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</row>
    <row r="223">
      <c r="A223" s="20"/>
      <c r="B223" s="88"/>
      <c r="C223" s="20"/>
      <c r="D223" s="20"/>
      <c r="E223" s="14"/>
      <c r="F223" s="14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</row>
    <row r="224">
      <c r="A224" s="20"/>
      <c r="B224" s="88"/>
      <c r="C224" s="20"/>
      <c r="D224" s="20"/>
      <c r="E224" s="14"/>
      <c r="F224" s="14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</row>
    <row r="225">
      <c r="A225" s="20"/>
      <c r="B225" s="88"/>
      <c r="C225" s="20"/>
      <c r="D225" s="20"/>
      <c r="E225" s="14"/>
      <c r="F225" s="14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</row>
    <row r="226">
      <c r="A226" s="20"/>
      <c r="B226" s="88"/>
      <c r="C226" s="20"/>
      <c r="D226" s="20"/>
      <c r="E226" s="14"/>
      <c r="F226" s="14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</row>
    <row r="227">
      <c r="A227" s="20"/>
      <c r="B227" s="88"/>
      <c r="C227" s="20"/>
      <c r="D227" s="20"/>
      <c r="E227" s="14"/>
      <c r="F227" s="14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</row>
    <row r="228">
      <c r="A228" s="20"/>
      <c r="B228" s="88"/>
      <c r="C228" s="20"/>
      <c r="D228" s="20"/>
      <c r="E228" s="14"/>
      <c r="F228" s="14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</row>
    <row r="229">
      <c r="A229" s="20"/>
      <c r="B229" s="88"/>
      <c r="C229" s="20"/>
      <c r="D229" s="20"/>
      <c r="E229" s="14"/>
      <c r="F229" s="14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</row>
    <row r="230">
      <c r="A230" s="20"/>
      <c r="B230" s="88"/>
      <c r="C230" s="20"/>
      <c r="D230" s="20"/>
      <c r="E230" s="14"/>
      <c r="F230" s="14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</row>
    <row r="231">
      <c r="A231" s="20"/>
      <c r="B231" s="88"/>
      <c r="C231" s="20"/>
      <c r="D231" s="20"/>
      <c r="E231" s="14"/>
      <c r="F231" s="14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</row>
    <row r="232">
      <c r="A232" s="20"/>
      <c r="B232" s="88"/>
      <c r="C232" s="20"/>
      <c r="D232" s="20"/>
      <c r="E232" s="14"/>
      <c r="F232" s="14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</row>
    <row r="233">
      <c r="A233" s="20"/>
      <c r="B233" s="88"/>
      <c r="C233" s="20"/>
      <c r="D233" s="20"/>
      <c r="E233" s="14"/>
      <c r="F233" s="14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</row>
    <row r="234">
      <c r="A234" s="20"/>
      <c r="B234" s="88"/>
      <c r="C234" s="20"/>
      <c r="D234" s="20"/>
      <c r="E234" s="14"/>
      <c r="F234" s="14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</row>
    <row r="235">
      <c r="A235" s="20"/>
      <c r="B235" s="88"/>
      <c r="C235" s="20"/>
      <c r="D235" s="20"/>
      <c r="E235" s="14"/>
      <c r="F235" s="14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</row>
    <row r="236">
      <c r="A236" s="20"/>
      <c r="B236" s="88"/>
      <c r="C236" s="20"/>
      <c r="D236" s="20"/>
      <c r="E236" s="14"/>
      <c r="F236" s="14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</row>
    <row r="237">
      <c r="A237" s="20"/>
      <c r="B237" s="88"/>
      <c r="C237" s="20"/>
      <c r="D237" s="20"/>
      <c r="E237" s="14"/>
      <c r="F237" s="14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</row>
    <row r="238">
      <c r="A238" s="20"/>
      <c r="B238" s="88"/>
      <c r="C238" s="20"/>
      <c r="D238" s="20"/>
      <c r="E238" s="14"/>
      <c r="F238" s="14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</row>
    <row r="239">
      <c r="A239" s="20"/>
      <c r="B239" s="88"/>
      <c r="C239" s="20"/>
      <c r="D239" s="20"/>
      <c r="E239" s="14"/>
      <c r="F239" s="14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</row>
    <row r="240">
      <c r="A240" s="20"/>
      <c r="B240" s="88"/>
      <c r="C240" s="20"/>
      <c r="D240" s="20"/>
      <c r="E240" s="14"/>
      <c r="F240" s="14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</row>
    <row r="241">
      <c r="A241" s="20"/>
      <c r="B241" s="88"/>
      <c r="C241" s="20"/>
      <c r="D241" s="20"/>
      <c r="E241" s="14"/>
      <c r="F241" s="14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</row>
    <row r="242">
      <c r="A242" s="20"/>
      <c r="B242" s="88"/>
      <c r="C242" s="20"/>
      <c r="D242" s="20"/>
      <c r="E242" s="14"/>
      <c r="F242" s="14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</row>
    <row r="243">
      <c r="A243" s="20"/>
      <c r="B243" s="88"/>
      <c r="C243" s="20"/>
      <c r="D243" s="20"/>
      <c r="E243" s="14"/>
      <c r="F243" s="14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</row>
    <row r="244">
      <c r="A244" s="20"/>
      <c r="B244" s="88"/>
      <c r="C244" s="20"/>
      <c r="D244" s="20"/>
      <c r="E244" s="14"/>
      <c r="F244" s="14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</row>
    <row r="245">
      <c r="A245" s="20"/>
      <c r="B245" s="88"/>
      <c r="C245" s="20"/>
      <c r="D245" s="20"/>
      <c r="E245" s="14"/>
      <c r="F245" s="14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</row>
    <row r="246">
      <c r="A246" s="20"/>
      <c r="B246" s="88"/>
      <c r="C246" s="20"/>
      <c r="D246" s="20"/>
      <c r="E246" s="14"/>
      <c r="F246" s="14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</row>
    <row r="247">
      <c r="A247" s="20"/>
      <c r="B247" s="88"/>
      <c r="C247" s="20"/>
      <c r="D247" s="20"/>
      <c r="E247" s="14"/>
      <c r="F247" s="14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</row>
    <row r="248">
      <c r="A248" s="20"/>
      <c r="B248" s="88"/>
      <c r="C248" s="20"/>
      <c r="D248" s="20"/>
      <c r="E248" s="14"/>
      <c r="F248" s="14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</row>
    <row r="249">
      <c r="A249" s="20"/>
      <c r="B249" s="88"/>
      <c r="C249" s="20"/>
      <c r="D249" s="20"/>
      <c r="E249" s="14"/>
      <c r="F249" s="14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</row>
    <row r="250">
      <c r="A250" s="20"/>
      <c r="B250" s="88"/>
      <c r="C250" s="20"/>
      <c r="D250" s="20"/>
      <c r="E250" s="14"/>
      <c r="F250" s="14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</row>
    <row r="251">
      <c r="A251" s="20"/>
      <c r="B251" s="88"/>
      <c r="C251" s="20"/>
      <c r="D251" s="20"/>
      <c r="E251" s="14"/>
      <c r="F251" s="14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</row>
    <row r="252">
      <c r="A252" s="20"/>
      <c r="B252" s="88"/>
      <c r="C252" s="20"/>
      <c r="D252" s="20"/>
      <c r="E252" s="14"/>
      <c r="F252" s="14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</row>
    <row r="253">
      <c r="A253" s="20"/>
      <c r="B253" s="88"/>
      <c r="C253" s="20"/>
      <c r="D253" s="20"/>
      <c r="E253" s="14"/>
      <c r="F253" s="14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</row>
    <row r="254">
      <c r="A254" s="20"/>
      <c r="B254" s="88"/>
      <c r="C254" s="20"/>
      <c r="D254" s="20"/>
      <c r="E254" s="14"/>
      <c r="F254" s="14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</row>
    <row r="255">
      <c r="A255" s="20"/>
      <c r="B255" s="88"/>
      <c r="C255" s="20"/>
      <c r="D255" s="20"/>
      <c r="E255" s="14"/>
      <c r="F255" s="14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</row>
    <row r="256">
      <c r="A256" s="20"/>
      <c r="B256" s="88"/>
      <c r="C256" s="20"/>
      <c r="D256" s="20"/>
      <c r="E256" s="14"/>
      <c r="F256" s="14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</row>
    <row r="257">
      <c r="A257" s="20"/>
      <c r="B257" s="88"/>
      <c r="C257" s="20"/>
      <c r="D257" s="20"/>
      <c r="E257" s="14"/>
      <c r="F257" s="14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</row>
    <row r="258">
      <c r="A258" s="20"/>
      <c r="B258" s="88"/>
      <c r="C258" s="20"/>
      <c r="D258" s="20"/>
      <c r="E258" s="14"/>
      <c r="F258" s="14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</row>
    <row r="259">
      <c r="A259" s="20"/>
      <c r="B259" s="88"/>
      <c r="C259" s="20"/>
      <c r="D259" s="20"/>
      <c r="E259" s="14"/>
      <c r="F259" s="14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</row>
    <row r="260">
      <c r="A260" s="20"/>
      <c r="B260" s="88"/>
      <c r="C260" s="20"/>
      <c r="D260" s="20"/>
      <c r="E260" s="14"/>
      <c r="F260" s="14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</row>
    <row r="261">
      <c r="A261" s="20"/>
      <c r="B261" s="88"/>
      <c r="C261" s="20"/>
      <c r="D261" s="20"/>
      <c r="E261" s="14"/>
      <c r="F261" s="14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</row>
    <row r="262">
      <c r="A262" s="20"/>
      <c r="B262" s="88"/>
      <c r="C262" s="20"/>
      <c r="D262" s="20"/>
      <c r="E262" s="14"/>
      <c r="F262" s="14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</row>
    <row r="263">
      <c r="A263" s="20"/>
      <c r="B263" s="88"/>
      <c r="C263" s="20"/>
      <c r="D263" s="20"/>
      <c r="E263" s="14"/>
      <c r="F263" s="14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</row>
    <row r="264">
      <c r="A264" s="20"/>
      <c r="B264" s="88"/>
      <c r="C264" s="20"/>
      <c r="D264" s="20"/>
      <c r="E264" s="14"/>
      <c r="F264" s="14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</row>
    <row r="265">
      <c r="A265" s="20"/>
      <c r="B265" s="88"/>
      <c r="C265" s="20"/>
      <c r="D265" s="20"/>
      <c r="E265" s="14"/>
      <c r="F265" s="14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</row>
    <row r="266">
      <c r="A266" s="20"/>
      <c r="B266" s="88"/>
      <c r="C266" s="20"/>
      <c r="D266" s="20"/>
      <c r="E266" s="14"/>
      <c r="F266" s="14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</row>
    <row r="267">
      <c r="A267" s="20"/>
      <c r="B267" s="88"/>
      <c r="C267" s="20"/>
      <c r="D267" s="20"/>
      <c r="E267" s="14"/>
      <c r="F267" s="14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</row>
    <row r="268">
      <c r="A268" s="20"/>
      <c r="B268" s="88"/>
      <c r="C268" s="20"/>
      <c r="D268" s="20"/>
      <c r="E268" s="14"/>
      <c r="F268" s="14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</row>
    <row r="269">
      <c r="A269" s="20"/>
      <c r="B269" s="88"/>
      <c r="C269" s="20"/>
      <c r="D269" s="20"/>
      <c r="E269" s="14"/>
      <c r="F269" s="14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</row>
    <row r="270">
      <c r="A270" s="20"/>
      <c r="B270" s="88"/>
      <c r="C270" s="20"/>
      <c r="D270" s="20"/>
      <c r="E270" s="14"/>
      <c r="F270" s="14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</row>
    <row r="271">
      <c r="A271" s="20"/>
      <c r="B271" s="88"/>
      <c r="C271" s="20"/>
      <c r="D271" s="20"/>
      <c r="E271" s="14"/>
      <c r="F271" s="14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</row>
    <row r="272">
      <c r="A272" s="20"/>
      <c r="B272" s="88"/>
      <c r="C272" s="20"/>
      <c r="D272" s="20"/>
      <c r="E272" s="14"/>
      <c r="F272" s="14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</row>
    <row r="273">
      <c r="A273" s="20"/>
      <c r="B273" s="88"/>
      <c r="C273" s="20"/>
      <c r="D273" s="20"/>
      <c r="E273" s="14"/>
      <c r="F273" s="14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</row>
    <row r="274">
      <c r="A274" s="20"/>
      <c r="B274" s="88"/>
      <c r="C274" s="20"/>
      <c r="D274" s="20"/>
      <c r="E274" s="14"/>
      <c r="F274" s="14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</row>
    <row r="275">
      <c r="A275" s="20"/>
      <c r="B275" s="88"/>
      <c r="C275" s="20"/>
      <c r="D275" s="20"/>
      <c r="E275" s="14"/>
      <c r="F275" s="14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</row>
    <row r="276">
      <c r="A276" s="20"/>
      <c r="B276" s="88"/>
      <c r="C276" s="20"/>
      <c r="D276" s="20"/>
      <c r="E276" s="14"/>
      <c r="F276" s="14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</row>
    <row r="277">
      <c r="A277" s="20"/>
      <c r="B277" s="88"/>
      <c r="C277" s="20"/>
      <c r="D277" s="20"/>
      <c r="E277" s="14"/>
      <c r="F277" s="14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</row>
    <row r="278">
      <c r="A278" s="20"/>
      <c r="B278" s="88"/>
      <c r="C278" s="20"/>
      <c r="D278" s="20"/>
      <c r="E278" s="14"/>
      <c r="F278" s="14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</row>
    <row r="279">
      <c r="A279" s="20"/>
      <c r="B279" s="88"/>
      <c r="C279" s="20"/>
      <c r="D279" s="20"/>
      <c r="E279" s="14"/>
      <c r="F279" s="14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</row>
    <row r="280">
      <c r="A280" s="20"/>
      <c r="B280" s="88"/>
      <c r="C280" s="20"/>
      <c r="D280" s="20"/>
      <c r="E280" s="14"/>
      <c r="F280" s="14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</row>
    <row r="281">
      <c r="A281" s="20"/>
      <c r="B281" s="88"/>
      <c r="C281" s="20"/>
      <c r="D281" s="20"/>
      <c r="E281" s="14"/>
      <c r="F281" s="14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</row>
    <row r="282">
      <c r="A282" s="20"/>
      <c r="B282" s="88"/>
      <c r="C282" s="20"/>
      <c r="D282" s="20"/>
      <c r="E282" s="14"/>
      <c r="F282" s="14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</row>
    <row r="283">
      <c r="A283" s="20"/>
      <c r="B283" s="88"/>
      <c r="C283" s="20"/>
      <c r="D283" s="20"/>
      <c r="E283" s="14"/>
      <c r="F283" s="14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</row>
    <row r="284">
      <c r="A284" s="20"/>
      <c r="B284" s="88"/>
      <c r="C284" s="20"/>
      <c r="D284" s="20"/>
      <c r="E284" s="14"/>
      <c r="F284" s="14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</row>
    <row r="285">
      <c r="A285" s="20"/>
      <c r="B285" s="88"/>
      <c r="C285" s="20"/>
      <c r="D285" s="20"/>
      <c r="E285" s="14"/>
      <c r="F285" s="14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</row>
    <row r="286">
      <c r="A286" s="20"/>
      <c r="B286" s="88"/>
      <c r="C286" s="20"/>
      <c r="D286" s="20"/>
      <c r="E286" s="14"/>
      <c r="F286" s="14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</row>
    <row r="287">
      <c r="A287" s="20"/>
      <c r="B287" s="88"/>
      <c r="C287" s="20"/>
      <c r="D287" s="20"/>
      <c r="E287" s="14"/>
      <c r="F287" s="14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</row>
    <row r="288">
      <c r="A288" s="20"/>
      <c r="B288" s="88"/>
      <c r="C288" s="20"/>
      <c r="D288" s="20"/>
      <c r="E288" s="14"/>
      <c r="F288" s="14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</row>
    <row r="289">
      <c r="A289" s="20"/>
      <c r="B289" s="88"/>
      <c r="C289" s="20"/>
      <c r="D289" s="20"/>
      <c r="E289" s="14"/>
      <c r="F289" s="14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</row>
    <row r="290">
      <c r="A290" s="20"/>
      <c r="B290" s="88"/>
      <c r="C290" s="20"/>
      <c r="D290" s="20"/>
      <c r="E290" s="14"/>
      <c r="F290" s="14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</row>
    <row r="291">
      <c r="A291" s="20"/>
      <c r="B291" s="88"/>
      <c r="C291" s="20"/>
      <c r="D291" s="20"/>
      <c r="E291" s="14"/>
      <c r="F291" s="14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</row>
    <row r="292">
      <c r="A292" s="20"/>
      <c r="B292" s="88"/>
      <c r="C292" s="20"/>
      <c r="D292" s="20"/>
      <c r="E292" s="14"/>
      <c r="F292" s="14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</row>
    <row r="293">
      <c r="A293" s="20"/>
      <c r="B293" s="88"/>
      <c r="C293" s="20"/>
      <c r="D293" s="20"/>
      <c r="E293" s="14"/>
      <c r="F293" s="14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</row>
    <row r="294">
      <c r="A294" s="20"/>
      <c r="B294" s="88"/>
      <c r="C294" s="20"/>
      <c r="D294" s="20"/>
      <c r="E294" s="14"/>
      <c r="F294" s="14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</row>
    <row r="295">
      <c r="A295" s="20"/>
      <c r="B295" s="88"/>
      <c r="C295" s="20"/>
      <c r="D295" s="20"/>
      <c r="E295" s="14"/>
      <c r="F295" s="14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</row>
    <row r="296">
      <c r="A296" s="20"/>
      <c r="B296" s="88"/>
      <c r="C296" s="20"/>
      <c r="D296" s="20"/>
      <c r="E296" s="14"/>
      <c r="F296" s="14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</row>
    <row r="297">
      <c r="A297" s="20"/>
      <c r="B297" s="88"/>
      <c r="C297" s="20"/>
      <c r="D297" s="20"/>
      <c r="E297" s="14"/>
      <c r="F297" s="14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</row>
    <row r="298">
      <c r="A298" s="20"/>
      <c r="B298" s="88"/>
      <c r="C298" s="20"/>
      <c r="D298" s="20"/>
      <c r="E298" s="14"/>
      <c r="F298" s="14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</row>
    <row r="299">
      <c r="A299" s="20"/>
      <c r="B299" s="88"/>
      <c r="C299" s="20"/>
      <c r="D299" s="20"/>
      <c r="E299" s="14"/>
      <c r="F299" s="14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</row>
    <row r="300">
      <c r="A300" s="20"/>
      <c r="B300" s="88"/>
      <c r="C300" s="20"/>
      <c r="D300" s="20"/>
      <c r="E300" s="14"/>
      <c r="F300" s="14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</row>
    <row r="301">
      <c r="A301" s="20"/>
      <c r="B301" s="88"/>
      <c r="C301" s="20"/>
      <c r="D301" s="20"/>
      <c r="E301" s="14"/>
      <c r="F301" s="14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</row>
    <row r="302">
      <c r="A302" s="20"/>
      <c r="B302" s="88"/>
      <c r="C302" s="20"/>
      <c r="D302" s="20"/>
      <c r="E302" s="14"/>
      <c r="F302" s="14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</row>
    <row r="303">
      <c r="A303" s="20"/>
      <c r="B303" s="88"/>
      <c r="C303" s="20"/>
      <c r="D303" s="20"/>
      <c r="E303" s="14"/>
      <c r="F303" s="14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</row>
    <row r="304">
      <c r="A304" s="20"/>
      <c r="B304" s="88"/>
      <c r="C304" s="20"/>
      <c r="D304" s="20"/>
      <c r="E304" s="14"/>
      <c r="F304" s="14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</row>
    <row r="305">
      <c r="A305" s="20"/>
      <c r="B305" s="88"/>
      <c r="C305" s="20"/>
      <c r="D305" s="20"/>
      <c r="E305" s="14"/>
      <c r="F305" s="14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</row>
    <row r="306">
      <c r="A306" s="20"/>
      <c r="B306" s="88"/>
      <c r="C306" s="20"/>
      <c r="D306" s="20"/>
      <c r="E306" s="14"/>
      <c r="F306" s="14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</row>
    <row r="307">
      <c r="A307" s="20"/>
      <c r="B307" s="88"/>
      <c r="C307" s="20"/>
      <c r="D307" s="20"/>
      <c r="E307" s="14"/>
      <c r="F307" s="14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</row>
    <row r="308">
      <c r="A308" s="20"/>
      <c r="B308" s="88"/>
      <c r="C308" s="20"/>
      <c r="D308" s="20"/>
      <c r="E308" s="14"/>
      <c r="F308" s="14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</row>
    <row r="309">
      <c r="A309" s="20"/>
      <c r="B309" s="88"/>
      <c r="C309" s="20"/>
      <c r="D309" s="20"/>
      <c r="E309" s="14"/>
      <c r="F309" s="14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</row>
    <row r="310">
      <c r="A310" s="20"/>
      <c r="B310" s="88"/>
      <c r="C310" s="20"/>
      <c r="D310" s="20"/>
      <c r="E310" s="14"/>
      <c r="F310" s="14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</row>
    <row r="311">
      <c r="A311" s="20"/>
      <c r="B311" s="88"/>
      <c r="C311" s="20"/>
      <c r="D311" s="20"/>
      <c r="E311" s="14"/>
      <c r="F311" s="14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</row>
    <row r="312">
      <c r="A312" s="20"/>
      <c r="B312" s="88"/>
      <c r="C312" s="20"/>
      <c r="D312" s="20"/>
      <c r="E312" s="14"/>
      <c r="F312" s="14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</row>
    <row r="313">
      <c r="A313" s="20"/>
      <c r="B313" s="88"/>
      <c r="C313" s="20"/>
      <c r="D313" s="20"/>
      <c r="E313" s="14"/>
      <c r="F313" s="14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</row>
    <row r="314">
      <c r="A314" s="20"/>
      <c r="B314" s="88"/>
      <c r="C314" s="20"/>
      <c r="D314" s="20"/>
      <c r="E314" s="14"/>
      <c r="F314" s="14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</row>
    <row r="315">
      <c r="A315" s="20"/>
      <c r="B315" s="88"/>
      <c r="C315" s="20"/>
      <c r="D315" s="20"/>
      <c r="E315" s="14"/>
      <c r="F315" s="14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</row>
    <row r="316">
      <c r="A316" s="20"/>
      <c r="B316" s="88"/>
      <c r="C316" s="20"/>
      <c r="D316" s="20"/>
      <c r="E316" s="14"/>
      <c r="F316" s="14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</row>
    <row r="317">
      <c r="A317" s="20"/>
      <c r="B317" s="88"/>
      <c r="C317" s="20"/>
      <c r="D317" s="20"/>
      <c r="E317" s="14"/>
      <c r="F317" s="14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</row>
    <row r="318">
      <c r="A318" s="20"/>
      <c r="B318" s="88"/>
      <c r="C318" s="20"/>
      <c r="D318" s="20"/>
      <c r="E318" s="14"/>
      <c r="F318" s="14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</row>
    <row r="319">
      <c r="A319" s="20"/>
      <c r="B319" s="88"/>
      <c r="C319" s="20"/>
      <c r="D319" s="20"/>
      <c r="E319" s="14"/>
      <c r="F319" s="14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</row>
    <row r="320">
      <c r="A320" s="20"/>
      <c r="B320" s="88"/>
      <c r="C320" s="20"/>
      <c r="D320" s="20"/>
      <c r="E320" s="14"/>
      <c r="F320" s="14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</row>
    <row r="321">
      <c r="A321" s="20"/>
      <c r="B321" s="88"/>
      <c r="C321" s="20"/>
      <c r="D321" s="20"/>
      <c r="E321" s="14"/>
      <c r="F321" s="14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</row>
    <row r="322">
      <c r="A322" s="20"/>
      <c r="B322" s="88"/>
      <c r="C322" s="20"/>
      <c r="D322" s="20"/>
      <c r="E322" s="14"/>
      <c r="F322" s="14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</row>
    <row r="323">
      <c r="A323" s="20"/>
      <c r="B323" s="88"/>
      <c r="C323" s="20"/>
      <c r="D323" s="20"/>
      <c r="E323" s="14"/>
      <c r="F323" s="14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</row>
    <row r="324">
      <c r="A324" s="20"/>
      <c r="B324" s="88"/>
      <c r="C324" s="20"/>
      <c r="D324" s="20"/>
      <c r="E324" s="14"/>
      <c r="F324" s="14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</row>
    <row r="325">
      <c r="A325" s="20"/>
      <c r="B325" s="88"/>
      <c r="C325" s="20"/>
      <c r="D325" s="20"/>
      <c r="E325" s="14"/>
      <c r="F325" s="14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</row>
    <row r="326">
      <c r="A326" s="20"/>
      <c r="B326" s="88"/>
      <c r="C326" s="20"/>
      <c r="D326" s="20"/>
      <c r="E326" s="14"/>
      <c r="F326" s="14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</row>
    <row r="327">
      <c r="A327" s="20"/>
      <c r="B327" s="88"/>
      <c r="C327" s="20"/>
      <c r="D327" s="20"/>
      <c r="E327" s="14"/>
      <c r="F327" s="14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</row>
    <row r="328">
      <c r="A328" s="20"/>
      <c r="B328" s="88"/>
      <c r="C328" s="20"/>
      <c r="D328" s="20"/>
      <c r="E328" s="14"/>
      <c r="F328" s="14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</row>
    <row r="329">
      <c r="A329" s="20"/>
      <c r="B329" s="88"/>
      <c r="C329" s="20"/>
      <c r="D329" s="20"/>
      <c r="E329" s="14"/>
      <c r="F329" s="14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</row>
    <row r="330">
      <c r="A330" s="20"/>
      <c r="B330" s="88"/>
      <c r="C330" s="20"/>
      <c r="D330" s="20"/>
      <c r="E330" s="14"/>
      <c r="F330" s="14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</row>
    <row r="331">
      <c r="A331" s="20"/>
      <c r="B331" s="88"/>
      <c r="C331" s="20"/>
      <c r="D331" s="20"/>
      <c r="E331" s="14"/>
      <c r="F331" s="14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</row>
    <row r="332">
      <c r="A332" s="20"/>
      <c r="B332" s="88"/>
      <c r="C332" s="20"/>
      <c r="D332" s="20"/>
      <c r="E332" s="14"/>
      <c r="F332" s="14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</row>
    <row r="333">
      <c r="A333" s="20"/>
      <c r="B333" s="88"/>
      <c r="C333" s="20"/>
      <c r="D333" s="20"/>
      <c r="E333" s="14"/>
      <c r="F333" s="14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</row>
    <row r="334">
      <c r="A334" s="20"/>
      <c r="B334" s="88"/>
      <c r="C334" s="20"/>
      <c r="D334" s="20"/>
      <c r="E334" s="14"/>
      <c r="F334" s="14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</row>
    <row r="335">
      <c r="A335" s="20"/>
      <c r="B335" s="88"/>
      <c r="C335" s="20"/>
      <c r="D335" s="20"/>
      <c r="E335" s="14"/>
      <c r="F335" s="14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</row>
    <row r="336">
      <c r="A336" s="20"/>
      <c r="B336" s="88"/>
      <c r="C336" s="20"/>
      <c r="D336" s="20"/>
      <c r="E336" s="14"/>
      <c r="F336" s="14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</row>
    <row r="337">
      <c r="A337" s="20"/>
      <c r="B337" s="88"/>
      <c r="C337" s="20"/>
      <c r="D337" s="20"/>
      <c r="E337" s="14"/>
      <c r="F337" s="14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</row>
    <row r="338">
      <c r="A338" s="20"/>
      <c r="B338" s="88"/>
      <c r="C338" s="20"/>
      <c r="D338" s="20"/>
      <c r="E338" s="14"/>
      <c r="F338" s="14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</row>
    <row r="339">
      <c r="A339" s="20"/>
      <c r="B339" s="88"/>
      <c r="C339" s="20"/>
      <c r="D339" s="20"/>
      <c r="E339" s="14"/>
      <c r="F339" s="14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</row>
    <row r="340">
      <c r="A340" s="20"/>
      <c r="B340" s="88"/>
      <c r="C340" s="20"/>
      <c r="D340" s="20"/>
      <c r="E340" s="14"/>
      <c r="F340" s="14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</row>
    <row r="341">
      <c r="A341" s="20"/>
      <c r="B341" s="88"/>
      <c r="C341" s="20"/>
      <c r="D341" s="20"/>
      <c r="E341" s="14"/>
      <c r="F341" s="14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</row>
    <row r="342">
      <c r="A342" s="20"/>
      <c r="B342" s="88"/>
      <c r="C342" s="20"/>
      <c r="D342" s="20"/>
      <c r="E342" s="14"/>
      <c r="F342" s="14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</row>
    <row r="343">
      <c r="A343" s="20"/>
      <c r="B343" s="88"/>
      <c r="C343" s="20"/>
      <c r="D343" s="20"/>
      <c r="E343" s="14"/>
      <c r="F343" s="14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</row>
    <row r="344">
      <c r="A344" s="20"/>
      <c r="B344" s="88"/>
      <c r="C344" s="20"/>
      <c r="D344" s="20"/>
      <c r="E344" s="14"/>
      <c r="F344" s="14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</row>
    <row r="345">
      <c r="A345" s="20"/>
      <c r="B345" s="88"/>
      <c r="C345" s="20"/>
      <c r="D345" s="20"/>
      <c r="E345" s="14"/>
      <c r="F345" s="14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</row>
    <row r="346">
      <c r="A346" s="20"/>
      <c r="B346" s="88"/>
      <c r="C346" s="20"/>
      <c r="D346" s="20"/>
      <c r="E346" s="14"/>
      <c r="F346" s="14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</row>
    <row r="347">
      <c r="A347" s="20"/>
      <c r="B347" s="88"/>
      <c r="C347" s="20"/>
      <c r="D347" s="20"/>
      <c r="E347" s="14"/>
      <c r="F347" s="14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</row>
    <row r="348">
      <c r="A348" s="20"/>
      <c r="B348" s="88"/>
      <c r="C348" s="20"/>
      <c r="D348" s="20"/>
      <c r="E348" s="14"/>
      <c r="F348" s="14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</row>
    <row r="349">
      <c r="A349" s="20"/>
      <c r="B349" s="88"/>
      <c r="C349" s="20"/>
      <c r="D349" s="20"/>
      <c r="E349" s="14"/>
      <c r="F349" s="14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</row>
    <row r="350">
      <c r="A350" s="20"/>
      <c r="B350" s="88"/>
      <c r="C350" s="20"/>
      <c r="D350" s="20"/>
      <c r="E350" s="14"/>
      <c r="F350" s="14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</row>
    <row r="351">
      <c r="A351" s="20"/>
      <c r="B351" s="88"/>
      <c r="C351" s="20"/>
      <c r="D351" s="20"/>
      <c r="E351" s="14"/>
      <c r="F351" s="14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</row>
    <row r="352">
      <c r="A352" s="20"/>
      <c r="B352" s="88"/>
      <c r="C352" s="20"/>
      <c r="D352" s="20"/>
      <c r="E352" s="14"/>
      <c r="F352" s="14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</row>
    <row r="353">
      <c r="A353" s="20"/>
      <c r="B353" s="88"/>
      <c r="C353" s="20"/>
      <c r="D353" s="20"/>
      <c r="E353" s="14"/>
      <c r="F353" s="14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</row>
    <row r="354">
      <c r="A354" s="20"/>
      <c r="B354" s="88"/>
      <c r="C354" s="20"/>
      <c r="D354" s="20"/>
      <c r="E354" s="14"/>
      <c r="F354" s="14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</row>
    <row r="355">
      <c r="A355" s="20"/>
      <c r="B355" s="88"/>
      <c r="C355" s="20"/>
      <c r="D355" s="20"/>
      <c r="E355" s="14"/>
      <c r="F355" s="14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</row>
    <row r="356">
      <c r="A356" s="20"/>
      <c r="B356" s="88"/>
      <c r="C356" s="20"/>
      <c r="D356" s="20"/>
      <c r="E356" s="14"/>
      <c r="F356" s="14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</row>
    <row r="357">
      <c r="A357" s="20"/>
      <c r="B357" s="88"/>
      <c r="C357" s="20"/>
      <c r="D357" s="20"/>
      <c r="E357" s="14"/>
      <c r="F357" s="14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</row>
    <row r="358">
      <c r="A358" s="20"/>
      <c r="B358" s="88"/>
      <c r="C358" s="20"/>
      <c r="D358" s="20"/>
      <c r="E358" s="14"/>
      <c r="F358" s="14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</row>
    <row r="359">
      <c r="A359" s="20"/>
      <c r="B359" s="88"/>
      <c r="C359" s="20"/>
      <c r="D359" s="20"/>
      <c r="E359" s="14"/>
      <c r="F359" s="14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</row>
    <row r="360">
      <c r="A360" s="20"/>
      <c r="B360" s="88"/>
      <c r="C360" s="20"/>
      <c r="D360" s="20"/>
      <c r="E360" s="14"/>
      <c r="F360" s="14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</row>
    <row r="361">
      <c r="A361" s="20"/>
      <c r="B361" s="88"/>
      <c r="C361" s="20"/>
      <c r="D361" s="20"/>
      <c r="E361" s="14"/>
      <c r="F361" s="14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</row>
    <row r="362">
      <c r="A362" s="20"/>
      <c r="B362" s="88"/>
      <c r="C362" s="20"/>
      <c r="D362" s="20"/>
      <c r="E362" s="14"/>
      <c r="F362" s="14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</row>
    <row r="363">
      <c r="A363" s="20"/>
      <c r="B363" s="88"/>
      <c r="C363" s="20"/>
      <c r="D363" s="20"/>
      <c r="E363" s="14"/>
      <c r="F363" s="14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</row>
    <row r="364">
      <c r="A364" s="20"/>
      <c r="B364" s="88"/>
      <c r="C364" s="20"/>
      <c r="D364" s="20"/>
      <c r="E364" s="14"/>
      <c r="F364" s="14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</row>
    <row r="365">
      <c r="A365" s="20"/>
      <c r="B365" s="88"/>
      <c r="C365" s="20"/>
      <c r="D365" s="20"/>
      <c r="E365" s="14"/>
      <c r="F365" s="14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</row>
    <row r="366">
      <c r="A366" s="20"/>
      <c r="B366" s="88"/>
      <c r="C366" s="20"/>
      <c r="D366" s="20"/>
      <c r="E366" s="14"/>
      <c r="F366" s="14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</row>
    <row r="367">
      <c r="A367" s="20"/>
      <c r="B367" s="88"/>
      <c r="C367" s="20"/>
      <c r="D367" s="20"/>
      <c r="E367" s="14"/>
      <c r="F367" s="14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</row>
    <row r="368">
      <c r="A368" s="20"/>
      <c r="B368" s="88"/>
      <c r="C368" s="20"/>
      <c r="D368" s="20"/>
      <c r="E368" s="14"/>
      <c r="F368" s="14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</row>
    <row r="369">
      <c r="A369" s="20"/>
      <c r="B369" s="88"/>
      <c r="C369" s="20"/>
      <c r="D369" s="20"/>
      <c r="E369" s="14"/>
      <c r="F369" s="14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</row>
    <row r="370">
      <c r="A370" s="20"/>
      <c r="B370" s="88"/>
      <c r="C370" s="20"/>
      <c r="D370" s="20"/>
      <c r="E370" s="14"/>
      <c r="F370" s="14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</row>
    <row r="371">
      <c r="A371" s="20"/>
      <c r="B371" s="88"/>
      <c r="C371" s="20"/>
      <c r="D371" s="20"/>
      <c r="E371" s="14"/>
      <c r="F371" s="14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</row>
    <row r="372">
      <c r="A372" s="20"/>
      <c r="B372" s="88"/>
      <c r="C372" s="20"/>
      <c r="D372" s="20"/>
      <c r="E372" s="14"/>
      <c r="F372" s="14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</row>
    <row r="373">
      <c r="A373" s="20"/>
      <c r="B373" s="88"/>
      <c r="C373" s="20"/>
      <c r="D373" s="20"/>
      <c r="E373" s="14"/>
      <c r="F373" s="14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</row>
    <row r="374">
      <c r="A374" s="20"/>
      <c r="B374" s="88"/>
      <c r="C374" s="20"/>
      <c r="D374" s="20"/>
      <c r="E374" s="14"/>
      <c r="F374" s="14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</row>
    <row r="375">
      <c r="A375" s="20"/>
      <c r="B375" s="88"/>
      <c r="C375" s="20"/>
      <c r="D375" s="20"/>
      <c r="E375" s="14"/>
      <c r="F375" s="14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</row>
    <row r="376">
      <c r="A376" s="20"/>
      <c r="B376" s="88"/>
      <c r="C376" s="20"/>
      <c r="D376" s="20"/>
      <c r="E376" s="14"/>
      <c r="F376" s="14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</row>
    <row r="377">
      <c r="A377" s="20"/>
      <c r="B377" s="88"/>
      <c r="C377" s="20"/>
      <c r="D377" s="20"/>
      <c r="E377" s="14"/>
      <c r="F377" s="14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</row>
    <row r="378">
      <c r="A378" s="20"/>
      <c r="B378" s="88"/>
      <c r="C378" s="20"/>
      <c r="D378" s="20"/>
      <c r="E378" s="14"/>
      <c r="F378" s="14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</row>
    <row r="379">
      <c r="A379" s="20"/>
      <c r="B379" s="88"/>
      <c r="C379" s="20"/>
      <c r="D379" s="20"/>
      <c r="E379" s="14"/>
      <c r="F379" s="14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</row>
    <row r="380">
      <c r="A380" s="20"/>
      <c r="B380" s="88"/>
      <c r="C380" s="20"/>
      <c r="D380" s="20"/>
      <c r="E380" s="14"/>
      <c r="F380" s="14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</row>
    <row r="381">
      <c r="A381" s="20"/>
      <c r="B381" s="88"/>
      <c r="C381" s="20"/>
      <c r="D381" s="20"/>
      <c r="E381" s="14"/>
      <c r="F381" s="14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</row>
    <row r="382">
      <c r="A382" s="20"/>
      <c r="B382" s="88"/>
      <c r="C382" s="20"/>
      <c r="D382" s="20"/>
      <c r="E382" s="14"/>
      <c r="F382" s="14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</row>
    <row r="383">
      <c r="A383" s="20"/>
      <c r="B383" s="88"/>
      <c r="C383" s="20"/>
      <c r="D383" s="20"/>
      <c r="E383" s="14"/>
      <c r="F383" s="14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</row>
    <row r="384">
      <c r="A384" s="20"/>
      <c r="B384" s="88"/>
      <c r="C384" s="20"/>
      <c r="D384" s="20"/>
      <c r="E384" s="14"/>
      <c r="F384" s="14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</row>
    <row r="385">
      <c r="A385" s="20"/>
      <c r="B385" s="88"/>
      <c r="C385" s="20"/>
      <c r="D385" s="20"/>
      <c r="E385" s="14"/>
      <c r="F385" s="14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</row>
    <row r="386">
      <c r="A386" s="20"/>
      <c r="B386" s="88"/>
      <c r="C386" s="20"/>
      <c r="D386" s="20"/>
      <c r="E386" s="14"/>
      <c r="F386" s="14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</row>
    <row r="387">
      <c r="A387" s="20"/>
      <c r="B387" s="88"/>
      <c r="C387" s="20"/>
      <c r="D387" s="20"/>
      <c r="E387" s="14"/>
      <c r="F387" s="14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</row>
    <row r="388">
      <c r="A388" s="20"/>
      <c r="B388" s="88"/>
      <c r="C388" s="20"/>
      <c r="D388" s="20"/>
      <c r="E388" s="14"/>
      <c r="F388" s="14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</row>
    <row r="389">
      <c r="A389" s="20"/>
      <c r="B389" s="88"/>
      <c r="C389" s="20"/>
      <c r="D389" s="20"/>
      <c r="E389" s="14"/>
      <c r="F389" s="14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</row>
    <row r="390">
      <c r="A390" s="20"/>
      <c r="B390" s="88"/>
      <c r="C390" s="20"/>
      <c r="D390" s="20"/>
      <c r="E390" s="14"/>
      <c r="F390" s="14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</row>
    <row r="391">
      <c r="A391" s="20"/>
      <c r="B391" s="88"/>
      <c r="C391" s="20"/>
      <c r="D391" s="20"/>
      <c r="E391" s="14"/>
      <c r="F391" s="14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</row>
    <row r="392">
      <c r="A392" s="20"/>
      <c r="B392" s="88"/>
      <c r="C392" s="20"/>
      <c r="D392" s="20"/>
      <c r="E392" s="14"/>
      <c r="F392" s="14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</row>
    <row r="393">
      <c r="A393" s="20"/>
      <c r="B393" s="88"/>
      <c r="C393" s="20"/>
      <c r="D393" s="20"/>
      <c r="E393" s="14"/>
      <c r="F393" s="14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</row>
    <row r="394">
      <c r="A394" s="20"/>
      <c r="B394" s="88"/>
      <c r="C394" s="20"/>
      <c r="D394" s="20"/>
      <c r="E394" s="14"/>
      <c r="F394" s="14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</row>
    <row r="395">
      <c r="A395" s="20"/>
      <c r="B395" s="88"/>
      <c r="C395" s="20"/>
      <c r="D395" s="20"/>
      <c r="E395" s="14"/>
      <c r="F395" s="14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</row>
    <row r="396">
      <c r="A396" s="20"/>
      <c r="B396" s="88"/>
      <c r="C396" s="20"/>
      <c r="D396" s="20"/>
      <c r="E396" s="14"/>
      <c r="F396" s="14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</row>
    <row r="397">
      <c r="A397" s="20"/>
      <c r="B397" s="88"/>
      <c r="C397" s="20"/>
      <c r="D397" s="20"/>
      <c r="E397" s="14"/>
      <c r="F397" s="14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</row>
    <row r="398">
      <c r="A398" s="20"/>
      <c r="B398" s="88"/>
      <c r="C398" s="20"/>
      <c r="D398" s="20"/>
      <c r="E398" s="14"/>
      <c r="F398" s="14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</row>
    <row r="399">
      <c r="A399" s="20"/>
      <c r="B399" s="88"/>
      <c r="C399" s="20"/>
      <c r="D399" s="20"/>
      <c r="E399" s="14"/>
      <c r="F399" s="14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</row>
    <row r="400">
      <c r="A400" s="20"/>
      <c r="B400" s="88"/>
      <c r="C400" s="20"/>
      <c r="D400" s="20"/>
      <c r="E400" s="14"/>
      <c r="F400" s="14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</row>
    <row r="401">
      <c r="A401" s="20"/>
      <c r="B401" s="88"/>
      <c r="C401" s="20"/>
      <c r="D401" s="20"/>
      <c r="E401" s="14"/>
      <c r="F401" s="14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</row>
    <row r="402">
      <c r="A402" s="20"/>
      <c r="B402" s="88"/>
      <c r="C402" s="20"/>
      <c r="D402" s="20"/>
      <c r="E402" s="14"/>
      <c r="F402" s="14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</row>
    <row r="403">
      <c r="A403" s="20"/>
      <c r="B403" s="88"/>
      <c r="C403" s="20"/>
      <c r="D403" s="20"/>
      <c r="E403" s="14"/>
      <c r="F403" s="14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</row>
    <row r="404">
      <c r="A404" s="20"/>
      <c r="B404" s="88"/>
      <c r="C404" s="20"/>
      <c r="D404" s="20"/>
      <c r="E404" s="14"/>
      <c r="F404" s="14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</row>
    <row r="405">
      <c r="A405" s="20"/>
      <c r="B405" s="88"/>
      <c r="C405" s="20"/>
      <c r="D405" s="20"/>
      <c r="E405" s="14"/>
      <c r="F405" s="14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</row>
    <row r="406">
      <c r="A406" s="20"/>
      <c r="B406" s="88"/>
      <c r="C406" s="20"/>
      <c r="D406" s="20"/>
      <c r="E406" s="14"/>
      <c r="F406" s="14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</row>
    <row r="407">
      <c r="A407" s="20"/>
      <c r="B407" s="88"/>
      <c r="C407" s="20"/>
      <c r="D407" s="20"/>
      <c r="E407" s="14"/>
      <c r="F407" s="14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</row>
    <row r="408">
      <c r="A408" s="20"/>
      <c r="B408" s="88"/>
      <c r="C408" s="20"/>
      <c r="D408" s="20"/>
      <c r="E408" s="14"/>
      <c r="F408" s="14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</row>
    <row r="409">
      <c r="A409" s="20"/>
      <c r="B409" s="88"/>
      <c r="C409" s="20"/>
      <c r="D409" s="20"/>
      <c r="E409" s="14"/>
      <c r="F409" s="14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</row>
    <row r="410">
      <c r="A410" s="20"/>
      <c r="B410" s="88"/>
      <c r="C410" s="20"/>
      <c r="D410" s="20"/>
      <c r="E410" s="14"/>
      <c r="F410" s="14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</row>
    <row r="411">
      <c r="A411" s="20"/>
      <c r="B411" s="88"/>
      <c r="C411" s="20"/>
      <c r="D411" s="20"/>
      <c r="E411" s="14"/>
      <c r="F411" s="14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</row>
    <row r="412">
      <c r="A412" s="20"/>
      <c r="B412" s="88"/>
      <c r="C412" s="20"/>
      <c r="D412" s="20"/>
      <c r="E412" s="14"/>
      <c r="F412" s="14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</row>
    <row r="413">
      <c r="A413" s="20"/>
      <c r="B413" s="88"/>
      <c r="C413" s="20"/>
      <c r="D413" s="20"/>
      <c r="E413" s="14"/>
      <c r="F413" s="14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</row>
    <row r="414">
      <c r="A414" s="20"/>
      <c r="B414" s="88"/>
      <c r="C414" s="20"/>
      <c r="D414" s="20"/>
      <c r="E414" s="14"/>
      <c r="F414" s="14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</row>
    <row r="415">
      <c r="A415" s="20"/>
      <c r="B415" s="88"/>
      <c r="C415" s="20"/>
      <c r="D415" s="20"/>
      <c r="E415" s="14"/>
      <c r="F415" s="14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</row>
    <row r="416">
      <c r="A416" s="20"/>
      <c r="B416" s="88"/>
      <c r="C416" s="20"/>
      <c r="D416" s="20"/>
      <c r="E416" s="14"/>
      <c r="F416" s="14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</row>
    <row r="417">
      <c r="A417" s="20"/>
      <c r="B417" s="88"/>
      <c r="C417" s="20"/>
      <c r="D417" s="20"/>
      <c r="E417" s="14"/>
      <c r="F417" s="14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</row>
    <row r="418">
      <c r="A418" s="20"/>
      <c r="B418" s="88"/>
      <c r="C418" s="20"/>
      <c r="D418" s="20"/>
      <c r="E418" s="14"/>
      <c r="F418" s="14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</row>
    <row r="419">
      <c r="A419" s="20"/>
      <c r="B419" s="88"/>
      <c r="C419" s="20"/>
      <c r="D419" s="20"/>
      <c r="E419" s="14"/>
      <c r="F419" s="14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</row>
    <row r="420">
      <c r="A420" s="20"/>
      <c r="B420" s="88"/>
      <c r="C420" s="20"/>
      <c r="D420" s="20"/>
      <c r="E420" s="14"/>
      <c r="F420" s="14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</row>
    <row r="421">
      <c r="A421" s="20"/>
      <c r="B421" s="88"/>
      <c r="C421" s="20"/>
      <c r="D421" s="20"/>
      <c r="E421" s="14"/>
      <c r="F421" s="14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</row>
    <row r="422">
      <c r="A422" s="20"/>
      <c r="B422" s="88"/>
      <c r="C422" s="20"/>
      <c r="D422" s="20"/>
      <c r="E422" s="14"/>
      <c r="F422" s="14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</row>
    <row r="423">
      <c r="A423" s="20"/>
      <c r="B423" s="88"/>
      <c r="C423" s="20"/>
      <c r="D423" s="20"/>
      <c r="E423" s="14"/>
      <c r="F423" s="14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</row>
    <row r="424">
      <c r="A424" s="20"/>
      <c r="B424" s="88"/>
      <c r="C424" s="20"/>
      <c r="D424" s="20"/>
      <c r="E424" s="14"/>
      <c r="F424" s="14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</row>
    <row r="425">
      <c r="A425" s="20"/>
      <c r="B425" s="88"/>
      <c r="C425" s="20"/>
      <c r="D425" s="20"/>
      <c r="E425" s="14"/>
      <c r="F425" s="14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</row>
    <row r="426">
      <c r="A426" s="20"/>
      <c r="B426" s="88"/>
      <c r="C426" s="20"/>
      <c r="D426" s="20"/>
      <c r="E426" s="14"/>
      <c r="F426" s="14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</row>
    <row r="427">
      <c r="A427" s="20"/>
      <c r="B427" s="88"/>
      <c r="C427" s="20"/>
      <c r="D427" s="20"/>
      <c r="E427" s="14"/>
      <c r="F427" s="14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</row>
    <row r="428">
      <c r="A428" s="20"/>
      <c r="B428" s="88"/>
      <c r="C428" s="20"/>
      <c r="D428" s="20"/>
      <c r="E428" s="14"/>
      <c r="F428" s="14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</row>
    <row r="429">
      <c r="A429" s="20"/>
      <c r="B429" s="88"/>
      <c r="C429" s="20"/>
      <c r="D429" s="20"/>
      <c r="E429" s="14"/>
      <c r="F429" s="14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</row>
    <row r="430">
      <c r="A430" s="20"/>
      <c r="B430" s="88"/>
      <c r="C430" s="20"/>
      <c r="D430" s="20"/>
      <c r="E430" s="14"/>
      <c r="F430" s="14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</row>
    <row r="431">
      <c r="A431" s="20"/>
      <c r="B431" s="88"/>
      <c r="C431" s="20"/>
      <c r="D431" s="20"/>
      <c r="E431" s="14"/>
      <c r="F431" s="14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</row>
    <row r="432">
      <c r="A432" s="20"/>
      <c r="B432" s="88"/>
      <c r="C432" s="20"/>
      <c r="D432" s="20"/>
      <c r="E432" s="14"/>
      <c r="F432" s="14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</row>
    <row r="433">
      <c r="A433" s="20"/>
      <c r="B433" s="88"/>
      <c r="C433" s="20"/>
      <c r="D433" s="20"/>
      <c r="E433" s="14"/>
      <c r="F433" s="14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</row>
    <row r="434">
      <c r="A434" s="20"/>
      <c r="B434" s="88"/>
      <c r="C434" s="20"/>
      <c r="D434" s="20"/>
      <c r="E434" s="14"/>
      <c r="F434" s="14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</row>
    <row r="435">
      <c r="A435" s="20"/>
      <c r="B435" s="88"/>
      <c r="C435" s="20"/>
      <c r="D435" s="20"/>
      <c r="E435" s="14"/>
      <c r="F435" s="14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</row>
    <row r="436">
      <c r="A436" s="20"/>
      <c r="B436" s="88"/>
      <c r="C436" s="20"/>
      <c r="D436" s="20"/>
      <c r="E436" s="14"/>
      <c r="F436" s="14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</row>
    <row r="437">
      <c r="A437" s="20"/>
      <c r="B437" s="88"/>
      <c r="C437" s="20"/>
      <c r="D437" s="20"/>
      <c r="E437" s="14"/>
      <c r="F437" s="14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</row>
    <row r="438">
      <c r="A438" s="20"/>
      <c r="B438" s="88"/>
      <c r="C438" s="20"/>
      <c r="D438" s="20"/>
      <c r="E438" s="14"/>
      <c r="F438" s="14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</row>
    <row r="439">
      <c r="A439" s="20"/>
      <c r="B439" s="88"/>
      <c r="C439" s="20"/>
      <c r="D439" s="20"/>
      <c r="E439" s="14"/>
      <c r="F439" s="14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</row>
    <row r="440">
      <c r="A440" s="20"/>
      <c r="B440" s="88"/>
      <c r="C440" s="20"/>
      <c r="D440" s="20"/>
      <c r="E440" s="14"/>
      <c r="F440" s="14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</row>
    <row r="441">
      <c r="A441" s="20"/>
      <c r="B441" s="88"/>
      <c r="C441" s="20"/>
      <c r="D441" s="20"/>
      <c r="E441" s="14"/>
      <c r="F441" s="14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</row>
    <row r="442">
      <c r="A442" s="20"/>
      <c r="B442" s="88"/>
      <c r="C442" s="20"/>
      <c r="D442" s="20"/>
      <c r="E442" s="14"/>
      <c r="F442" s="14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</row>
    <row r="443">
      <c r="A443" s="20"/>
      <c r="B443" s="88"/>
      <c r="C443" s="20"/>
      <c r="D443" s="20"/>
      <c r="E443" s="14"/>
      <c r="F443" s="14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</row>
    <row r="444">
      <c r="A444" s="20"/>
      <c r="B444" s="88"/>
      <c r="C444" s="20"/>
      <c r="D444" s="20"/>
      <c r="E444" s="14"/>
      <c r="F444" s="14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</row>
    <row r="445">
      <c r="A445" s="20"/>
      <c r="B445" s="88"/>
      <c r="C445" s="20"/>
      <c r="D445" s="20"/>
      <c r="E445" s="14"/>
      <c r="F445" s="14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</row>
    <row r="446">
      <c r="A446" s="20"/>
      <c r="B446" s="88"/>
      <c r="C446" s="20"/>
      <c r="D446" s="20"/>
      <c r="E446" s="14"/>
      <c r="F446" s="14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</row>
    <row r="447">
      <c r="A447" s="20"/>
      <c r="B447" s="88"/>
      <c r="C447" s="20"/>
      <c r="D447" s="20"/>
      <c r="E447" s="14"/>
      <c r="F447" s="14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</row>
    <row r="448">
      <c r="A448" s="20"/>
      <c r="B448" s="88"/>
      <c r="C448" s="20"/>
      <c r="D448" s="20"/>
      <c r="E448" s="14"/>
      <c r="F448" s="14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</row>
    <row r="449">
      <c r="A449" s="20"/>
      <c r="B449" s="88"/>
      <c r="C449" s="20"/>
      <c r="D449" s="20"/>
      <c r="E449" s="14"/>
      <c r="F449" s="14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</row>
    <row r="450">
      <c r="A450" s="20"/>
      <c r="B450" s="88"/>
      <c r="C450" s="20"/>
      <c r="D450" s="20"/>
      <c r="E450" s="14"/>
      <c r="F450" s="14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</row>
    <row r="451">
      <c r="A451" s="20"/>
      <c r="B451" s="88"/>
      <c r="C451" s="20"/>
      <c r="D451" s="20"/>
      <c r="E451" s="14"/>
      <c r="F451" s="14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</row>
    <row r="452">
      <c r="A452" s="20"/>
      <c r="B452" s="88"/>
      <c r="C452" s="20"/>
      <c r="D452" s="20"/>
      <c r="E452" s="14"/>
      <c r="F452" s="14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</row>
    <row r="453">
      <c r="A453" s="20"/>
      <c r="B453" s="88"/>
      <c r="C453" s="20"/>
      <c r="D453" s="20"/>
      <c r="E453" s="14"/>
      <c r="F453" s="14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</row>
    <row r="454">
      <c r="A454" s="20"/>
      <c r="B454" s="88"/>
      <c r="C454" s="20"/>
      <c r="D454" s="20"/>
      <c r="E454" s="14"/>
      <c r="F454" s="14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</row>
    <row r="455">
      <c r="A455" s="20"/>
      <c r="B455" s="88"/>
      <c r="C455" s="20"/>
      <c r="D455" s="20"/>
      <c r="E455" s="14"/>
      <c r="F455" s="14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</row>
    <row r="456">
      <c r="A456" s="20"/>
      <c r="B456" s="88"/>
      <c r="C456" s="20"/>
      <c r="D456" s="20"/>
      <c r="E456" s="14"/>
      <c r="F456" s="14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</row>
    <row r="457">
      <c r="A457" s="20"/>
      <c r="B457" s="88"/>
      <c r="C457" s="20"/>
      <c r="D457" s="20"/>
      <c r="E457" s="14"/>
      <c r="F457" s="14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</row>
    <row r="458">
      <c r="A458" s="20"/>
      <c r="B458" s="88"/>
      <c r="C458" s="20"/>
      <c r="D458" s="20"/>
      <c r="E458" s="14"/>
      <c r="F458" s="14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</row>
    <row r="459">
      <c r="A459" s="20"/>
      <c r="B459" s="88"/>
      <c r="C459" s="20"/>
      <c r="D459" s="20"/>
      <c r="E459" s="14"/>
      <c r="F459" s="14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</row>
    <row r="460">
      <c r="A460" s="20"/>
      <c r="B460" s="88"/>
      <c r="C460" s="20"/>
      <c r="D460" s="20"/>
      <c r="E460" s="14"/>
      <c r="F460" s="14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</row>
    <row r="461">
      <c r="A461" s="20"/>
      <c r="B461" s="88"/>
      <c r="C461" s="20"/>
      <c r="D461" s="20"/>
      <c r="E461" s="14"/>
      <c r="F461" s="14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</row>
    <row r="462">
      <c r="A462" s="20"/>
      <c r="B462" s="88"/>
      <c r="C462" s="20"/>
      <c r="D462" s="20"/>
      <c r="E462" s="14"/>
      <c r="F462" s="14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</row>
    <row r="463">
      <c r="A463" s="20"/>
      <c r="B463" s="88"/>
      <c r="C463" s="20"/>
      <c r="D463" s="20"/>
      <c r="E463" s="14"/>
      <c r="F463" s="14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</row>
    <row r="464">
      <c r="A464" s="20"/>
      <c r="B464" s="88"/>
      <c r="C464" s="20"/>
      <c r="D464" s="20"/>
      <c r="E464" s="14"/>
      <c r="F464" s="14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</row>
    <row r="465">
      <c r="A465" s="20"/>
      <c r="B465" s="88"/>
      <c r="C465" s="20"/>
      <c r="D465" s="20"/>
      <c r="E465" s="14"/>
      <c r="F465" s="14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</row>
    <row r="466">
      <c r="A466" s="20"/>
      <c r="B466" s="88"/>
      <c r="C466" s="20"/>
      <c r="D466" s="20"/>
      <c r="E466" s="14"/>
      <c r="F466" s="14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</row>
    <row r="467">
      <c r="A467" s="20"/>
      <c r="B467" s="88"/>
      <c r="C467" s="20"/>
      <c r="D467" s="20"/>
      <c r="E467" s="14"/>
      <c r="F467" s="14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</row>
    <row r="468">
      <c r="A468" s="20"/>
      <c r="B468" s="88"/>
      <c r="C468" s="20"/>
      <c r="D468" s="20"/>
      <c r="E468" s="14"/>
      <c r="F468" s="14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</row>
    <row r="469">
      <c r="A469" s="20"/>
      <c r="B469" s="88"/>
      <c r="C469" s="20"/>
      <c r="D469" s="20"/>
      <c r="E469" s="14"/>
      <c r="F469" s="14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</row>
    <row r="470">
      <c r="A470" s="20"/>
      <c r="B470" s="88"/>
      <c r="C470" s="20"/>
      <c r="D470" s="20"/>
      <c r="E470" s="14"/>
      <c r="F470" s="14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</row>
    <row r="471">
      <c r="A471" s="20"/>
      <c r="B471" s="88"/>
      <c r="C471" s="20"/>
      <c r="D471" s="20"/>
      <c r="E471" s="14"/>
      <c r="F471" s="14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</row>
    <row r="472">
      <c r="A472" s="20"/>
      <c r="B472" s="88"/>
      <c r="C472" s="20"/>
      <c r="D472" s="20"/>
      <c r="E472" s="14"/>
      <c r="F472" s="14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</row>
    <row r="473">
      <c r="A473" s="20"/>
      <c r="B473" s="88"/>
      <c r="C473" s="20"/>
      <c r="D473" s="20"/>
      <c r="E473" s="14"/>
      <c r="F473" s="14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</row>
    <row r="474">
      <c r="A474" s="20"/>
      <c r="B474" s="88"/>
      <c r="C474" s="20"/>
      <c r="D474" s="20"/>
      <c r="E474" s="14"/>
      <c r="F474" s="14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</row>
    <row r="475">
      <c r="A475" s="20"/>
      <c r="B475" s="88"/>
      <c r="C475" s="20"/>
      <c r="D475" s="20"/>
      <c r="E475" s="14"/>
      <c r="F475" s="14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</row>
    <row r="476">
      <c r="A476" s="20"/>
      <c r="B476" s="88"/>
      <c r="C476" s="20"/>
      <c r="D476" s="20"/>
      <c r="E476" s="14"/>
      <c r="F476" s="14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</row>
    <row r="477">
      <c r="A477" s="20"/>
      <c r="B477" s="88"/>
      <c r="C477" s="20"/>
      <c r="D477" s="20"/>
      <c r="E477" s="14"/>
      <c r="F477" s="14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</row>
    <row r="478">
      <c r="A478" s="20"/>
      <c r="B478" s="88"/>
      <c r="C478" s="20"/>
      <c r="D478" s="20"/>
      <c r="E478" s="14"/>
      <c r="F478" s="14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</row>
    <row r="479">
      <c r="A479" s="20"/>
      <c r="B479" s="88"/>
      <c r="C479" s="20"/>
      <c r="D479" s="20"/>
      <c r="E479" s="14"/>
      <c r="F479" s="14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</row>
    <row r="480">
      <c r="A480" s="20"/>
      <c r="B480" s="88"/>
      <c r="C480" s="20"/>
      <c r="D480" s="20"/>
      <c r="E480" s="14"/>
      <c r="F480" s="14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</row>
    <row r="481">
      <c r="A481" s="20"/>
      <c r="B481" s="88"/>
      <c r="C481" s="20"/>
      <c r="D481" s="20"/>
      <c r="E481" s="14"/>
      <c r="F481" s="14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</row>
    <row r="482">
      <c r="A482" s="20"/>
      <c r="B482" s="88"/>
      <c r="C482" s="20"/>
      <c r="D482" s="20"/>
      <c r="E482" s="14"/>
      <c r="F482" s="14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</row>
    <row r="483">
      <c r="A483" s="20"/>
      <c r="B483" s="88"/>
      <c r="C483" s="20"/>
      <c r="D483" s="20"/>
      <c r="E483" s="14"/>
      <c r="F483" s="14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</row>
    <row r="484">
      <c r="A484" s="20"/>
      <c r="B484" s="88"/>
      <c r="C484" s="20"/>
      <c r="D484" s="20"/>
      <c r="E484" s="14"/>
      <c r="F484" s="14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</row>
    <row r="485">
      <c r="A485" s="20"/>
      <c r="B485" s="88"/>
      <c r="C485" s="20"/>
      <c r="D485" s="20"/>
      <c r="E485" s="14"/>
      <c r="F485" s="14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</row>
    <row r="486">
      <c r="A486" s="20"/>
      <c r="B486" s="88"/>
      <c r="C486" s="20"/>
      <c r="D486" s="20"/>
      <c r="E486" s="14"/>
      <c r="F486" s="14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</row>
    <row r="487">
      <c r="A487" s="20"/>
      <c r="B487" s="88"/>
      <c r="C487" s="20"/>
      <c r="D487" s="20"/>
      <c r="E487" s="14"/>
      <c r="F487" s="14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</row>
    <row r="488">
      <c r="A488" s="20"/>
      <c r="B488" s="88"/>
      <c r="C488" s="20"/>
      <c r="D488" s="20"/>
      <c r="E488" s="14"/>
      <c r="F488" s="14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</row>
    <row r="489">
      <c r="A489" s="20"/>
      <c r="B489" s="88"/>
      <c r="C489" s="20"/>
      <c r="D489" s="20"/>
      <c r="E489" s="14"/>
      <c r="F489" s="14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</row>
    <row r="490">
      <c r="A490" s="20"/>
      <c r="B490" s="88"/>
      <c r="C490" s="20"/>
      <c r="D490" s="20"/>
      <c r="E490" s="14"/>
      <c r="F490" s="14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</row>
    <row r="491">
      <c r="A491" s="20"/>
      <c r="B491" s="88"/>
      <c r="C491" s="20"/>
      <c r="D491" s="20"/>
      <c r="E491" s="14"/>
      <c r="F491" s="14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</row>
    <row r="492">
      <c r="A492" s="20"/>
      <c r="B492" s="88"/>
      <c r="C492" s="20"/>
      <c r="D492" s="20"/>
      <c r="E492" s="14"/>
      <c r="F492" s="14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</row>
    <row r="493">
      <c r="A493" s="20"/>
      <c r="B493" s="88"/>
      <c r="C493" s="20"/>
      <c r="D493" s="20"/>
      <c r="E493" s="14"/>
      <c r="F493" s="14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</row>
    <row r="494">
      <c r="A494" s="20"/>
      <c r="B494" s="88"/>
      <c r="C494" s="20"/>
      <c r="D494" s="20"/>
      <c r="E494" s="14"/>
      <c r="F494" s="14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</row>
    <row r="495">
      <c r="A495" s="20"/>
      <c r="B495" s="88"/>
      <c r="C495" s="20"/>
      <c r="D495" s="20"/>
      <c r="E495" s="14"/>
      <c r="F495" s="14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</row>
    <row r="496">
      <c r="A496" s="20"/>
      <c r="B496" s="88"/>
      <c r="C496" s="20"/>
      <c r="D496" s="20"/>
      <c r="E496" s="14"/>
      <c r="F496" s="14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</row>
    <row r="497">
      <c r="A497" s="20"/>
      <c r="B497" s="88"/>
      <c r="C497" s="20"/>
      <c r="D497" s="20"/>
      <c r="E497" s="14"/>
      <c r="F497" s="14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</row>
    <row r="498">
      <c r="A498" s="20"/>
      <c r="B498" s="88"/>
      <c r="C498" s="20"/>
      <c r="D498" s="20"/>
      <c r="E498" s="14"/>
      <c r="F498" s="14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</row>
    <row r="499">
      <c r="A499" s="20"/>
      <c r="B499" s="88"/>
      <c r="C499" s="20"/>
      <c r="D499" s="20"/>
      <c r="E499" s="14"/>
      <c r="F499" s="14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</row>
    <row r="500">
      <c r="A500" s="20"/>
      <c r="B500" s="88"/>
      <c r="C500" s="20"/>
      <c r="D500" s="20"/>
      <c r="E500" s="14"/>
      <c r="F500" s="14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</row>
    <row r="501">
      <c r="A501" s="20"/>
      <c r="B501" s="88"/>
      <c r="C501" s="20"/>
      <c r="D501" s="20"/>
      <c r="E501" s="14"/>
      <c r="F501" s="14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</row>
    <row r="502">
      <c r="A502" s="20"/>
      <c r="B502" s="88"/>
      <c r="C502" s="20"/>
      <c r="D502" s="20"/>
      <c r="E502" s="14"/>
      <c r="F502" s="14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</row>
    <row r="503">
      <c r="A503" s="20"/>
      <c r="B503" s="88"/>
      <c r="C503" s="20"/>
      <c r="D503" s="20"/>
      <c r="E503" s="14"/>
      <c r="F503" s="14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</row>
    <row r="504">
      <c r="A504" s="20"/>
      <c r="B504" s="88"/>
      <c r="C504" s="20"/>
      <c r="D504" s="20"/>
      <c r="E504" s="14"/>
      <c r="F504" s="14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</row>
    <row r="505">
      <c r="A505" s="20"/>
      <c r="B505" s="88"/>
      <c r="C505" s="20"/>
      <c r="D505" s="20"/>
      <c r="E505" s="14"/>
      <c r="F505" s="14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</row>
    <row r="506">
      <c r="A506" s="20"/>
      <c r="B506" s="88"/>
      <c r="C506" s="20"/>
      <c r="D506" s="20"/>
      <c r="E506" s="14"/>
      <c r="F506" s="14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</row>
    <row r="507">
      <c r="A507" s="20"/>
      <c r="B507" s="88"/>
      <c r="C507" s="20"/>
      <c r="D507" s="20"/>
      <c r="E507" s="14"/>
      <c r="F507" s="14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</row>
    <row r="508">
      <c r="A508" s="20"/>
      <c r="B508" s="88"/>
      <c r="C508" s="20"/>
      <c r="D508" s="20"/>
      <c r="E508" s="14"/>
      <c r="F508" s="14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</row>
    <row r="509">
      <c r="A509" s="20"/>
      <c r="B509" s="88"/>
      <c r="C509" s="20"/>
      <c r="D509" s="20"/>
      <c r="E509" s="14"/>
      <c r="F509" s="14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</row>
    <row r="510">
      <c r="A510" s="20"/>
      <c r="B510" s="88"/>
      <c r="C510" s="20"/>
      <c r="D510" s="20"/>
      <c r="E510" s="14"/>
      <c r="F510" s="14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</row>
    <row r="511">
      <c r="A511" s="20"/>
      <c r="B511" s="88"/>
      <c r="C511" s="20"/>
      <c r="D511" s="20"/>
      <c r="E511" s="14"/>
      <c r="F511" s="14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</row>
    <row r="512">
      <c r="A512" s="20"/>
      <c r="B512" s="88"/>
      <c r="C512" s="20"/>
      <c r="D512" s="20"/>
      <c r="E512" s="14"/>
      <c r="F512" s="14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</row>
    <row r="513">
      <c r="A513" s="20"/>
      <c r="B513" s="88"/>
      <c r="C513" s="20"/>
      <c r="D513" s="20"/>
      <c r="E513" s="14"/>
      <c r="F513" s="14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</row>
    <row r="514">
      <c r="A514" s="20"/>
      <c r="B514" s="88"/>
      <c r="C514" s="20"/>
      <c r="D514" s="20"/>
      <c r="E514" s="14"/>
      <c r="F514" s="14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</row>
    <row r="515">
      <c r="A515" s="20"/>
      <c r="B515" s="88"/>
      <c r="C515" s="20"/>
      <c r="D515" s="20"/>
      <c r="E515" s="14"/>
      <c r="F515" s="14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</row>
    <row r="516">
      <c r="A516" s="20"/>
      <c r="B516" s="88"/>
      <c r="C516" s="20"/>
      <c r="D516" s="20"/>
      <c r="E516" s="14"/>
      <c r="F516" s="14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</row>
    <row r="517">
      <c r="A517" s="20"/>
      <c r="B517" s="88"/>
      <c r="C517" s="20"/>
      <c r="D517" s="20"/>
      <c r="E517" s="14"/>
      <c r="F517" s="14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</row>
    <row r="518">
      <c r="A518" s="20"/>
      <c r="B518" s="88"/>
      <c r="C518" s="20"/>
      <c r="D518" s="20"/>
      <c r="E518" s="14"/>
      <c r="F518" s="14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</row>
    <row r="519">
      <c r="A519" s="20"/>
      <c r="B519" s="88"/>
      <c r="C519" s="20"/>
      <c r="D519" s="20"/>
      <c r="E519" s="14"/>
      <c r="F519" s="14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</row>
    <row r="520">
      <c r="A520" s="20"/>
      <c r="B520" s="88"/>
      <c r="C520" s="20"/>
      <c r="D520" s="20"/>
      <c r="E520" s="14"/>
      <c r="F520" s="14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</row>
    <row r="521">
      <c r="A521" s="20"/>
      <c r="B521" s="88"/>
      <c r="C521" s="20"/>
      <c r="D521" s="20"/>
      <c r="E521" s="14"/>
      <c r="F521" s="14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</row>
    <row r="522">
      <c r="A522" s="20"/>
      <c r="B522" s="88"/>
      <c r="C522" s="20"/>
      <c r="D522" s="20"/>
      <c r="E522" s="14"/>
      <c r="F522" s="14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</row>
    <row r="523">
      <c r="A523" s="20"/>
      <c r="B523" s="88"/>
      <c r="C523" s="20"/>
      <c r="D523" s="20"/>
      <c r="E523" s="14"/>
      <c r="F523" s="14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</row>
    <row r="524">
      <c r="A524" s="20"/>
      <c r="B524" s="88"/>
      <c r="C524" s="20"/>
      <c r="D524" s="20"/>
      <c r="E524" s="14"/>
      <c r="F524" s="14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</row>
    <row r="525">
      <c r="A525" s="20"/>
      <c r="B525" s="88"/>
      <c r="C525" s="20"/>
      <c r="D525" s="20"/>
      <c r="E525" s="14"/>
      <c r="F525" s="14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</row>
    <row r="526">
      <c r="A526" s="20"/>
      <c r="B526" s="88"/>
      <c r="C526" s="20"/>
      <c r="D526" s="20"/>
      <c r="E526" s="14"/>
      <c r="F526" s="14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</row>
    <row r="527">
      <c r="A527" s="20"/>
      <c r="B527" s="88"/>
      <c r="C527" s="20"/>
      <c r="D527" s="20"/>
      <c r="E527" s="14"/>
      <c r="F527" s="14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</row>
    <row r="528">
      <c r="A528" s="20"/>
      <c r="B528" s="88"/>
      <c r="C528" s="20"/>
      <c r="D528" s="20"/>
      <c r="E528" s="14"/>
      <c r="F528" s="14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</row>
    <row r="529">
      <c r="A529" s="20"/>
      <c r="B529" s="88"/>
      <c r="C529" s="20"/>
      <c r="D529" s="20"/>
      <c r="E529" s="14"/>
      <c r="F529" s="14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</row>
    <row r="530">
      <c r="A530" s="20"/>
      <c r="B530" s="88"/>
      <c r="C530" s="20"/>
      <c r="D530" s="20"/>
      <c r="E530" s="14"/>
      <c r="F530" s="14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</row>
    <row r="531">
      <c r="A531" s="20"/>
      <c r="B531" s="88"/>
      <c r="C531" s="20"/>
      <c r="D531" s="20"/>
      <c r="E531" s="14"/>
      <c r="F531" s="14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</row>
    <row r="532">
      <c r="A532" s="20"/>
      <c r="B532" s="88"/>
      <c r="C532" s="20"/>
      <c r="D532" s="20"/>
      <c r="E532" s="14"/>
      <c r="F532" s="14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</row>
    <row r="533">
      <c r="A533" s="20"/>
      <c r="B533" s="88"/>
      <c r="C533" s="20"/>
      <c r="D533" s="20"/>
      <c r="E533" s="14"/>
      <c r="F533" s="14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</row>
    <row r="534">
      <c r="A534" s="20"/>
      <c r="B534" s="88"/>
      <c r="C534" s="20"/>
      <c r="D534" s="20"/>
      <c r="E534" s="14"/>
      <c r="F534" s="14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</row>
    <row r="535">
      <c r="A535" s="20"/>
      <c r="B535" s="88"/>
      <c r="C535" s="20"/>
      <c r="D535" s="20"/>
      <c r="E535" s="14"/>
      <c r="F535" s="14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</row>
    <row r="536">
      <c r="A536" s="20"/>
      <c r="B536" s="88"/>
      <c r="C536" s="20"/>
      <c r="D536" s="20"/>
      <c r="E536" s="14"/>
      <c r="F536" s="14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</row>
    <row r="537">
      <c r="A537" s="20"/>
      <c r="B537" s="88"/>
      <c r="C537" s="20"/>
      <c r="D537" s="20"/>
      <c r="E537" s="14"/>
      <c r="F537" s="14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</row>
    <row r="538">
      <c r="A538" s="20"/>
      <c r="B538" s="88"/>
      <c r="C538" s="20"/>
      <c r="D538" s="20"/>
      <c r="E538" s="14"/>
      <c r="F538" s="14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</row>
    <row r="539">
      <c r="A539" s="20"/>
      <c r="B539" s="88"/>
      <c r="C539" s="20"/>
      <c r="D539" s="20"/>
      <c r="E539" s="14"/>
      <c r="F539" s="14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</row>
    <row r="540">
      <c r="A540" s="20"/>
      <c r="B540" s="88"/>
      <c r="C540" s="20"/>
      <c r="D540" s="20"/>
      <c r="E540" s="14"/>
      <c r="F540" s="14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</row>
    <row r="541">
      <c r="A541" s="20"/>
      <c r="B541" s="88"/>
      <c r="C541" s="20"/>
      <c r="D541" s="20"/>
      <c r="E541" s="14"/>
      <c r="F541" s="14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</row>
    <row r="542">
      <c r="A542" s="20"/>
      <c r="B542" s="88"/>
      <c r="C542" s="20"/>
      <c r="D542" s="20"/>
      <c r="E542" s="14"/>
      <c r="F542" s="14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</row>
    <row r="543">
      <c r="A543" s="20"/>
      <c r="B543" s="88"/>
      <c r="C543" s="20"/>
      <c r="D543" s="20"/>
      <c r="E543" s="14"/>
      <c r="F543" s="14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</row>
    <row r="544">
      <c r="A544" s="20"/>
      <c r="B544" s="88"/>
      <c r="C544" s="20"/>
      <c r="D544" s="20"/>
      <c r="E544" s="14"/>
      <c r="F544" s="14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</row>
    <row r="545">
      <c r="A545" s="20"/>
      <c r="B545" s="88"/>
      <c r="C545" s="20"/>
      <c r="D545" s="20"/>
      <c r="E545" s="14"/>
      <c r="F545" s="14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</row>
    <row r="546">
      <c r="A546" s="20"/>
      <c r="B546" s="88"/>
      <c r="C546" s="20"/>
      <c r="D546" s="20"/>
      <c r="E546" s="14"/>
      <c r="F546" s="14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</row>
    <row r="547">
      <c r="A547" s="20"/>
      <c r="B547" s="88"/>
      <c r="C547" s="20"/>
      <c r="D547" s="20"/>
      <c r="E547" s="14"/>
      <c r="F547" s="14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</row>
    <row r="548">
      <c r="A548" s="20"/>
      <c r="B548" s="88"/>
      <c r="C548" s="20"/>
      <c r="D548" s="20"/>
      <c r="E548" s="14"/>
      <c r="F548" s="14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</row>
    <row r="549">
      <c r="A549" s="20"/>
      <c r="B549" s="88"/>
      <c r="C549" s="20"/>
      <c r="D549" s="20"/>
      <c r="E549" s="14"/>
      <c r="F549" s="14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</row>
    <row r="550">
      <c r="A550" s="20"/>
      <c r="B550" s="88"/>
      <c r="C550" s="20"/>
      <c r="D550" s="20"/>
      <c r="E550" s="14"/>
      <c r="F550" s="14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</row>
    <row r="551">
      <c r="A551" s="20"/>
      <c r="B551" s="88"/>
      <c r="C551" s="20"/>
      <c r="D551" s="20"/>
      <c r="E551" s="14"/>
      <c r="F551" s="14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</row>
    <row r="552">
      <c r="A552" s="20"/>
      <c r="B552" s="88"/>
      <c r="C552" s="20"/>
      <c r="D552" s="20"/>
      <c r="E552" s="14"/>
      <c r="F552" s="14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</row>
    <row r="553">
      <c r="A553" s="20"/>
      <c r="B553" s="88"/>
      <c r="C553" s="20"/>
      <c r="D553" s="20"/>
      <c r="E553" s="14"/>
      <c r="F553" s="14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</row>
    <row r="554">
      <c r="A554" s="20"/>
      <c r="B554" s="88"/>
      <c r="C554" s="20"/>
      <c r="D554" s="20"/>
      <c r="E554" s="14"/>
      <c r="F554" s="14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</row>
    <row r="555">
      <c r="A555" s="20"/>
      <c r="B555" s="88"/>
      <c r="C555" s="20"/>
      <c r="D555" s="20"/>
      <c r="E555" s="14"/>
      <c r="F555" s="14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</row>
    <row r="556">
      <c r="A556" s="20"/>
      <c r="B556" s="88"/>
      <c r="C556" s="20"/>
      <c r="D556" s="20"/>
      <c r="E556" s="14"/>
      <c r="F556" s="14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</row>
    <row r="557">
      <c r="A557" s="20"/>
      <c r="B557" s="88"/>
      <c r="C557" s="20"/>
      <c r="D557" s="20"/>
      <c r="E557" s="14"/>
      <c r="F557" s="14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</row>
    <row r="558">
      <c r="A558" s="20"/>
      <c r="B558" s="88"/>
      <c r="C558" s="20"/>
      <c r="D558" s="20"/>
      <c r="E558" s="14"/>
      <c r="F558" s="14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</row>
    <row r="559">
      <c r="A559" s="20"/>
      <c r="B559" s="88"/>
      <c r="C559" s="20"/>
      <c r="D559" s="20"/>
      <c r="E559" s="14"/>
      <c r="F559" s="14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</row>
    <row r="560">
      <c r="A560" s="20"/>
      <c r="B560" s="88"/>
      <c r="C560" s="20"/>
      <c r="D560" s="20"/>
      <c r="E560" s="14"/>
      <c r="F560" s="14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</row>
    <row r="561">
      <c r="A561" s="20"/>
      <c r="B561" s="88"/>
      <c r="C561" s="20"/>
      <c r="D561" s="20"/>
      <c r="E561" s="14"/>
      <c r="F561" s="14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</row>
    <row r="562">
      <c r="A562" s="20"/>
      <c r="B562" s="88"/>
      <c r="C562" s="20"/>
      <c r="D562" s="20"/>
      <c r="E562" s="14"/>
      <c r="F562" s="14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</row>
    <row r="563">
      <c r="A563" s="20"/>
      <c r="B563" s="88"/>
      <c r="C563" s="20"/>
      <c r="D563" s="20"/>
      <c r="E563" s="14"/>
      <c r="F563" s="14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</row>
    <row r="564">
      <c r="A564" s="20"/>
      <c r="B564" s="88"/>
      <c r="C564" s="20"/>
      <c r="D564" s="20"/>
      <c r="E564" s="14"/>
      <c r="F564" s="14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</row>
    <row r="565">
      <c r="A565" s="20"/>
      <c r="B565" s="88"/>
      <c r="C565" s="20"/>
      <c r="D565" s="20"/>
      <c r="E565" s="14"/>
      <c r="F565" s="14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</row>
    <row r="566">
      <c r="A566" s="20"/>
      <c r="B566" s="88"/>
      <c r="C566" s="20"/>
      <c r="D566" s="20"/>
      <c r="E566" s="14"/>
      <c r="F566" s="14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</row>
    <row r="567">
      <c r="A567" s="20"/>
      <c r="B567" s="88"/>
      <c r="C567" s="20"/>
      <c r="D567" s="20"/>
      <c r="E567" s="14"/>
      <c r="F567" s="14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</row>
    <row r="568">
      <c r="A568" s="20"/>
      <c r="B568" s="88"/>
      <c r="C568" s="20"/>
      <c r="D568" s="20"/>
      <c r="E568" s="14"/>
      <c r="F568" s="14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</row>
    <row r="569">
      <c r="A569" s="20"/>
      <c r="B569" s="88"/>
      <c r="C569" s="20"/>
      <c r="D569" s="20"/>
      <c r="E569" s="14"/>
      <c r="F569" s="14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</row>
    <row r="570">
      <c r="A570" s="20"/>
      <c r="B570" s="88"/>
      <c r="C570" s="20"/>
      <c r="D570" s="20"/>
      <c r="E570" s="14"/>
      <c r="F570" s="14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</row>
    <row r="571">
      <c r="A571" s="20"/>
      <c r="B571" s="88"/>
      <c r="C571" s="20"/>
      <c r="D571" s="20"/>
      <c r="E571" s="14"/>
      <c r="F571" s="14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</row>
    <row r="572">
      <c r="A572" s="20"/>
      <c r="B572" s="88"/>
      <c r="C572" s="20"/>
      <c r="D572" s="20"/>
      <c r="E572" s="14"/>
      <c r="F572" s="14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</row>
    <row r="573">
      <c r="A573" s="20"/>
      <c r="B573" s="88"/>
      <c r="C573" s="20"/>
      <c r="D573" s="20"/>
      <c r="E573" s="14"/>
      <c r="F573" s="14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</row>
    <row r="574">
      <c r="A574" s="20"/>
      <c r="B574" s="88"/>
      <c r="C574" s="20"/>
      <c r="D574" s="20"/>
      <c r="E574" s="14"/>
      <c r="F574" s="14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</row>
    <row r="575">
      <c r="A575" s="20"/>
      <c r="B575" s="88"/>
      <c r="C575" s="20"/>
      <c r="D575" s="20"/>
      <c r="E575" s="14"/>
      <c r="F575" s="14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</row>
    <row r="576">
      <c r="A576" s="20"/>
      <c r="B576" s="88"/>
      <c r="C576" s="20"/>
      <c r="D576" s="20"/>
      <c r="E576" s="14"/>
      <c r="F576" s="14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</row>
    <row r="577">
      <c r="A577" s="20"/>
      <c r="B577" s="88"/>
      <c r="C577" s="20"/>
      <c r="D577" s="20"/>
      <c r="E577" s="14"/>
      <c r="F577" s="14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</row>
    <row r="578">
      <c r="A578" s="20"/>
      <c r="B578" s="88"/>
      <c r="C578" s="20"/>
      <c r="D578" s="20"/>
      <c r="E578" s="14"/>
      <c r="F578" s="14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</row>
    <row r="579">
      <c r="A579" s="20"/>
      <c r="B579" s="88"/>
      <c r="C579" s="20"/>
      <c r="D579" s="20"/>
      <c r="E579" s="14"/>
      <c r="F579" s="14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</row>
    <row r="580">
      <c r="A580" s="20"/>
      <c r="B580" s="88"/>
      <c r="C580" s="20"/>
      <c r="D580" s="20"/>
      <c r="E580" s="14"/>
      <c r="F580" s="14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</row>
    <row r="581">
      <c r="A581" s="20"/>
      <c r="B581" s="88"/>
      <c r="C581" s="20"/>
      <c r="D581" s="20"/>
      <c r="E581" s="14"/>
      <c r="F581" s="14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</row>
    <row r="582">
      <c r="A582" s="20"/>
      <c r="B582" s="88"/>
      <c r="C582" s="20"/>
      <c r="D582" s="20"/>
      <c r="E582" s="14"/>
      <c r="F582" s="14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</row>
    <row r="583">
      <c r="A583" s="20"/>
      <c r="B583" s="88"/>
      <c r="C583" s="20"/>
      <c r="D583" s="20"/>
      <c r="E583" s="14"/>
      <c r="F583" s="14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</row>
    <row r="584">
      <c r="A584" s="20"/>
      <c r="B584" s="88"/>
      <c r="C584" s="20"/>
      <c r="D584" s="20"/>
      <c r="E584" s="14"/>
      <c r="F584" s="14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</row>
    <row r="585">
      <c r="A585" s="20"/>
      <c r="B585" s="88"/>
      <c r="C585" s="20"/>
      <c r="D585" s="20"/>
      <c r="E585" s="14"/>
      <c r="F585" s="14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</row>
    <row r="586">
      <c r="A586" s="20"/>
      <c r="B586" s="88"/>
      <c r="C586" s="20"/>
      <c r="D586" s="20"/>
      <c r="E586" s="14"/>
      <c r="F586" s="14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</row>
    <row r="587">
      <c r="A587" s="20"/>
      <c r="B587" s="88"/>
      <c r="C587" s="20"/>
      <c r="D587" s="20"/>
      <c r="E587" s="14"/>
      <c r="F587" s="14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</row>
    <row r="588">
      <c r="A588" s="20"/>
      <c r="B588" s="88"/>
      <c r="C588" s="20"/>
      <c r="D588" s="20"/>
      <c r="E588" s="14"/>
      <c r="F588" s="14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</row>
    <row r="589">
      <c r="A589" s="20"/>
      <c r="B589" s="88"/>
      <c r="C589" s="20"/>
      <c r="D589" s="20"/>
      <c r="E589" s="14"/>
      <c r="F589" s="14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</row>
    <row r="590">
      <c r="A590" s="20"/>
      <c r="B590" s="88"/>
      <c r="C590" s="20"/>
      <c r="D590" s="20"/>
      <c r="E590" s="14"/>
      <c r="F590" s="14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</row>
    <row r="591">
      <c r="A591" s="20"/>
      <c r="B591" s="88"/>
      <c r="C591" s="20"/>
      <c r="D591" s="20"/>
      <c r="E591" s="14"/>
      <c r="F591" s="14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</row>
    <row r="592">
      <c r="A592" s="20"/>
      <c r="B592" s="88"/>
      <c r="C592" s="20"/>
      <c r="D592" s="20"/>
      <c r="E592" s="14"/>
      <c r="F592" s="14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</row>
    <row r="593">
      <c r="A593" s="20"/>
      <c r="B593" s="88"/>
      <c r="C593" s="20"/>
      <c r="D593" s="20"/>
      <c r="E593" s="14"/>
      <c r="F593" s="14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</row>
    <row r="594">
      <c r="A594" s="20"/>
      <c r="B594" s="88"/>
      <c r="C594" s="20"/>
      <c r="D594" s="20"/>
      <c r="E594" s="14"/>
      <c r="F594" s="14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</row>
    <row r="595">
      <c r="A595" s="20"/>
      <c r="B595" s="88"/>
      <c r="C595" s="20"/>
      <c r="D595" s="20"/>
      <c r="E595" s="14"/>
      <c r="F595" s="14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</row>
    <row r="596">
      <c r="A596" s="20"/>
      <c r="B596" s="88"/>
      <c r="C596" s="20"/>
      <c r="D596" s="20"/>
      <c r="E596" s="14"/>
      <c r="F596" s="14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</row>
    <row r="597">
      <c r="A597" s="20"/>
      <c r="B597" s="88"/>
      <c r="C597" s="20"/>
      <c r="D597" s="20"/>
      <c r="E597" s="14"/>
      <c r="F597" s="14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</row>
    <row r="598">
      <c r="A598" s="20"/>
      <c r="B598" s="88"/>
      <c r="C598" s="20"/>
      <c r="D598" s="20"/>
      <c r="E598" s="14"/>
      <c r="F598" s="14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</row>
    <row r="599">
      <c r="A599" s="20"/>
      <c r="B599" s="88"/>
      <c r="C599" s="20"/>
      <c r="D599" s="20"/>
      <c r="E599" s="14"/>
      <c r="F599" s="14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</row>
    <row r="600">
      <c r="A600" s="20"/>
      <c r="B600" s="88"/>
      <c r="C600" s="20"/>
      <c r="D600" s="20"/>
      <c r="E600" s="14"/>
      <c r="F600" s="14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</row>
    <row r="601">
      <c r="A601" s="20"/>
      <c r="B601" s="88"/>
      <c r="C601" s="20"/>
      <c r="D601" s="20"/>
      <c r="E601" s="14"/>
      <c r="F601" s="14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</row>
    <row r="602">
      <c r="A602" s="20"/>
      <c r="B602" s="88"/>
      <c r="C602" s="20"/>
      <c r="D602" s="20"/>
      <c r="E602" s="14"/>
      <c r="F602" s="14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</row>
    <row r="603">
      <c r="A603" s="20"/>
      <c r="B603" s="88"/>
      <c r="C603" s="20"/>
      <c r="D603" s="20"/>
      <c r="E603" s="14"/>
      <c r="F603" s="14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</row>
    <row r="604">
      <c r="A604" s="20"/>
      <c r="B604" s="88"/>
      <c r="C604" s="20"/>
      <c r="D604" s="20"/>
      <c r="E604" s="14"/>
      <c r="F604" s="14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</row>
    <row r="605">
      <c r="A605" s="20"/>
      <c r="B605" s="88"/>
      <c r="C605" s="20"/>
      <c r="D605" s="20"/>
      <c r="E605" s="14"/>
      <c r="F605" s="14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</row>
    <row r="606">
      <c r="A606" s="20"/>
      <c r="B606" s="88"/>
      <c r="C606" s="20"/>
      <c r="D606" s="20"/>
      <c r="E606" s="14"/>
      <c r="F606" s="14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</row>
    <row r="607">
      <c r="A607" s="20"/>
      <c r="B607" s="88"/>
      <c r="C607" s="20"/>
      <c r="D607" s="20"/>
      <c r="E607" s="14"/>
      <c r="F607" s="14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</row>
    <row r="608">
      <c r="A608" s="20"/>
      <c r="B608" s="88"/>
      <c r="C608" s="20"/>
      <c r="D608" s="20"/>
      <c r="E608" s="14"/>
      <c r="F608" s="14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</row>
    <row r="609">
      <c r="A609" s="20"/>
      <c r="B609" s="88"/>
      <c r="C609" s="20"/>
      <c r="D609" s="20"/>
      <c r="E609" s="14"/>
      <c r="F609" s="14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</row>
    <row r="610">
      <c r="A610" s="20"/>
      <c r="B610" s="88"/>
      <c r="C610" s="20"/>
      <c r="D610" s="20"/>
      <c r="E610" s="14"/>
      <c r="F610" s="14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</row>
    <row r="611">
      <c r="A611" s="20"/>
      <c r="B611" s="88"/>
      <c r="C611" s="20"/>
      <c r="D611" s="20"/>
      <c r="E611" s="14"/>
      <c r="F611" s="14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</row>
    <row r="612">
      <c r="A612" s="20"/>
      <c r="B612" s="88"/>
      <c r="C612" s="20"/>
      <c r="D612" s="20"/>
      <c r="E612" s="14"/>
      <c r="F612" s="14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</row>
    <row r="613">
      <c r="A613" s="20"/>
      <c r="B613" s="88"/>
      <c r="C613" s="20"/>
      <c r="D613" s="20"/>
      <c r="E613" s="14"/>
      <c r="F613" s="14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</row>
    <row r="614">
      <c r="A614" s="20"/>
      <c r="B614" s="88"/>
      <c r="C614" s="20"/>
      <c r="D614" s="20"/>
      <c r="E614" s="14"/>
      <c r="F614" s="14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</row>
    <row r="615">
      <c r="A615" s="20"/>
      <c r="B615" s="88"/>
      <c r="C615" s="20"/>
      <c r="D615" s="20"/>
      <c r="E615" s="14"/>
      <c r="F615" s="14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</row>
    <row r="616">
      <c r="A616" s="20"/>
      <c r="B616" s="88"/>
      <c r="C616" s="20"/>
      <c r="D616" s="20"/>
      <c r="E616" s="14"/>
      <c r="F616" s="14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</row>
    <row r="617">
      <c r="A617" s="20"/>
      <c r="B617" s="88"/>
      <c r="C617" s="20"/>
      <c r="D617" s="20"/>
      <c r="E617" s="14"/>
      <c r="F617" s="14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</row>
    <row r="618">
      <c r="A618" s="20"/>
      <c r="B618" s="88"/>
      <c r="C618" s="20"/>
      <c r="D618" s="20"/>
      <c r="E618" s="14"/>
      <c r="F618" s="14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</row>
    <row r="619">
      <c r="A619" s="20"/>
      <c r="B619" s="88"/>
      <c r="C619" s="20"/>
      <c r="D619" s="20"/>
      <c r="E619" s="14"/>
      <c r="F619" s="14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</row>
    <row r="620">
      <c r="A620" s="20"/>
      <c r="B620" s="88"/>
      <c r="C620" s="20"/>
      <c r="D620" s="20"/>
      <c r="E620" s="14"/>
      <c r="F620" s="14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</row>
    <row r="621">
      <c r="A621" s="20"/>
      <c r="B621" s="88"/>
      <c r="C621" s="20"/>
      <c r="D621" s="20"/>
      <c r="E621" s="14"/>
      <c r="F621" s="14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</row>
    <row r="622">
      <c r="A622" s="20"/>
      <c r="B622" s="88"/>
      <c r="C622" s="20"/>
      <c r="D622" s="20"/>
      <c r="E622" s="14"/>
      <c r="F622" s="14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</row>
    <row r="623">
      <c r="A623" s="20"/>
      <c r="B623" s="88"/>
      <c r="C623" s="20"/>
      <c r="D623" s="20"/>
      <c r="E623" s="14"/>
      <c r="F623" s="14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</row>
    <row r="624">
      <c r="A624" s="20"/>
      <c r="B624" s="88"/>
      <c r="C624" s="20"/>
      <c r="D624" s="20"/>
      <c r="E624" s="14"/>
      <c r="F624" s="14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</row>
    <row r="625">
      <c r="A625" s="20"/>
      <c r="B625" s="88"/>
      <c r="C625" s="20"/>
      <c r="D625" s="20"/>
      <c r="E625" s="14"/>
      <c r="F625" s="14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</row>
    <row r="626">
      <c r="A626" s="20"/>
      <c r="B626" s="88"/>
      <c r="C626" s="20"/>
      <c r="D626" s="20"/>
      <c r="E626" s="14"/>
      <c r="F626" s="14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</row>
    <row r="627">
      <c r="A627" s="20"/>
      <c r="B627" s="88"/>
      <c r="C627" s="20"/>
      <c r="D627" s="20"/>
      <c r="E627" s="14"/>
      <c r="F627" s="14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</row>
    <row r="628">
      <c r="A628" s="20"/>
      <c r="B628" s="88"/>
      <c r="C628" s="20"/>
      <c r="D628" s="20"/>
      <c r="E628" s="14"/>
      <c r="F628" s="14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</row>
    <row r="629">
      <c r="A629" s="20"/>
      <c r="B629" s="88"/>
      <c r="C629" s="20"/>
      <c r="D629" s="20"/>
      <c r="E629" s="14"/>
      <c r="F629" s="14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</row>
    <row r="630">
      <c r="A630" s="20"/>
      <c r="B630" s="88"/>
      <c r="C630" s="20"/>
      <c r="D630" s="20"/>
      <c r="E630" s="14"/>
      <c r="F630" s="14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</row>
    <row r="631">
      <c r="A631" s="20"/>
      <c r="B631" s="88"/>
      <c r="C631" s="20"/>
      <c r="D631" s="20"/>
      <c r="E631" s="14"/>
      <c r="F631" s="14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</row>
    <row r="632">
      <c r="A632" s="20"/>
      <c r="B632" s="88"/>
      <c r="C632" s="20"/>
      <c r="D632" s="20"/>
      <c r="E632" s="14"/>
      <c r="F632" s="14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</row>
    <row r="633">
      <c r="A633" s="20"/>
      <c r="B633" s="88"/>
      <c r="C633" s="20"/>
      <c r="D633" s="20"/>
      <c r="E633" s="14"/>
      <c r="F633" s="14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</row>
    <row r="634">
      <c r="A634" s="20"/>
      <c r="B634" s="88"/>
      <c r="C634" s="20"/>
      <c r="D634" s="20"/>
      <c r="E634" s="14"/>
      <c r="F634" s="14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</row>
    <row r="635">
      <c r="A635" s="20"/>
      <c r="B635" s="88"/>
      <c r="C635" s="20"/>
      <c r="D635" s="20"/>
      <c r="E635" s="14"/>
      <c r="F635" s="14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</row>
    <row r="636">
      <c r="A636" s="20"/>
      <c r="B636" s="88"/>
      <c r="C636" s="20"/>
      <c r="D636" s="20"/>
      <c r="E636" s="14"/>
      <c r="F636" s="14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</row>
    <row r="637">
      <c r="A637" s="20"/>
      <c r="B637" s="88"/>
      <c r="C637" s="20"/>
      <c r="D637" s="20"/>
      <c r="E637" s="14"/>
      <c r="F637" s="14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</row>
    <row r="638">
      <c r="A638" s="20"/>
      <c r="B638" s="88"/>
      <c r="C638" s="20"/>
      <c r="D638" s="20"/>
      <c r="E638" s="14"/>
      <c r="F638" s="14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</row>
    <row r="639">
      <c r="A639" s="20"/>
      <c r="B639" s="88"/>
      <c r="C639" s="20"/>
      <c r="D639" s="20"/>
      <c r="E639" s="14"/>
      <c r="F639" s="14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</row>
    <row r="640">
      <c r="A640" s="20"/>
      <c r="B640" s="88"/>
      <c r="C640" s="20"/>
      <c r="D640" s="20"/>
      <c r="E640" s="14"/>
      <c r="F640" s="14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</row>
    <row r="641">
      <c r="A641" s="20"/>
      <c r="B641" s="88"/>
      <c r="C641" s="20"/>
      <c r="D641" s="20"/>
      <c r="E641" s="14"/>
      <c r="F641" s="14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</row>
    <row r="642">
      <c r="A642" s="20"/>
      <c r="B642" s="88"/>
      <c r="C642" s="20"/>
      <c r="D642" s="20"/>
      <c r="E642" s="14"/>
      <c r="F642" s="14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</row>
    <row r="643">
      <c r="A643" s="20"/>
      <c r="B643" s="88"/>
      <c r="C643" s="20"/>
      <c r="D643" s="20"/>
      <c r="E643" s="14"/>
      <c r="F643" s="14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</row>
    <row r="644">
      <c r="A644" s="20"/>
      <c r="B644" s="88"/>
      <c r="C644" s="20"/>
      <c r="D644" s="20"/>
      <c r="E644" s="14"/>
      <c r="F644" s="14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</row>
    <row r="645">
      <c r="A645" s="20"/>
      <c r="B645" s="88"/>
      <c r="C645" s="20"/>
      <c r="D645" s="20"/>
      <c r="E645" s="14"/>
      <c r="F645" s="14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</row>
    <row r="646">
      <c r="A646" s="20"/>
      <c r="B646" s="88"/>
      <c r="C646" s="20"/>
      <c r="D646" s="20"/>
      <c r="E646" s="14"/>
      <c r="F646" s="14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</row>
    <row r="647">
      <c r="A647" s="20"/>
      <c r="B647" s="88"/>
      <c r="C647" s="20"/>
      <c r="D647" s="20"/>
      <c r="E647" s="14"/>
      <c r="F647" s="14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</row>
    <row r="648">
      <c r="A648" s="20"/>
      <c r="B648" s="88"/>
      <c r="C648" s="20"/>
      <c r="D648" s="20"/>
      <c r="E648" s="14"/>
      <c r="F648" s="14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</row>
    <row r="649">
      <c r="A649" s="20"/>
      <c r="B649" s="88"/>
      <c r="C649" s="20"/>
      <c r="D649" s="20"/>
      <c r="E649" s="14"/>
      <c r="F649" s="14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</row>
    <row r="650">
      <c r="A650" s="20"/>
      <c r="B650" s="88"/>
      <c r="C650" s="20"/>
      <c r="D650" s="20"/>
      <c r="E650" s="14"/>
      <c r="F650" s="14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</row>
    <row r="651">
      <c r="A651" s="20"/>
      <c r="B651" s="88"/>
      <c r="C651" s="20"/>
      <c r="D651" s="20"/>
      <c r="E651" s="14"/>
      <c r="F651" s="14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</row>
    <row r="652">
      <c r="A652" s="20"/>
      <c r="B652" s="88"/>
      <c r="C652" s="20"/>
      <c r="D652" s="20"/>
      <c r="E652" s="14"/>
      <c r="F652" s="14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</row>
    <row r="653">
      <c r="A653" s="20"/>
      <c r="B653" s="88"/>
      <c r="C653" s="20"/>
      <c r="D653" s="20"/>
      <c r="E653" s="14"/>
      <c r="F653" s="14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</row>
    <row r="654">
      <c r="A654" s="20"/>
      <c r="B654" s="88"/>
      <c r="C654" s="20"/>
      <c r="D654" s="20"/>
      <c r="E654" s="14"/>
      <c r="F654" s="14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</row>
    <row r="655">
      <c r="A655" s="20"/>
      <c r="B655" s="88"/>
      <c r="C655" s="20"/>
      <c r="D655" s="20"/>
      <c r="E655" s="14"/>
      <c r="F655" s="14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</row>
    <row r="656">
      <c r="A656" s="20"/>
      <c r="B656" s="88"/>
      <c r="C656" s="20"/>
      <c r="D656" s="20"/>
      <c r="E656" s="14"/>
      <c r="F656" s="14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</row>
    <row r="657">
      <c r="A657" s="20"/>
      <c r="B657" s="88"/>
      <c r="C657" s="20"/>
      <c r="D657" s="20"/>
      <c r="E657" s="14"/>
      <c r="F657" s="14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</row>
    <row r="658">
      <c r="A658" s="20"/>
      <c r="B658" s="88"/>
      <c r="C658" s="20"/>
      <c r="D658" s="20"/>
      <c r="E658" s="14"/>
      <c r="F658" s="14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</row>
    <row r="659">
      <c r="A659" s="20"/>
      <c r="B659" s="88"/>
      <c r="C659" s="20"/>
      <c r="D659" s="20"/>
      <c r="E659" s="14"/>
      <c r="F659" s="14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</row>
    <row r="660">
      <c r="A660" s="20"/>
      <c r="B660" s="88"/>
      <c r="C660" s="20"/>
      <c r="D660" s="20"/>
      <c r="E660" s="14"/>
      <c r="F660" s="14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</row>
    <row r="661">
      <c r="A661" s="20"/>
      <c r="B661" s="88"/>
      <c r="C661" s="20"/>
      <c r="D661" s="20"/>
      <c r="E661" s="14"/>
      <c r="F661" s="14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</row>
    <row r="662">
      <c r="A662" s="20"/>
      <c r="B662" s="88"/>
      <c r="C662" s="20"/>
      <c r="D662" s="20"/>
      <c r="E662" s="14"/>
      <c r="F662" s="14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</row>
    <row r="663">
      <c r="A663" s="20"/>
      <c r="B663" s="88"/>
      <c r="C663" s="20"/>
      <c r="D663" s="20"/>
      <c r="E663" s="14"/>
      <c r="F663" s="14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</row>
    <row r="664">
      <c r="A664" s="20"/>
      <c r="B664" s="88"/>
      <c r="C664" s="20"/>
      <c r="D664" s="20"/>
      <c r="E664" s="14"/>
      <c r="F664" s="14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</row>
    <row r="665">
      <c r="A665" s="20"/>
      <c r="B665" s="88"/>
      <c r="C665" s="20"/>
      <c r="D665" s="20"/>
      <c r="E665" s="14"/>
      <c r="F665" s="14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</row>
    <row r="666">
      <c r="A666" s="20"/>
      <c r="B666" s="88"/>
      <c r="C666" s="20"/>
      <c r="D666" s="20"/>
      <c r="E666" s="14"/>
      <c r="F666" s="14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</row>
    <row r="667">
      <c r="A667" s="20"/>
      <c r="B667" s="88"/>
      <c r="C667" s="20"/>
      <c r="D667" s="20"/>
      <c r="E667" s="14"/>
      <c r="F667" s="14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</row>
    <row r="668">
      <c r="A668" s="20"/>
      <c r="B668" s="88"/>
      <c r="C668" s="20"/>
      <c r="D668" s="20"/>
      <c r="E668" s="14"/>
      <c r="F668" s="14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</row>
    <row r="669">
      <c r="A669" s="20"/>
      <c r="B669" s="88"/>
      <c r="C669" s="20"/>
      <c r="D669" s="20"/>
      <c r="E669" s="14"/>
      <c r="F669" s="14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</row>
    <row r="670">
      <c r="A670" s="20"/>
      <c r="B670" s="88"/>
      <c r="C670" s="20"/>
      <c r="D670" s="20"/>
      <c r="E670" s="14"/>
      <c r="F670" s="14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</row>
    <row r="671">
      <c r="A671" s="20"/>
      <c r="B671" s="88"/>
      <c r="C671" s="20"/>
      <c r="D671" s="20"/>
      <c r="E671" s="14"/>
      <c r="F671" s="14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</row>
    <row r="672">
      <c r="A672" s="20"/>
      <c r="B672" s="88"/>
      <c r="C672" s="20"/>
      <c r="D672" s="20"/>
      <c r="E672" s="14"/>
      <c r="F672" s="14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</row>
    <row r="673">
      <c r="A673" s="20"/>
      <c r="B673" s="88"/>
      <c r="C673" s="20"/>
      <c r="D673" s="20"/>
      <c r="E673" s="14"/>
      <c r="F673" s="14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</row>
    <row r="674">
      <c r="A674" s="20"/>
      <c r="B674" s="88"/>
      <c r="C674" s="20"/>
      <c r="D674" s="20"/>
      <c r="E674" s="14"/>
      <c r="F674" s="14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</row>
    <row r="675">
      <c r="A675" s="20"/>
      <c r="B675" s="88"/>
      <c r="C675" s="20"/>
      <c r="D675" s="20"/>
      <c r="E675" s="14"/>
      <c r="F675" s="14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</row>
    <row r="676">
      <c r="A676" s="20"/>
      <c r="B676" s="88"/>
      <c r="C676" s="20"/>
      <c r="D676" s="20"/>
      <c r="E676" s="14"/>
      <c r="F676" s="14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</row>
    <row r="677">
      <c r="A677" s="20"/>
      <c r="B677" s="88"/>
      <c r="C677" s="20"/>
      <c r="D677" s="20"/>
      <c r="E677" s="14"/>
      <c r="F677" s="14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</row>
    <row r="678">
      <c r="A678" s="20"/>
      <c r="B678" s="88"/>
      <c r="C678" s="20"/>
      <c r="D678" s="20"/>
      <c r="E678" s="14"/>
      <c r="F678" s="14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</row>
    <row r="679">
      <c r="A679" s="20"/>
      <c r="B679" s="88"/>
      <c r="C679" s="20"/>
      <c r="D679" s="20"/>
      <c r="E679" s="14"/>
      <c r="F679" s="14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</row>
    <row r="680">
      <c r="A680" s="20"/>
      <c r="B680" s="88"/>
      <c r="C680" s="20"/>
      <c r="D680" s="20"/>
      <c r="E680" s="14"/>
      <c r="F680" s="14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</row>
    <row r="681">
      <c r="A681" s="20"/>
      <c r="B681" s="88"/>
      <c r="C681" s="20"/>
      <c r="D681" s="20"/>
      <c r="E681" s="14"/>
      <c r="F681" s="14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</row>
    <row r="682">
      <c r="A682" s="20"/>
      <c r="B682" s="88"/>
      <c r="C682" s="20"/>
      <c r="D682" s="20"/>
      <c r="E682" s="14"/>
      <c r="F682" s="14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</row>
    <row r="683">
      <c r="A683" s="20"/>
      <c r="B683" s="88"/>
      <c r="C683" s="20"/>
      <c r="D683" s="20"/>
      <c r="E683" s="14"/>
      <c r="F683" s="14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</row>
    <row r="684">
      <c r="A684" s="20"/>
      <c r="B684" s="88"/>
      <c r="C684" s="20"/>
      <c r="D684" s="20"/>
      <c r="E684" s="14"/>
      <c r="F684" s="14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</row>
    <row r="685">
      <c r="A685" s="20"/>
      <c r="B685" s="88"/>
      <c r="C685" s="20"/>
      <c r="D685" s="20"/>
      <c r="E685" s="14"/>
      <c r="F685" s="14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</row>
    <row r="686">
      <c r="A686" s="20"/>
      <c r="B686" s="88"/>
      <c r="C686" s="20"/>
      <c r="D686" s="20"/>
      <c r="E686" s="14"/>
      <c r="F686" s="14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</row>
    <row r="687">
      <c r="A687" s="20"/>
      <c r="B687" s="88"/>
      <c r="C687" s="20"/>
      <c r="D687" s="20"/>
      <c r="E687" s="14"/>
      <c r="F687" s="14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</row>
    <row r="688">
      <c r="A688" s="20"/>
      <c r="B688" s="88"/>
      <c r="C688" s="20"/>
      <c r="D688" s="20"/>
      <c r="E688" s="14"/>
      <c r="F688" s="14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</row>
    <row r="689">
      <c r="A689" s="20"/>
      <c r="B689" s="88"/>
      <c r="C689" s="20"/>
      <c r="D689" s="20"/>
      <c r="E689" s="14"/>
      <c r="F689" s="14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</row>
    <row r="690">
      <c r="A690" s="20"/>
      <c r="B690" s="88"/>
      <c r="C690" s="20"/>
      <c r="D690" s="20"/>
      <c r="E690" s="14"/>
      <c r="F690" s="14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</row>
    <row r="691">
      <c r="A691" s="20"/>
      <c r="B691" s="88"/>
      <c r="C691" s="20"/>
      <c r="D691" s="20"/>
      <c r="E691" s="14"/>
      <c r="F691" s="14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</row>
    <row r="692">
      <c r="A692" s="20"/>
      <c r="B692" s="88"/>
      <c r="C692" s="20"/>
      <c r="D692" s="20"/>
      <c r="E692" s="14"/>
      <c r="F692" s="14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</row>
    <row r="693">
      <c r="A693" s="20"/>
      <c r="B693" s="88"/>
      <c r="C693" s="20"/>
      <c r="D693" s="20"/>
      <c r="E693" s="14"/>
      <c r="F693" s="14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</row>
    <row r="694">
      <c r="A694" s="20"/>
      <c r="B694" s="88"/>
      <c r="C694" s="20"/>
      <c r="D694" s="20"/>
      <c r="E694" s="14"/>
      <c r="F694" s="14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</row>
    <row r="695">
      <c r="A695" s="20"/>
      <c r="B695" s="88"/>
      <c r="C695" s="20"/>
      <c r="D695" s="20"/>
      <c r="E695" s="14"/>
      <c r="F695" s="14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</row>
    <row r="696">
      <c r="A696" s="20"/>
      <c r="B696" s="88"/>
      <c r="C696" s="20"/>
      <c r="D696" s="20"/>
      <c r="E696" s="14"/>
      <c r="F696" s="14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</row>
    <row r="697">
      <c r="A697" s="20"/>
      <c r="B697" s="88"/>
      <c r="C697" s="20"/>
      <c r="D697" s="20"/>
      <c r="E697" s="14"/>
      <c r="F697" s="14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</row>
    <row r="698">
      <c r="A698" s="20"/>
      <c r="B698" s="88"/>
      <c r="C698" s="20"/>
      <c r="D698" s="20"/>
      <c r="E698" s="14"/>
      <c r="F698" s="14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</row>
    <row r="699">
      <c r="A699" s="20"/>
      <c r="B699" s="88"/>
      <c r="C699" s="20"/>
      <c r="D699" s="20"/>
      <c r="E699" s="14"/>
      <c r="F699" s="14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</row>
    <row r="700">
      <c r="A700" s="20"/>
      <c r="B700" s="88"/>
      <c r="C700" s="20"/>
      <c r="D700" s="20"/>
      <c r="E700" s="14"/>
      <c r="F700" s="14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</row>
    <row r="701">
      <c r="A701" s="20"/>
      <c r="B701" s="88"/>
      <c r="C701" s="20"/>
      <c r="D701" s="20"/>
      <c r="E701" s="14"/>
      <c r="F701" s="14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</row>
    <row r="702">
      <c r="A702" s="20"/>
      <c r="B702" s="88"/>
      <c r="C702" s="20"/>
      <c r="D702" s="20"/>
      <c r="E702" s="14"/>
      <c r="F702" s="14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</row>
    <row r="703">
      <c r="A703" s="20"/>
      <c r="B703" s="88"/>
      <c r="C703" s="20"/>
      <c r="D703" s="20"/>
      <c r="E703" s="14"/>
      <c r="F703" s="14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</row>
    <row r="704">
      <c r="A704" s="20"/>
      <c r="B704" s="88"/>
      <c r="C704" s="20"/>
      <c r="D704" s="20"/>
      <c r="E704" s="14"/>
      <c r="F704" s="14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</row>
    <row r="705">
      <c r="A705" s="20"/>
      <c r="B705" s="88"/>
      <c r="C705" s="20"/>
      <c r="D705" s="20"/>
      <c r="E705" s="14"/>
      <c r="F705" s="14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</row>
    <row r="706">
      <c r="A706" s="20"/>
      <c r="B706" s="88"/>
      <c r="C706" s="20"/>
      <c r="D706" s="20"/>
      <c r="E706" s="14"/>
      <c r="F706" s="14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</row>
    <row r="707">
      <c r="A707" s="20"/>
      <c r="B707" s="88"/>
      <c r="C707" s="20"/>
      <c r="D707" s="20"/>
      <c r="E707" s="14"/>
      <c r="F707" s="14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</row>
    <row r="708">
      <c r="A708" s="20"/>
      <c r="B708" s="88"/>
      <c r="C708" s="20"/>
      <c r="D708" s="20"/>
      <c r="E708" s="14"/>
      <c r="F708" s="14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</row>
    <row r="709">
      <c r="A709" s="20"/>
      <c r="B709" s="88"/>
      <c r="C709" s="20"/>
      <c r="D709" s="20"/>
      <c r="E709" s="14"/>
      <c r="F709" s="14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</row>
    <row r="710">
      <c r="A710" s="20"/>
      <c r="B710" s="88"/>
      <c r="C710" s="20"/>
      <c r="D710" s="20"/>
      <c r="E710" s="14"/>
      <c r="F710" s="14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</row>
    <row r="711">
      <c r="A711" s="20"/>
      <c r="B711" s="88"/>
      <c r="C711" s="20"/>
      <c r="D711" s="20"/>
      <c r="E711" s="14"/>
      <c r="F711" s="14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</row>
    <row r="712">
      <c r="A712" s="20"/>
      <c r="B712" s="88"/>
      <c r="C712" s="20"/>
      <c r="D712" s="20"/>
      <c r="E712" s="14"/>
      <c r="F712" s="14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</row>
    <row r="713">
      <c r="A713" s="20"/>
      <c r="B713" s="88"/>
      <c r="C713" s="20"/>
      <c r="D713" s="20"/>
      <c r="E713" s="14"/>
      <c r="F713" s="14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</row>
    <row r="714">
      <c r="A714" s="20"/>
      <c r="B714" s="88"/>
      <c r="C714" s="20"/>
      <c r="D714" s="20"/>
      <c r="E714" s="14"/>
      <c r="F714" s="14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</row>
    <row r="715">
      <c r="A715" s="20"/>
      <c r="B715" s="88"/>
      <c r="C715" s="20"/>
      <c r="D715" s="20"/>
      <c r="E715" s="14"/>
      <c r="F715" s="14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</row>
    <row r="716">
      <c r="A716" s="20"/>
      <c r="B716" s="88"/>
      <c r="C716" s="20"/>
      <c r="D716" s="20"/>
      <c r="E716" s="14"/>
      <c r="F716" s="14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</row>
    <row r="717">
      <c r="A717" s="20"/>
      <c r="B717" s="88"/>
      <c r="C717" s="20"/>
      <c r="D717" s="20"/>
      <c r="E717" s="14"/>
      <c r="F717" s="14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</row>
    <row r="718">
      <c r="A718" s="20"/>
      <c r="B718" s="88"/>
      <c r="C718" s="20"/>
      <c r="D718" s="20"/>
      <c r="E718" s="14"/>
      <c r="F718" s="14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</row>
    <row r="719">
      <c r="A719" s="20"/>
      <c r="B719" s="88"/>
      <c r="C719" s="20"/>
      <c r="D719" s="20"/>
      <c r="E719" s="14"/>
      <c r="F719" s="14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</row>
    <row r="720">
      <c r="A720" s="20"/>
      <c r="B720" s="88"/>
      <c r="C720" s="20"/>
      <c r="D720" s="20"/>
      <c r="E720" s="14"/>
      <c r="F720" s="14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</row>
    <row r="721">
      <c r="A721" s="20"/>
      <c r="B721" s="88"/>
      <c r="C721" s="20"/>
      <c r="D721" s="20"/>
      <c r="E721" s="14"/>
      <c r="F721" s="14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</row>
    <row r="722">
      <c r="A722" s="20"/>
      <c r="B722" s="88"/>
      <c r="C722" s="20"/>
      <c r="D722" s="20"/>
      <c r="E722" s="14"/>
      <c r="F722" s="14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</row>
    <row r="723">
      <c r="A723" s="20"/>
      <c r="B723" s="88"/>
      <c r="C723" s="20"/>
      <c r="D723" s="20"/>
      <c r="E723" s="14"/>
      <c r="F723" s="14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</row>
    <row r="724">
      <c r="A724" s="20"/>
      <c r="B724" s="88"/>
      <c r="C724" s="20"/>
      <c r="D724" s="20"/>
      <c r="E724" s="14"/>
      <c r="F724" s="14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</row>
    <row r="725">
      <c r="A725" s="20"/>
      <c r="B725" s="88"/>
      <c r="C725" s="20"/>
      <c r="D725" s="20"/>
      <c r="E725" s="14"/>
      <c r="F725" s="14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</row>
    <row r="726">
      <c r="A726" s="20"/>
      <c r="B726" s="88"/>
      <c r="C726" s="20"/>
      <c r="D726" s="20"/>
      <c r="E726" s="14"/>
      <c r="F726" s="14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</row>
    <row r="727">
      <c r="A727" s="20"/>
      <c r="B727" s="88"/>
      <c r="C727" s="20"/>
      <c r="D727" s="20"/>
      <c r="E727" s="14"/>
      <c r="F727" s="14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</row>
    <row r="728">
      <c r="A728" s="20"/>
      <c r="B728" s="88"/>
      <c r="C728" s="20"/>
      <c r="D728" s="20"/>
      <c r="E728" s="14"/>
      <c r="F728" s="14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</row>
    <row r="729">
      <c r="A729" s="20"/>
      <c r="B729" s="88"/>
      <c r="C729" s="20"/>
      <c r="D729" s="20"/>
      <c r="E729" s="14"/>
      <c r="F729" s="14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</row>
    <row r="730">
      <c r="A730" s="20"/>
      <c r="B730" s="88"/>
      <c r="C730" s="20"/>
      <c r="D730" s="20"/>
      <c r="E730" s="14"/>
      <c r="F730" s="14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</row>
    <row r="731">
      <c r="A731" s="20"/>
      <c r="B731" s="88"/>
      <c r="C731" s="20"/>
      <c r="D731" s="20"/>
      <c r="E731" s="14"/>
      <c r="F731" s="14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</row>
    <row r="732">
      <c r="A732" s="20"/>
      <c r="B732" s="88"/>
      <c r="C732" s="20"/>
      <c r="D732" s="20"/>
      <c r="E732" s="14"/>
      <c r="F732" s="14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</row>
    <row r="733">
      <c r="A733" s="20"/>
      <c r="B733" s="88"/>
      <c r="C733" s="20"/>
      <c r="D733" s="20"/>
      <c r="E733" s="14"/>
      <c r="F733" s="14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</row>
    <row r="734">
      <c r="A734" s="20"/>
      <c r="B734" s="88"/>
      <c r="C734" s="20"/>
      <c r="D734" s="20"/>
      <c r="E734" s="14"/>
      <c r="F734" s="14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</row>
    <row r="735">
      <c r="A735" s="20"/>
      <c r="B735" s="88"/>
      <c r="C735" s="20"/>
      <c r="D735" s="20"/>
      <c r="E735" s="14"/>
      <c r="F735" s="14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</row>
    <row r="736">
      <c r="A736" s="20"/>
      <c r="B736" s="88"/>
      <c r="C736" s="20"/>
      <c r="D736" s="20"/>
      <c r="E736" s="14"/>
      <c r="F736" s="14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</row>
    <row r="737">
      <c r="A737" s="20"/>
      <c r="B737" s="88"/>
      <c r="C737" s="20"/>
      <c r="D737" s="20"/>
      <c r="E737" s="14"/>
      <c r="F737" s="14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</row>
    <row r="738">
      <c r="A738" s="20"/>
      <c r="B738" s="88"/>
      <c r="C738" s="20"/>
      <c r="D738" s="20"/>
      <c r="E738" s="14"/>
      <c r="F738" s="14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</row>
    <row r="739">
      <c r="A739" s="20"/>
      <c r="B739" s="88"/>
      <c r="C739" s="20"/>
      <c r="D739" s="20"/>
      <c r="E739" s="14"/>
      <c r="F739" s="14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</row>
    <row r="740">
      <c r="A740" s="20"/>
      <c r="B740" s="88"/>
      <c r="C740" s="20"/>
      <c r="D740" s="20"/>
      <c r="E740" s="14"/>
      <c r="F740" s="14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</row>
    <row r="741">
      <c r="A741" s="20"/>
      <c r="B741" s="88"/>
      <c r="C741" s="20"/>
      <c r="D741" s="20"/>
      <c r="E741" s="14"/>
      <c r="F741" s="14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</row>
    <row r="742">
      <c r="A742" s="20"/>
      <c r="B742" s="88"/>
      <c r="C742" s="20"/>
      <c r="D742" s="20"/>
      <c r="E742" s="14"/>
      <c r="F742" s="14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</row>
    <row r="743">
      <c r="A743" s="20"/>
      <c r="B743" s="88"/>
      <c r="C743" s="20"/>
      <c r="D743" s="20"/>
      <c r="E743" s="14"/>
      <c r="F743" s="14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</row>
    <row r="744">
      <c r="A744" s="20"/>
      <c r="B744" s="88"/>
      <c r="C744" s="20"/>
      <c r="D744" s="20"/>
      <c r="E744" s="14"/>
      <c r="F744" s="14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</row>
    <row r="745">
      <c r="A745" s="20"/>
      <c r="B745" s="88"/>
      <c r="C745" s="20"/>
      <c r="D745" s="20"/>
      <c r="E745" s="14"/>
      <c r="F745" s="14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</row>
    <row r="746">
      <c r="A746" s="20"/>
      <c r="B746" s="88"/>
      <c r="C746" s="20"/>
      <c r="D746" s="20"/>
      <c r="E746" s="14"/>
      <c r="F746" s="14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</row>
    <row r="747">
      <c r="A747" s="20"/>
      <c r="B747" s="88"/>
      <c r="C747" s="20"/>
      <c r="D747" s="20"/>
      <c r="E747" s="14"/>
      <c r="F747" s="14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</row>
    <row r="748">
      <c r="A748" s="20"/>
      <c r="B748" s="88"/>
      <c r="C748" s="20"/>
      <c r="D748" s="20"/>
      <c r="E748" s="14"/>
      <c r="F748" s="14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</row>
    <row r="749">
      <c r="A749" s="20"/>
      <c r="B749" s="88"/>
      <c r="C749" s="20"/>
      <c r="D749" s="20"/>
      <c r="E749" s="14"/>
      <c r="F749" s="14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</row>
    <row r="750">
      <c r="A750" s="20"/>
      <c r="B750" s="88"/>
      <c r="C750" s="20"/>
      <c r="D750" s="20"/>
      <c r="E750" s="14"/>
      <c r="F750" s="14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</row>
    <row r="751">
      <c r="A751" s="20"/>
      <c r="B751" s="88"/>
      <c r="C751" s="20"/>
      <c r="D751" s="20"/>
      <c r="E751" s="14"/>
      <c r="F751" s="14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</row>
    <row r="752">
      <c r="A752" s="20"/>
      <c r="B752" s="88"/>
      <c r="C752" s="20"/>
      <c r="D752" s="20"/>
      <c r="E752" s="14"/>
      <c r="F752" s="14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</row>
    <row r="753">
      <c r="A753" s="20"/>
      <c r="B753" s="88"/>
      <c r="C753" s="20"/>
      <c r="D753" s="20"/>
      <c r="E753" s="14"/>
      <c r="F753" s="14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</row>
    <row r="754">
      <c r="A754" s="20"/>
      <c r="B754" s="88"/>
      <c r="C754" s="20"/>
      <c r="D754" s="20"/>
      <c r="E754" s="14"/>
      <c r="F754" s="14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</row>
    <row r="755">
      <c r="A755" s="20"/>
      <c r="B755" s="88"/>
      <c r="C755" s="20"/>
      <c r="D755" s="20"/>
      <c r="E755" s="14"/>
      <c r="F755" s="14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</row>
    <row r="756">
      <c r="A756" s="20"/>
      <c r="B756" s="88"/>
      <c r="C756" s="20"/>
      <c r="D756" s="20"/>
      <c r="E756" s="14"/>
      <c r="F756" s="14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</row>
    <row r="757">
      <c r="A757" s="20"/>
      <c r="B757" s="88"/>
      <c r="C757" s="20"/>
      <c r="D757" s="20"/>
      <c r="E757" s="14"/>
      <c r="F757" s="14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</row>
    <row r="758">
      <c r="A758" s="20"/>
      <c r="B758" s="88"/>
      <c r="C758" s="20"/>
      <c r="D758" s="20"/>
      <c r="E758" s="14"/>
      <c r="F758" s="14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</row>
    <row r="759">
      <c r="A759" s="20"/>
      <c r="B759" s="88"/>
      <c r="C759" s="20"/>
      <c r="D759" s="20"/>
      <c r="E759" s="14"/>
      <c r="F759" s="14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</row>
    <row r="760">
      <c r="A760" s="20"/>
      <c r="B760" s="88"/>
      <c r="C760" s="20"/>
      <c r="D760" s="20"/>
      <c r="E760" s="14"/>
      <c r="F760" s="14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</row>
    <row r="761">
      <c r="A761" s="20"/>
      <c r="B761" s="88"/>
      <c r="C761" s="20"/>
      <c r="D761" s="20"/>
      <c r="E761" s="14"/>
      <c r="F761" s="14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</row>
    <row r="762">
      <c r="A762" s="20"/>
      <c r="B762" s="88"/>
      <c r="C762" s="20"/>
      <c r="D762" s="20"/>
      <c r="E762" s="14"/>
      <c r="F762" s="14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</row>
    <row r="763">
      <c r="A763" s="20"/>
      <c r="B763" s="88"/>
      <c r="C763" s="20"/>
      <c r="D763" s="20"/>
      <c r="E763" s="14"/>
      <c r="F763" s="14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</row>
    <row r="764">
      <c r="A764" s="20"/>
      <c r="B764" s="88"/>
      <c r="C764" s="20"/>
      <c r="D764" s="20"/>
      <c r="E764" s="14"/>
      <c r="F764" s="14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</row>
    <row r="765">
      <c r="A765" s="20"/>
      <c r="B765" s="88"/>
      <c r="C765" s="20"/>
      <c r="D765" s="20"/>
      <c r="E765" s="14"/>
      <c r="F765" s="14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</row>
    <row r="766">
      <c r="A766" s="20"/>
      <c r="B766" s="88"/>
      <c r="C766" s="20"/>
      <c r="D766" s="20"/>
      <c r="E766" s="14"/>
      <c r="F766" s="14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</row>
    <row r="767">
      <c r="A767" s="20"/>
      <c r="B767" s="88"/>
      <c r="C767" s="20"/>
      <c r="D767" s="20"/>
      <c r="E767" s="14"/>
      <c r="F767" s="14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</row>
    <row r="768">
      <c r="A768" s="20"/>
      <c r="B768" s="88"/>
      <c r="C768" s="20"/>
      <c r="D768" s="20"/>
      <c r="E768" s="14"/>
      <c r="F768" s="14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</row>
    <row r="769">
      <c r="A769" s="20"/>
      <c r="B769" s="88"/>
      <c r="C769" s="20"/>
      <c r="D769" s="20"/>
      <c r="E769" s="14"/>
      <c r="F769" s="14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</row>
    <row r="770">
      <c r="A770" s="20"/>
      <c r="B770" s="88"/>
      <c r="C770" s="20"/>
      <c r="D770" s="20"/>
      <c r="E770" s="14"/>
      <c r="F770" s="14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</row>
    <row r="771">
      <c r="A771" s="20"/>
      <c r="B771" s="88"/>
      <c r="C771" s="20"/>
      <c r="D771" s="20"/>
      <c r="E771" s="14"/>
      <c r="F771" s="14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</row>
    <row r="772">
      <c r="A772" s="20"/>
      <c r="B772" s="88"/>
      <c r="C772" s="20"/>
      <c r="D772" s="20"/>
      <c r="E772" s="14"/>
      <c r="F772" s="14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</row>
    <row r="773">
      <c r="A773" s="20"/>
      <c r="B773" s="88"/>
      <c r="C773" s="20"/>
      <c r="D773" s="20"/>
      <c r="E773" s="14"/>
      <c r="F773" s="14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</row>
    <row r="774">
      <c r="A774" s="20"/>
      <c r="B774" s="88"/>
      <c r="C774" s="20"/>
      <c r="D774" s="20"/>
      <c r="E774" s="14"/>
      <c r="F774" s="14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</row>
    <row r="775">
      <c r="A775" s="20"/>
      <c r="B775" s="88"/>
      <c r="C775" s="20"/>
      <c r="D775" s="20"/>
      <c r="E775" s="14"/>
      <c r="F775" s="14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</row>
    <row r="776">
      <c r="A776" s="20"/>
      <c r="B776" s="88"/>
      <c r="C776" s="20"/>
      <c r="D776" s="20"/>
      <c r="E776" s="14"/>
      <c r="F776" s="14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</row>
    <row r="777">
      <c r="A777" s="20"/>
      <c r="B777" s="88"/>
      <c r="C777" s="20"/>
      <c r="D777" s="20"/>
      <c r="E777" s="14"/>
      <c r="F777" s="14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</row>
    <row r="778">
      <c r="A778" s="20"/>
      <c r="B778" s="88"/>
      <c r="C778" s="20"/>
      <c r="D778" s="20"/>
      <c r="E778" s="14"/>
      <c r="F778" s="14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</row>
    <row r="779">
      <c r="A779" s="20"/>
      <c r="B779" s="88"/>
      <c r="C779" s="20"/>
      <c r="D779" s="20"/>
      <c r="E779" s="14"/>
      <c r="F779" s="14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</row>
    <row r="780">
      <c r="A780" s="20"/>
      <c r="B780" s="88"/>
      <c r="C780" s="20"/>
      <c r="D780" s="20"/>
      <c r="E780" s="14"/>
      <c r="F780" s="14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</row>
    <row r="781">
      <c r="A781" s="20"/>
      <c r="B781" s="88"/>
      <c r="C781" s="20"/>
      <c r="D781" s="20"/>
      <c r="E781" s="14"/>
      <c r="F781" s="14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</row>
    <row r="782">
      <c r="A782" s="20"/>
      <c r="B782" s="88"/>
      <c r="C782" s="20"/>
      <c r="D782" s="20"/>
      <c r="E782" s="14"/>
      <c r="F782" s="14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</row>
    <row r="783">
      <c r="A783" s="20"/>
      <c r="B783" s="88"/>
      <c r="C783" s="20"/>
      <c r="D783" s="20"/>
      <c r="E783" s="14"/>
      <c r="F783" s="14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</row>
    <row r="784">
      <c r="A784" s="20"/>
      <c r="B784" s="88"/>
      <c r="C784" s="20"/>
      <c r="D784" s="20"/>
      <c r="E784" s="14"/>
      <c r="F784" s="14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</row>
    <row r="785">
      <c r="A785" s="20"/>
      <c r="B785" s="88"/>
      <c r="C785" s="20"/>
      <c r="D785" s="20"/>
      <c r="E785" s="14"/>
      <c r="F785" s="14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</row>
    <row r="786">
      <c r="A786" s="20"/>
      <c r="B786" s="88"/>
      <c r="C786" s="20"/>
      <c r="D786" s="20"/>
      <c r="E786" s="14"/>
      <c r="F786" s="14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</row>
    <row r="787">
      <c r="A787" s="20"/>
      <c r="B787" s="88"/>
      <c r="C787" s="20"/>
      <c r="D787" s="20"/>
      <c r="E787" s="14"/>
      <c r="F787" s="14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</row>
    <row r="788">
      <c r="A788" s="20"/>
      <c r="B788" s="88"/>
      <c r="C788" s="20"/>
      <c r="D788" s="20"/>
      <c r="E788" s="14"/>
      <c r="F788" s="14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</row>
    <row r="789">
      <c r="A789" s="20"/>
      <c r="B789" s="88"/>
      <c r="C789" s="20"/>
      <c r="D789" s="20"/>
      <c r="E789" s="14"/>
      <c r="F789" s="14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</row>
    <row r="790">
      <c r="A790" s="20"/>
      <c r="B790" s="88"/>
      <c r="C790" s="20"/>
      <c r="D790" s="20"/>
      <c r="E790" s="14"/>
      <c r="F790" s="14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</row>
    <row r="791">
      <c r="A791" s="20"/>
      <c r="B791" s="88"/>
      <c r="C791" s="20"/>
      <c r="D791" s="20"/>
      <c r="E791" s="14"/>
      <c r="F791" s="14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</row>
    <row r="792">
      <c r="A792" s="20"/>
      <c r="B792" s="88"/>
      <c r="C792" s="20"/>
      <c r="D792" s="20"/>
      <c r="E792" s="14"/>
      <c r="F792" s="14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</row>
    <row r="793">
      <c r="A793" s="20"/>
      <c r="B793" s="88"/>
      <c r="C793" s="20"/>
      <c r="D793" s="20"/>
      <c r="E793" s="14"/>
      <c r="F793" s="14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</row>
    <row r="794">
      <c r="A794" s="20"/>
      <c r="B794" s="88"/>
      <c r="C794" s="20"/>
      <c r="D794" s="20"/>
      <c r="E794" s="14"/>
      <c r="F794" s="14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</row>
    <row r="795">
      <c r="A795" s="20"/>
      <c r="B795" s="88"/>
      <c r="C795" s="20"/>
      <c r="D795" s="20"/>
      <c r="E795" s="14"/>
      <c r="F795" s="14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</row>
    <row r="796">
      <c r="A796" s="20"/>
      <c r="B796" s="88"/>
      <c r="C796" s="20"/>
      <c r="D796" s="20"/>
      <c r="E796" s="14"/>
      <c r="F796" s="14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</row>
    <row r="797">
      <c r="A797" s="20"/>
      <c r="B797" s="88"/>
      <c r="C797" s="20"/>
      <c r="D797" s="20"/>
      <c r="E797" s="14"/>
      <c r="F797" s="14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</row>
    <row r="798">
      <c r="A798" s="20"/>
      <c r="B798" s="88"/>
      <c r="C798" s="20"/>
      <c r="D798" s="20"/>
      <c r="E798" s="14"/>
      <c r="F798" s="14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</row>
    <row r="799">
      <c r="A799" s="20"/>
      <c r="B799" s="88"/>
      <c r="C799" s="20"/>
      <c r="D799" s="20"/>
      <c r="E799" s="14"/>
      <c r="F799" s="14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</row>
    <row r="800">
      <c r="A800" s="20"/>
      <c r="B800" s="88"/>
      <c r="C800" s="20"/>
      <c r="D800" s="20"/>
      <c r="E800" s="14"/>
      <c r="F800" s="14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</row>
    <row r="801">
      <c r="A801" s="20"/>
      <c r="B801" s="88"/>
      <c r="C801" s="20"/>
      <c r="D801" s="20"/>
      <c r="E801" s="14"/>
      <c r="F801" s="14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</row>
    <row r="802">
      <c r="A802" s="20"/>
      <c r="B802" s="88"/>
      <c r="C802" s="20"/>
      <c r="D802" s="20"/>
      <c r="E802" s="14"/>
      <c r="F802" s="14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</row>
    <row r="803">
      <c r="A803" s="20"/>
      <c r="B803" s="88"/>
      <c r="C803" s="20"/>
      <c r="D803" s="20"/>
      <c r="E803" s="14"/>
      <c r="F803" s="14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</row>
    <row r="804">
      <c r="A804" s="20"/>
      <c r="B804" s="88"/>
      <c r="C804" s="20"/>
      <c r="D804" s="20"/>
      <c r="E804" s="14"/>
      <c r="F804" s="14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</row>
    <row r="805">
      <c r="A805" s="20"/>
      <c r="B805" s="88"/>
      <c r="C805" s="20"/>
      <c r="D805" s="20"/>
      <c r="E805" s="14"/>
      <c r="F805" s="14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</row>
    <row r="806">
      <c r="A806" s="20"/>
      <c r="B806" s="88"/>
      <c r="C806" s="20"/>
      <c r="D806" s="20"/>
      <c r="E806" s="14"/>
      <c r="F806" s="14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</row>
    <row r="807">
      <c r="A807" s="20"/>
      <c r="B807" s="88"/>
      <c r="C807" s="20"/>
      <c r="D807" s="20"/>
      <c r="E807" s="14"/>
      <c r="F807" s="14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</row>
    <row r="808">
      <c r="A808" s="20"/>
      <c r="B808" s="88"/>
      <c r="C808" s="20"/>
      <c r="D808" s="20"/>
      <c r="E808" s="14"/>
      <c r="F808" s="14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</row>
    <row r="809">
      <c r="A809" s="20"/>
      <c r="B809" s="88"/>
      <c r="C809" s="20"/>
      <c r="D809" s="20"/>
      <c r="E809" s="14"/>
      <c r="F809" s="14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</row>
    <row r="810">
      <c r="A810" s="20"/>
      <c r="B810" s="88"/>
      <c r="C810" s="20"/>
      <c r="D810" s="20"/>
      <c r="E810" s="14"/>
      <c r="F810" s="14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</row>
    <row r="811">
      <c r="A811" s="20"/>
      <c r="B811" s="88"/>
      <c r="C811" s="20"/>
      <c r="D811" s="20"/>
      <c r="E811" s="14"/>
      <c r="F811" s="14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</row>
    <row r="812">
      <c r="A812" s="20"/>
      <c r="B812" s="88"/>
      <c r="C812" s="20"/>
      <c r="D812" s="20"/>
      <c r="E812" s="14"/>
      <c r="F812" s="14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</row>
    <row r="813">
      <c r="A813" s="20"/>
      <c r="B813" s="88"/>
      <c r="C813" s="20"/>
      <c r="D813" s="20"/>
      <c r="E813" s="14"/>
      <c r="F813" s="14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</row>
    <row r="814">
      <c r="A814" s="20"/>
      <c r="B814" s="88"/>
      <c r="C814" s="20"/>
      <c r="D814" s="20"/>
      <c r="E814" s="14"/>
      <c r="F814" s="14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</row>
    <row r="815">
      <c r="A815" s="20"/>
      <c r="B815" s="88"/>
      <c r="C815" s="20"/>
      <c r="D815" s="20"/>
      <c r="E815" s="14"/>
      <c r="F815" s="14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</row>
    <row r="816">
      <c r="A816" s="20"/>
      <c r="B816" s="88"/>
      <c r="C816" s="20"/>
      <c r="D816" s="20"/>
      <c r="E816" s="14"/>
      <c r="F816" s="14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</row>
    <row r="817">
      <c r="A817" s="20"/>
      <c r="B817" s="88"/>
      <c r="C817" s="20"/>
      <c r="D817" s="20"/>
      <c r="E817" s="14"/>
      <c r="F817" s="14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</row>
    <row r="818">
      <c r="A818" s="20"/>
      <c r="B818" s="88"/>
      <c r="C818" s="20"/>
      <c r="D818" s="20"/>
      <c r="E818" s="14"/>
      <c r="F818" s="14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</row>
    <row r="819">
      <c r="A819" s="20"/>
      <c r="B819" s="88"/>
      <c r="C819" s="20"/>
      <c r="D819" s="20"/>
      <c r="E819" s="14"/>
      <c r="F819" s="14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</row>
    <row r="820">
      <c r="A820" s="20"/>
      <c r="B820" s="88"/>
      <c r="C820" s="20"/>
      <c r="D820" s="20"/>
      <c r="E820" s="14"/>
      <c r="F820" s="14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</row>
    <row r="821">
      <c r="A821" s="20"/>
      <c r="B821" s="88"/>
      <c r="C821" s="20"/>
      <c r="D821" s="20"/>
      <c r="E821" s="14"/>
      <c r="F821" s="14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</row>
    <row r="822">
      <c r="A822" s="20"/>
      <c r="B822" s="88"/>
      <c r="C822" s="20"/>
      <c r="D822" s="20"/>
      <c r="E822" s="14"/>
      <c r="F822" s="14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</row>
    <row r="823">
      <c r="A823" s="20"/>
      <c r="B823" s="88"/>
      <c r="C823" s="20"/>
      <c r="D823" s="20"/>
      <c r="E823" s="14"/>
      <c r="F823" s="14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</row>
    <row r="824">
      <c r="A824" s="20"/>
      <c r="B824" s="88"/>
      <c r="C824" s="20"/>
      <c r="D824" s="20"/>
      <c r="E824" s="14"/>
      <c r="F824" s="14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</row>
    <row r="825">
      <c r="A825" s="20"/>
      <c r="B825" s="88"/>
      <c r="C825" s="20"/>
      <c r="D825" s="20"/>
      <c r="E825" s="14"/>
      <c r="F825" s="14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</row>
    <row r="826">
      <c r="A826" s="20"/>
      <c r="B826" s="88"/>
      <c r="C826" s="20"/>
      <c r="D826" s="20"/>
      <c r="E826" s="14"/>
      <c r="F826" s="14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</row>
    <row r="827">
      <c r="A827" s="20"/>
      <c r="B827" s="88"/>
      <c r="C827" s="20"/>
      <c r="D827" s="20"/>
      <c r="E827" s="14"/>
      <c r="F827" s="14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</row>
    <row r="828">
      <c r="A828" s="20"/>
      <c r="B828" s="88"/>
      <c r="C828" s="20"/>
      <c r="D828" s="20"/>
      <c r="E828" s="14"/>
      <c r="F828" s="14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</row>
    <row r="829">
      <c r="A829" s="20"/>
      <c r="B829" s="88"/>
      <c r="C829" s="20"/>
      <c r="D829" s="20"/>
      <c r="E829" s="14"/>
      <c r="F829" s="14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</row>
    <row r="830">
      <c r="A830" s="20"/>
      <c r="B830" s="88"/>
      <c r="C830" s="20"/>
      <c r="D830" s="20"/>
      <c r="E830" s="14"/>
      <c r="F830" s="14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</row>
    <row r="831">
      <c r="A831" s="20"/>
      <c r="B831" s="88"/>
      <c r="C831" s="20"/>
      <c r="D831" s="20"/>
      <c r="E831" s="14"/>
      <c r="F831" s="14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</row>
    <row r="832">
      <c r="A832" s="20"/>
      <c r="B832" s="88"/>
      <c r="C832" s="20"/>
      <c r="D832" s="20"/>
      <c r="E832" s="14"/>
      <c r="F832" s="14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</row>
    <row r="833">
      <c r="A833" s="20"/>
      <c r="B833" s="88"/>
      <c r="C833" s="20"/>
      <c r="D833" s="20"/>
      <c r="E833" s="14"/>
      <c r="F833" s="14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</row>
    <row r="834">
      <c r="A834" s="20"/>
      <c r="B834" s="88"/>
      <c r="C834" s="20"/>
      <c r="D834" s="20"/>
      <c r="E834" s="14"/>
      <c r="F834" s="14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</row>
    <row r="835">
      <c r="A835" s="20"/>
      <c r="B835" s="88"/>
      <c r="C835" s="20"/>
      <c r="D835" s="20"/>
      <c r="E835" s="14"/>
      <c r="F835" s="14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</row>
    <row r="836">
      <c r="A836" s="20"/>
      <c r="B836" s="88"/>
      <c r="C836" s="20"/>
      <c r="D836" s="20"/>
      <c r="E836" s="14"/>
      <c r="F836" s="14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</row>
    <row r="837">
      <c r="A837" s="20"/>
      <c r="B837" s="88"/>
      <c r="C837" s="20"/>
      <c r="D837" s="20"/>
      <c r="E837" s="14"/>
      <c r="F837" s="14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</row>
    <row r="838">
      <c r="A838" s="20"/>
      <c r="B838" s="88"/>
      <c r="C838" s="20"/>
      <c r="D838" s="20"/>
      <c r="E838" s="14"/>
      <c r="F838" s="14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</row>
    <row r="839">
      <c r="A839" s="20"/>
      <c r="B839" s="88"/>
      <c r="C839" s="20"/>
      <c r="D839" s="20"/>
      <c r="E839" s="14"/>
      <c r="F839" s="14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</row>
    <row r="840">
      <c r="A840" s="20"/>
      <c r="B840" s="88"/>
      <c r="C840" s="20"/>
      <c r="D840" s="20"/>
      <c r="E840" s="14"/>
      <c r="F840" s="14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</row>
    <row r="841">
      <c r="A841" s="20"/>
      <c r="B841" s="88"/>
      <c r="C841" s="20"/>
      <c r="D841" s="20"/>
      <c r="E841" s="14"/>
      <c r="F841" s="14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</row>
    <row r="842">
      <c r="A842" s="20"/>
      <c r="B842" s="88"/>
      <c r="C842" s="20"/>
      <c r="D842" s="20"/>
      <c r="E842" s="14"/>
      <c r="F842" s="14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</row>
    <row r="843">
      <c r="A843" s="20"/>
      <c r="B843" s="88"/>
      <c r="C843" s="20"/>
      <c r="D843" s="20"/>
      <c r="E843" s="14"/>
      <c r="F843" s="14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</row>
    <row r="844">
      <c r="A844" s="20"/>
      <c r="B844" s="88"/>
      <c r="C844" s="20"/>
      <c r="D844" s="20"/>
      <c r="E844" s="14"/>
      <c r="F844" s="14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</row>
    <row r="845">
      <c r="A845" s="20"/>
      <c r="B845" s="88"/>
      <c r="C845" s="20"/>
      <c r="D845" s="20"/>
      <c r="E845" s="14"/>
      <c r="F845" s="14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</row>
    <row r="846">
      <c r="A846" s="20"/>
      <c r="B846" s="88"/>
      <c r="C846" s="20"/>
      <c r="D846" s="20"/>
      <c r="E846" s="14"/>
      <c r="F846" s="14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</row>
    <row r="847">
      <c r="A847" s="20"/>
      <c r="B847" s="88"/>
      <c r="C847" s="20"/>
      <c r="D847" s="20"/>
      <c r="E847" s="14"/>
      <c r="F847" s="14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</row>
    <row r="848">
      <c r="A848" s="20"/>
      <c r="B848" s="88"/>
      <c r="C848" s="20"/>
      <c r="D848" s="20"/>
      <c r="E848" s="14"/>
      <c r="F848" s="14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</row>
    <row r="849">
      <c r="A849" s="20"/>
      <c r="B849" s="88"/>
      <c r="C849" s="20"/>
      <c r="D849" s="20"/>
      <c r="E849" s="14"/>
      <c r="F849" s="14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</row>
    <row r="850">
      <c r="A850" s="20"/>
      <c r="B850" s="88"/>
      <c r="C850" s="20"/>
      <c r="D850" s="20"/>
      <c r="E850" s="14"/>
      <c r="F850" s="14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</row>
    <row r="851">
      <c r="A851" s="20"/>
      <c r="B851" s="88"/>
      <c r="C851" s="20"/>
      <c r="D851" s="20"/>
      <c r="E851" s="14"/>
      <c r="F851" s="14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</row>
    <row r="852">
      <c r="A852" s="20"/>
      <c r="B852" s="88"/>
      <c r="C852" s="20"/>
      <c r="D852" s="20"/>
      <c r="E852" s="14"/>
      <c r="F852" s="14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</row>
    <row r="853">
      <c r="A853" s="20"/>
      <c r="B853" s="88"/>
      <c r="C853" s="20"/>
      <c r="D853" s="20"/>
      <c r="E853" s="14"/>
      <c r="F853" s="14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</row>
    <row r="854">
      <c r="A854" s="20"/>
      <c r="B854" s="88"/>
      <c r="C854" s="20"/>
      <c r="D854" s="20"/>
      <c r="E854" s="14"/>
      <c r="F854" s="14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</row>
    <row r="855">
      <c r="A855" s="20"/>
      <c r="B855" s="88"/>
      <c r="C855" s="20"/>
      <c r="D855" s="20"/>
      <c r="E855" s="14"/>
      <c r="F855" s="14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</row>
    <row r="856">
      <c r="A856" s="20"/>
      <c r="B856" s="88"/>
      <c r="C856" s="20"/>
      <c r="D856" s="20"/>
      <c r="E856" s="14"/>
      <c r="F856" s="14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</row>
    <row r="857">
      <c r="A857" s="20"/>
      <c r="B857" s="88"/>
      <c r="C857" s="20"/>
      <c r="D857" s="20"/>
      <c r="E857" s="14"/>
      <c r="F857" s="14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</row>
    <row r="858">
      <c r="A858" s="20"/>
      <c r="B858" s="88"/>
      <c r="C858" s="20"/>
      <c r="D858" s="20"/>
      <c r="E858" s="14"/>
      <c r="F858" s="14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</row>
    <row r="859">
      <c r="A859" s="20"/>
      <c r="B859" s="88"/>
      <c r="C859" s="20"/>
      <c r="D859" s="20"/>
      <c r="E859" s="14"/>
      <c r="F859" s="14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</row>
    <row r="860">
      <c r="A860" s="20"/>
      <c r="B860" s="88"/>
      <c r="C860" s="20"/>
      <c r="D860" s="20"/>
      <c r="E860" s="14"/>
      <c r="F860" s="14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</row>
    <row r="861">
      <c r="A861" s="20"/>
      <c r="B861" s="88"/>
      <c r="C861" s="20"/>
      <c r="D861" s="20"/>
      <c r="E861" s="14"/>
      <c r="F861" s="14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</row>
    <row r="862">
      <c r="A862" s="20"/>
      <c r="B862" s="88"/>
      <c r="C862" s="20"/>
      <c r="D862" s="20"/>
      <c r="E862" s="14"/>
      <c r="F862" s="14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</row>
    <row r="863">
      <c r="A863" s="20"/>
      <c r="B863" s="88"/>
      <c r="C863" s="20"/>
      <c r="D863" s="20"/>
      <c r="E863" s="14"/>
      <c r="F863" s="14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</row>
    <row r="864">
      <c r="A864" s="20"/>
      <c r="B864" s="88"/>
      <c r="C864" s="20"/>
      <c r="D864" s="20"/>
      <c r="E864" s="14"/>
      <c r="F864" s="14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</row>
    <row r="865">
      <c r="A865" s="20"/>
      <c r="B865" s="88"/>
      <c r="C865" s="20"/>
      <c r="D865" s="20"/>
      <c r="E865" s="14"/>
      <c r="F865" s="14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</row>
    <row r="866">
      <c r="A866" s="20"/>
      <c r="B866" s="88"/>
      <c r="C866" s="20"/>
      <c r="D866" s="20"/>
      <c r="E866" s="14"/>
      <c r="F866" s="14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</row>
    <row r="867">
      <c r="A867" s="20"/>
      <c r="B867" s="88"/>
      <c r="C867" s="20"/>
      <c r="D867" s="20"/>
      <c r="E867" s="14"/>
      <c r="F867" s="14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</row>
    <row r="868">
      <c r="A868" s="20"/>
      <c r="B868" s="88"/>
      <c r="C868" s="20"/>
      <c r="D868" s="20"/>
      <c r="E868" s="14"/>
      <c r="F868" s="14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</row>
    <row r="869">
      <c r="A869" s="20"/>
      <c r="B869" s="88"/>
      <c r="C869" s="20"/>
      <c r="D869" s="20"/>
      <c r="E869" s="14"/>
      <c r="F869" s="14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</row>
    <row r="870">
      <c r="A870" s="20"/>
      <c r="B870" s="88"/>
      <c r="C870" s="20"/>
      <c r="D870" s="20"/>
      <c r="E870" s="14"/>
      <c r="F870" s="14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</row>
    <row r="871">
      <c r="A871" s="20"/>
      <c r="B871" s="88"/>
      <c r="C871" s="20"/>
      <c r="D871" s="20"/>
      <c r="E871" s="14"/>
      <c r="F871" s="14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</row>
    <row r="872">
      <c r="A872" s="20"/>
      <c r="B872" s="88"/>
      <c r="C872" s="20"/>
      <c r="D872" s="20"/>
      <c r="E872" s="14"/>
      <c r="F872" s="14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</row>
    <row r="873">
      <c r="A873" s="20"/>
      <c r="B873" s="88"/>
      <c r="C873" s="20"/>
      <c r="D873" s="20"/>
      <c r="E873" s="14"/>
      <c r="F873" s="14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</row>
    <row r="874">
      <c r="A874" s="20"/>
      <c r="B874" s="88"/>
      <c r="C874" s="20"/>
      <c r="D874" s="20"/>
      <c r="E874" s="14"/>
      <c r="F874" s="14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</row>
    <row r="875">
      <c r="A875" s="20"/>
      <c r="B875" s="88"/>
      <c r="C875" s="20"/>
      <c r="D875" s="20"/>
      <c r="E875" s="14"/>
      <c r="F875" s="14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</row>
    <row r="876">
      <c r="A876" s="20"/>
      <c r="B876" s="88"/>
      <c r="C876" s="20"/>
      <c r="D876" s="20"/>
      <c r="E876" s="14"/>
      <c r="F876" s="14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</row>
    <row r="877">
      <c r="A877" s="20"/>
      <c r="B877" s="88"/>
      <c r="C877" s="20"/>
      <c r="D877" s="20"/>
      <c r="E877" s="14"/>
      <c r="F877" s="14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</row>
    <row r="878">
      <c r="A878" s="20"/>
      <c r="B878" s="88"/>
      <c r="C878" s="20"/>
      <c r="D878" s="20"/>
      <c r="E878" s="14"/>
      <c r="F878" s="14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</row>
    <row r="879">
      <c r="A879" s="20"/>
      <c r="B879" s="88"/>
      <c r="C879" s="20"/>
      <c r="D879" s="20"/>
      <c r="E879" s="14"/>
      <c r="F879" s="14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</row>
    <row r="880">
      <c r="A880" s="20"/>
      <c r="B880" s="88"/>
      <c r="C880" s="20"/>
      <c r="D880" s="20"/>
      <c r="E880" s="14"/>
      <c r="F880" s="14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</row>
    <row r="881">
      <c r="A881" s="20"/>
      <c r="B881" s="88"/>
      <c r="C881" s="20"/>
      <c r="D881" s="20"/>
      <c r="E881" s="14"/>
      <c r="F881" s="14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</row>
    <row r="882">
      <c r="A882" s="20"/>
      <c r="B882" s="88"/>
      <c r="C882" s="20"/>
      <c r="D882" s="20"/>
      <c r="E882" s="14"/>
      <c r="F882" s="14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</row>
    <row r="883">
      <c r="A883" s="20"/>
      <c r="B883" s="88"/>
      <c r="C883" s="20"/>
      <c r="D883" s="20"/>
      <c r="E883" s="14"/>
      <c r="F883" s="14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</row>
    <row r="884">
      <c r="A884" s="20"/>
      <c r="B884" s="88"/>
      <c r="C884" s="20"/>
      <c r="D884" s="20"/>
      <c r="E884" s="14"/>
      <c r="F884" s="14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</row>
    <row r="885">
      <c r="A885" s="20"/>
      <c r="B885" s="88"/>
      <c r="C885" s="20"/>
      <c r="D885" s="20"/>
      <c r="E885" s="14"/>
      <c r="F885" s="14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</row>
    <row r="886">
      <c r="A886" s="20"/>
      <c r="B886" s="88"/>
      <c r="C886" s="20"/>
      <c r="D886" s="20"/>
      <c r="E886" s="14"/>
      <c r="F886" s="14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</row>
    <row r="887">
      <c r="A887" s="20"/>
      <c r="B887" s="88"/>
      <c r="C887" s="20"/>
      <c r="D887" s="20"/>
      <c r="E887" s="14"/>
      <c r="F887" s="14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</row>
    <row r="888">
      <c r="A888" s="20"/>
      <c r="B888" s="88"/>
      <c r="C888" s="20"/>
      <c r="D888" s="20"/>
      <c r="E888" s="14"/>
      <c r="F888" s="14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</row>
    <row r="889">
      <c r="A889" s="20"/>
      <c r="B889" s="88"/>
      <c r="C889" s="20"/>
      <c r="D889" s="20"/>
      <c r="E889" s="14"/>
      <c r="F889" s="14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</row>
    <row r="890">
      <c r="A890" s="20"/>
      <c r="B890" s="88"/>
      <c r="C890" s="20"/>
      <c r="D890" s="20"/>
      <c r="E890" s="14"/>
      <c r="F890" s="14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</row>
    <row r="891">
      <c r="A891" s="20"/>
      <c r="B891" s="88"/>
      <c r="C891" s="20"/>
      <c r="D891" s="20"/>
      <c r="E891" s="14"/>
      <c r="F891" s="14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</row>
    <row r="892">
      <c r="A892" s="20"/>
      <c r="B892" s="88"/>
      <c r="C892" s="20"/>
      <c r="D892" s="20"/>
      <c r="E892" s="14"/>
      <c r="F892" s="14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</row>
    <row r="893">
      <c r="A893" s="20"/>
      <c r="B893" s="88"/>
      <c r="C893" s="20"/>
      <c r="D893" s="20"/>
      <c r="E893" s="14"/>
      <c r="F893" s="14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</row>
    <row r="894">
      <c r="A894" s="20"/>
      <c r="B894" s="88"/>
      <c r="C894" s="20"/>
      <c r="D894" s="20"/>
      <c r="E894" s="14"/>
      <c r="F894" s="14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</row>
    <row r="895">
      <c r="A895" s="20"/>
      <c r="B895" s="88"/>
      <c r="C895" s="20"/>
      <c r="D895" s="20"/>
      <c r="E895" s="14"/>
      <c r="F895" s="14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</row>
    <row r="896">
      <c r="A896" s="20"/>
      <c r="B896" s="88"/>
      <c r="C896" s="20"/>
      <c r="D896" s="20"/>
      <c r="E896" s="14"/>
      <c r="F896" s="14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</row>
    <row r="897">
      <c r="A897" s="20"/>
      <c r="B897" s="88"/>
      <c r="C897" s="20"/>
      <c r="D897" s="20"/>
      <c r="E897" s="14"/>
      <c r="F897" s="14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</row>
    <row r="898">
      <c r="A898" s="20"/>
      <c r="B898" s="88"/>
      <c r="C898" s="20"/>
      <c r="D898" s="20"/>
      <c r="E898" s="14"/>
      <c r="F898" s="14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</row>
    <row r="899">
      <c r="A899" s="20"/>
      <c r="B899" s="88"/>
      <c r="C899" s="20"/>
      <c r="D899" s="20"/>
      <c r="E899" s="14"/>
      <c r="F899" s="14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</row>
    <row r="900">
      <c r="A900" s="20"/>
      <c r="B900" s="88"/>
      <c r="C900" s="20"/>
      <c r="D900" s="20"/>
      <c r="E900" s="14"/>
      <c r="F900" s="14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</row>
    <row r="901">
      <c r="A901" s="20"/>
      <c r="B901" s="88"/>
      <c r="C901" s="20"/>
      <c r="D901" s="20"/>
      <c r="E901" s="14"/>
      <c r="F901" s="14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</row>
    <row r="902">
      <c r="A902" s="20"/>
      <c r="B902" s="88"/>
      <c r="C902" s="20"/>
      <c r="D902" s="20"/>
      <c r="E902" s="14"/>
      <c r="F902" s="14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</row>
    <row r="903">
      <c r="A903" s="20"/>
      <c r="B903" s="88"/>
      <c r="C903" s="20"/>
      <c r="D903" s="20"/>
      <c r="E903" s="14"/>
      <c r="F903" s="14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</row>
    <row r="904">
      <c r="A904" s="20"/>
      <c r="B904" s="88"/>
      <c r="C904" s="20"/>
      <c r="D904" s="20"/>
      <c r="E904" s="14"/>
      <c r="F904" s="14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</row>
    <row r="905">
      <c r="A905" s="20"/>
      <c r="B905" s="88"/>
      <c r="C905" s="20"/>
      <c r="D905" s="20"/>
      <c r="E905" s="14"/>
      <c r="F905" s="14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</row>
    <row r="906">
      <c r="A906" s="20"/>
      <c r="B906" s="88"/>
      <c r="C906" s="20"/>
      <c r="D906" s="20"/>
      <c r="E906" s="14"/>
      <c r="F906" s="14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</row>
    <row r="907">
      <c r="A907" s="20"/>
      <c r="B907" s="88"/>
      <c r="C907" s="20"/>
      <c r="D907" s="20"/>
      <c r="E907" s="14"/>
      <c r="F907" s="14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</row>
    <row r="908">
      <c r="A908" s="20"/>
      <c r="B908" s="88"/>
      <c r="C908" s="20"/>
      <c r="D908" s="20"/>
      <c r="E908" s="14"/>
      <c r="F908" s="14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</row>
    <row r="909">
      <c r="A909" s="20"/>
      <c r="B909" s="88"/>
      <c r="C909" s="20"/>
      <c r="D909" s="20"/>
      <c r="E909" s="14"/>
      <c r="F909" s="14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</row>
    <row r="910">
      <c r="A910" s="20"/>
      <c r="B910" s="88"/>
      <c r="C910" s="20"/>
      <c r="D910" s="20"/>
      <c r="E910" s="14"/>
      <c r="F910" s="14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</row>
    <row r="911">
      <c r="A911" s="20"/>
      <c r="B911" s="88"/>
      <c r="C911" s="20"/>
      <c r="D911" s="20"/>
      <c r="E911" s="14"/>
      <c r="F911" s="14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</row>
    <row r="912">
      <c r="A912" s="20"/>
      <c r="B912" s="88"/>
      <c r="C912" s="20"/>
      <c r="D912" s="20"/>
      <c r="E912" s="14"/>
      <c r="F912" s="14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</row>
    <row r="913">
      <c r="A913" s="20"/>
      <c r="B913" s="88"/>
      <c r="C913" s="20"/>
      <c r="D913" s="20"/>
      <c r="E913" s="14"/>
      <c r="F913" s="14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</row>
    <row r="914">
      <c r="A914" s="20"/>
      <c r="B914" s="88"/>
      <c r="C914" s="20"/>
      <c r="D914" s="20"/>
      <c r="E914" s="14"/>
      <c r="F914" s="14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</row>
    <row r="915">
      <c r="A915" s="20"/>
      <c r="B915" s="88"/>
      <c r="C915" s="20"/>
      <c r="D915" s="20"/>
      <c r="E915" s="14"/>
      <c r="F915" s="14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</row>
    <row r="916">
      <c r="A916" s="20"/>
      <c r="B916" s="88"/>
      <c r="C916" s="20"/>
      <c r="D916" s="20"/>
      <c r="E916" s="14"/>
      <c r="F916" s="14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</row>
    <row r="917">
      <c r="A917" s="20"/>
      <c r="B917" s="88"/>
      <c r="C917" s="20"/>
      <c r="D917" s="20"/>
      <c r="E917" s="14"/>
      <c r="F917" s="14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</row>
    <row r="918">
      <c r="A918" s="20"/>
      <c r="B918" s="88"/>
      <c r="C918" s="20"/>
      <c r="D918" s="20"/>
      <c r="E918" s="14"/>
      <c r="F918" s="14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</row>
    <row r="919">
      <c r="A919" s="20"/>
      <c r="B919" s="88"/>
      <c r="C919" s="20"/>
      <c r="D919" s="20"/>
      <c r="E919" s="14"/>
      <c r="F919" s="14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</row>
    <row r="920">
      <c r="A920" s="20"/>
      <c r="B920" s="88"/>
      <c r="C920" s="20"/>
      <c r="D920" s="20"/>
      <c r="E920" s="14"/>
      <c r="F920" s="14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</row>
    <row r="921">
      <c r="A921" s="20"/>
      <c r="B921" s="88"/>
      <c r="C921" s="20"/>
      <c r="D921" s="20"/>
      <c r="E921" s="14"/>
      <c r="F921" s="14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</row>
    <row r="922">
      <c r="A922" s="20"/>
      <c r="B922" s="88"/>
      <c r="C922" s="20"/>
      <c r="D922" s="20"/>
      <c r="E922" s="14"/>
      <c r="F922" s="14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</row>
    <row r="923">
      <c r="A923" s="20"/>
      <c r="B923" s="88"/>
      <c r="C923" s="20"/>
      <c r="D923" s="20"/>
      <c r="E923" s="14"/>
      <c r="F923" s="14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</row>
    <row r="924">
      <c r="A924" s="20"/>
      <c r="B924" s="88"/>
      <c r="C924" s="20"/>
      <c r="D924" s="20"/>
      <c r="E924" s="14"/>
      <c r="F924" s="14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</row>
    <row r="925">
      <c r="A925" s="20"/>
      <c r="B925" s="88"/>
      <c r="C925" s="20"/>
      <c r="D925" s="20"/>
      <c r="E925" s="14"/>
      <c r="F925" s="14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</row>
    <row r="926">
      <c r="A926" s="20"/>
      <c r="B926" s="88"/>
      <c r="C926" s="20"/>
      <c r="D926" s="20"/>
      <c r="E926" s="14"/>
      <c r="F926" s="14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</row>
    <row r="927">
      <c r="A927" s="20"/>
      <c r="B927" s="88"/>
      <c r="C927" s="20"/>
      <c r="D927" s="20"/>
      <c r="E927" s="14"/>
      <c r="F927" s="14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</row>
    <row r="928">
      <c r="A928" s="20"/>
      <c r="B928" s="88"/>
      <c r="C928" s="20"/>
      <c r="D928" s="20"/>
      <c r="E928" s="14"/>
      <c r="F928" s="14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</row>
    <row r="929">
      <c r="A929" s="20"/>
      <c r="B929" s="88"/>
      <c r="C929" s="20"/>
      <c r="D929" s="20"/>
      <c r="E929" s="14"/>
      <c r="F929" s="14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</row>
    <row r="930">
      <c r="A930" s="20"/>
      <c r="B930" s="88"/>
      <c r="C930" s="20"/>
      <c r="D930" s="20"/>
      <c r="E930" s="14"/>
      <c r="F930" s="14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</row>
    <row r="931">
      <c r="A931" s="20"/>
      <c r="B931" s="88"/>
      <c r="C931" s="20"/>
      <c r="D931" s="20"/>
      <c r="E931" s="14"/>
      <c r="F931" s="14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</row>
    <row r="932">
      <c r="A932" s="20"/>
      <c r="B932" s="88"/>
      <c r="C932" s="20"/>
      <c r="D932" s="20"/>
      <c r="E932" s="14"/>
      <c r="F932" s="14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</row>
    <row r="933">
      <c r="A933" s="20"/>
      <c r="B933" s="88"/>
      <c r="C933" s="20"/>
      <c r="D933" s="20"/>
      <c r="E933" s="14"/>
      <c r="F933" s="14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</row>
    <row r="934">
      <c r="A934" s="20"/>
      <c r="B934" s="88"/>
      <c r="C934" s="20"/>
      <c r="D934" s="20"/>
      <c r="E934" s="14"/>
      <c r="F934" s="14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</row>
    <row r="935">
      <c r="A935" s="20"/>
      <c r="B935" s="88"/>
      <c r="C935" s="20"/>
      <c r="D935" s="20"/>
      <c r="E935" s="14"/>
      <c r="F935" s="14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</row>
    <row r="936">
      <c r="A936" s="20"/>
      <c r="B936" s="88"/>
      <c r="C936" s="20"/>
      <c r="D936" s="20"/>
      <c r="E936" s="14"/>
      <c r="F936" s="14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</row>
    <row r="937">
      <c r="A937" s="20"/>
      <c r="B937" s="88"/>
      <c r="C937" s="20"/>
      <c r="D937" s="20"/>
      <c r="E937" s="14"/>
      <c r="F937" s="14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</row>
    <row r="938">
      <c r="A938" s="20"/>
      <c r="B938" s="88"/>
      <c r="C938" s="20"/>
      <c r="D938" s="20"/>
      <c r="E938" s="14"/>
      <c r="F938" s="14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</row>
    <row r="939">
      <c r="A939" s="20"/>
      <c r="B939" s="88"/>
      <c r="C939" s="20"/>
      <c r="D939" s="20"/>
      <c r="E939" s="14"/>
      <c r="F939" s="14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</row>
    <row r="940">
      <c r="A940" s="20"/>
      <c r="B940" s="88"/>
      <c r="C940" s="20"/>
      <c r="D940" s="20"/>
      <c r="E940" s="14"/>
      <c r="F940" s="14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</row>
    <row r="941">
      <c r="A941" s="20"/>
      <c r="B941" s="88"/>
      <c r="C941" s="20"/>
      <c r="D941" s="20"/>
      <c r="E941" s="14"/>
      <c r="F941" s="14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</row>
    <row r="942">
      <c r="A942" s="20"/>
      <c r="B942" s="88"/>
      <c r="C942" s="20"/>
      <c r="D942" s="20"/>
      <c r="E942" s="14"/>
      <c r="F942" s="14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</row>
    <row r="943">
      <c r="A943" s="20"/>
      <c r="B943" s="88"/>
      <c r="C943" s="20"/>
      <c r="D943" s="20"/>
      <c r="E943" s="14"/>
      <c r="F943" s="14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</row>
    <row r="944">
      <c r="A944" s="20"/>
      <c r="B944" s="88"/>
      <c r="C944" s="20"/>
      <c r="D944" s="20"/>
      <c r="E944" s="14"/>
      <c r="F944" s="14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</row>
    <row r="945">
      <c r="A945" s="20"/>
      <c r="B945" s="88"/>
      <c r="C945" s="20"/>
      <c r="D945" s="20"/>
      <c r="E945" s="14"/>
      <c r="F945" s="14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</row>
    <row r="946">
      <c r="A946" s="20"/>
      <c r="B946" s="88"/>
      <c r="C946" s="20"/>
      <c r="D946" s="20"/>
      <c r="E946" s="14"/>
      <c r="F946" s="14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</row>
    <row r="947">
      <c r="A947" s="20"/>
      <c r="B947" s="88"/>
      <c r="C947" s="20"/>
      <c r="D947" s="20"/>
      <c r="E947" s="14"/>
      <c r="F947" s="14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</row>
    <row r="948">
      <c r="A948" s="20"/>
      <c r="B948" s="88"/>
      <c r="C948" s="20"/>
      <c r="D948" s="20"/>
      <c r="E948" s="14"/>
      <c r="F948" s="14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</row>
    <row r="949">
      <c r="A949" s="20"/>
      <c r="B949" s="88"/>
      <c r="C949" s="20"/>
      <c r="D949" s="20"/>
      <c r="E949" s="14"/>
      <c r="F949" s="14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</row>
    <row r="950">
      <c r="A950" s="20"/>
      <c r="B950" s="88"/>
      <c r="C950" s="20"/>
      <c r="D950" s="20"/>
      <c r="E950" s="14"/>
      <c r="F950" s="14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</row>
    <row r="951">
      <c r="A951" s="20"/>
      <c r="B951" s="88"/>
      <c r="C951" s="20"/>
      <c r="D951" s="20"/>
      <c r="E951" s="14"/>
      <c r="F951" s="14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</row>
    <row r="952">
      <c r="A952" s="20"/>
      <c r="B952" s="88"/>
      <c r="C952" s="20"/>
      <c r="D952" s="20"/>
      <c r="E952" s="14"/>
      <c r="F952" s="14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</row>
    <row r="953">
      <c r="A953" s="20"/>
      <c r="B953" s="88"/>
      <c r="C953" s="20"/>
      <c r="D953" s="20"/>
      <c r="E953" s="14"/>
      <c r="F953" s="14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</row>
    <row r="954">
      <c r="A954" s="20"/>
      <c r="B954" s="88"/>
      <c r="C954" s="20"/>
      <c r="D954" s="20"/>
      <c r="E954" s="14"/>
      <c r="F954" s="14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</row>
    <row r="955">
      <c r="A955" s="20"/>
      <c r="B955" s="88"/>
      <c r="C955" s="20"/>
      <c r="D955" s="20"/>
      <c r="E955" s="14"/>
      <c r="F955" s="14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</row>
    <row r="956">
      <c r="A956" s="20"/>
      <c r="B956" s="88"/>
      <c r="C956" s="20"/>
      <c r="D956" s="20"/>
      <c r="E956" s="14"/>
      <c r="F956" s="14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</row>
    <row r="957">
      <c r="A957" s="20"/>
      <c r="B957" s="88"/>
      <c r="C957" s="20"/>
      <c r="D957" s="20"/>
      <c r="E957" s="14"/>
      <c r="F957" s="14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</row>
    <row r="958">
      <c r="A958" s="20"/>
      <c r="B958" s="88"/>
      <c r="C958" s="20"/>
      <c r="D958" s="20"/>
      <c r="E958" s="14"/>
      <c r="F958" s="14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</row>
    <row r="959">
      <c r="A959" s="20"/>
      <c r="B959" s="88"/>
      <c r="C959" s="20"/>
      <c r="D959" s="20"/>
      <c r="E959" s="14"/>
      <c r="F959" s="14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</row>
    <row r="960">
      <c r="A960" s="20"/>
      <c r="B960" s="88"/>
      <c r="C960" s="20"/>
      <c r="D960" s="20"/>
      <c r="E960" s="14"/>
      <c r="F960" s="14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</row>
    <row r="961">
      <c r="A961" s="20"/>
      <c r="B961" s="88"/>
      <c r="C961" s="20"/>
      <c r="D961" s="20"/>
      <c r="E961" s="14"/>
      <c r="F961" s="14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</row>
    <row r="962">
      <c r="A962" s="20"/>
      <c r="B962" s="88"/>
      <c r="C962" s="20"/>
      <c r="D962" s="20"/>
      <c r="E962" s="14"/>
      <c r="F962" s="14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</row>
    <row r="963">
      <c r="A963" s="20"/>
      <c r="B963" s="88"/>
      <c r="C963" s="20"/>
      <c r="D963" s="20"/>
      <c r="E963" s="14"/>
      <c r="F963" s="14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</row>
    <row r="964">
      <c r="A964" s="20"/>
      <c r="B964" s="88"/>
      <c r="C964" s="20"/>
      <c r="D964" s="20"/>
      <c r="E964" s="14"/>
      <c r="F964" s="14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</row>
    <row r="965">
      <c r="A965" s="20"/>
      <c r="B965" s="88"/>
      <c r="C965" s="20"/>
      <c r="D965" s="20"/>
      <c r="E965" s="14"/>
      <c r="F965" s="14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</row>
    <row r="966">
      <c r="A966" s="20"/>
      <c r="B966" s="88"/>
      <c r="C966" s="20"/>
      <c r="D966" s="20"/>
      <c r="E966" s="14"/>
      <c r="F966" s="14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</row>
    <row r="967">
      <c r="A967" s="20"/>
      <c r="B967" s="88"/>
      <c r="C967" s="20"/>
      <c r="D967" s="20"/>
      <c r="E967" s="14"/>
      <c r="F967" s="14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</row>
    <row r="968">
      <c r="A968" s="20"/>
      <c r="B968" s="88"/>
      <c r="C968" s="20"/>
      <c r="D968" s="20"/>
      <c r="E968" s="14"/>
      <c r="F968" s="14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</row>
    <row r="969">
      <c r="A969" s="20"/>
      <c r="B969" s="88"/>
      <c r="C969" s="20"/>
      <c r="D969" s="20"/>
      <c r="E969" s="14"/>
      <c r="F969" s="14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</row>
    <row r="970">
      <c r="A970" s="20"/>
      <c r="B970" s="88"/>
      <c r="C970" s="20"/>
      <c r="D970" s="20"/>
      <c r="E970" s="14"/>
      <c r="F970" s="14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</row>
    <row r="971">
      <c r="A971" s="20"/>
      <c r="B971" s="88"/>
      <c r="C971" s="20"/>
      <c r="D971" s="20"/>
      <c r="E971" s="14"/>
      <c r="F971" s="14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</row>
    <row r="972">
      <c r="A972" s="20"/>
      <c r="B972" s="88"/>
      <c r="C972" s="20"/>
      <c r="D972" s="20"/>
      <c r="E972" s="14"/>
      <c r="F972" s="14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</row>
    <row r="973">
      <c r="A973" s="20"/>
      <c r="B973" s="88"/>
      <c r="C973" s="20"/>
      <c r="D973" s="20"/>
      <c r="E973" s="14"/>
      <c r="F973" s="14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</row>
    <row r="974">
      <c r="A974" s="20"/>
      <c r="B974" s="88"/>
      <c r="C974" s="20"/>
      <c r="D974" s="20"/>
      <c r="E974" s="14"/>
      <c r="F974" s="14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</row>
    <row r="975">
      <c r="A975" s="20"/>
      <c r="B975" s="88"/>
      <c r="C975" s="20"/>
      <c r="D975" s="20"/>
      <c r="E975" s="14"/>
      <c r="F975" s="14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</row>
    <row r="976">
      <c r="A976" s="20"/>
      <c r="B976" s="88"/>
      <c r="C976" s="20"/>
      <c r="D976" s="20"/>
      <c r="E976" s="14"/>
      <c r="F976" s="14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</row>
    <row r="977">
      <c r="A977" s="20"/>
      <c r="B977" s="88"/>
      <c r="C977" s="20"/>
      <c r="D977" s="20"/>
      <c r="E977" s="14"/>
      <c r="F977" s="14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</row>
    <row r="978">
      <c r="A978" s="20"/>
      <c r="B978" s="88"/>
      <c r="C978" s="20"/>
      <c r="D978" s="20"/>
      <c r="E978" s="14"/>
      <c r="F978" s="14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</row>
    <row r="979">
      <c r="A979" s="20"/>
      <c r="B979" s="88"/>
      <c r="C979" s="20"/>
      <c r="D979" s="20"/>
      <c r="E979" s="14"/>
      <c r="F979" s="14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</row>
    <row r="980">
      <c r="A980" s="20"/>
      <c r="B980" s="88"/>
      <c r="C980" s="20"/>
      <c r="D980" s="20"/>
      <c r="E980" s="14"/>
      <c r="F980" s="14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</row>
    <row r="981">
      <c r="A981" s="20"/>
      <c r="B981" s="88"/>
      <c r="C981" s="20"/>
      <c r="D981" s="20"/>
      <c r="E981" s="14"/>
      <c r="F981" s="14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</row>
    <row r="982">
      <c r="A982" s="20"/>
      <c r="B982" s="88"/>
      <c r="C982" s="20"/>
      <c r="D982" s="20"/>
      <c r="E982" s="14"/>
      <c r="F982" s="14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</row>
    <row r="983">
      <c r="A983" s="20"/>
      <c r="B983" s="88"/>
      <c r="C983" s="20"/>
      <c r="D983" s="20"/>
      <c r="E983" s="14"/>
      <c r="F983" s="14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</row>
    <row r="984">
      <c r="A984" s="20"/>
      <c r="B984" s="88"/>
      <c r="C984" s="20"/>
      <c r="D984" s="20"/>
      <c r="E984" s="14"/>
      <c r="F984" s="14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</row>
    <row r="985">
      <c r="A985" s="20"/>
      <c r="B985" s="88"/>
      <c r="C985" s="20"/>
      <c r="D985" s="20"/>
      <c r="E985" s="14"/>
      <c r="F985" s="14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</row>
    <row r="986">
      <c r="A986" s="20"/>
      <c r="B986" s="88"/>
      <c r="C986" s="20"/>
      <c r="D986" s="20"/>
      <c r="E986" s="14"/>
      <c r="F986" s="14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</row>
    <row r="987">
      <c r="A987" s="20"/>
      <c r="B987" s="88"/>
      <c r="C987" s="20"/>
      <c r="D987" s="20"/>
      <c r="E987" s="14"/>
      <c r="F987" s="14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</row>
    <row r="988">
      <c r="A988" s="20"/>
      <c r="B988" s="88"/>
      <c r="C988" s="20"/>
      <c r="D988" s="20"/>
      <c r="E988" s="14"/>
      <c r="F988" s="14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</row>
    <row r="989">
      <c r="A989" s="20"/>
      <c r="B989" s="88"/>
      <c r="C989" s="20"/>
      <c r="D989" s="20"/>
      <c r="E989" s="14"/>
      <c r="F989" s="14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</row>
    <row r="990">
      <c r="A990" s="20"/>
      <c r="B990" s="88"/>
      <c r="C990" s="20"/>
      <c r="D990" s="20"/>
      <c r="E990" s="14"/>
      <c r="F990" s="14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</row>
    <row r="991">
      <c r="A991" s="20"/>
      <c r="B991" s="88"/>
      <c r="C991" s="20"/>
      <c r="D991" s="20"/>
      <c r="E991" s="14"/>
      <c r="F991" s="14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</row>
    <row r="992">
      <c r="A992" s="20"/>
      <c r="B992" s="88"/>
      <c r="C992" s="20"/>
      <c r="D992" s="20"/>
      <c r="E992" s="14"/>
      <c r="F992" s="14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</row>
    <row r="993">
      <c r="A993" s="20"/>
      <c r="B993" s="88"/>
      <c r="C993" s="20"/>
      <c r="D993" s="20"/>
      <c r="E993" s="14"/>
      <c r="F993" s="14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</row>
  </sheetData>
  <mergeCells count="12">
    <mergeCell ref="B24:B25"/>
    <mergeCell ref="B26:B27"/>
    <mergeCell ref="B28:B29"/>
    <mergeCell ref="B30:B31"/>
    <mergeCell ref="B32:B33"/>
    <mergeCell ref="B3:C3"/>
    <mergeCell ref="B4:C4"/>
    <mergeCell ref="B6:B8"/>
    <mergeCell ref="B10:B12"/>
    <mergeCell ref="B14:B16"/>
    <mergeCell ref="B18:B20"/>
    <mergeCell ref="B22:B23"/>
  </mergeCells>
  <printOptions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75" outlineLevelCol="1"/>
  <cols>
    <col customWidth="1" min="1" max="1" width="1.57"/>
    <col customWidth="1" min="2" max="2" width="71.14"/>
    <col customWidth="1" min="3" max="3" width="86.0"/>
    <col customWidth="1" min="4" max="4" width="21.86"/>
    <col customWidth="1" min="5" max="5" width="22.86"/>
    <col customWidth="1" min="6" max="6" width="19.0"/>
    <col customWidth="1" min="7" max="7" width="14.43"/>
    <col customWidth="1" min="8" max="8" width="8.86"/>
    <col customWidth="1" hidden="1" min="9" max="9" width="15.14"/>
    <col customWidth="1" hidden="1" min="10" max="10" width="13.14"/>
    <col customWidth="1" hidden="1" min="11" max="11" width="18.57"/>
    <col customWidth="1" min="12" max="12" width="1.57"/>
    <col customWidth="1" min="13" max="13" width="17.57"/>
    <col customWidth="1" min="14" max="14" width="14.57"/>
    <col customWidth="1" min="15" max="22" width="10.71"/>
  </cols>
  <sheetData>
    <row r="1" ht="6.0" customHeight="1">
      <c r="A1" s="90"/>
      <c r="B1" s="91"/>
      <c r="C1" s="92"/>
      <c r="D1" s="93"/>
      <c r="E1" s="93"/>
      <c r="F1" s="94"/>
      <c r="G1" s="95"/>
      <c r="H1" s="96"/>
      <c r="I1" s="93"/>
      <c r="J1" s="93"/>
      <c r="K1" s="93"/>
      <c r="L1" s="93"/>
      <c r="M1" s="93"/>
      <c r="N1" s="93"/>
      <c r="O1" s="56"/>
      <c r="P1" s="56"/>
      <c r="Q1" s="56"/>
      <c r="R1" s="56"/>
      <c r="S1" s="56"/>
      <c r="T1" s="56"/>
      <c r="U1" s="56"/>
      <c r="V1" s="56"/>
    </row>
    <row r="2" ht="43.5" customHeight="1">
      <c r="A2" s="97"/>
      <c r="B2" s="98" t="s">
        <v>878</v>
      </c>
      <c r="C2" s="98" t="s">
        <v>879</v>
      </c>
      <c r="D2" s="99" t="s">
        <v>836</v>
      </c>
      <c r="E2" s="100" t="s">
        <v>837</v>
      </c>
      <c r="F2" s="101"/>
      <c r="G2" s="102" t="s">
        <v>838</v>
      </c>
      <c r="H2" s="103"/>
      <c r="I2" s="104" t="s">
        <v>880</v>
      </c>
      <c r="J2" s="105" t="s">
        <v>881</v>
      </c>
      <c r="K2" s="105" t="s">
        <v>882</v>
      </c>
      <c r="L2" s="106"/>
      <c r="M2" s="93"/>
      <c r="N2" s="93"/>
      <c r="O2" s="56"/>
      <c r="P2" s="56"/>
      <c r="Q2" s="56"/>
      <c r="R2" s="56"/>
      <c r="S2" s="56"/>
      <c r="T2" s="56"/>
      <c r="U2" s="56"/>
      <c r="V2" s="56"/>
    </row>
    <row r="3" ht="18.75" customHeight="1">
      <c r="A3" s="90"/>
      <c r="B3" s="107" t="s">
        <v>883</v>
      </c>
      <c r="C3" s="108"/>
      <c r="D3" s="93"/>
      <c r="E3" s="109"/>
      <c r="F3" s="110"/>
      <c r="G3" s="95"/>
      <c r="H3" s="96"/>
      <c r="I3" s="93"/>
      <c r="J3" s="93"/>
      <c r="K3" s="93"/>
      <c r="L3" s="93"/>
      <c r="M3" s="93"/>
      <c r="N3" s="93"/>
      <c r="O3" s="56"/>
      <c r="P3" s="56"/>
      <c r="Q3" s="56"/>
      <c r="R3" s="56"/>
      <c r="S3" s="56"/>
      <c r="T3" s="56"/>
      <c r="U3" s="56"/>
      <c r="V3" s="56"/>
    </row>
    <row r="4" ht="18.75" customHeight="1">
      <c r="A4" s="90">
        <v>1.0</v>
      </c>
      <c r="B4" s="111" t="s">
        <v>305</v>
      </c>
      <c r="C4" s="112" t="s">
        <v>306</v>
      </c>
      <c r="D4" s="52">
        <v>298.0</v>
      </c>
      <c r="E4" s="52">
        <v>322.0</v>
      </c>
      <c r="F4" s="113"/>
      <c r="G4" s="95">
        <f t="shared" ref="G4:G18" si="1">IFERROR(DIVIDE(MINUS(E4,D4),D4),)</f>
        <v>0.08053691275</v>
      </c>
      <c r="H4" s="114"/>
      <c r="I4" s="115">
        <v>2.88</v>
      </c>
      <c r="J4" s="115">
        <f t="array" ref="J4:K1878">IFERROR(VLOOKUP(B4:B1878,PACKING!$A$3:$D1878,{3,4},0),"")</f>
        <v>54</v>
      </c>
      <c r="K4" s="115">
        <v>216.0</v>
      </c>
      <c r="L4" s="116"/>
      <c r="M4" s="93"/>
      <c r="N4" s="93"/>
      <c r="O4" s="56"/>
      <c r="P4" s="56"/>
      <c r="Q4" s="56"/>
      <c r="R4" s="56"/>
      <c r="S4" s="56"/>
      <c r="T4" s="56"/>
      <c r="U4" s="56"/>
      <c r="V4" s="56"/>
    </row>
    <row r="5" ht="18.75" customHeight="1">
      <c r="A5" s="90">
        <v>2.0</v>
      </c>
      <c r="B5" s="111" t="s">
        <v>338</v>
      </c>
      <c r="C5" s="117" t="s">
        <v>339</v>
      </c>
      <c r="D5" s="52">
        <v>362.0</v>
      </c>
      <c r="E5" s="52">
        <v>392.0</v>
      </c>
      <c r="F5" s="113"/>
      <c r="G5" s="95">
        <f t="shared" si="1"/>
        <v>0.08287292818</v>
      </c>
      <c r="H5" s="114"/>
      <c r="I5" s="115">
        <v>3.4</v>
      </c>
      <c r="J5" s="115">
        <v>33.0</v>
      </c>
      <c r="K5" s="115">
        <v>132.0</v>
      </c>
      <c r="L5" s="116"/>
      <c r="M5" s="93"/>
      <c r="N5" s="93"/>
      <c r="O5" s="56"/>
      <c r="P5" s="56"/>
      <c r="Q5" s="56"/>
      <c r="R5" s="56"/>
      <c r="S5" s="56"/>
      <c r="T5" s="56"/>
      <c r="U5" s="56"/>
      <c r="V5" s="56"/>
    </row>
    <row r="6" ht="18.75" customHeight="1">
      <c r="A6" s="90">
        <v>3.0</v>
      </c>
      <c r="B6" s="111" t="s">
        <v>362</v>
      </c>
      <c r="C6" s="118" t="s">
        <v>363</v>
      </c>
      <c r="D6" s="52">
        <v>332.0</v>
      </c>
      <c r="E6" s="52">
        <v>358.0</v>
      </c>
      <c r="F6" s="119"/>
      <c r="G6" s="95">
        <f t="shared" si="1"/>
        <v>0.07831325301</v>
      </c>
      <c r="H6" s="114"/>
      <c r="I6" s="109">
        <v>3.1</v>
      </c>
      <c r="J6" s="120">
        <v>33.0</v>
      </c>
      <c r="K6" s="120">
        <v>132.0</v>
      </c>
      <c r="L6" s="116"/>
      <c r="M6" s="93"/>
      <c r="N6" s="93"/>
      <c r="O6" s="56"/>
      <c r="P6" s="56"/>
      <c r="Q6" s="56"/>
      <c r="R6" s="56"/>
      <c r="S6" s="56"/>
      <c r="T6" s="56"/>
      <c r="U6" s="56"/>
      <c r="V6" s="56"/>
    </row>
    <row r="7" ht="18.75" customHeight="1">
      <c r="A7" s="90">
        <v>4.0</v>
      </c>
      <c r="B7" s="111" t="s">
        <v>380</v>
      </c>
      <c r="C7" s="118" t="s">
        <v>382</v>
      </c>
      <c r="D7" s="52">
        <v>572.0</v>
      </c>
      <c r="E7" s="52">
        <v>618.0</v>
      </c>
      <c r="F7" s="121"/>
      <c r="G7" s="95">
        <f t="shared" si="1"/>
        <v>0.08041958042</v>
      </c>
      <c r="H7" s="114"/>
      <c r="I7" s="115">
        <v>5.38</v>
      </c>
      <c r="J7" s="115">
        <v>28.0</v>
      </c>
      <c r="K7" s="115">
        <v>112.0</v>
      </c>
      <c r="L7" s="116"/>
      <c r="M7" s="93"/>
      <c r="N7" s="93"/>
      <c r="O7" s="56"/>
      <c r="P7" s="56"/>
      <c r="Q7" s="56"/>
      <c r="R7" s="56"/>
      <c r="S7" s="56"/>
      <c r="T7" s="56"/>
      <c r="U7" s="56"/>
      <c r="V7" s="56"/>
    </row>
    <row r="8" ht="18.75" customHeight="1">
      <c r="A8" s="90">
        <v>5.0</v>
      </c>
      <c r="B8" s="111" t="s">
        <v>398</v>
      </c>
      <c r="C8" s="118" t="s">
        <v>399</v>
      </c>
      <c r="D8" s="52">
        <v>432.0</v>
      </c>
      <c r="E8" s="52">
        <v>468.0</v>
      </c>
      <c r="F8" s="121"/>
      <c r="G8" s="95">
        <f t="shared" si="1"/>
        <v>0.08333333333</v>
      </c>
      <c r="H8" s="122"/>
      <c r="I8" s="115">
        <v>4.06</v>
      </c>
      <c r="J8" s="115">
        <v>30.0</v>
      </c>
      <c r="K8" s="115">
        <v>120.0</v>
      </c>
      <c r="L8" s="116"/>
      <c r="M8" s="93"/>
      <c r="N8" s="93"/>
      <c r="O8" s="56"/>
      <c r="P8" s="56"/>
      <c r="Q8" s="56"/>
      <c r="R8" s="56"/>
      <c r="S8" s="56"/>
      <c r="T8" s="56"/>
      <c r="U8" s="56"/>
      <c r="V8" s="56"/>
    </row>
    <row r="9" ht="18.75" customHeight="1">
      <c r="A9" s="90">
        <v>6.0</v>
      </c>
      <c r="B9" s="111" t="s">
        <v>418</v>
      </c>
      <c r="C9" s="118" t="s">
        <v>419</v>
      </c>
      <c r="D9" s="52">
        <v>658.0</v>
      </c>
      <c r="E9" s="52">
        <v>712.0</v>
      </c>
      <c r="F9" s="121"/>
      <c r="G9" s="95">
        <f t="shared" si="1"/>
        <v>0.0820668693</v>
      </c>
      <c r="H9" s="114"/>
      <c r="I9" s="115">
        <v>6.18</v>
      </c>
      <c r="J9" s="115">
        <v>13.0</v>
      </c>
      <c r="K9" s="115">
        <v>52.0</v>
      </c>
      <c r="L9" s="116"/>
      <c r="M9" s="93"/>
      <c r="N9" s="93"/>
      <c r="O9" s="56"/>
      <c r="P9" s="56"/>
      <c r="Q9" s="56"/>
      <c r="R9" s="56"/>
      <c r="S9" s="56"/>
      <c r="T9" s="56"/>
      <c r="U9" s="56"/>
      <c r="V9" s="56"/>
    </row>
    <row r="10" ht="18.75" customHeight="1">
      <c r="A10" s="90">
        <v>7.0</v>
      </c>
      <c r="B10" s="111" t="s">
        <v>438</v>
      </c>
      <c r="C10" s="118" t="s">
        <v>439</v>
      </c>
      <c r="D10" s="52">
        <v>632.0</v>
      </c>
      <c r="E10" s="52">
        <v>684.0</v>
      </c>
      <c r="F10" s="119"/>
      <c r="G10" s="95">
        <f t="shared" si="1"/>
        <v>0.08227848101</v>
      </c>
      <c r="H10" s="114"/>
      <c r="I10" s="109">
        <v>5.94</v>
      </c>
      <c r="J10" s="120">
        <v>30.0</v>
      </c>
      <c r="K10" s="120">
        <v>120.0</v>
      </c>
      <c r="L10" s="116"/>
      <c r="M10" s="93"/>
      <c r="N10" s="93"/>
      <c r="O10" s="56"/>
      <c r="P10" s="56"/>
      <c r="Q10" s="56"/>
      <c r="R10" s="56"/>
      <c r="S10" s="56"/>
      <c r="T10" s="56"/>
      <c r="U10" s="56"/>
      <c r="V10" s="56"/>
    </row>
    <row r="11" ht="18.75" customHeight="1">
      <c r="A11" s="90">
        <v>8.0</v>
      </c>
      <c r="B11" s="111" t="s">
        <v>461</v>
      </c>
      <c r="C11" s="118" t="s">
        <v>462</v>
      </c>
      <c r="D11" s="52">
        <v>698.0064000000001</v>
      </c>
      <c r="E11" s="52">
        <v>754.0</v>
      </c>
      <c r="F11" s="121"/>
      <c r="G11" s="95">
        <f t="shared" si="1"/>
        <v>0.08021932177</v>
      </c>
      <c r="H11" s="114"/>
      <c r="I11" s="120">
        <v>6.0</v>
      </c>
      <c r="J11" s="115">
        <v>13.0</v>
      </c>
      <c r="K11" s="115">
        <v>52.0</v>
      </c>
      <c r="L11" s="116"/>
      <c r="M11" s="93"/>
      <c r="N11" s="93"/>
      <c r="O11" s="56"/>
      <c r="P11" s="56"/>
      <c r="Q11" s="56"/>
      <c r="R11" s="56"/>
      <c r="S11" s="56"/>
      <c r="T11" s="56"/>
      <c r="U11" s="56"/>
      <c r="V11" s="56"/>
    </row>
    <row r="12" ht="18.75" customHeight="1">
      <c r="A12" s="90">
        <v>9.0</v>
      </c>
      <c r="B12" s="123" t="s">
        <v>481</v>
      </c>
      <c r="C12" s="124" t="s">
        <v>482</v>
      </c>
      <c r="D12" s="125">
        <v>1572.0</v>
      </c>
      <c r="E12" s="125">
        <v>1698.0</v>
      </c>
      <c r="F12" s="119"/>
      <c r="G12" s="95">
        <f t="shared" si="1"/>
        <v>0.08015267176</v>
      </c>
      <c r="H12" s="122"/>
      <c r="I12" s="109">
        <v>14.8</v>
      </c>
      <c r="J12" s="120">
        <v>13.0</v>
      </c>
      <c r="K12" s="120">
        <v>52.0</v>
      </c>
      <c r="L12" s="116"/>
      <c r="M12" s="93"/>
      <c r="N12" s="93"/>
      <c r="O12" s="56"/>
      <c r="P12" s="56"/>
      <c r="Q12" s="56"/>
      <c r="R12" s="56"/>
      <c r="S12" s="56"/>
      <c r="T12" s="56"/>
      <c r="U12" s="56"/>
      <c r="V12" s="56"/>
    </row>
    <row r="13" ht="18.75" customHeight="1">
      <c r="A13" s="90">
        <v>10.0</v>
      </c>
      <c r="B13" s="111" t="s">
        <v>501</v>
      </c>
      <c r="C13" s="118" t="s">
        <v>502</v>
      </c>
      <c r="D13" s="52">
        <v>1527.552</v>
      </c>
      <c r="E13" s="52">
        <v>1648.0</v>
      </c>
      <c r="F13" s="119"/>
      <c r="G13" s="95">
        <f t="shared" si="1"/>
        <v>0.07885034356</v>
      </c>
      <c r="H13" s="122"/>
      <c r="I13" s="109">
        <v>15.0</v>
      </c>
      <c r="J13" s="120">
        <v>13.0</v>
      </c>
      <c r="K13" s="120">
        <v>52.0</v>
      </c>
      <c r="L13" s="116"/>
      <c r="M13" s="93"/>
      <c r="N13" s="93"/>
      <c r="O13" s="56"/>
      <c r="P13" s="56"/>
      <c r="Q13" s="56"/>
      <c r="R13" s="56"/>
      <c r="S13" s="56"/>
      <c r="T13" s="56"/>
      <c r="U13" s="56"/>
      <c r="V13" s="56"/>
    </row>
    <row r="14" ht="18.75" customHeight="1">
      <c r="A14" s="90"/>
      <c r="B14" s="111" t="s">
        <v>521</v>
      </c>
      <c r="C14" s="118" t="s">
        <v>523</v>
      </c>
      <c r="D14" s="52">
        <v>2092.0</v>
      </c>
      <c r="E14" s="52">
        <v>2258.0</v>
      </c>
      <c r="F14" s="119"/>
      <c r="G14" s="95">
        <f t="shared" si="1"/>
        <v>0.0793499044</v>
      </c>
      <c r="H14" s="122"/>
      <c r="I14" s="109"/>
      <c r="J14" s="120"/>
      <c r="K14" s="120"/>
      <c r="L14" s="116"/>
      <c r="M14" s="93"/>
      <c r="N14" s="93"/>
      <c r="O14" s="56"/>
      <c r="P14" s="56"/>
      <c r="Q14" s="56"/>
      <c r="R14" s="56"/>
      <c r="S14" s="56"/>
      <c r="T14" s="56"/>
      <c r="U14" s="56"/>
      <c r="V14" s="56"/>
    </row>
    <row r="15" ht="18.75" customHeight="1">
      <c r="A15" s="90">
        <v>11.0</v>
      </c>
      <c r="B15" s="111" t="s">
        <v>543</v>
      </c>
      <c r="C15" s="118" t="s">
        <v>545</v>
      </c>
      <c r="D15" s="52">
        <v>1784.0</v>
      </c>
      <c r="E15" s="52">
        <v>1928.0</v>
      </c>
      <c r="F15" s="119"/>
      <c r="G15" s="95">
        <f t="shared" si="1"/>
        <v>0.08071748879</v>
      </c>
      <c r="H15" s="114"/>
      <c r="I15" s="109">
        <v>15.0</v>
      </c>
      <c r="J15" s="120">
        <v>6.0</v>
      </c>
      <c r="K15" s="120">
        <v>24.0</v>
      </c>
      <c r="L15" s="116"/>
      <c r="M15" s="93"/>
      <c r="N15" s="93"/>
      <c r="O15" s="56"/>
      <c r="P15" s="56"/>
      <c r="Q15" s="56"/>
      <c r="R15" s="56"/>
      <c r="S15" s="56"/>
      <c r="T15" s="56"/>
      <c r="U15" s="56"/>
      <c r="V15" s="56"/>
    </row>
    <row r="16" ht="18.75" customHeight="1">
      <c r="A16" s="90">
        <v>12.0</v>
      </c>
      <c r="B16" s="111" t="s">
        <v>562</v>
      </c>
      <c r="C16" s="118" t="s">
        <v>395</v>
      </c>
      <c r="D16" s="52">
        <v>272.0</v>
      </c>
      <c r="E16" s="52">
        <v>294.0</v>
      </c>
      <c r="F16" s="121"/>
      <c r="G16" s="95">
        <f t="shared" si="1"/>
        <v>0.08088235294</v>
      </c>
      <c r="H16" s="114"/>
      <c r="I16" s="120">
        <v>2.0</v>
      </c>
      <c r="J16" s="115">
        <v>66.0</v>
      </c>
      <c r="K16" s="115">
        <v>198.0</v>
      </c>
      <c r="L16" s="116"/>
      <c r="M16" s="93"/>
      <c r="N16" s="93"/>
      <c r="O16" s="56"/>
      <c r="P16" s="56"/>
      <c r="Q16" s="56"/>
      <c r="R16" s="56"/>
      <c r="S16" s="56"/>
      <c r="T16" s="56"/>
      <c r="U16" s="56"/>
      <c r="V16" s="56"/>
    </row>
    <row r="17" ht="18.75" customHeight="1">
      <c r="A17" s="90">
        <v>13.0</v>
      </c>
      <c r="B17" s="111" t="s">
        <v>582</v>
      </c>
      <c r="C17" s="118" t="s">
        <v>583</v>
      </c>
      <c r="D17" s="52">
        <v>507.96</v>
      </c>
      <c r="E17" s="52">
        <v>548.0</v>
      </c>
      <c r="F17" s="121"/>
      <c r="G17" s="95">
        <f t="shared" si="1"/>
        <v>0.07882510434</v>
      </c>
      <c r="H17" s="114"/>
      <c r="I17" s="115">
        <v>4.8</v>
      </c>
      <c r="J17" s="115">
        <v>35.0</v>
      </c>
      <c r="K17" s="115">
        <v>140.0</v>
      </c>
      <c r="L17" s="116"/>
      <c r="M17" s="93"/>
      <c r="N17" s="93"/>
      <c r="O17" s="56"/>
      <c r="P17" s="56"/>
      <c r="Q17" s="56"/>
      <c r="R17" s="56"/>
      <c r="S17" s="56"/>
      <c r="T17" s="56"/>
      <c r="U17" s="56"/>
      <c r="V17" s="56"/>
    </row>
    <row r="18" ht="18.75" customHeight="1">
      <c r="A18" s="90"/>
      <c r="B18" s="111" t="s">
        <v>600</v>
      </c>
      <c r="C18" s="118" t="s">
        <v>601</v>
      </c>
      <c r="D18" s="52">
        <v>711.96</v>
      </c>
      <c r="E18" s="52">
        <v>768.0</v>
      </c>
      <c r="F18" s="119"/>
      <c r="G18" s="95">
        <f t="shared" si="1"/>
        <v>0.07871228721</v>
      </c>
      <c r="H18" s="114"/>
      <c r="I18" s="109">
        <v>6.0</v>
      </c>
      <c r="J18" s="120">
        <v>30.0</v>
      </c>
      <c r="K18" s="120">
        <v>120.0</v>
      </c>
      <c r="L18" s="116"/>
      <c r="M18" s="93"/>
      <c r="N18" s="93"/>
      <c r="O18" s="56"/>
      <c r="P18" s="56"/>
      <c r="Q18" s="56"/>
      <c r="R18" s="56"/>
      <c r="S18" s="56"/>
      <c r="T18" s="56"/>
      <c r="U18" s="56"/>
      <c r="V18" s="56"/>
    </row>
    <row r="19" ht="18.75" customHeight="1">
      <c r="A19" s="90"/>
      <c r="B19" s="126"/>
      <c r="C19" s="127"/>
      <c r="D19" s="109"/>
      <c r="E19" s="109"/>
      <c r="F19" s="113"/>
      <c r="G19" s="128"/>
      <c r="H19" s="96"/>
      <c r="I19" s="113"/>
      <c r="J19" s="115"/>
      <c r="K19" s="115"/>
      <c r="L19" s="106"/>
      <c r="M19" s="93"/>
      <c r="N19" s="93"/>
      <c r="O19" s="56"/>
      <c r="P19" s="56"/>
      <c r="Q19" s="56"/>
      <c r="R19" s="56"/>
      <c r="S19" s="56"/>
      <c r="T19" s="56"/>
      <c r="U19" s="56"/>
      <c r="V19" s="56"/>
    </row>
    <row r="20" ht="18.75" customHeight="1">
      <c r="A20" s="90"/>
      <c r="B20" s="107" t="s">
        <v>892</v>
      </c>
      <c r="C20" s="129"/>
      <c r="D20" s="130"/>
      <c r="E20" s="109"/>
      <c r="F20" s="110"/>
      <c r="G20" s="128"/>
      <c r="H20" s="96"/>
      <c r="I20" s="110"/>
      <c r="J20" s="115"/>
      <c r="K20" s="115"/>
      <c r="L20" s="93"/>
      <c r="M20" s="93"/>
      <c r="N20" s="93"/>
      <c r="O20" s="56"/>
      <c r="P20" s="56"/>
      <c r="Q20" s="56"/>
      <c r="R20" s="56"/>
      <c r="S20" s="56"/>
      <c r="T20" s="56"/>
      <c r="U20" s="56"/>
      <c r="V20" s="56"/>
    </row>
    <row r="21" ht="18.75" customHeight="1">
      <c r="A21" s="90">
        <v>1.0</v>
      </c>
      <c r="B21" s="111" t="s">
        <v>620</v>
      </c>
      <c r="C21" s="118" t="s">
        <v>306</v>
      </c>
      <c r="D21" s="131">
        <v>395.76</v>
      </c>
      <c r="E21" s="52">
        <v>426.0</v>
      </c>
      <c r="F21" s="110"/>
      <c r="G21" s="95">
        <f t="shared" ref="G21:G104" si="2">IFERROR(DIVIDE(MINUS(E21,D21),D21),)</f>
        <v>0.07640994542</v>
      </c>
      <c r="H21" s="114"/>
      <c r="I21" s="115">
        <v>3.76</v>
      </c>
      <c r="J21" s="115">
        <v>33.0</v>
      </c>
      <c r="K21" s="115">
        <v>132.0</v>
      </c>
      <c r="L21" s="93"/>
      <c r="M21" s="93"/>
      <c r="N21" s="93"/>
      <c r="O21" s="56"/>
      <c r="P21" s="56"/>
      <c r="Q21" s="56"/>
      <c r="R21" s="56"/>
      <c r="S21" s="56"/>
      <c r="T21" s="56"/>
      <c r="U21" s="56"/>
      <c r="V21" s="56"/>
    </row>
    <row r="22" ht="18.75" customHeight="1">
      <c r="A22" s="90">
        <v>2.0</v>
      </c>
      <c r="B22" s="111" t="s">
        <v>637</v>
      </c>
      <c r="C22" s="118" t="s">
        <v>339</v>
      </c>
      <c r="D22" s="52">
        <v>485.8464</v>
      </c>
      <c r="E22" s="52">
        <v>526.0</v>
      </c>
      <c r="F22" s="110"/>
      <c r="G22" s="95">
        <f t="shared" si="2"/>
        <v>0.08264669657</v>
      </c>
      <c r="H22" s="114"/>
      <c r="I22" s="115">
        <v>4.58</v>
      </c>
      <c r="J22" s="115">
        <v>33.0</v>
      </c>
      <c r="K22" s="115">
        <v>99.0</v>
      </c>
      <c r="L22" s="93"/>
      <c r="M22" s="93"/>
      <c r="N22" s="93"/>
      <c r="O22" s="56"/>
      <c r="P22" s="56"/>
      <c r="Q22" s="56"/>
      <c r="R22" s="56"/>
      <c r="S22" s="56"/>
      <c r="T22" s="56"/>
      <c r="U22" s="56"/>
      <c r="V22" s="56"/>
    </row>
    <row r="23" ht="18.75" customHeight="1">
      <c r="A23" s="90">
        <v>3.0</v>
      </c>
      <c r="B23" s="111" t="s">
        <v>651</v>
      </c>
      <c r="C23" s="118" t="s">
        <v>363</v>
      </c>
      <c r="D23" s="52">
        <v>422.1984</v>
      </c>
      <c r="E23" s="52">
        <v>456.0</v>
      </c>
      <c r="F23" s="119"/>
      <c r="G23" s="95">
        <f t="shared" si="2"/>
        <v>0.08006093818</v>
      </c>
      <c r="H23" s="114"/>
      <c r="I23" s="109">
        <v>3.98</v>
      </c>
      <c r="J23" s="120">
        <v>33.0</v>
      </c>
      <c r="K23" s="120">
        <v>132.0</v>
      </c>
      <c r="L23" s="93"/>
      <c r="M23" s="93"/>
      <c r="N23" s="93"/>
      <c r="O23" s="56"/>
      <c r="P23" s="56"/>
      <c r="Q23" s="56"/>
      <c r="R23" s="56"/>
      <c r="S23" s="56"/>
      <c r="T23" s="56"/>
      <c r="U23" s="56"/>
      <c r="V23" s="56"/>
    </row>
    <row r="24" ht="18.75" customHeight="1">
      <c r="A24" s="90">
        <v>4.0</v>
      </c>
      <c r="B24" s="111" t="s">
        <v>665</v>
      </c>
      <c r="C24" s="118" t="s">
        <v>666</v>
      </c>
      <c r="D24" s="52">
        <v>732.0</v>
      </c>
      <c r="E24" s="52">
        <v>792.0</v>
      </c>
      <c r="F24" s="110"/>
      <c r="G24" s="95">
        <f t="shared" si="2"/>
        <v>0.08196721311</v>
      </c>
      <c r="H24" s="114"/>
      <c r="I24" s="120">
        <v>6.0</v>
      </c>
      <c r="J24" s="115">
        <v>24.0</v>
      </c>
      <c r="K24" s="115">
        <v>48.0</v>
      </c>
      <c r="L24" s="93"/>
      <c r="M24" s="93"/>
      <c r="N24" s="93"/>
      <c r="O24" s="56"/>
      <c r="P24" s="56"/>
      <c r="Q24" s="56"/>
      <c r="R24" s="56"/>
      <c r="S24" s="56"/>
      <c r="T24" s="56"/>
      <c r="U24" s="56"/>
      <c r="V24" s="56"/>
    </row>
    <row r="25" ht="18.75" customHeight="1">
      <c r="A25" s="90">
        <v>5.0</v>
      </c>
      <c r="B25" s="111" t="s">
        <v>681</v>
      </c>
      <c r="C25" s="118" t="s">
        <v>682</v>
      </c>
      <c r="D25" s="52">
        <v>497.76</v>
      </c>
      <c r="E25" s="52">
        <v>538.0</v>
      </c>
      <c r="F25" s="110"/>
      <c r="G25" s="95">
        <f t="shared" si="2"/>
        <v>0.08084217293</v>
      </c>
      <c r="H25" s="114"/>
      <c r="I25" s="115">
        <v>4.7</v>
      </c>
      <c r="J25" s="115">
        <v>30.0</v>
      </c>
      <c r="K25" s="115">
        <v>90.0</v>
      </c>
      <c r="L25" s="93"/>
      <c r="M25" s="93"/>
      <c r="N25" s="93"/>
      <c r="O25" s="56"/>
      <c r="P25" s="56"/>
      <c r="Q25" s="56"/>
      <c r="R25" s="56"/>
      <c r="S25" s="56"/>
      <c r="T25" s="56"/>
      <c r="U25" s="56"/>
      <c r="V25" s="56"/>
    </row>
    <row r="26" ht="18.75" customHeight="1">
      <c r="A26" s="90">
        <v>6.0</v>
      </c>
      <c r="B26" s="111" t="s">
        <v>691</v>
      </c>
      <c r="C26" s="118" t="s">
        <v>692</v>
      </c>
      <c r="D26" s="52">
        <v>784.0</v>
      </c>
      <c r="E26" s="52">
        <v>848.0</v>
      </c>
      <c r="F26" s="110"/>
      <c r="G26" s="95">
        <f t="shared" si="2"/>
        <v>0.08163265306</v>
      </c>
      <c r="H26" s="114"/>
      <c r="I26" s="120">
        <v>6.0</v>
      </c>
      <c r="J26" s="115">
        <v>13.0</v>
      </c>
      <c r="K26" s="115">
        <v>52.0</v>
      </c>
      <c r="L26" s="93"/>
      <c r="M26" s="93"/>
      <c r="N26" s="93"/>
      <c r="O26" s="56"/>
      <c r="P26" s="56"/>
      <c r="Q26" s="56"/>
      <c r="R26" s="56"/>
      <c r="S26" s="56"/>
      <c r="T26" s="56"/>
      <c r="U26" s="56"/>
      <c r="V26" s="56"/>
    </row>
    <row r="27" ht="18.75" customHeight="1">
      <c r="A27" s="90"/>
      <c r="B27" s="111" t="s">
        <v>694</v>
      </c>
      <c r="C27" s="118" t="s">
        <v>439</v>
      </c>
      <c r="D27" s="52">
        <v>738.3168000000001</v>
      </c>
      <c r="E27" s="52">
        <v>798.0</v>
      </c>
      <c r="F27" s="119"/>
      <c r="G27" s="95">
        <f t="shared" si="2"/>
        <v>0.08083684402</v>
      </c>
      <c r="H27" s="114"/>
      <c r="I27" s="109">
        <v>6.0</v>
      </c>
      <c r="J27" s="120">
        <v>30.0</v>
      </c>
      <c r="K27" s="120">
        <v>120.0</v>
      </c>
      <c r="L27" s="93"/>
      <c r="M27" s="93"/>
      <c r="N27" s="93"/>
      <c r="O27" s="56"/>
      <c r="P27" s="56"/>
      <c r="Q27" s="56"/>
      <c r="R27" s="56"/>
      <c r="S27" s="56"/>
      <c r="T27" s="56"/>
      <c r="U27" s="56"/>
      <c r="V27" s="56"/>
    </row>
    <row r="28" ht="18.75" customHeight="1">
      <c r="A28" s="90">
        <v>7.0</v>
      </c>
      <c r="B28" s="111" t="s">
        <v>695</v>
      </c>
      <c r="C28" s="118" t="s">
        <v>462</v>
      </c>
      <c r="D28" s="52">
        <v>784.0</v>
      </c>
      <c r="E28" s="52">
        <v>848.0</v>
      </c>
      <c r="F28" s="110"/>
      <c r="G28" s="95">
        <f t="shared" si="2"/>
        <v>0.08163265306</v>
      </c>
      <c r="H28" s="114"/>
      <c r="I28" s="120">
        <v>6.0</v>
      </c>
      <c r="J28" s="115">
        <v>13.0</v>
      </c>
      <c r="K28" s="115">
        <v>52.0</v>
      </c>
      <c r="L28" s="93"/>
      <c r="M28" s="93"/>
      <c r="N28" s="93"/>
      <c r="O28" s="56"/>
      <c r="P28" s="56"/>
      <c r="Q28" s="56"/>
      <c r="R28" s="56"/>
      <c r="S28" s="56"/>
      <c r="T28" s="56"/>
      <c r="U28" s="56"/>
      <c r="V28" s="56"/>
    </row>
    <row r="29" ht="18.75" customHeight="1">
      <c r="A29" s="90">
        <v>8.0</v>
      </c>
      <c r="B29" s="111" t="s">
        <v>697</v>
      </c>
      <c r="C29" s="118" t="s">
        <v>482</v>
      </c>
      <c r="D29" s="52">
        <v>1632.0</v>
      </c>
      <c r="E29" s="52">
        <v>1764.0</v>
      </c>
      <c r="F29" s="110"/>
      <c r="G29" s="95">
        <f t="shared" si="2"/>
        <v>0.08088235294</v>
      </c>
      <c r="H29" s="122"/>
      <c r="I29" s="115">
        <v>15.4</v>
      </c>
      <c r="J29" s="115">
        <v>13.0</v>
      </c>
      <c r="K29" s="115">
        <v>52.0</v>
      </c>
      <c r="L29" s="93"/>
      <c r="M29" s="93"/>
      <c r="N29" s="93"/>
      <c r="O29" s="56"/>
      <c r="P29" s="56"/>
      <c r="Q29" s="56"/>
      <c r="R29" s="56"/>
      <c r="S29" s="56"/>
      <c r="T29" s="56"/>
      <c r="U29" s="56"/>
      <c r="V29" s="56"/>
    </row>
    <row r="30" ht="18.75" customHeight="1">
      <c r="A30" s="90">
        <v>9.0</v>
      </c>
      <c r="B30" s="111" t="s">
        <v>700</v>
      </c>
      <c r="C30" s="118" t="s">
        <v>502</v>
      </c>
      <c r="D30" s="52">
        <v>1572.0</v>
      </c>
      <c r="E30" s="52">
        <v>1698.0</v>
      </c>
      <c r="F30" s="110"/>
      <c r="G30" s="95">
        <f t="shared" si="2"/>
        <v>0.08015267176</v>
      </c>
      <c r="H30" s="122"/>
      <c r="I30" s="115">
        <v>14.6</v>
      </c>
      <c r="J30" s="115">
        <v>13.0</v>
      </c>
      <c r="K30" s="115">
        <v>52.0</v>
      </c>
      <c r="L30" s="106"/>
      <c r="M30" s="93"/>
      <c r="N30" s="93"/>
      <c r="O30" s="56"/>
      <c r="P30" s="56"/>
      <c r="Q30" s="56"/>
      <c r="R30" s="56"/>
      <c r="S30" s="56"/>
      <c r="T30" s="56"/>
      <c r="U30" s="56"/>
      <c r="V30" s="56"/>
    </row>
    <row r="31" ht="18.75" customHeight="1">
      <c r="A31" s="90"/>
      <c r="B31" s="111" t="s">
        <v>702</v>
      </c>
      <c r="C31" s="118" t="s">
        <v>523</v>
      </c>
      <c r="D31" s="52">
        <v>2286.0</v>
      </c>
      <c r="E31" s="52">
        <v>2468.0</v>
      </c>
      <c r="F31" s="110"/>
      <c r="G31" s="95">
        <f t="shared" si="2"/>
        <v>0.07961504812</v>
      </c>
      <c r="H31" s="122"/>
      <c r="I31" s="115"/>
      <c r="J31" s="115"/>
      <c r="K31" s="115"/>
      <c r="L31" s="106"/>
      <c r="M31" s="93"/>
      <c r="N31" s="93"/>
      <c r="O31" s="56"/>
      <c r="P31" s="56"/>
      <c r="Q31" s="56"/>
      <c r="R31" s="56"/>
      <c r="S31" s="56"/>
      <c r="T31" s="56"/>
      <c r="U31" s="56"/>
      <c r="V31" s="56"/>
    </row>
    <row r="32" ht="18.75" customHeight="1">
      <c r="A32" s="90">
        <v>10.0</v>
      </c>
      <c r="B32" s="111" t="s">
        <v>704</v>
      </c>
      <c r="C32" s="118" t="s">
        <v>705</v>
      </c>
      <c r="D32" s="52">
        <v>1982.0</v>
      </c>
      <c r="E32" s="52">
        <v>2138.0</v>
      </c>
      <c r="F32" s="110"/>
      <c r="G32" s="95">
        <f t="shared" si="2"/>
        <v>0.07870837538</v>
      </c>
      <c r="H32" s="114"/>
      <c r="I32" s="115">
        <v>14.6</v>
      </c>
      <c r="J32" s="115">
        <v>6.0</v>
      </c>
      <c r="K32" s="115">
        <v>24.0</v>
      </c>
      <c r="L32" s="93"/>
      <c r="M32" s="93"/>
      <c r="N32" s="93"/>
      <c r="O32" s="56"/>
      <c r="P32" s="56"/>
      <c r="Q32" s="56"/>
      <c r="R32" s="56"/>
      <c r="S32" s="56"/>
      <c r="T32" s="56"/>
      <c r="U32" s="56"/>
      <c r="V32" s="56"/>
    </row>
    <row r="33" ht="18.75" customHeight="1">
      <c r="A33" s="90">
        <v>11.0</v>
      </c>
      <c r="B33" s="111" t="s">
        <v>706</v>
      </c>
      <c r="C33" s="118" t="s">
        <v>395</v>
      </c>
      <c r="D33" s="52">
        <v>352.0</v>
      </c>
      <c r="E33" s="52">
        <v>378.0</v>
      </c>
      <c r="F33" s="110"/>
      <c r="G33" s="95">
        <f t="shared" si="2"/>
        <v>0.07386363636</v>
      </c>
      <c r="H33" s="114"/>
      <c r="I33" s="120">
        <v>2.0</v>
      </c>
      <c r="J33" s="115">
        <v>66.0</v>
      </c>
      <c r="K33" s="115">
        <v>198.0</v>
      </c>
      <c r="L33" s="93"/>
      <c r="M33" s="93"/>
      <c r="N33" s="93"/>
      <c r="O33" s="56"/>
      <c r="P33" s="56"/>
      <c r="Q33" s="56"/>
      <c r="R33" s="56"/>
      <c r="S33" s="56"/>
      <c r="T33" s="56"/>
      <c r="U33" s="56"/>
      <c r="V33" s="56"/>
    </row>
    <row r="34" ht="18.75" customHeight="1">
      <c r="A34" s="90">
        <v>12.0</v>
      </c>
      <c r="B34" s="111" t="s">
        <v>707</v>
      </c>
      <c r="C34" s="118" t="s">
        <v>359</v>
      </c>
      <c r="D34" s="52">
        <v>682.0</v>
      </c>
      <c r="E34" s="52">
        <v>738.0</v>
      </c>
      <c r="F34" s="110"/>
      <c r="G34" s="95">
        <f t="shared" si="2"/>
        <v>0.08211143695</v>
      </c>
      <c r="H34" s="114"/>
      <c r="I34" s="115">
        <v>6.44</v>
      </c>
      <c r="J34" s="115">
        <v>23.0</v>
      </c>
      <c r="K34" s="115">
        <v>92.0</v>
      </c>
      <c r="L34" s="93"/>
      <c r="M34" s="93"/>
      <c r="N34" s="93"/>
      <c r="O34" s="56"/>
      <c r="P34" s="56"/>
      <c r="Q34" s="56"/>
      <c r="R34" s="56"/>
      <c r="S34" s="56"/>
      <c r="T34" s="56"/>
      <c r="U34" s="56"/>
      <c r="V34" s="56"/>
    </row>
    <row r="35" ht="18.75" customHeight="1">
      <c r="A35" s="90">
        <v>13.0</v>
      </c>
      <c r="B35" s="111" t="s">
        <v>709</v>
      </c>
      <c r="C35" s="118" t="s">
        <v>710</v>
      </c>
      <c r="D35" s="52">
        <v>682.0</v>
      </c>
      <c r="E35" s="52">
        <v>738.0</v>
      </c>
      <c r="F35" s="119"/>
      <c r="G35" s="95">
        <f t="shared" si="2"/>
        <v>0.08211143695</v>
      </c>
      <c r="H35" s="114"/>
      <c r="I35" s="109">
        <v>6.4</v>
      </c>
      <c r="J35" s="120">
        <v>30.0</v>
      </c>
      <c r="K35" s="120">
        <v>90.0</v>
      </c>
      <c r="L35" s="106"/>
      <c r="M35" s="93"/>
      <c r="N35" s="93"/>
      <c r="O35" s="56"/>
      <c r="P35" s="56"/>
      <c r="Q35" s="56"/>
      <c r="R35" s="56"/>
      <c r="S35" s="56"/>
      <c r="T35" s="56"/>
      <c r="U35" s="56"/>
      <c r="V35" s="56"/>
    </row>
    <row r="36" ht="18.75" customHeight="1">
      <c r="A36" s="90">
        <v>14.0</v>
      </c>
      <c r="B36" s="111" t="s">
        <v>711</v>
      </c>
      <c r="C36" s="118" t="s">
        <v>712</v>
      </c>
      <c r="D36" s="52">
        <v>1776.0</v>
      </c>
      <c r="E36" s="52">
        <v>1918.0</v>
      </c>
      <c r="F36" s="110"/>
      <c r="G36" s="95">
        <f t="shared" si="2"/>
        <v>0.07995495495</v>
      </c>
      <c r="H36" s="114"/>
      <c r="I36" s="120">
        <v>15.0</v>
      </c>
      <c r="J36" s="115">
        <v>14.0</v>
      </c>
      <c r="K36" s="115">
        <v>56.0</v>
      </c>
      <c r="L36" s="93"/>
      <c r="M36" s="93"/>
      <c r="N36" s="93"/>
      <c r="O36" s="56"/>
      <c r="P36" s="56"/>
      <c r="Q36" s="56"/>
      <c r="R36" s="56"/>
      <c r="S36" s="56"/>
      <c r="T36" s="56"/>
      <c r="U36" s="56"/>
      <c r="V36" s="56"/>
    </row>
    <row r="37" ht="18.75" customHeight="1">
      <c r="A37" s="90"/>
      <c r="B37" s="91"/>
      <c r="C37" s="129"/>
      <c r="D37" s="132"/>
      <c r="E37" s="109"/>
      <c r="F37" s="110"/>
      <c r="G37" s="95" t="str">
        <f t="shared" si="2"/>
        <v/>
      </c>
      <c r="H37" s="96"/>
      <c r="I37" s="93"/>
      <c r="J37" s="115"/>
      <c r="K37" s="115"/>
      <c r="L37" s="93"/>
      <c r="M37" s="93"/>
      <c r="N37" s="93"/>
      <c r="O37" s="56"/>
      <c r="P37" s="56"/>
      <c r="Q37" s="56"/>
      <c r="R37" s="56"/>
      <c r="S37" s="56"/>
      <c r="T37" s="56"/>
      <c r="U37" s="56"/>
      <c r="V37" s="56"/>
    </row>
    <row r="38" ht="18.75" customHeight="1">
      <c r="A38" s="90"/>
      <c r="B38" s="107" t="s">
        <v>898</v>
      </c>
      <c r="C38" s="108"/>
      <c r="D38" s="109"/>
      <c r="E38" s="109"/>
      <c r="F38" s="110"/>
      <c r="G38" s="95" t="str">
        <f t="shared" si="2"/>
        <v/>
      </c>
      <c r="H38" s="133"/>
      <c r="I38" s="134"/>
      <c r="J38" s="115"/>
      <c r="K38" s="115"/>
      <c r="L38" s="134"/>
      <c r="M38" s="93"/>
      <c r="N38" s="93"/>
      <c r="O38" s="56"/>
      <c r="P38" s="56"/>
      <c r="Q38" s="56"/>
      <c r="R38" s="56"/>
      <c r="S38" s="56"/>
      <c r="T38" s="56"/>
      <c r="U38" s="56"/>
      <c r="V38" s="56"/>
    </row>
    <row r="39" ht="18.75" customHeight="1">
      <c r="A39" s="90">
        <v>1.0</v>
      </c>
      <c r="B39" s="111" t="s">
        <v>713</v>
      </c>
      <c r="C39" s="118" t="s">
        <v>714</v>
      </c>
      <c r="D39" s="52">
        <v>375.52320000000003</v>
      </c>
      <c r="E39" s="52">
        <v>406.0</v>
      </c>
      <c r="F39" s="110"/>
      <c r="G39" s="95">
        <f t="shared" si="2"/>
        <v>0.0811582347</v>
      </c>
      <c r="H39" s="114"/>
      <c r="I39" s="115">
        <v>3.54</v>
      </c>
      <c r="J39" s="115">
        <v>33.0</v>
      </c>
      <c r="K39" s="115">
        <v>132.0</v>
      </c>
      <c r="L39" s="134"/>
      <c r="M39" s="93"/>
      <c r="N39" s="93"/>
      <c r="O39" s="56"/>
      <c r="P39" s="56"/>
      <c r="Q39" s="56"/>
      <c r="R39" s="56"/>
      <c r="S39" s="56"/>
      <c r="T39" s="56"/>
      <c r="U39" s="56"/>
      <c r="V39" s="56"/>
    </row>
    <row r="40" ht="18.75" customHeight="1">
      <c r="A40" s="90">
        <v>2.0</v>
      </c>
      <c r="B40" s="111" t="s">
        <v>715</v>
      </c>
      <c r="C40" s="118" t="s">
        <v>339</v>
      </c>
      <c r="D40" s="52">
        <v>472.0</v>
      </c>
      <c r="E40" s="52">
        <v>508.0</v>
      </c>
      <c r="F40" s="110"/>
      <c r="G40" s="95">
        <f t="shared" si="2"/>
        <v>0.07627118644</v>
      </c>
      <c r="H40" s="114"/>
      <c r="I40" s="109">
        <v>4.44</v>
      </c>
      <c r="J40" s="120">
        <v>33.0</v>
      </c>
      <c r="K40" s="120">
        <v>99.0</v>
      </c>
      <c r="L40" s="134"/>
      <c r="M40" s="93"/>
      <c r="N40" s="93"/>
      <c r="O40" s="56"/>
      <c r="P40" s="56"/>
      <c r="Q40" s="56"/>
      <c r="R40" s="56"/>
      <c r="S40" s="56"/>
      <c r="T40" s="56"/>
      <c r="U40" s="56"/>
      <c r="V40" s="56"/>
    </row>
    <row r="41" ht="18.75" customHeight="1">
      <c r="A41" s="90">
        <v>3.0</v>
      </c>
      <c r="B41" s="135" t="s">
        <v>716</v>
      </c>
      <c r="C41" s="136" t="s">
        <v>363</v>
      </c>
      <c r="D41" s="52">
        <v>402.0</v>
      </c>
      <c r="E41" s="52">
        <v>434.0</v>
      </c>
      <c r="F41" s="110"/>
      <c r="G41" s="95">
        <f t="shared" si="2"/>
        <v>0.07960199005</v>
      </c>
      <c r="H41" s="114"/>
      <c r="I41" s="109">
        <v>3.78</v>
      </c>
      <c r="J41" s="120">
        <v>33.0</v>
      </c>
      <c r="K41" s="120">
        <v>99.0</v>
      </c>
      <c r="L41" s="134"/>
      <c r="M41" s="93"/>
      <c r="N41" s="93"/>
      <c r="O41" s="56"/>
      <c r="P41" s="56"/>
      <c r="Q41" s="56"/>
      <c r="R41" s="56"/>
      <c r="S41" s="56"/>
      <c r="T41" s="56"/>
      <c r="U41" s="56"/>
      <c r="V41" s="56"/>
    </row>
    <row r="42" ht="18.75" customHeight="1">
      <c r="A42" s="90">
        <v>4.0</v>
      </c>
      <c r="B42" s="111" t="s">
        <v>718</v>
      </c>
      <c r="C42" s="118" t="s">
        <v>382</v>
      </c>
      <c r="D42" s="137">
        <v>707.88</v>
      </c>
      <c r="E42" s="52">
        <v>766.0</v>
      </c>
      <c r="F42" s="110"/>
      <c r="G42" s="95">
        <f t="shared" si="2"/>
        <v>0.08210431147</v>
      </c>
      <c r="H42" s="114"/>
      <c r="I42" s="120">
        <v>6.0</v>
      </c>
      <c r="J42" s="115">
        <v>24.0</v>
      </c>
      <c r="K42" s="115">
        <v>48.0</v>
      </c>
      <c r="L42" s="134"/>
      <c r="M42" s="93"/>
      <c r="N42" s="93"/>
      <c r="O42" s="56"/>
      <c r="P42" s="56"/>
      <c r="Q42" s="56"/>
      <c r="R42" s="56"/>
      <c r="S42" s="56"/>
      <c r="T42" s="56"/>
      <c r="U42" s="56"/>
      <c r="V42" s="56"/>
    </row>
    <row r="43" ht="18.75" customHeight="1">
      <c r="A43" s="90">
        <v>5.0</v>
      </c>
      <c r="B43" s="111" t="s">
        <v>720</v>
      </c>
      <c r="C43" s="118" t="s">
        <v>399</v>
      </c>
      <c r="D43" s="52">
        <v>483.7248</v>
      </c>
      <c r="E43" s="52">
        <v>522.0</v>
      </c>
      <c r="F43" s="110"/>
      <c r="G43" s="95">
        <f t="shared" si="2"/>
        <v>0.07912598238</v>
      </c>
      <c r="H43" s="122"/>
      <c r="I43" s="115">
        <v>4.56</v>
      </c>
      <c r="J43" s="115">
        <v>30.0</v>
      </c>
      <c r="K43" s="115">
        <v>90.0</v>
      </c>
      <c r="L43" s="134"/>
      <c r="M43" s="93"/>
      <c r="N43" s="93"/>
      <c r="O43" s="56"/>
      <c r="P43" s="56"/>
      <c r="Q43" s="56"/>
      <c r="R43" s="56"/>
      <c r="S43" s="56"/>
      <c r="T43" s="56"/>
      <c r="U43" s="56"/>
      <c r="V43" s="56"/>
    </row>
    <row r="44" ht="18.75" customHeight="1">
      <c r="A44" s="90"/>
      <c r="B44" s="111" t="s">
        <v>722</v>
      </c>
      <c r="C44" s="118" t="s">
        <v>696</v>
      </c>
      <c r="D44" s="52">
        <v>756.0</v>
      </c>
      <c r="E44" s="52">
        <v>816.0</v>
      </c>
      <c r="F44" s="110"/>
      <c r="G44" s="95">
        <f t="shared" si="2"/>
        <v>0.07936507937</v>
      </c>
      <c r="H44" s="122"/>
      <c r="I44" s="115"/>
      <c r="J44" s="115"/>
      <c r="K44" s="115"/>
      <c r="L44" s="134"/>
      <c r="M44" s="93"/>
      <c r="N44" s="93"/>
      <c r="O44" s="56"/>
      <c r="P44" s="56"/>
      <c r="Q44" s="56"/>
      <c r="R44" s="56"/>
      <c r="S44" s="56"/>
      <c r="T44" s="56"/>
      <c r="U44" s="56"/>
      <c r="V44" s="56"/>
    </row>
    <row r="45" ht="18.75" customHeight="1">
      <c r="A45" s="90">
        <v>6.0</v>
      </c>
      <c r="B45" s="111" t="s">
        <v>724</v>
      </c>
      <c r="C45" s="118" t="s">
        <v>419</v>
      </c>
      <c r="D45" s="52">
        <v>764.0</v>
      </c>
      <c r="E45" s="52">
        <v>826.0</v>
      </c>
      <c r="F45" s="110"/>
      <c r="G45" s="95">
        <f t="shared" si="2"/>
        <v>0.08115183246</v>
      </c>
      <c r="H45" s="114"/>
      <c r="I45" s="120">
        <v>6.0</v>
      </c>
      <c r="J45" s="115">
        <v>30.0</v>
      </c>
      <c r="K45" s="115">
        <v>90.0</v>
      </c>
      <c r="L45" s="93"/>
      <c r="M45" s="93"/>
      <c r="N45" s="93"/>
      <c r="O45" s="56"/>
      <c r="P45" s="56"/>
      <c r="Q45" s="56"/>
      <c r="R45" s="56"/>
      <c r="S45" s="56"/>
      <c r="T45" s="56"/>
      <c r="U45" s="56"/>
      <c r="V45" s="56"/>
    </row>
    <row r="46" ht="18.75" customHeight="1">
      <c r="A46" s="90"/>
      <c r="B46" s="111" t="s">
        <v>726</v>
      </c>
      <c r="C46" s="118" t="s">
        <v>439</v>
      </c>
      <c r="D46" s="52">
        <v>731.952</v>
      </c>
      <c r="E46" s="52">
        <v>792.0</v>
      </c>
      <c r="F46" s="110"/>
      <c r="G46" s="95">
        <f t="shared" si="2"/>
        <v>0.08203816644</v>
      </c>
      <c r="H46" s="114"/>
      <c r="I46" s="109">
        <v>6.0</v>
      </c>
      <c r="J46" s="120">
        <v>30.0</v>
      </c>
      <c r="K46" s="120">
        <v>120.0</v>
      </c>
      <c r="L46" s="93"/>
      <c r="M46" s="93"/>
      <c r="N46" s="93"/>
      <c r="O46" s="56"/>
      <c r="P46" s="56"/>
      <c r="Q46" s="56"/>
      <c r="R46" s="56"/>
      <c r="S46" s="56"/>
      <c r="T46" s="56"/>
      <c r="U46" s="56"/>
      <c r="V46" s="56"/>
    </row>
    <row r="47" ht="18.75" customHeight="1">
      <c r="A47" s="90">
        <v>7.0</v>
      </c>
      <c r="B47" s="111" t="s">
        <v>728</v>
      </c>
      <c r="C47" s="118" t="s">
        <v>462</v>
      </c>
      <c r="D47" s="52">
        <v>764.0</v>
      </c>
      <c r="E47" s="52">
        <v>826.0</v>
      </c>
      <c r="F47" s="110"/>
      <c r="G47" s="95">
        <f t="shared" si="2"/>
        <v>0.08115183246</v>
      </c>
      <c r="H47" s="114"/>
      <c r="I47" s="120">
        <v>6.0</v>
      </c>
      <c r="J47" s="115">
        <v>13.0</v>
      </c>
      <c r="K47" s="115">
        <v>52.0</v>
      </c>
      <c r="L47" s="93"/>
      <c r="M47" s="93"/>
      <c r="N47" s="93"/>
      <c r="O47" s="56"/>
      <c r="P47" s="56"/>
      <c r="Q47" s="56"/>
      <c r="R47" s="56"/>
      <c r="S47" s="56"/>
      <c r="T47" s="56"/>
      <c r="U47" s="56"/>
      <c r="V47" s="56"/>
    </row>
    <row r="48" ht="18.75" customHeight="1">
      <c r="A48" s="90">
        <v>8.0</v>
      </c>
      <c r="B48" s="111" t="s">
        <v>729</v>
      </c>
      <c r="C48" s="118" t="s">
        <v>482</v>
      </c>
      <c r="D48" s="52">
        <v>1632.0</v>
      </c>
      <c r="E48" s="52">
        <v>1764.0</v>
      </c>
      <c r="F48" s="110"/>
      <c r="G48" s="95">
        <f t="shared" si="2"/>
        <v>0.08088235294</v>
      </c>
      <c r="H48" s="114"/>
      <c r="I48" s="115">
        <v>15.4</v>
      </c>
      <c r="J48" s="115">
        <v>13.0</v>
      </c>
      <c r="K48" s="115">
        <v>52.0</v>
      </c>
      <c r="L48" s="93"/>
      <c r="M48" s="93"/>
      <c r="N48" s="93"/>
      <c r="O48" s="56"/>
      <c r="P48" s="56"/>
      <c r="Q48" s="56"/>
      <c r="R48" s="56"/>
      <c r="S48" s="56"/>
      <c r="T48" s="56"/>
      <c r="U48" s="56"/>
      <c r="V48" s="56"/>
    </row>
    <row r="49" ht="18.75" customHeight="1">
      <c r="A49" s="90">
        <v>9.0</v>
      </c>
      <c r="B49" s="111" t="s">
        <v>730</v>
      </c>
      <c r="C49" s="118" t="s">
        <v>502</v>
      </c>
      <c r="D49" s="52">
        <v>1674.0</v>
      </c>
      <c r="E49" s="52">
        <v>1808.0</v>
      </c>
      <c r="F49" s="110"/>
      <c r="G49" s="95">
        <f t="shared" si="2"/>
        <v>0.08004778973</v>
      </c>
      <c r="H49" s="114"/>
      <c r="I49" s="115">
        <v>14.6</v>
      </c>
      <c r="J49" s="115">
        <v>13.0</v>
      </c>
      <c r="K49" s="115">
        <v>52.0</v>
      </c>
      <c r="L49" s="93"/>
      <c r="M49" s="93"/>
      <c r="N49" s="93"/>
      <c r="O49" s="56"/>
      <c r="P49" s="56"/>
      <c r="Q49" s="56"/>
      <c r="R49" s="56"/>
      <c r="S49" s="56"/>
      <c r="T49" s="56"/>
      <c r="U49" s="56"/>
      <c r="V49" s="56"/>
    </row>
    <row r="50" ht="18.75" customHeight="1">
      <c r="A50" s="90"/>
      <c r="B50" s="111" t="s">
        <v>732</v>
      </c>
      <c r="C50" s="118" t="s">
        <v>523</v>
      </c>
      <c r="D50" s="52">
        <v>2233.8</v>
      </c>
      <c r="E50" s="52">
        <v>2414.0</v>
      </c>
      <c r="F50" s="110"/>
      <c r="G50" s="95">
        <f t="shared" si="2"/>
        <v>0.08066971081</v>
      </c>
      <c r="H50" s="114"/>
      <c r="I50" s="120"/>
      <c r="J50" s="115"/>
      <c r="K50" s="115"/>
      <c r="L50" s="93"/>
      <c r="M50" s="93"/>
      <c r="N50" s="93"/>
      <c r="O50" s="56"/>
      <c r="P50" s="56"/>
      <c r="Q50" s="56"/>
      <c r="R50" s="56"/>
      <c r="S50" s="56"/>
      <c r="T50" s="56"/>
      <c r="U50" s="56"/>
      <c r="V50" s="56"/>
    </row>
    <row r="51" ht="18.75" customHeight="1">
      <c r="A51" s="90">
        <v>10.0</v>
      </c>
      <c r="B51" s="111" t="s">
        <v>733</v>
      </c>
      <c r="C51" s="118" t="s">
        <v>734</v>
      </c>
      <c r="D51" s="52">
        <v>1927.8</v>
      </c>
      <c r="E51" s="52">
        <v>2082.0</v>
      </c>
      <c r="F51" s="110"/>
      <c r="G51" s="95">
        <f t="shared" si="2"/>
        <v>0.07998755058</v>
      </c>
      <c r="H51" s="114"/>
      <c r="I51" s="120">
        <v>15.0</v>
      </c>
      <c r="J51" s="115">
        <v>6.0</v>
      </c>
      <c r="K51" s="115">
        <v>24.0</v>
      </c>
      <c r="L51" s="93"/>
      <c r="M51" s="93"/>
      <c r="N51" s="93"/>
      <c r="O51" s="56"/>
      <c r="P51" s="56"/>
      <c r="Q51" s="56"/>
      <c r="R51" s="56"/>
      <c r="S51" s="56"/>
      <c r="T51" s="56"/>
      <c r="U51" s="56"/>
      <c r="V51" s="56"/>
    </row>
    <row r="52" ht="18.75" customHeight="1">
      <c r="A52" s="90">
        <v>11.0</v>
      </c>
      <c r="B52" s="111" t="s">
        <v>735</v>
      </c>
      <c r="C52" s="118" t="s">
        <v>395</v>
      </c>
      <c r="D52" s="52">
        <v>346.0</v>
      </c>
      <c r="E52" s="52">
        <v>374.0</v>
      </c>
      <c r="F52" s="110"/>
      <c r="G52" s="95">
        <f t="shared" si="2"/>
        <v>0.08092485549</v>
      </c>
      <c r="H52" s="114"/>
      <c r="I52" s="120">
        <v>2.0</v>
      </c>
      <c r="J52" s="115">
        <v>66.0</v>
      </c>
      <c r="K52" s="115">
        <v>198.0</v>
      </c>
      <c r="L52" s="93"/>
      <c r="M52" s="93"/>
      <c r="N52" s="93"/>
      <c r="O52" s="56"/>
      <c r="P52" s="56"/>
      <c r="Q52" s="56"/>
      <c r="R52" s="56"/>
      <c r="S52" s="56"/>
      <c r="T52" s="56"/>
      <c r="U52" s="56"/>
      <c r="V52" s="56"/>
    </row>
    <row r="53" ht="18.75" customHeight="1">
      <c r="A53" s="90">
        <v>12.0</v>
      </c>
      <c r="B53" s="111" t="s">
        <v>736</v>
      </c>
      <c r="C53" s="118" t="s">
        <v>359</v>
      </c>
      <c r="D53" s="52">
        <v>672.0</v>
      </c>
      <c r="E53" s="52">
        <v>726.0</v>
      </c>
      <c r="F53" s="110"/>
      <c r="G53" s="95">
        <f t="shared" si="2"/>
        <v>0.08035714286</v>
      </c>
      <c r="H53" s="114"/>
      <c r="I53" s="115">
        <v>6.28</v>
      </c>
      <c r="J53" s="115">
        <v>23.0</v>
      </c>
      <c r="K53" s="115">
        <v>92.0</v>
      </c>
      <c r="L53" s="93"/>
      <c r="M53" s="93"/>
      <c r="N53" s="93"/>
      <c r="O53" s="56"/>
      <c r="P53" s="56"/>
      <c r="Q53" s="56"/>
      <c r="R53" s="56"/>
      <c r="S53" s="56"/>
      <c r="T53" s="56"/>
      <c r="U53" s="56"/>
      <c r="V53" s="56"/>
    </row>
    <row r="54" ht="18.75" customHeight="1">
      <c r="A54" s="90"/>
      <c r="B54" s="111" t="s">
        <v>737</v>
      </c>
      <c r="C54" s="118" t="s">
        <v>601</v>
      </c>
      <c r="D54" s="52">
        <v>806.208</v>
      </c>
      <c r="E54" s="52">
        <v>872.0</v>
      </c>
      <c r="F54" s="110"/>
      <c r="G54" s="95">
        <f t="shared" si="2"/>
        <v>0.08160673176</v>
      </c>
      <c r="H54" s="114"/>
      <c r="I54" s="109">
        <v>7.6</v>
      </c>
      <c r="J54" s="120">
        <v>30.0</v>
      </c>
      <c r="K54" s="120">
        <v>90.0</v>
      </c>
      <c r="L54" s="93"/>
      <c r="M54" s="93"/>
      <c r="N54" s="93"/>
      <c r="O54" s="56"/>
      <c r="P54" s="56"/>
      <c r="Q54" s="56"/>
      <c r="R54" s="56"/>
      <c r="S54" s="56"/>
      <c r="T54" s="56"/>
      <c r="U54" s="56"/>
      <c r="V54" s="56"/>
    </row>
    <row r="55" ht="18.75" customHeight="1">
      <c r="A55" s="90">
        <v>13.0</v>
      </c>
      <c r="B55" s="111" t="s">
        <v>738</v>
      </c>
      <c r="C55" s="118" t="s">
        <v>678</v>
      </c>
      <c r="D55" s="52">
        <v>1318.0</v>
      </c>
      <c r="E55" s="52">
        <v>1424.0</v>
      </c>
      <c r="F55" s="110"/>
      <c r="G55" s="95">
        <f t="shared" si="2"/>
        <v>0.08042488619</v>
      </c>
      <c r="H55" s="114"/>
      <c r="I55" s="109">
        <v>10.0</v>
      </c>
      <c r="J55" s="120">
        <v>64.0</v>
      </c>
      <c r="K55" s="120">
        <v>128.0</v>
      </c>
      <c r="L55" s="106"/>
      <c r="M55" s="93"/>
      <c r="N55" s="93"/>
      <c r="O55" s="56"/>
      <c r="P55" s="56"/>
      <c r="Q55" s="56"/>
      <c r="R55" s="56"/>
      <c r="S55" s="56"/>
      <c r="T55" s="56"/>
      <c r="U55" s="56"/>
      <c r="V55" s="56"/>
    </row>
    <row r="56" ht="18.75" customHeight="1">
      <c r="A56" s="90">
        <v>14.0</v>
      </c>
      <c r="B56" s="111" t="s">
        <v>740</v>
      </c>
      <c r="C56" s="124" t="s">
        <v>693</v>
      </c>
      <c r="D56" s="125">
        <v>1346.0</v>
      </c>
      <c r="E56" s="52">
        <v>1454.0</v>
      </c>
      <c r="F56" s="110"/>
      <c r="G56" s="95">
        <f t="shared" si="2"/>
        <v>0.08023774146</v>
      </c>
      <c r="H56" s="114"/>
      <c r="I56" s="109">
        <v>10.0</v>
      </c>
      <c r="J56" s="120">
        <v>64.0</v>
      </c>
      <c r="K56" s="120">
        <v>128.0</v>
      </c>
      <c r="L56" s="106"/>
      <c r="M56" s="93"/>
      <c r="N56" s="93"/>
      <c r="O56" s="56"/>
      <c r="P56" s="56"/>
      <c r="Q56" s="56"/>
      <c r="R56" s="56"/>
      <c r="S56" s="56"/>
      <c r="T56" s="56"/>
      <c r="U56" s="56"/>
      <c r="V56" s="56"/>
    </row>
    <row r="57" ht="18.75" customHeight="1">
      <c r="A57" s="90">
        <v>15.0</v>
      </c>
      <c r="B57" s="111" t="s">
        <v>742</v>
      </c>
      <c r="C57" s="118" t="s">
        <v>712</v>
      </c>
      <c r="D57" s="52">
        <v>1742.0</v>
      </c>
      <c r="E57" s="52">
        <v>1882.0</v>
      </c>
      <c r="F57" s="110"/>
      <c r="G57" s="95">
        <f t="shared" si="2"/>
        <v>0.0803673938</v>
      </c>
      <c r="H57" s="114"/>
      <c r="I57" s="120">
        <v>15.0</v>
      </c>
      <c r="J57" s="115">
        <v>14.0</v>
      </c>
      <c r="K57" s="115">
        <v>56.0</v>
      </c>
      <c r="L57" s="106"/>
      <c r="M57" s="93"/>
      <c r="N57" s="93"/>
      <c r="O57" s="56"/>
      <c r="P57" s="56"/>
      <c r="Q57" s="56"/>
      <c r="R57" s="56"/>
      <c r="S57" s="56"/>
      <c r="T57" s="56"/>
      <c r="U57" s="56"/>
      <c r="V57" s="56"/>
    </row>
    <row r="58" ht="18.75" customHeight="1">
      <c r="A58" s="90">
        <v>16.0</v>
      </c>
      <c r="B58" s="111" t="s">
        <v>743</v>
      </c>
      <c r="C58" s="124" t="s">
        <v>744</v>
      </c>
      <c r="D58" s="125">
        <v>1776.0</v>
      </c>
      <c r="E58" s="52">
        <v>1918.0</v>
      </c>
      <c r="F58" s="110"/>
      <c r="G58" s="95">
        <f t="shared" si="2"/>
        <v>0.07995495495</v>
      </c>
      <c r="H58" s="114"/>
      <c r="I58" s="120">
        <v>15.0</v>
      </c>
      <c r="J58" s="115">
        <v>14.0</v>
      </c>
      <c r="K58" s="115">
        <v>56.0</v>
      </c>
      <c r="L58" s="134"/>
      <c r="M58" s="93"/>
      <c r="N58" s="93"/>
      <c r="O58" s="56"/>
      <c r="P58" s="56"/>
      <c r="Q58" s="56"/>
      <c r="R58" s="56"/>
      <c r="S58" s="56"/>
      <c r="T58" s="56"/>
      <c r="U58" s="56"/>
      <c r="V58" s="56"/>
    </row>
    <row r="59" ht="18.75" customHeight="1">
      <c r="A59" s="90"/>
      <c r="B59" s="126"/>
      <c r="C59" s="138"/>
      <c r="D59" s="139"/>
      <c r="E59" s="139"/>
      <c r="F59" s="110"/>
      <c r="G59" s="95" t="str">
        <f t="shared" si="2"/>
        <v/>
      </c>
      <c r="H59" s="140"/>
      <c r="I59" s="109"/>
      <c r="J59" s="115"/>
      <c r="K59" s="115"/>
      <c r="L59" s="134"/>
      <c r="M59" s="93"/>
      <c r="N59" s="93"/>
      <c r="O59" s="56"/>
      <c r="P59" s="56"/>
      <c r="Q59" s="56"/>
      <c r="R59" s="56"/>
      <c r="S59" s="56"/>
      <c r="T59" s="56"/>
      <c r="U59" s="56"/>
      <c r="V59" s="56"/>
    </row>
    <row r="60" ht="18.75" customHeight="1">
      <c r="A60" s="90"/>
      <c r="B60" s="107" t="s">
        <v>907</v>
      </c>
      <c r="C60" s="108"/>
      <c r="D60" s="130"/>
      <c r="E60" s="130"/>
      <c r="F60" s="110"/>
      <c r="G60" s="95" t="str">
        <f t="shared" si="2"/>
        <v/>
      </c>
      <c r="H60" s="96"/>
      <c r="I60" s="93"/>
      <c r="J60" s="115"/>
      <c r="K60" s="115"/>
      <c r="L60" s="93"/>
      <c r="M60" s="93"/>
      <c r="N60" s="93"/>
      <c r="O60" s="56"/>
      <c r="P60" s="56"/>
      <c r="Q60" s="56"/>
      <c r="R60" s="56"/>
      <c r="S60" s="56"/>
      <c r="T60" s="56"/>
      <c r="U60" s="56"/>
      <c r="V60" s="56"/>
    </row>
    <row r="61" ht="18.75" customHeight="1">
      <c r="A61" s="90">
        <v>1.0</v>
      </c>
      <c r="B61" s="111" t="s">
        <v>745</v>
      </c>
      <c r="C61" s="112" t="s">
        <v>746</v>
      </c>
      <c r="D61" s="137">
        <v>362.0</v>
      </c>
      <c r="E61" s="52">
        <v>392.0</v>
      </c>
      <c r="F61" s="110"/>
      <c r="G61" s="95">
        <f t="shared" si="2"/>
        <v>0.08287292818</v>
      </c>
      <c r="H61" s="114"/>
      <c r="I61" s="115">
        <v>3.4</v>
      </c>
      <c r="J61" s="115">
        <v>48.0</v>
      </c>
      <c r="K61" s="115">
        <v>192.0</v>
      </c>
      <c r="L61" s="93"/>
      <c r="M61" s="93"/>
      <c r="N61" s="93"/>
      <c r="O61" s="56"/>
      <c r="P61" s="56"/>
      <c r="Q61" s="56"/>
      <c r="R61" s="56"/>
      <c r="S61" s="56"/>
      <c r="T61" s="56"/>
      <c r="U61" s="56"/>
      <c r="V61" s="56"/>
    </row>
    <row r="62" ht="18.75" customHeight="1">
      <c r="A62" s="90"/>
      <c r="B62" s="135" t="s">
        <v>747</v>
      </c>
      <c r="C62" s="141" t="s">
        <v>748</v>
      </c>
      <c r="D62" s="52">
        <v>362.0</v>
      </c>
      <c r="E62" s="52">
        <v>392.0</v>
      </c>
      <c r="F62" s="110"/>
      <c r="G62" s="95">
        <f t="shared" si="2"/>
        <v>0.08287292818</v>
      </c>
      <c r="H62" s="114"/>
      <c r="I62" s="115">
        <v>3.4</v>
      </c>
      <c r="J62" s="115">
        <v>33.0</v>
      </c>
      <c r="K62" s="115">
        <v>132.0</v>
      </c>
      <c r="L62" s="93"/>
      <c r="M62" s="93"/>
      <c r="N62" s="93"/>
      <c r="O62" s="56"/>
      <c r="P62" s="56"/>
      <c r="Q62" s="56"/>
      <c r="R62" s="56"/>
      <c r="S62" s="56"/>
      <c r="T62" s="56"/>
      <c r="U62" s="56"/>
      <c r="V62" s="56"/>
    </row>
    <row r="63" ht="18.75" customHeight="1">
      <c r="A63" s="90">
        <v>2.0</v>
      </c>
      <c r="B63" s="111" t="s">
        <v>749</v>
      </c>
      <c r="C63" s="118" t="s">
        <v>714</v>
      </c>
      <c r="D63" s="52">
        <v>391.68</v>
      </c>
      <c r="E63" s="52">
        <v>424.0</v>
      </c>
      <c r="F63" s="110"/>
      <c r="G63" s="95">
        <f t="shared" si="2"/>
        <v>0.08251633987</v>
      </c>
      <c r="H63" s="114"/>
      <c r="I63" s="115">
        <v>3.68</v>
      </c>
      <c r="J63" s="115">
        <v>33.0</v>
      </c>
      <c r="K63" s="115">
        <v>132.0</v>
      </c>
      <c r="L63" s="93"/>
      <c r="M63" s="93"/>
      <c r="N63" s="93"/>
      <c r="O63" s="56"/>
      <c r="P63" s="56"/>
      <c r="Q63" s="56"/>
      <c r="R63" s="56"/>
      <c r="S63" s="56"/>
      <c r="T63" s="56"/>
      <c r="U63" s="56"/>
      <c r="V63" s="56"/>
    </row>
    <row r="64" ht="18.75" customHeight="1">
      <c r="A64" s="90">
        <v>3.0</v>
      </c>
      <c r="B64" s="111" t="s">
        <v>750</v>
      </c>
      <c r="C64" s="118" t="s">
        <v>751</v>
      </c>
      <c r="D64" s="52">
        <v>382.0</v>
      </c>
      <c r="E64" s="52">
        <v>414.0</v>
      </c>
      <c r="F64" s="110"/>
      <c r="G64" s="95">
        <f t="shared" si="2"/>
        <v>0.08376963351</v>
      </c>
      <c r="H64" s="114"/>
      <c r="I64" s="115">
        <v>3.58</v>
      </c>
      <c r="J64" s="115">
        <v>60.0</v>
      </c>
      <c r="K64" s="115">
        <v>240.0</v>
      </c>
      <c r="L64" s="93"/>
      <c r="M64" s="93"/>
      <c r="N64" s="93"/>
      <c r="O64" s="56"/>
      <c r="P64" s="56"/>
      <c r="Q64" s="56"/>
      <c r="R64" s="56"/>
      <c r="S64" s="56"/>
      <c r="T64" s="56"/>
      <c r="U64" s="56"/>
      <c r="V64" s="56"/>
    </row>
    <row r="65" ht="18.75" customHeight="1">
      <c r="A65" s="90">
        <v>4.0</v>
      </c>
      <c r="B65" s="111" t="s">
        <v>753</v>
      </c>
      <c r="C65" s="118" t="s">
        <v>382</v>
      </c>
      <c r="D65" s="52">
        <v>682.0</v>
      </c>
      <c r="E65" s="52">
        <v>738.0</v>
      </c>
      <c r="F65" s="110"/>
      <c r="G65" s="95">
        <f t="shared" si="2"/>
        <v>0.08211143695</v>
      </c>
      <c r="H65" s="114"/>
      <c r="I65" s="115">
        <v>6.4</v>
      </c>
      <c r="J65" s="115">
        <v>30.0</v>
      </c>
      <c r="K65" s="115">
        <v>120.0</v>
      </c>
      <c r="L65" s="93"/>
      <c r="M65" s="93"/>
      <c r="N65" s="93"/>
      <c r="O65" s="56"/>
      <c r="P65" s="56"/>
      <c r="Q65" s="56"/>
      <c r="R65" s="56"/>
      <c r="S65" s="56"/>
      <c r="T65" s="56"/>
      <c r="U65" s="56"/>
      <c r="V65" s="56"/>
    </row>
    <row r="66" ht="18.75" customHeight="1">
      <c r="A66" s="90">
        <v>5.0</v>
      </c>
      <c r="B66" s="111" t="s">
        <v>754</v>
      </c>
      <c r="C66" s="118" t="s">
        <v>399</v>
      </c>
      <c r="D66" s="52">
        <v>466.0</v>
      </c>
      <c r="E66" s="52">
        <v>504.0</v>
      </c>
      <c r="F66" s="110"/>
      <c r="G66" s="95">
        <f t="shared" si="2"/>
        <v>0.08154506438</v>
      </c>
      <c r="H66" s="122"/>
      <c r="I66" s="115">
        <v>4.38</v>
      </c>
      <c r="J66" s="115">
        <v>33.0</v>
      </c>
      <c r="K66" s="115">
        <v>132.0</v>
      </c>
      <c r="L66" s="93"/>
      <c r="M66" s="93"/>
      <c r="N66" s="93"/>
      <c r="O66" s="56"/>
      <c r="P66" s="56"/>
      <c r="Q66" s="56"/>
      <c r="R66" s="56"/>
      <c r="S66" s="56"/>
      <c r="T66" s="56"/>
      <c r="U66" s="56"/>
      <c r="V66" s="56"/>
    </row>
    <row r="67" ht="18.75" customHeight="1">
      <c r="A67" s="90">
        <v>6.0</v>
      </c>
      <c r="B67" s="111" t="s">
        <v>755</v>
      </c>
      <c r="C67" s="118" t="s">
        <v>756</v>
      </c>
      <c r="D67" s="52">
        <v>466.0</v>
      </c>
      <c r="E67" s="52">
        <v>504.0</v>
      </c>
      <c r="F67" s="110"/>
      <c r="G67" s="95">
        <f t="shared" si="2"/>
        <v>0.08154506438</v>
      </c>
      <c r="H67" s="122"/>
      <c r="I67" s="115">
        <v>4.38</v>
      </c>
      <c r="J67" s="115">
        <v>34.0</v>
      </c>
      <c r="K67" s="115">
        <v>136.0</v>
      </c>
      <c r="L67" s="93"/>
      <c r="M67" s="93"/>
      <c r="N67" s="93"/>
      <c r="O67" s="56"/>
      <c r="P67" s="56"/>
      <c r="Q67" s="56"/>
      <c r="R67" s="56"/>
      <c r="S67" s="56"/>
      <c r="T67" s="56"/>
      <c r="U67" s="56"/>
      <c r="V67" s="56"/>
    </row>
    <row r="68" ht="18.75" customHeight="1">
      <c r="A68" s="90">
        <v>7.0</v>
      </c>
      <c r="B68" s="111" t="s">
        <v>757</v>
      </c>
      <c r="C68" s="118" t="s">
        <v>419</v>
      </c>
      <c r="D68" s="52">
        <v>762.0</v>
      </c>
      <c r="E68" s="52">
        <v>824.0</v>
      </c>
      <c r="F68" s="110"/>
      <c r="G68" s="95">
        <f t="shared" si="2"/>
        <v>0.0813648294</v>
      </c>
      <c r="H68" s="114"/>
      <c r="I68" s="120">
        <v>6.0</v>
      </c>
      <c r="J68" s="115">
        <v>13.0</v>
      </c>
      <c r="K68" s="115">
        <v>52.0</v>
      </c>
      <c r="L68" s="93"/>
      <c r="M68" s="93"/>
      <c r="N68" s="93"/>
      <c r="O68" s="56"/>
      <c r="P68" s="56"/>
      <c r="Q68" s="56"/>
      <c r="R68" s="56"/>
      <c r="S68" s="56"/>
      <c r="T68" s="56"/>
      <c r="U68" s="56"/>
      <c r="V68" s="56"/>
    </row>
    <row r="69" ht="18.75" customHeight="1">
      <c r="A69" s="90"/>
      <c r="B69" s="111" t="s">
        <v>758</v>
      </c>
      <c r="C69" s="118" t="s">
        <v>439</v>
      </c>
      <c r="D69" s="52">
        <v>712.0</v>
      </c>
      <c r="E69" s="52">
        <v>768.0</v>
      </c>
      <c r="F69" s="110"/>
      <c r="G69" s="95">
        <f t="shared" si="2"/>
        <v>0.07865168539</v>
      </c>
      <c r="H69" s="114"/>
      <c r="I69" s="109">
        <v>6.0</v>
      </c>
      <c r="J69" s="120">
        <v>30.0</v>
      </c>
      <c r="K69" s="120">
        <v>120.0</v>
      </c>
      <c r="L69" s="93"/>
      <c r="M69" s="93"/>
      <c r="N69" s="93"/>
      <c r="O69" s="56"/>
      <c r="P69" s="56"/>
      <c r="Q69" s="56"/>
      <c r="R69" s="56"/>
      <c r="S69" s="56"/>
      <c r="T69" s="56"/>
      <c r="U69" s="56"/>
      <c r="V69" s="56"/>
    </row>
    <row r="70" ht="18.75" customHeight="1">
      <c r="A70" s="90">
        <v>8.0</v>
      </c>
      <c r="B70" s="111" t="s">
        <v>759</v>
      </c>
      <c r="C70" s="118" t="s">
        <v>462</v>
      </c>
      <c r="D70" s="52">
        <v>762.0</v>
      </c>
      <c r="E70" s="52">
        <v>822.0</v>
      </c>
      <c r="F70" s="110"/>
      <c r="G70" s="95">
        <f t="shared" si="2"/>
        <v>0.07874015748</v>
      </c>
      <c r="H70" s="114"/>
      <c r="I70" s="120">
        <v>6.0</v>
      </c>
      <c r="J70" s="115">
        <v>13.0</v>
      </c>
      <c r="K70" s="115">
        <v>52.0</v>
      </c>
      <c r="L70" s="93"/>
      <c r="M70" s="93"/>
      <c r="N70" s="93"/>
      <c r="O70" s="56"/>
      <c r="P70" s="56"/>
      <c r="Q70" s="56"/>
      <c r="R70" s="56"/>
      <c r="S70" s="56"/>
      <c r="T70" s="56"/>
      <c r="U70" s="56"/>
      <c r="V70" s="56"/>
    </row>
    <row r="71" ht="18.75" customHeight="1">
      <c r="A71" s="90">
        <v>9.0</v>
      </c>
      <c r="B71" s="111" t="s">
        <v>760</v>
      </c>
      <c r="C71" s="118" t="s">
        <v>482</v>
      </c>
      <c r="D71" s="52">
        <v>1611.6</v>
      </c>
      <c r="E71" s="52">
        <v>1742.0</v>
      </c>
      <c r="F71" s="110"/>
      <c r="G71" s="95">
        <f t="shared" si="2"/>
        <v>0.08091337801</v>
      </c>
      <c r="H71" s="122"/>
      <c r="I71" s="115">
        <v>15.2</v>
      </c>
      <c r="J71" s="115">
        <v>13.0</v>
      </c>
      <c r="K71" s="115">
        <v>52.0</v>
      </c>
      <c r="L71" s="93"/>
      <c r="M71" s="93"/>
      <c r="N71" s="93"/>
      <c r="O71" s="56"/>
      <c r="P71" s="56"/>
      <c r="Q71" s="56"/>
      <c r="R71" s="56"/>
      <c r="S71" s="56"/>
      <c r="T71" s="56"/>
      <c r="U71" s="56"/>
      <c r="V71" s="56"/>
    </row>
    <row r="72" ht="18.75" customHeight="1">
      <c r="A72" s="90">
        <v>10.0</v>
      </c>
      <c r="B72" s="111" t="s">
        <v>761</v>
      </c>
      <c r="C72" s="118" t="s">
        <v>502</v>
      </c>
      <c r="D72" s="52">
        <v>1527.552</v>
      </c>
      <c r="E72" s="52">
        <v>1648.0</v>
      </c>
      <c r="F72" s="110"/>
      <c r="G72" s="95">
        <f t="shared" si="2"/>
        <v>0.07885034356</v>
      </c>
      <c r="H72" s="122"/>
      <c r="I72" s="120">
        <v>15.0</v>
      </c>
      <c r="J72" s="115">
        <v>13.0</v>
      </c>
      <c r="K72" s="115">
        <v>52.0</v>
      </c>
      <c r="L72" s="93"/>
      <c r="M72" s="93"/>
      <c r="N72" s="93"/>
      <c r="O72" s="56"/>
      <c r="P72" s="56"/>
      <c r="Q72" s="56"/>
      <c r="R72" s="56"/>
      <c r="S72" s="56"/>
      <c r="T72" s="56"/>
      <c r="U72" s="56"/>
      <c r="V72" s="56"/>
    </row>
    <row r="73" ht="18.75" customHeight="1">
      <c r="A73" s="90"/>
      <c r="B73" s="111" t="s">
        <v>762</v>
      </c>
      <c r="C73" s="118" t="s">
        <v>523</v>
      </c>
      <c r="D73" s="52">
        <v>2184.0</v>
      </c>
      <c r="E73" s="52">
        <v>2358.0</v>
      </c>
      <c r="F73" s="110"/>
      <c r="G73" s="95">
        <f t="shared" si="2"/>
        <v>0.07967032967</v>
      </c>
      <c r="H73" s="122"/>
      <c r="I73" s="120"/>
      <c r="J73" s="115"/>
      <c r="K73" s="115"/>
      <c r="L73" s="93"/>
      <c r="M73" s="93"/>
      <c r="N73" s="93"/>
      <c r="O73" s="56"/>
      <c r="P73" s="56"/>
      <c r="Q73" s="56"/>
      <c r="R73" s="56"/>
      <c r="S73" s="56"/>
      <c r="T73" s="56"/>
      <c r="U73" s="56"/>
      <c r="V73" s="56"/>
    </row>
    <row r="74" ht="18.75" customHeight="1">
      <c r="A74" s="90">
        <v>11.0</v>
      </c>
      <c r="B74" s="111" t="s">
        <v>763</v>
      </c>
      <c r="C74" s="118" t="s">
        <v>734</v>
      </c>
      <c r="D74" s="52">
        <v>1878.0</v>
      </c>
      <c r="E74" s="52">
        <v>2028.0</v>
      </c>
      <c r="F74" s="110"/>
      <c r="G74" s="95">
        <f t="shared" si="2"/>
        <v>0.07987220447</v>
      </c>
      <c r="H74" s="114"/>
      <c r="I74" s="120">
        <v>15.0</v>
      </c>
      <c r="J74" s="115">
        <v>6.0</v>
      </c>
      <c r="K74" s="115">
        <v>24.0</v>
      </c>
      <c r="L74" s="93"/>
      <c r="M74" s="93"/>
      <c r="N74" s="93"/>
      <c r="O74" s="56"/>
      <c r="P74" s="56"/>
      <c r="Q74" s="56"/>
      <c r="R74" s="56"/>
      <c r="S74" s="56"/>
      <c r="T74" s="56"/>
      <c r="U74" s="56"/>
      <c r="V74" s="56"/>
    </row>
    <row r="75" ht="18.75" customHeight="1">
      <c r="A75" s="90">
        <v>12.0</v>
      </c>
      <c r="B75" s="111" t="s">
        <v>764</v>
      </c>
      <c r="C75" s="118" t="s">
        <v>395</v>
      </c>
      <c r="D75" s="52">
        <v>344.0</v>
      </c>
      <c r="E75" s="52">
        <v>372.0</v>
      </c>
      <c r="F75" s="110"/>
      <c r="G75" s="95">
        <f t="shared" si="2"/>
        <v>0.08139534884</v>
      </c>
      <c r="H75" s="114"/>
      <c r="I75" s="120">
        <v>2.0</v>
      </c>
      <c r="J75" s="115">
        <v>66.0</v>
      </c>
      <c r="K75" s="115">
        <v>264.0</v>
      </c>
      <c r="L75" s="93"/>
      <c r="M75" s="93"/>
      <c r="N75" s="93"/>
      <c r="O75" s="56"/>
      <c r="P75" s="56"/>
      <c r="Q75" s="56"/>
      <c r="R75" s="56"/>
      <c r="S75" s="56"/>
      <c r="T75" s="56"/>
      <c r="U75" s="56"/>
      <c r="V75" s="56"/>
    </row>
    <row r="76" ht="18.75" customHeight="1">
      <c r="A76" s="90">
        <v>13.0</v>
      </c>
      <c r="B76" s="111" t="s">
        <v>765</v>
      </c>
      <c r="C76" s="118" t="s">
        <v>359</v>
      </c>
      <c r="D76" s="52">
        <v>625.8720000000001</v>
      </c>
      <c r="E76" s="52">
        <v>676.0</v>
      </c>
      <c r="F76" s="110"/>
      <c r="G76" s="95">
        <f t="shared" si="2"/>
        <v>0.08009305417</v>
      </c>
      <c r="H76" s="114"/>
      <c r="I76" s="115">
        <v>5.9</v>
      </c>
      <c r="J76" s="115">
        <v>23.0</v>
      </c>
      <c r="K76" s="115">
        <v>92.0</v>
      </c>
      <c r="L76" s="93"/>
      <c r="M76" s="93"/>
      <c r="N76" s="93"/>
      <c r="O76" s="56"/>
      <c r="P76" s="56"/>
      <c r="Q76" s="56"/>
      <c r="R76" s="56"/>
      <c r="S76" s="56"/>
      <c r="T76" s="56"/>
      <c r="U76" s="56"/>
      <c r="V76" s="56"/>
    </row>
    <row r="77" ht="18.75" customHeight="1">
      <c r="A77" s="90">
        <v>14.0</v>
      </c>
      <c r="B77" s="111" t="s">
        <v>766</v>
      </c>
      <c r="C77" s="118" t="s">
        <v>710</v>
      </c>
      <c r="D77" s="52">
        <v>688.0</v>
      </c>
      <c r="E77" s="52">
        <v>744.0</v>
      </c>
      <c r="F77" s="110"/>
      <c r="G77" s="95">
        <f t="shared" si="2"/>
        <v>0.08139534884</v>
      </c>
      <c r="H77" s="114"/>
      <c r="I77" s="115">
        <v>6.48</v>
      </c>
      <c r="J77" s="115">
        <v>30.0</v>
      </c>
      <c r="K77" s="115">
        <v>120.0</v>
      </c>
      <c r="L77" s="93"/>
      <c r="M77" s="93"/>
      <c r="N77" s="93"/>
      <c r="O77" s="56"/>
      <c r="P77" s="56"/>
      <c r="Q77" s="56"/>
      <c r="R77" s="56"/>
      <c r="S77" s="56"/>
      <c r="T77" s="56"/>
      <c r="U77" s="56"/>
      <c r="V77" s="56"/>
    </row>
    <row r="78" ht="18.75" customHeight="1">
      <c r="A78" s="90">
        <v>15.0</v>
      </c>
      <c r="B78" s="111" t="s">
        <v>767</v>
      </c>
      <c r="C78" s="118" t="s">
        <v>601</v>
      </c>
      <c r="D78" s="52">
        <v>732.0</v>
      </c>
      <c r="E78" s="52">
        <v>792.0</v>
      </c>
      <c r="F78" s="110"/>
      <c r="G78" s="95">
        <f t="shared" si="2"/>
        <v>0.08196721311</v>
      </c>
      <c r="H78" s="114"/>
      <c r="I78" s="120">
        <v>6.0</v>
      </c>
      <c r="J78" s="115">
        <v>30.0</v>
      </c>
      <c r="K78" s="115">
        <v>120.0</v>
      </c>
      <c r="L78" s="93"/>
      <c r="M78" s="93"/>
      <c r="N78" s="93"/>
      <c r="O78" s="56"/>
      <c r="P78" s="56"/>
      <c r="Q78" s="56"/>
      <c r="R78" s="56"/>
      <c r="S78" s="56"/>
      <c r="T78" s="56"/>
      <c r="U78" s="56"/>
      <c r="V78" s="56"/>
    </row>
    <row r="79" ht="18.75" customHeight="1">
      <c r="A79" s="90">
        <v>16.0</v>
      </c>
      <c r="B79" s="123" t="s">
        <v>768</v>
      </c>
      <c r="C79" s="124" t="s">
        <v>712</v>
      </c>
      <c r="D79" s="125">
        <v>1572.0</v>
      </c>
      <c r="E79" s="52">
        <v>1698.0</v>
      </c>
      <c r="F79" s="110"/>
      <c r="G79" s="95">
        <f t="shared" si="2"/>
        <v>0.08015267176</v>
      </c>
      <c r="H79" s="114"/>
      <c r="I79" s="115">
        <v>14.8</v>
      </c>
      <c r="J79" s="115">
        <v>14.0</v>
      </c>
      <c r="K79" s="115">
        <v>56.0</v>
      </c>
      <c r="L79" s="106"/>
      <c r="M79" s="93"/>
      <c r="N79" s="93"/>
      <c r="O79" s="56"/>
      <c r="P79" s="56"/>
      <c r="Q79" s="56"/>
      <c r="R79" s="56"/>
      <c r="S79" s="56"/>
      <c r="T79" s="56"/>
      <c r="U79" s="56"/>
      <c r="V79" s="56"/>
    </row>
    <row r="80" ht="18.75" customHeight="1">
      <c r="A80" s="90">
        <v>17.0</v>
      </c>
      <c r="B80" s="111" t="s">
        <v>769</v>
      </c>
      <c r="C80" s="118" t="s">
        <v>744</v>
      </c>
      <c r="D80" s="52">
        <v>1696.0</v>
      </c>
      <c r="E80" s="52">
        <v>1832.0</v>
      </c>
      <c r="F80" s="110"/>
      <c r="G80" s="95">
        <f t="shared" si="2"/>
        <v>0.08018867925</v>
      </c>
      <c r="H80" s="114"/>
      <c r="I80" s="120">
        <v>15.0</v>
      </c>
      <c r="J80" s="115">
        <v>14.0</v>
      </c>
      <c r="K80" s="115">
        <v>56.0</v>
      </c>
      <c r="L80" s="93"/>
      <c r="M80" s="93"/>
      <c r="N80" s="93"/>
      <c r="O80" s="56"/>
      <c r="P80" s="56"/>
      <c r="Q80" s="56"/>
      <c r="R80" s="56"/>
      <c r="S80" s="56"/>
      <c r="T80" s="56"/>
      <c r="U80" s="56"/>
      <c r="V80" s="56"/>
    </row>
    <row r="81" ht="18.75" customHeight="1">
      <c r="A81" s="90"/>
      <c r="B81" s="111" t="s">
        <v>770</v>
      </c>
      <c r="C81" s="118" t="s">
        <v>678</v>
      </c>
      <c r="D81" s="52">
        <v>1328.0</v>
      </c>
      <c r="E81" s="52">
        <v>1434.0</v>
      </c>
      <c r="F81" s="110"/>
      <c r="G81" s="95">
        <f t="shared" si="2"/>
        <v>0.07981927711</v>
      </c>
      <c r="H81" s="114"/>
      <c r="I81" s="109">
        <v>10.0</v>
      </c>
      <c r="J81" s="120">
        <v>64.0</v>
      </c>
      <c r="K81" s="120">
        <v>128.0</v>
      </c>
      <c r="L81" s="93"/>
      <c r="M81" s="93"/>
      <c r="N81" s="93"/>
      <c r="O81" s="56"/>
      <c r="P81" s="56"/>
      <c r="Q81" s="56"/>
      <c r="R81" s="56"/>
      <c r="S81" s="56"/>
      <c r="T81" s="56"/>
      <c r="U81" s="56"/>
      <c r="V81" s="56"/>
    </row>
    <row r="82" ht="18.75" customHeight="1">
      <c r="A82" s="90"/>
      <c r="B82" s="111" t="s">
        <v>771</v>
      </c>
      <c r="C82" s="118" t="s">
        <v>693</v>
      </c>
      <c r="D82" s="52">
        <v>1346.0</v>
      </c>
      <c r="E82" s="52">
        <v>1454.0</v>
      </c>
      <c r="F82" s="110"/>
      <c r="G82" s="95">
        <f t="shared" si="2"/>
        <v>0.08023774146</v>
      </c>
      <c r="H82" s="114"/>
      <c r="I82" s="109">
        <v>10.0</v>
      </c>
      <c r="J82" s="120">
        <v>64.0</v>
      </c>
      <c r="K82" s="120">
        <v>128.0</v>
      </c>
      <c r="L82" s="93"/>
      <c r="M82" s="93"/>
      <c r="N82" s="93"/>
      <c r="O82" s="56"/>
      <c r="P82" s="56"/>
      <c r="Q82" s="56"/>
      <c r="R82" s="56"/>
      <c r="S82" s="56"/>
      <c r="T82" s="56"/>
      <c r="U82" s="56"/>
      <c r="V82" s="56"/>
    </row>
    <row r="83" ht="18.75" customHeight="1">
      <c r="A83" s="90"/>
      <c r="B83" s="126"/>
      <c r="C83" s="127"/>
      <c r="D83" s="109"/>
      <c r="E83" s="109"/>
      <c r="F83" s="110"/>
      <c r="G83" s="95" t="str">
        <f t="shared" si="2"/>
        <v/>
      </c>
      <c r="H83" s="140"/>
      <c r="I83" s="109"/>
      <c r="J83" s="115"/>
      <c r="K83" s="115"/>
      <c r="L83" s="134"/>
      <c r="M83" s="93"/>
      <c r="N83" s="93"/>
      <c r="O83" s="56"/>
      <c r="P83" s="56"/>
      <c r="Q83" s="56"/>
      <c r="R83" s="56"/>
      <c r="S83" s="56"/>
      <c r="T83" s="56"/>
      <c r="U83" s="56"/>
      <c r="V83" s="56"/>
    </row>
    <row r="84" ht="18.75" customHeight="1">
      <c r="A84" s="90"/>
      <c r="B84" s="107" t="s">
        <v>916</v>
      </c>
      <c r="C84" s="142"/>
      <c r="D84" s="143"/>
      <c r="E84" s="130"/>
      <c r="F84" s="110"/>
      <c r="G84" s="95" t="str">
        <f t="shared" si="2"/>
        <v/>
      </c>
      <c r="H84" s="96"/>
      <c r="I84" s="93"/>
      <c r="J84" s="115"/>
      <c r="K84" s="115"/>
      <c r="L84" s="134"/>
      <c r="M84" s="93"/>
      <c r="N84" s="93"/>
      <c r="O84" s="56"/>
      <c r="P84" s="56"/>
      <c r="Q84" s="56"/>
      <c r="R84" s="56"/>
      <c r="S84" s="56"/>
      <c r="T84" s="56"/>
      <c r="U84" s="56"/>
      <c r="V84" s="56"/>
    </row>
    <row r="85" ht="18.75" customHeight="1">
      <c r="A85" s="90">
        <v>1.0</v>
      </c>
      <c r="B85" s="135" t="s">
        <v>772</v>
      </c>
      <c r="C85" s="144" t="s">
        <v>773</v>
      </c>
      <c r="D85" s="137">
        <v>362.0</v>
      </c>
      <c r="E85" s="52">
        <v>392.0</v>
      </c>
      <c r="F85" s="110"/>
      <c r="G85" s="95">
        <f t="shared" si="2"/>
        <v>0.08287292818</v>
      </c>
      <c r="H85" s="114"/>
      <c r="I85" s="115">
        <v>3.4</v>
      </c>
      <c r="J85" s="115">
        <v>48.0</v>
      </c>
      <c r="K85" s="115">
        <v>192.0</v>
      </c>
      <c r="L85" s="120"/>
      <c r="M85" s="93"/>
      <c r="N85" s="93"/>
      <c r="O85" s="56"/>
      <c r="P85" s="56"/>
      <c r="Q85" s="56"/>
      <c r="R85" s="56"/>
      <c r="S85" s="56"/>
      <c r="T85" s="56"/>
      <c r="U85" s="56"/>
      <c r="V85" s="56"/>
    </row>
    <row r="86" ht="18.75" customHeight="1">
      <c r="A86" s="90"/>
      <c r="B86" s="135" t="s">
        <v>774</v>
      </c>
      <c r="C86" s="141" t="s">
        <v>748</v>
      </c>
      <c r="D86" s="52">
        <v>362.0</v>
      </c>
      <c r="E86" s="52">
        <v>392.0</v>
      </c>
      <c r="F86" s="110"/>
      <c r="G86" s="95">
        <f t="shared" si="2"/>
        <v>0.08287292818</v>
      </c>
      <c r="H86" s="114"/>
      <c r="I86" s="115">
        <v>3.4</v>
      </c>
      <c r="J86" s="115">
        <v>33.0</v>
      </c>
      <c r="K86" s="115">
        <v>132.0</v>
      </c>
      <c r="L86" s="120"/>
      <c r="M86" s="93"/>
      <c r="N86" s="93"/>
      <c r="O86" s="56"/>
      <c r="P86" s="56"/>
      <c r="Q86" s="56"/>
      <c r="R86" s="56"/>
      <c r="S86" s="56"/>
      <c r="T86" s="56"/>
      <c r="U86" s="56"/>
      <c r="V86" s="56"/>
    </row>
    <row r="87" ht="18.75" customHeight="1">
      <c r="A87" s="90">
        <v>2.0</v>
      </c>
      <c r="B87" s="135" t="s">
        <v>775</v>
      </c>
      <c r="C87" s="145" t="s">
        <v>714</v>
      </c>
      <c r="D87" s="52">
        <v>391.68</v>
      </c>
      <c r="E87" s="52">
        <v>424.0</v>
      </c>
      <c r="F87" s="110"/>
      <c r="G87" s="95">
        <f t="shared" si="2"/>
        <v>0.08251633987</v>
      </c>
      <c r="H87" s="114"/>
      <c r="I87" s="115">
        <v>3.68</v>
      </c>
      <c r="J87" s="115">
        <v>33.0</v>
      </c>
      <c r="K87" s="115">
        <v>132.0</v>
      </c>
      <c r="L87" s="115"/>
      <c r="M87" s="93"/>
      <c r="N87" s="93"/>
      <c r="O87" s="56"/>
      <c r="P87" s="56"/>
      <c r="Q87" s="56"/>
      <c r="R87" s="56"/>
      <c r="S87" s="56"/>
      <c r="T87" s="56"/>
      <c r="U87" s="56"/>
      <c r="V87" s="56"/>
    </row>
    <row r="88" ht="18.75" customHeight="1">
      <c r="A88" s="90">
        <v>3.0</v>
      </c>
      <c r="B88" s="135" t="s">
        <v>776</v>
      </c>
      <c r="C88" s="145" t="s">
        <v>777</v>
      </c>
      <c r="D88" s="52">
        <v>382.0</v>
      </c>
      <c r="E88" s="52">
        <v>414.0</v>
      </c>
      <c r="F88" s="110"/>
      <c r="G88" s="95">
        <f t="shared" si="2"/>
        <v>0.08376963351</v>
      </c>
      <c r="H88" s="114"/>
      <c r="I88" s="115">
        <v>3.58</v>
      </c>
      <c r="J88" s="115">
        <v>60.0</v>
      </c>
      <c r="K88" s="115">
        <v>240.0</v>
      </c>
      <c r="L88" s="115"/>
      <c r="M88" s="93"/>
      <c r="N88" s="93"/>
      <c r="O88" s="56"/>
      <c r="P88" s="56"/>
      <c r="Q88" s="56"/>
      <c r="R88" s="56"/>
      <c r="S88" s="56"/>
      <c r="T88" s="56"/>
      <c r="U88" s="56"/>
      <c r="V88" s="56"/>
    </row>
    <row r="89" ht="18.75" customHeight="1">
      <c r="A89" s="90">
        <v>4.0</v>
      </c>
      <c r="B89" s="135" t="s">
        <v>778</v>
      </c>
      <c r="C89" s="145" t="s">
        <v>382</v>
      </c>
      <c r="D89" s="52">
        <v>682.0</v>
      </c>
      <c r="E89" s="52">
        <v>738.0</v>
      </c>
      <c r="F89" s="110"/>
      <c r="G89" s="95">
        <f t="shared" si="2"/>
        <v>0.08211143695</v>
      </c>
      <c r="H89" s="114"/>
      <c r="I89" s="115">
        <v>6.4</v>
      </c>
      <c r="J89" s="115">
        <v>30.0</v>
      </c>
      <c r="K89" s="115">
        <v>120.0</v>
      </c>
      <c r="L89" s="120"/>
      <c r="M89" s="93"/>
      <c r="N89" s="93"/>
      <c r="O89" s="56"/>
      <c r="P89" s="56"/>
      <c r="Q89" s="56"/>
      <c r="R89" s="56"/>
      <c r="S89" s="56"/>
      <c r="T89" s="56"/>
      <c r="U89" s="56"/>
      <c r="V89" s="56"/>
    </row>
    <row r="90" ht="18.75" customHeight="1">
      <c r="A90" s="90">
        <v>5.0</v>
      </c>
      <c r="B90" s="135" t="s">
        <v>779</v>
      </c>
      <c r="C90" s="145" t="s">
        <v>399</v>
      </c>
      <c r="D90" s="52">
        <v>466.0</v>
      </c>
      <c r="E90" s="52">
        <v>504.0</v>
      </c>
      <c r="F90" s="110"/>
      <c r="G90" s="95">
        <f t="shared" si="2"/>
        <v>0.08154506438</v>
      </c>
      <c r="H90" s="122"/>
      <c r="I90" s="115">
        <v>4.38</v>
      </c>
      <c r="J90" s="115">
        <v>33.0</v>
      </c>
      <c r="K90" s="115">
        <v>132.0</v>
      </c>
      <c r="L90" s="115"/>
      <c r="M90" s="93"/>
      <c r="N90" s="93"/>
      <c r="O90" s="56"/>
      <c r="P90" s="56"/>
      <c r="Q90" s="56"/>
      <c r="R90" s="56"/>
      <c r="S90" s="56"/>
      <c r="T90" s="56"/>
      <c r="U90" s="56"/>
      <c r="V90" s="56"/>
    </row>
    <row r="91" ht="18.75" customHeight="1">
      <c r="A91" s="90">
        <v>6.0</v>
      </c>
      <c r="B91" s="135" t="s">
        <v>780</v>
      </c>
      <c r="C91" s="136" t="s">
        <v>781</v>
      </c>
      <c r="D91" s="52">
        <v>466.0</v>
      </c>
      <c r="E91" s="52">
        <v>504.0</v>
      </c>
      <c r="F91" s="110"/>
      <c r="G91" s="95">
        <f t="shared" si="2"/>
        <v>0.08154506438</v>
      </c>
      <c r="H91" s="122"/>
      <c r="I91" s="115">
        <v>4.38</v>
      </c>
      <c r="J91" s="115">
        <v>33.0</v>
      </c>
      <c r="K91" s="115">
        <v>132.0</v>
      </c>
      <c r="L91" s="115"/>
      <c r="M91" s="93"/>
      <c r="N91" s="93"/>
      <c r="O91" s="56"/>
      <c r="P91" s="56"/>
      <c r="Q91" s="56"/>
      <c r="R91" s="56"/>
      <c r="S91" s="56"/>
      <c r="T91" s="56"/>
      <c r="U91" s="56"/>
      <c r="V91" s="56"/>
    </row>
    <row r="92" ht="18.75" customHeight="1">
      <c r="A92" s="90">
        <v>7.0</v>
      </c>
      <c r="B92" s="135" t="s">
        <v>782</v>
      </c>
      <c r="C92" s="118" t="s">
        <v>419</v>
      </c>
      <c r="D92" s="52">
        <v>764.0</v>
      </c>
      <c r="E92" s="52">
        <v>826.0</v>
      </c>
      <c r="F92" s="110"/>
      <c r="G92" s="95">
        <f t="shared" si="2"/>
        <v>0.08115183246</v>
      </c>
      <c r="H92" s="114"/>
      <c r="I92" s="120">
        <v>6.0</v>
      </c>
      <c r="J92" s="115">
        <v>13.0</v>
      </c>
      <c r="K92" s="115">
        <v>52.0</v>
      </c>
      <c r="L92" s="115"/>
      <c r="M92" s="93"/>
      <c r="N92" s="93"/>
      <c r="O92" s="56"/>
      <c r="P92" s="56"/>
      <c r="Q92" s="56"/>
      <c r="R92" s="56"/>
      <c r="S92" s="56"/>
      <c r="T92" s="56"/>
      <c r="U92" s="56"/>
      <c r="V92" s="56"/>
    </row>
    <row r="93" ht="18.75" customHeight="1">
      <c r="A93" s="90"/>
      <c r="B93" s="135" t="s">
        <v>783</v>
      </c>
      <c r="C93" s="118" t="s">
        <v>439</v>
      </c>
      <c r="D93" s="52">
        <v>712.0</v>
      </c>
      <c r="E93" s="52">
        <v>768.0</v>
      </c>
      <c r="F93" s="110"/>
      <c r="G93" s="95">
        <f t="shared" si="2"/>
        <v>0.07865168539</v>
      </c>
      <c r="H93" s="114"/>
      <c r="I93" s="109">
        <v>6.0</v>
      </c>
      <c r="J93" s="120">
        <v>30.0</v>
      </c>
      <c r="K93" s="120">
        <v>120.0</v>
      </c>
      <c r="L93" s="115"/>
      <c r="M93" s="93"/>
      <c r="N93" s="93"/>
      <c r="O93" s="56"/>
      <c r="P93" s="56"/>
      <c r="Q93" s="56"/>
      <c r="R93" s="56"/>
      <c r="S93" s="56"/>
      <c r="T93" s="56"/>
      <c r="U93" s="56"/>
      <c r="V93" s="56"/>
    </row>
    <row r="94" ht="18.75" customHeight="1">
      <c r="A94" s="90">
        <v>8.0</v>
      </c>
      <c r="B94" s="135" t="s">
        <v>784</v>
      </c>
      <c r="C94" s="118" t="s">
        <v>462</v>
      </c>
      <c r="D94" s="52">
        <v>764.0</v>
      </c>
      <c r="E94" s="52">
        <v>826.0</v>
      </c>
      <c r="F94" s="110"/>
      <c r="G94" s="95">
        <f t="shared" si="2"/>
        <v>0.08115183246</v>
      </c>
      <c r="H94" s="114"/>
      <c r="I94" s="120">
        <v>6.0</v>
      </c>
      <c r="J94" s="115">
        <v>13.0</v>
      </c>
      <c r="K94" s="115">
        <v>52.0</v>
      </c>
      <c r="L94" s="115"/>
      <c r="M94" s="93"/>
      <c r="N94" s="93"/>
      <c r="O94" s="56"/>
      <c r="P94" s="56"/>
      <c r="Q94" s="56"/>
      <c r="R94" s="56"/>
      <c r="S94" s="56"/>
      <c r="T94" s="56"/>
      <c r="U94" s="56"/>
      <c r="V94" s="56"/>
    </row>
    <row r="95" ht="18.75" customHeight="1">
      <c r="A95" s="90">
        <v>9.0</v>
      </c>
      <c r="B95" s="111" t="s">
        <v>785</v>
      </c>
      <c r="C95" s="118" t="s">
        <v>482</v>
      </c>
      <c r="D95" s="52">
        <v>1627.92</v>
      </c>
      <c r="E95" s="52">
        <v>1758.0</v>
      </c>
      <c r="F95" s="110"/>
      <c r="G95" s="95">
        <f t="shared" si="2"/>
        <v>0.07990564647</v>
      </c>
      <c r="H95" s="122"/>
      <c r="I95" s="109">
        <v>15.4</v>
      </c>
      <c r="J95" s="120">
        <v>13.0</v>
      </c>
      <c r="K95" s="120">
        <v>52.0</v>
      </c>
      <c r="L95" s="120"/>
      <c r="M95" s="93"/>
      <c r="N95" s="93"/>
      <c r="O95" s="56"/>
      <c r="P95" s="56"/>
      <c r="Q95" s="56"/>
      <c r="R95" s="56"/>
      <c r="S95" s="56"/>
      <c r="T95" s="56"/>
      <c r="U95" s="56"/>
      <c r="V95" s="56"/>
    </row>
    <row r="96" ht="18.75" customHeight="1">
      <c r="A96" s="90">
        <v>10.0</v>
      </c>
      <c r="B96" s="111" t="s">
        <v>786</v>
      </c>
      <c r="C96" s="118" t="s">
        <v>502</v>
      </c>
      <c r="D96" s="52">
        <v>1572.0</v>
      </c>
      <c r="E96" s="52">
        <v>1698.0</v>
      </c>
      <c r="F96" s="110"/>
      <c r="G96" s="95">
        <f t="shared" si="2"/>
        <v>0.08015267176</v>
      </c>
      <c r="H96" s="122"/>
      <c r="I96" s="109">
        <v>14.8</v>
      </c>
      <c r="J96" s="120">
        <v>13.0</v>
      </c>
      <c r="K96" s="120">
        <v>52.0</v>
      </c>
      <c r="L96" s="120"/>
      <c r="M96" s="93"/>
      <c r="N96" s="93"/>
      <c r="O96" s="56"/>
      <c r="P96" s="56"/>
      <c r="Q96" s="56"/>
      <c r="R96" s="56"/>
      <c r="S96" s="56"/>
      <c r="T96" s="56"/>
      <c r="U96" s="56"/>
      <c r="V96" s="56"/>
    </row>
    <row r="97" ht="18.75" customHeight="1">
      <c r="A97" s="90"/>
      <c r="B97" s="111" t="s">
        <v>787</v>
      </c>
      <c r="C97" s="118" t="s">
        <v>523</v>
      </c>
      <c r="D97" s="52">
        <v>2223.6</v>
      </c>
      <c r="E97" s="52">
        <v>2402.0</v>
      </c>
      <c r="F97" s="110"/>
      <c r="G97" s="95">
        <f t="shared" si="2"/>
        <v>0.08023025724</v>
      </c>
      <c r="H97" s="122"/>
      <c r="I97" s="109"/>
      <c r="J97" s="120"/>
      <c r="K97" s="120"/>
      <c r="L97" s="120"/>
      <c r="M97" s="93"/>
      <c r="N97" s="93"/>
      <c r="O97" s="56"/>
      <c r="P97" s="56"/>
      <c r="Q97" s="56"/>
      <c r="R97" s="56"/>
      <c r="S97" s="56"/>
      <c r="T97" s="56"/>
      <c r="U97" s="56"/>
      <c r="V97" s="56"/>
    </row>
    <row r="98" ht="18.75" customHeight="1">
      <c r="A98" s="90">
        <v>11.0</v>
      </c>
      <c r="B98" s="135" t="s">
        <v>788</v>
      </c>
      <c r="C98" s="145" t="s">
        <v>734</v>
      </c>
      <c r="D98" s="52">
        <v>1917.6</v>
      </c>
      <c r="E98" s="52">
        <v>2072.0</v>
      </c>
      <c r="F98" s="110"/>
      <c r="G98" s="95">
        <f t="shared" si="2"/>
        <v>0.08051731331</v>
      </c>
      <c r="H98" s="114"/>
      <c r="I98" s="120">
        <v>15.0</v>
      </c>
      <c r="J98" s="115">
        <v>6.0</v>
      </c>
      <c r="K98" s="115">
        <v>24.0</v>
      </c>
      <c r="L98" s="120"/>
      <c r="M98" s="93"/>
      <c r="N98" s="93"/>
      <c r="O98" s="56"/>
      <c r="P98" s="56"/>
      <c r="Q98" s="56"/>
      <c r="R98" s="56"/>
      <c r="S98" s="56"/>
      <c r="T98" s="56"/>
      <c r="U98" s="56"/>
      <c r="V98" s="56"/>
    </row>
    <row r="99" ht="18.75" customHeight="1">
      <c r="A99" s="90">
        <v>12.0</v>
      </c>
      <c r="B99" s="135" t="s">
        <v>789</v>
      </c>
      <c r="C99" s="136" t="s">
        <v>395</v>
      </c>
      <c r="D99" s="52">
        <v>344.0</v>
      </c>
      <c r="E99" s="52">
        <v>372.0</v>
      </c>
      <c r="F99" s="110"/>
      <c r="G99" s="95">
        <f t="shared" si="2"/>
        <v>0.08139534884</v>
      </c>
      <c r="H99" s="114"/>
      <c r="I99" s="120">
        <v>2.0</v>
      </c>
      <c r="J99" s="115">
        <v>66.0</v>
      </c>
      <c r="K99" s="115">
        <v>264.0</v>
      </c>
      <c r="L99" s="120"/>
      <c r="M99" s="93"/>
      <c r="N99" s="93"/>
      <c r="O99" s="56"/>
      <c r="P99" s="56"/>
      <c r="Q99" s="56"/>
      <c r="R99" s="56"/>
      <c r="S99" s="56"/>
      <c r="T99" s="56"/>
      <c r="U99" s="56"/>
      <c r="V99" s="56"/>
    </row>
    <row r="100" ht="18.75" customHeight="1">
      <c r="A100" s="90">
        <v>13.0</v>
      </c>
      <c r="B100" s="135" t="s">
        <v>790</v>
      </c>
      <c r="C100" s="136" t="s">
        <v>359</v>
      </c>
      <c r="D100" s="52">
        <v>632.0</v>
      </c>
      <c r="E100" s="52">
        <v>684.0</v>
      </c>
      <c r="F100" s="110"/>
      <c r="G100" s="95">
        <f t="shared" si="2"/>
        <v>0.08227848101</v>
      </c>
      <c r="H100" s="114"/>
      <c r="I100" s="115">
        <v>5.9</v>
      </c>
      <c r="J100" s="115">
        <v>35.0</v>
      </c>
      <c r="K100" s="115">
        <v>140.0</v>
      </c>
      <c r="L100" s="115"/>
      <c r="M100" s="93"/>
      <c r="N100" s="93"/>
      <c r="O100" s="56"/>
      <c r="P100" s="56"/>
      <c r="Q100" s="56"/>
      <c r="R100" s="56"/>
      <c r="S100" s="56"/>
      <c r="T100" s="56"/>
      <c r="U100" s="56"/>
      <c r="V100" s="56"/>
    </row>
    <row r="101" ht="18.75" customHeight="1">
      <c r="A101" s="90">
        <v>14.0</v>
      </c>
      <c r="B101" s="135" t="s">
        <v>791</v>
      </c>
      <c r="C101" s="145" t="s">
        <v>710</v>
      </c>
      <c r="D101" s="52">
        <v>688.0</v>
      </c>
      <c r="E101" s="52">
        <v>744.0</v>
      </c>
      <c r="F101" s="110"/>
      <c r="G101" s="95">
        <f t="shared" si="2"/>
        <v>0.08139534884</v>
      </c>
      <c r="H101" s="114"/>
      <c r="I101" s="115">
        <v>6.48</v>
      </c>
      <c r="J101" s="115">
        <v>30.0</v>
      </c>
      <c r="K101" s="115">
        <v>120.0</v>
      </c>
      <c r="L101" s="120"/>
      <c r="M101" s="93"/>
      <c r="N101" s="93"/>
      <c r="O101" s="56"/>
      <c r="P101" s="56"/>
      <c r="Q101" s="56"/>
      <c r="R101" s="56"/>
      <c r="S101" s="56"/>
      <c r="T101" s="56"/>
      <c r="U101" s="56"/>
      <c r="V101" s="56"/>
    </row>
    <row r="102" ht="17.25" customHeight="1">
      <c r="A102" s="90">
        <v>15.0</v>
      </c>
      <c r="B102" s="135" t="s">
        <v>792</v>
      </c>
      <c r="C102" s="145" t="s">
        <v>601</v>
      </c>
      <c r="D102" s="52">
        <v>732.0</v>
      </c>
      <c r="E102" s="52">
        <v>792.0</v>
      </c>
      <c r="F102" s="110"/>
      <c r="G102" s="95">
        <f t="shared" si="2"/>
        <v>0.08196721311</v>
      </c>
      <c r="H102" s="114"/>
      <c r="I102" s="120">
        <v>6.0</v>
      </c>
      <c r="J102" s="115">
        <v>30.0</v>
      </c>
      <c r="K102" s="115">
        <v>120.0</v>
      </c>
      <c r="L102" s="120"/>
      <c r="M102" s="93"/>
      <c r="N102" s="93"/>
      <c r="O102" s="56"/>
      <c r="P102" s="56"/>
      <c r="Q102" s="56"/>
      <c r="R102" s="56"/>
      <c r="S102" s="56"/>
      <c r="T102" s="56"/>
      <c r="U102" s="56"/>
      <c r="V102" s="56"/>
    </row>
    <row r="103" ht="17.25" customHeight="1">
      <c r="A103" s="90"/>
      <c r="B103" s="135" t="s">
        <v>793</v>
      </c>
      <c r="C103" s="145" t="s">
        <v>712</v>
      </c>
      <c r="D103" s="52">
        <v>1552.0</v>
      </c>
      <c r="E103" s="52">
        <v>1676.0</v>
      </c>
      <c r="F103" s="110"/>
      <c r="G103" s="95">
        <f t="shared" si="2"/>
        <v>0.07989690722</v>
      </c>
      <c r="H103" s="114"/>
      <c r="I103" s="109">
        <v>15.0</v>
      </c>
      <c r="J103" s="120">
        <v>14.0</v>
      </c>
      <c r="K103" s="120">
        <v>56.0</v>
      </c>
      <c r="L103" s="120"/>
      <c r="M103" s="93"/>
      <c r="N103" s="93"/>
      <c r="O103" s="56"/>
      <c r="P103" s="56"/>
      <c r="Q103" s="56"/>
      <c r="R103" s="56"/>
      <c r="S103" s="56"/>
      <c r="T103" s="56"/>
      <c r="U103" s="56"/>
      <c r="V103" s="56"/>
    </row>
    <row r="104" ht="17.25" customHeight="1">
      <c r="A104" s="90"/>
      <c r="B104" s="126"/>
      <c r="C104" s="146"/>
      <c r="D104" s="109"/>
      <c r="E104" s="109"/>
      <c r="F104" s="110"/>
      <c r="G104" s="95" t="str">
        <f t="shared" si="2"/>
        <v/>
      </c>
      <c r="H104" s="140"/>
      <c r="I104" s="109"/>
      <c r="J104" s="115"/>
      <c r="K104" s="115"/>
      <c r="L104" s="120"/>
      <c r="M104" s="93"/>
      <c r="N104" s="93"/>
      <c r="O104" s="56"/>
      <c r="P104" s="56"/>
      <c r="Q104" s="56"/>
      <c r="R104" s="56"/>
      <c r="S104" s="56"/>
      <c r="T104" s="56"/>
      <c r="U104" s="56"/>
      <c r="V104" s="56"/>
    </row>
    <row r="105" ht="18.75" customHeight="1">
      <c r="A105" s="90"/>
      <c r="B105" s="107" t="s">
        <v>926</v>
      </c>
      <c r="C105" s="146"/>
      <c r="D105" s="109"/>
      <c r="E105" s="147"/>
      <c r="F105" s="110"/>
      <c r="G105" s="95" t="str">
        <f>IFERROR(DIVIDE(MINUS(E105,#REF!),#REF!),)</f>
        <v/>
      </c>
      <c r="H105" s="96"/>
      <c r="I105" s="93"/>
      <c r="J105" s="115"/>
      <c r="K105" s="115"/>
      <c r="L105" s="93"/>
      <c r="M105" s="93"/>
      <c r="N105" s="93"/>
      <c r="O105" s="56"/>
      <c r="P105" s="56"/>
      <c r="Q105" s="56"/>
      <c r="R105" s="56"/>
      <c r="S105" s="56"/>
      <c r="T105" s="56"/>
      <c r="U105" s="56"/>
      <c r="V105" s="56"/>
    </row>
    <row r="106" ht="18.75" customHeight="1">
      <c r="A106" s="90"/>
      <c r="B106" s="111" t="s">
        <v>794</v>
      </c>
      <c r="C106" s="118" t="s">
        <v>795</v>
      </c>
      <c r="D106" s="52">
        <v>234.0</v>
      </c>
      <c r="E106" s="52">
        <v>254.0</v>
      </c>
      <c r="F106" s="110"/>
      <c r="G106" s="95">
        <f t="shared" ref="G106:G135" si="3">IFERROR(DIVIDE(MINUS(E106,D106),D106),)</f>
        <v>0.08547008547</v>
      </c>
      <c r="H106" s="122"/>
      <c r="I106" s="109">
        <v>2.18</v>
      </c>
      <c r="J106" s="120">
        <v>66.0</v>
      </c>
      <c r="K106" s="120">
        <v>198.0</v>
      </c>
      <c r="L106" s="134"/>
      <c r="M106" s="93"/>
      <c r="N106" s="93"/>
      <c r="O106" s="56"/>
      <c r="P106" s="56"/>
      <c r="Q106" s="56"/>
      <c r="R106" s="56"/>
      <c r="S106" s="56"/>
      <c r="T106" s="56"/>
      <c r="U106" s="56"/>
      <c r="V106" s="56"/>
    </row>
    <row r="107" ht="18.75" customHeight="1">
      <c r="A107" s="90"/>
      <c r="B107" s="111" t="s">
        <v>796</v>
      </c>
      <c r="C107" s="118" t="s">
        <v>748</v>
      </c>
      <c r="D107" s="52">
        <v>246.0</v>
      </c>
      <c r="E107" s="52">
        <v>266.0</v>
      </c>
      <c r="F107" s="110"/>
      <c r="G107" s="95">
        <f t="shared" si="3"/>
        <v>0.08130081301</v>
      </c>
      <c r="H107" s="122"/>
      <c r="I107" s="109"/>
      <c r="J107" s="120"/>
      <c r="K107" s="120"/>
      <c r="L107" s="134"/>
      <c r="M107" s="93"/>
      <c r="N107" s="93"/>
      <c r="O107" s="56"/>
      <c r="P107" s="56"/>
      <c r="Q107" s="56"/>
      <c r="R107" s="56"/>
      <c r="S107" s="56"/>
      <c r="T107" s="56"/>
      <c r="U107" s="56"/>
      <c r="V107" s="56"/>
    </row>
    <row r="108" ht="18.75" customHeight="1">
      <c r="A108" s="90"/>
      <c r="B108" s="111" t="s">
        <v>797</v>
      </c>
      <c r="C108" s="118" t="s">
        <v>798</v>
      </c>
      <c r="D108" s="52">
        <v>264.0</v>
      </c>
      <c r="E108" s="52">
        <v>286.0</v>
      </c>
      <c r="F108" s="110"/>
      <c r="G108" s="95">
        <f t="shared" si="3"/>
        <v>0.08333333333</v>
      </c>
      <c r="H108" s="122"/>
      <c r="I108" s="109">
        <v>2.48</v>
      </c>
      <c r="J108" s="120">
        <v>46.0</v>
      </c>
      <c r="K108" s="120">
        <v>184.0</v>
      </c>
      <c r="L108" s="134"/>
      <c r="M108" s="93"/>
      <c r="N108" s="93"/>
      <c r="O108" s="56"/>
      <c r="P108" s="56"/>
      <c r="Q108" s="56"/>
      <c r="R108" s="56"/>
      <c r="S108" s="56"/>
      <c r="T108" s="56"/>
      <c r="U108" s="56"/>
      <c r="V108" s="56"/>
    </row>
    <row r="109" ht="18.75" customHeight="1">
      <c r="A109" s="90"/>
      <c r="B109" s="111" t="s">
        <v>799</v>
      </c>
      <c r="C109" s="118" t="s">
        <v>306</v>
      </c>
      <c r="D109" s="52">
        <v>273.6864</v>
      </c>
      <c r="E109" s="52">
        <v>296.0</v>
      </c>
      <c r="F109" s="110"/>
      <c r="G109" s="95">
        <f t="shared" si="3"/>
        <v>0.0815298093</v>
      </c>
      <c r="H109" s="114"/>
      <c r="I109" s="109">
        <v>2.58</v>
      </c>
      <c r="J109" s="120">
        <v>46.0</v>
      </c>
      <c r="K109" s="120">
        <v>184.0</v>
      </c>
      <c r="L109" s="134"/>
      <c r="M109" s="93"/>
      <c r="N109" s="93"/>
      <c r="O109" s="56"/>
      <c r="P109" s="56"/>
      <c r="Q109" s="56"/>
      <c r="R109" s="56"/>
      <c r="S109" s="56"/>
      <c r="T109" s="56"/>
      <c r="U109" s="56"/>
      <c r="V109" s="56"/>
    </row>
    <row r="110" ht="18.75" customHeight="1">
      <c r="A110" s="90"/>
      <c r="B110" s="111" t="s">
        <v>800</v>
      </c>
      <c r="C110" s="118" t="s">
        <v>801</v>
      </c>
      <c r="D110" s="52">
        <v>316.1184</v>
      </c>
      <c r="E110" s="52">
        <v>342.0</v>
      </c>
      <c r="F110" s="110"/>
      <c r="G110" s="95">
        <f t="shared" si="3"/>
        <v>0.08187312096</v>
      </c>
      <c r="H110" s="114"/>
      <c r="I110" s="109">
        <v>2.98</v>
      </c>
      <c r="J110" s="120">
        <v>60.0</v>
      </c>
      <c r="K110" s="120">
        <v>240.0</v>
      </c>
      <c r="L110" s="134"/>
      <c r="M110" s="93"/>
      <c r="N110" s="93"/>
      <c r="O110" s="56"/>
      <c r="P110" s="56"/>
      <c r="Q110" s="56"/>
      <c r="R110" s="56"/>
      <c r="S110" s="56"/>
      <c r="T110" s="56"/>
      <c r="U110" s="56"/>
      <c r="V110" s="56"/>
    </row>
    <row r="111" ht="18.75" customHeight="1">
      <c r="A111" s="90"/>
      <c r="B111" s="111" t="s">
        <v>802</v>
      </c>
      <c r="C111" s="118" t="s">
        <v>803</v>
      </c>
      <c r="D111" s="52">
        <v>301.92</v>
      </c>
      <c r="E111" s="52">
        <v>326.0</v>
      </c>
      <c r="F111" s="110"/>
      <c r="G111" s="95">
        <f t="shared" si="3"/>
        <v>0.07975622682</v>
      </c>
      <c r="H111" s="114"/>
      <c r="I111" s="109">
        <v>2.86</v>
      </c>
      <c r="J111" s="120">
        <v>46.0</v>
      </c>
      <c r="K111" s="120">
        <v>184.0</v>
      </c>
      <c r="L111" s="134"/>
      <c r="M111" s="93"/>
      <c r="N111" s="93"/>
      <c r="O111" s="56"/>
      <c r="P111" s="56"/>
      <c r="Q111" s="56"/>
      <c r="R111" s="56"/>
      <c r="S111" s="56"/>
      <c r="T111" s="56"/>
      <c r="U111" s="56"/>
      <c r="V111" s="56"/>
    </row>
    <row r="112" ht="18.75" customHeight="1">
      <c r="A112" s="90"/>
      <c r="B112" s="111" t="s">
        <v>804</v>
      </c>
      <c r="C112" s="118" t="s">
        <v>339</v>
      </c>
      <c r="D112" s="52">
        <v>316.1184</v>
      </c>
      <c r="E112" s="52">
        <v>342.0</v>
      </c>
      <c r="F112" s="110"/>
      <c r="G112" s="95">
        <f t="shared" si="3"/>
        <v>0.08187312096</v>
      </c>
      <c r="H112" s="114"/>
      <c r="I112" s="109">
        <v>2.98</v>
      </c>
      <c r="J112" s="120">
        <v>46.0</v>
      </c>
      <c r="K112" s="120">
        <v>184.0</v>
      </c>
      <c r="L112" s="134"/>
      <c r="M112" s="93"/>
      <c r="N112" s="93"/>
      <c r="O112" s="56"/>
      <c r="P112" s="56"/>
      <c r="Q112" s="56"/>
      <c r="R112" s="56"/>
      <c r="S112" s="56"/>
      <c r="T112" s="56"/>
      <c r="U112" s="56"/>
      <c r="V112" s="56"/>
    </row>
    <row r="113" ht="18.75" customHeight="1">
      <c r="A113" s="90"/>
      <c r="B113" s="111" t="s">
        <v>805</v>
      </c>
      <c r="C113" s="118" t="s">
        <v>806</v>
      </c>
      <c r="D113" s="52">
        <v>264.0</v>
      </c>
      <c r="E113" s="52">
        <v>286.0</v>
      </c>
      <c r="F113" s="110"/>
      <c r="G113" s="95">
        <f t="shared" si="3"/>
        <v>0.08333333333</v>
      </c>
      <c r="H113" s="122"/>
      <c r="I113" s="109">
        <v>2.48</v>
      </c>
      <c r="J113" s="120">
        <v>66.0</v>
      </c>
      <c r="K113" s="120">
        <v>198.0</v>
      </c>
      <c r="L113" s="134"/>
      <c r="M113" s="93"/>
      <c r="N113" s="93"/>
      <c r="O113" s="56"/>
      <c r="P113" s="56"/>
      <c r="Q113" s="56"/>
      <c r="R113" s="56"/>
      <c r="S113" s="56"/>
      <c r="T113" s="56"/>
      <c r="U113" s="56"/>
      <c r="V113" s="56"/>
    </row>
    <row r="114" ht="18.75" customHeight="1">
      <c r="A114" s="90"/>
      <c r="B114" s="111" t="s">
        <v>807</v>
      </c>
      <c r="C114" s="118" t="s">
        <v>808</v>
      </c>
      <c r="D114" s="52">
        <v>526.1568</v>
      </c>
      <c r="E114" s="52">
        <v>568.0</v>
      </c>
      <c r="F114" s="110"/>
      <c r="G114" s="95">
        <f t="shared" si="3"/>
        <v>0.07952610325</v>
      </c>
      <c r="H114" s="122"/>
      <c r="I114" s="109">
        <v>4.96</v>
      </c>
      <c r="J114" s="120">
        <v>24.0</v>
      </c>
      <c r="K114" s="120">
        <v>96.0</v>
      </c>
      <c r="L114" s="134"/>
      <c r="M114" s="93"/>
      <c r="N114" s="93"/>
      <c r="O114" s="56"/>
      <c r="P114" s="56"/>
      <c r="Q114" s="56"/>
      <c r="R114" s="56"/>
      <c r="S114" s="56"/>
      <c r="T114" s="56"/>
      <c r="U114" s="56"/>
      <c r="V114" s="56"/>
    </row>
    <row r="115" ht="18.75" customHeight="1">
      <c r="A115" s="90"/>
      <c r="B115" s="111" t="s">
        <v>809</v>
      </c>
      <c r="C115" s="118" t="s">
        <v>810</v>
      </c>
      <c r="D115" s="52">
        <v>332.0</v>
      </c>
      <c r="E115" s="52">
        <v>358.0</v>
      </c>
      <c r="F115" s="110"/>
      <c r="G115" s="95">
        <f t="shared" si="3"/>
        <v>0.07831325301</v>
      </c>
      <c r="H115" s="114"/>
      <c r="I115" s="109">
        <v>3.1</v>
      </c>
      <c r="J115" s="120">
        <v>66.0</v>
      </c>
      <c r="K115" s="120">
        <v>198.0</v>
      </c>
      <c r="L115" s="134"/>
      <c r="M115" s="93"/>
      <c r="N115" s="93"/>
      <c r="O115" s="56"/>
      <c r="P115" s="56"/>
      <c r="Q115" s="56"/>
      <c r="R115" s="56"/>
      <c r="S115" s="56"/>
      <c r="T115" s="56"/>
      <c r="U115" s="56"/>
      <c r="V115" s="56"/>
    </row>
    <row r="116" ht="18.75" customHeight="1">
      <c r="A116" s="90"/>
      <c r="B116" s="111" t="s">
        <v>811</v>
      </c>
      <c r="C116" s="118" t="s">
        <v>781</v>
      </c>
      <c r="D116" s="52">
        <v>375.52320000000003</v>
      </c>
      <c r="E116" s="52">
        <v>406.0</v>
      </c>
      <c r="F116" s="110"/>
      <c r="G116" s="95">
        <f t="shared" si="3"/>
        <v>0.0811582347</v>
      </c>
      <c r="H116" s="122"/>
      <c r="I116" s="109">
        <v>3.54</v>
      </c>
      <c r="J116" s="120">
        <v>30.0</v>
      </c>
      <c r="K116" s="120">
        <v>120.0</v>
      </c>
      <c r="L116" s="134"/>
      <c r="M116" s="93"/>
      <c r="N116" s="93"/>
      <c r="O116" s="56"/>
      <c r="P116" s="56"/>
      <c r="Q116" s="56"/>
      <c r="R116" s="56"/>
      <c r="S116" s="56"/>
      <c r="T116" s="56"/>
      <c r="U116" s="56"/>
      <c r="V116" s="56"/>
    </row>
    <row r="117" ht="18.75" customHeight="1">
      <c r="A117" s="90"/>
      <c r="B117" s="111" t="s">
        <v>812</v>
      </c>
      <c r="C117" s="118" t="s">
        <v>813</v>
      </c>
      <c r="D117" s="52">
        <v>688.0</v>
      </c>
      <c r="E117" s="52">
        <v>744.0</v>
      </c>
      <c r="F117" s="110"/>
      <c r="G117" s="95">
        <f t="shared" si="3"/>
        <v>0.08139534884</v>
      </c>
      <c r="H117" s="114"/>
      <c r="I117" s="109">
        <v>6.48</v>
      </c>
      <c r="J117" s="120">
        <v>13.0</v>
      </c>
      <c r="K117" s="120">
        <v>52.0</v>
      </c>
      <c r="L117" s="134"/>
      <c r="M117" s="93"/>
      <c r="N117" s="93"/>
      <c r="O117" s="56"/>
      <c r="P117" s="56"/>
      <c r="Q117" s="56"/>
      <c r="R117" s="56"/>
      <c r="S117" s="56"/>
      <c r="T117" s="56"/>
      <c r="U117" s="56"/>
      <c r="V117" s="56"/>
    </row>
    <row r="118" ht="18.75" customHeight="1">
      <c r="A118" s="90"/>
      <c r="B118" s="111" t="s">
        <v>814</v>
      </c>
      <c r="C118" s="118" t="s">
        <v>815</v>
      </c>
      <c r="D118" s="52">
        <v>698.0064000000001</v>
      </c>
      <c r="E118" s="52">
        <v>754.0</v>
      </c>
      <c r="F118" s="110"/>
      <c r="G118" s="95">
        <f t="shared" si="3"/>
        <v>0.08021932177</v>
      </c>
      <c r="H118" s="114"/>
      <c r="I118" s="109">
        <v>6.0</v>
      </c>
      <c r="J118" s="120">
        <v>13.0</v>
      </c>
      <c r="K118" s="120">
        <v>52.0</v>
      </c>
      <c r="L118" s="134"/>
      <c r="M118" s="93"/>
      <c r="N118" s="93"/>
      <c r="O118" s="56"/>
      <c r="P118" s="56"/>
      <c r="Q118" s="56"/>
      <c r="R118" s="56"/>
      <c r="S118" s="56"/>
      <c r="T118" s="56"/>
      <c r="U118" s="56"/>
      <c r="V118" s="56"/>
    </row>
    <row r="119" ht="18.75" customHeight="1">
      <c r="A119" s="90"/>
      <c r="B119" s="111" t="s">
        <v>816</v>
      </c>
      <c r="C119" s="118" t="s">
        <v>482</v>
      </c>
      <c r="D119" s="52">
        <v>1266.0</v>
      </c>
      <c r="E119" s="52">
        <v>1368.0</v>
      </c>
      <c r="F119" s="110"/>
      <c r="G119" s="95">
        <f t="shared" si="3"/>
        <v>0.08056872038</v>
      </c>
      <c r="H119" s="114"/>
      <c r="I119" s="109">
        <v>10.0</v>
      </c>
      <c r="J119" s="120">
        <v>13.0</v>
      </c>
      <c r="K119" s="120">
        <v>52.0</v>
      </c>
      <c r="L119" s="134"/>
      <c r="M119" s="93"/>
      <c r="N119" s="93"/>
      <c r="O119" s="56"/>
      <c r="P119" s="56"/>
      <c r="Q119" s="56"/>
      <c r="R119" s="56"/>
      <c r="S119" s="56"/>
      <c r="T119" s="56"/>
      <c r="U119" s="56"/>
      <c r="V119" s="56"/>
    </row>
    <row r="120" ht="18.75" customHeight="1">
      <c r="A120" s="90"/>
      <c r="B120" s="111" t="s">
        <v>817</v>
      </c>
      <c r="C120" s="118" t="s">
        <v>502</v>
      </c>
      <c r="D120" s="52">
        <v>1266.0</v>
      </c>
      <c r="E120" s="52">
        <v>1368.0</v>
      </c>
      <c r="F120" s="110"/>
      <c r="G120" s="95">
        <f t="shared" si="3"/>
        <v>0.08056872038</v>
      </c>
      <c r="H120" s="114"/>
      <c r="I120" s="109">
        <v>10.0</v>
      </c>
      <c r="J120" s="120">
        <v>13.0</v>
      </c>
      <c r="K120" s="120">
        <v>52.0</v>
      </c>
      <c r="L120" s="134"/>
      <c r="M120" s="93"/>
      <c r="N120" s="93"/>
      <c r="O120" s="56"/>
      <c r="P120" s="56"/>
      <c r="Q120" s="56"/>
      <c r="R120" s="56"/>
      <c r="S120" s="56"/>
      <c r="T120" s="56"/>
      <c r="U120" s="56"/>
      <c r="V120" s="56"/>
    </row>
    <row r="121" ht="18.75" customHeight="1">
      <c r="A121" s="90"/>
      <c r="B121" s="111" t="s">
        <v>818</v>
      </c>
      <c r="C121" s="118" t="s">
        <v>523</v>
      </c>
      <c r="D121" s="52">
        <v>1933.92</v>
      </c>
      <c r="E121" s="52">
        <v>2088.0</v>
      </c>
      <c r="F121" s="110"/>
      <c r="G121" s="95">
        <f t="shared" si="3"/>
        <v>0.07967237528</v>
      </c>
      <c r="H121" s="114"/>
      <c r="I121" s="109"/>
      <c r="J121" s="120"/>
      <c r="K121" s="120"/>
      <c r="L121" s="134"/>
      <c r="M121" s="93"/>
      <c r="N121" s="93"/>
      <c r="O121" s="56"/>
      <c r="P121" s="56"/>
      <c r="Q121" s="56"/>
      <c r="R121" s="56"/>
      <c r="S121" s="56"/>
      <c r="T121" s="56"/>
      <c r="U121" s="56"/>
      <c r="V121" s="56"/>
    </row>
    <row r="122" ht="18.75" customHeight="1">
      <c r="A122" s="90"/>
      <c r="B122" s="111" t="s">
        <v>819</v>
      </c>
      <c r="C122" s="118" t="s">
        <v>820</v>
      </c>
      <c r="D122" s="52">
        <v>1627.92</v>
      </c>
      <c r="E122" s="52">
        <v>1758.0</v>
      </c>
      <c r="F122" s="110"/>
      <c r="G122" s="95">
        <f t="shared" si="3"/>
        <v>0.07990564647</v>
      </c>
      <c r="H122" s="122"/>
      <c r="I122" s="109">
        <v>15.0</v>
      </c>
      <c r="J122" s="120">
        <v>6.0</v>
      </c>
      <c r="K122" s="120">
        <v>24.0</v>
      </c>
      <c r="L122" s="134"/>
      <c r="M122" s="93"/>
      <c r="N122" s="93"/>
      <c r="O122" s="56"/>
      <c r="P122" s="56"/>
      <c r="Q122" s="56"/>
      <c r="R122" s="56"/>
      <c r="S122" s="56"/>
      <c r="T122" s="56"/>
      <c r="U122" s="56"/>
      <c r="V122" s="56"/>
    </row>
    <row r="123" ht="18.75" customHeight="1">
      <c r="A123" s="90"/>
      <c r="B123" s="111" t="s">
        <v>821</v>
      </c>
      <c r="C123" s="118" t="s">
        <v>719</v>
      </c>
      <c r="D123" s="52">
        <v>232.0</v>
      </c>
      <c r="E123" s="52">
        <v>252.0</v>
      </c>
      <c r="F123" s="110"/>
      <c r="G123" s="95">
        <f t="shared" si="3"/>
        <v>0.08620689655</v>
      </c>
      <c r="H123" s="122"/>
      <c r="I123" s="109">
        <v>2.16</v>
      </c>
      <c r="J123" s="120">
        <v>66.0</v>
      </c>
      <c r="K123" s="120">
        <v>198.0</v>
      </c>
      <c r="L123" s="134"/>
      <c r="M123" s="93"/>
      <c r="N123" s="93"/>
      <c r="O123" s="56"/>
      <c r="P123" s="56"/>
      <c r="Q123" s="56"/>
      <c r="R123" s="56"/>
      <c r="S123" s="56"/>
      <c r="T123" s="56"/>
      <c r="U123" s="56"/>
      <c r="V123" s="56"/>
    </row>
    <row r="124" ht="18.75" customHeight="1">
      <c r="A124" s="90"/>
      <c r="B124" s="111" t="s">
        <v>822</v>
      </c>
      <c r="C124" s="118" t="s">
        <v>823</v>
      </c>
      <c r="D124" s="52">
        <v>264.0</v>
      </c>
      <c r="E124" s="52">
        <v>286.0</v>
      </c>
      <c r="F124" s="110"/>
      <c r="G124" s="95">
        <f t="shared" si="3"/>
        <v>0.08333333333</v>
      </c>
      <c r="H124" s="122"/>
      <c r="I124" s="109">
        <v>2.48</v>
      </c>
      <c r="J124" s="120">
        <v>66.0</v>
      </c>
      <c r="K124" s="120">
        <v>198.0</v>
      </c>
      <c r="L124" s="134"/>
      <c r="M124" s="93"/>
      <c r="N124" s="93"/>
      <c r="O124" s="56"/>
      <c r="P124" s="56"/>
      <c r="Q124" s="56"/>
      <c r="R124" s="56"/>
      <c r="S124" s="56"/>
      <c r="T124" s="56"/>
      <c r="U124" s="56"/>
      <c r="V124" s="56"/>
    </row>
    <row r="125" ht="18.75" customHeight="1">
      <c r="A125" s="90"/>
      <c r="B125" s="111" t="s">
        <v>825</v>
      </c>
      <c r="C125" s="118" t="s">
        <v>717</v>
      </c>
      <c r="D125" s="52">
        <v>242.0</v>
      </c>
      <c r="E125" s="52">
        <v>262.0</v>
      </c>
      <c r="F125" s="110"/>
      <c r="G125" s="95">
        <f t="shared" si="3"/>
        <v>0.0826446281</v>
      </c>
      <c r="H125" s="122"/>
      <c r="I125" s="109">
        <v>2.26</v>
      </c>
      <c r="J125" s="120">
        <v>66.0</v>
      </c>
      <c r="K125" s="120">
        <v>198.0</v>
      </c>
      <c r="L125" s="134"/>
      <c r="M125" s="93"/>
      <c r="N125" s="93"/>
      <c r="O125" s="56"/>
      <c r="P125" s="56"/>
      <c r="Q125" s="56"/>
      <c r="R125" s="56"/>
      <c r="S125" s="56"/>
      <c r="T125" s="56"/>
      <c r="U125" s="56"/>
      <c r="V125" s="56"/>
    </row>
    <row r="126" ht="18.75" customHeight="1">
      <c r="A126" s="90"/>
      <c r="B126" s="111" t="s">
        <v>826</v>
      </c>
      <c r="C126" s="118" t="s">
        <v>723</v>
      </c>
      <c r="D126" s="52">
        <v>252.4704</v>
      </c>
      <c r="E126" s="52">
        <v>274.0</v>
      </c>
      <c r="F126" s="110"/>
      <c r="G126" s="95">
        <f t="shared" si="3"/>
        <v>0.08527573925</v>
      </c>
      <c r="H126" s="122"/>
      <c r="I126" s="109">
        <v>2.38</v>
      </c>
      <c r="J126" s="120">
        <v>66.0</v>
      </c>
      <c r="K126" s="120">
        <v>198.0</v>
      </c>
      <c r="L126" s="134"/>
      <c r="M126" s="93"/>
      <c r="N126" s="93"/>
      <c r="O126" s="56"/>
      <c r="P126" s="56"/>
      <c r="Q126" s="56"/>
      <c r="R126" s="56"/>
      <c r="S126" s="56"/>
      <c r="T126" s="56"/>
      <c r="U126" s="56"/>
      <c r="V126" s="56"/>
    </row>
    <row r="127" ht="18.75" customHeight="1">
      <c r="A127" s="90"/>
      <c r="B127" s="111" t="s">
        <v>827</v>
      </c>
      <c r="C127" s="118" t="s">
        <v>395</v>
      </c>
      <c r="D127" s="52">
        <v>226.0</v>
      </c>
      <c r="E127" s="52">
        <v>244.0</v>
      </c>
      <c r="F127" s="110"/>
      <c r="G127" s="95">
        <f t="shared" si="3"/>
        <v>0.0796460177</v>
      </c>
      <c r="H127" s="122"/>
      <c r="I127" s="109">
        <v>2.12</v>
      </c>
      <c r="J127" s="120">
        <v>90.0</v>
      </c>
      <c r="K127" s="120">
        <v>270.0</v>
      </c>
      <c r="L127" s="134"/>
      <c r="M127" s="93"/>
      <c r="N127" s="93"/>
      <c r="O127" s="56"/>
      <c r="P127" s="56"/>
      <c r="Q127" s="56"/>
      <c r="R127" s="56"/>
      <c r="S127" s="56"/>
      <c r="T127" s="56"/>
      <c r="U127" s="56"/>
      <c r="V127" s="56"/>
    </row>
    <row r="128" ht="18.75" customHeight="1">
      <c r="A128" s="90"/>
      <c r="B128" s="111" t="s">
        <v>828</v>
      </c>
      <c r="C128" s="118" t="s">
        <v>829</v>
      </c>
      <c r="D128" s="52">
        <v>497.76</v>
      </c>
      <c r="E128" s="52">
        <v>538.0</v>
      </c>
      <c r="F128" s="110"/>
      <c r="G128" s="95">
        <f t="shared" si="3"/>
        <v>0.08084217293</v>
      </c>
      <c r="H128" s="122"/>
      <c r="I128" s="109">
        <v>4.68</v>
      </c>
      <c r="J128" s="120">
        <v>35.0</v>
      </c>
      <c r="K128" s="120">
        <v>140.0</v>
      </c>
      <c r="L128" s="134"/>
      <c r="M128" s="93"/>
      <c r="N128" s="93"/>
      <c r="O128" s="56"/>
      <c r="P128" s="56"/>
      <c r="Q128" s="56"/>
      <c r="R128" s="56"/>
      <c r="S128" s="56"/>
      <c r="T128" s="56"/>
      <c r="U128" s="56"/>
      <c r="V128" s="56"/>
    </row>
    <row r="129" ht="18.75" customHeight="1">
      <c r="A129" s="90"/>
      <c r="B129" s="111" t="s">
        <v>830</v>
      </c>
      <c r="C129" s="118" t="s">
        <v>663</v>
      </c>
      <c r="D129" s="52">
        <v>382.0</v>
      </c>
      <c r="E129" s="52">
        <v>414.0</v>
      </c>
      <c r="F129" s="110"/>
      <c r="G129" s="95">
        <f t="shared" si="3"/>
        <v>0.08376963351</v>
      </c>
      <c r="H129" s="122"/>
      <c r="I129" s="109">
        <v>3.58</v>
      </c>
      <c r="J129" s="120">
        <v>64.0</v>
      </c>
      <c r="K129" s="120">
        <v>256.0</v>
      </c>
      <c r="L129" s="134"/>
      <c r="M129" s="93"/>
      <c r="N129" s="93"/>
      <c r="O129" s="56"/>
      <c r="P129" s="56"/>
      <c r="Q129" s="56"/>
      <c r="R129" s="56"/>
      <c r="S129" s="56"/>
      <c r="T129" s="56"/>
      <c r="U129" s="56"/>
      <c r="V129" s="56"/>
    </row>
    <row r="130" ht="18.75" customHeight="1">
      <c r="A130" s="90"/>
      <c r="B130" s="111" t="s">
        <v>831</v>
      </c>
      <c r="C130" s="118" t="s">
        <v>690</v>
      </c>
      <c r="D130" s="52">
        <v>392.0</v>
      </c>
      <c r="E130" s="52">
        <v>424.0</v>
      </c>
      <c r="F130" s="110"/>
      <c r="G130" s="95">
        <f t="shared" si="3"/>
        <v>0.08163265306</v>
      </c>
      <c r="H130" s="122"/>
      <c r="I130" s="109">
        <v>3.68</v>
      </c>
      <c r="J130" s="120">
        <v>64.0</v>
      </c>
      <c r="K130" s="120">
        <v>256.0</v>
      </c>
      <c r="L130" s="134"/>
      <c r="M130" s="93"/>
      <c r="N130" s="93"/>
      <c r="O130" s="56"/>
      <c r="P130" s="56"/>
      <c r="Q130" s="56"/>
      <c r="R130" s="56"/>
      <c r="S130" s="56"/>
      <c r="T130" s="56"/>
      <c r="U130" s="56"/>
      <c r="V130" s="56"/>
    </row>
    <row r="131" ht="18.75" customHeight="1">
      <c r="A131" s="90"/>
      <c r="B131" s="111" t="s">
        <v>839</v>
      </c>
      <c r="C131" s="118" t="s">
        <v>710</v>
      </c>
      <c r="D131" s="52">
        <v>648.0</v>
      </c>
      <c r="E131" s="52">
        <v>698.0</v>
      </c>
      <c r="F131" s="110"/>
      <c r="G131" s="95">
        <f t="shared" si="3"/>
        <v>0.07716049383</v>
      </c>
      <c r="H131" s="122"/>
      <c r="I131" s="109">
        <v>6.1</v>
      </c>
      <c r="J131" s="120">
        <v>30.0</v>
      </c>
      <c r="K131" s="120">
        <v>120.0</v>
      </c>
      <c r="L131" s="134"/>
      <c r="M131" s="93"/>
      <c r="N131" s="93"/>
      <c r="O131" s="56"/>
      <c r="P131" s="56"/>
      <c r="Q131" s="56"/>
      <c r="R131" s="56"/>
      <c r="S131" s="56"/>
      <c r="T131" s="56"/>
      <c r="U131" s="56"/>
      <c r="V131" s="56"/>
    </row>
    <row r="132" ht="18.75" customHeight="1">
      <c r="A132" s="90"/>
      <c r="B132" s="111" t="s">
        <v>841</v>
      </c>
      <c r="C132" s="118" t="s">
        <v>601</v>
      </c>
      <c r="D132" s="52">
        <v>658.0</v>
      </c>
      <c r="E132" s="52">
        <v>712.0</v>
      </c>
      <c r="F132" s="110"/>
      <c r="G132" s="95">
        <f t="shared" si="3"/>
        <v>0.0820668693</v>
      </c>
      <c r="H132" s="122"/>
      <c r="I132" s="109">
        <v>6.18</v>
      </c>
      <c r="J132" s="120">
        <v>30.0</v>
      </c>
      <c r="K132" s="120">
        <v>120.0</v>
      </c>
      <c r="L132" s="134"/>
      <c r="M132" s="93"/>
      <c r="N132" s="93"/>
      <c r="O132" s="56"/>
      <c r="P132" s="56"/>
      <c r="Q132" s="56"/>
      <c r="R132" s="56"/>
      <c r="S132" s="56"/>
      <c r="T132" s="56"/>
      <c r="U132" s="56"/>
      <c r="V132" s="56"/>
    </row>
    <row r="133" ht="18.75" customHeight="1">
      <c r="A133" s="90"/>
      <c r="B133" s="111" t="s">
        <v>842</v>
      </c>
      <c r="C133" s="118" t="s">
        <v>731</v>
      </c>
      <c r="D133" s="52">
        <v>375.52320000000003</v>
      </c>
      <c r="E133" s="52">
        <v>406.0</v>
      </c>
      <c r="F133" s="110"/>
      <c r="G133" s="95">
        <f t="shared" si="3"/>
        <v>0.0811582347</v>
      </c>
      <c r="H133" s="122"/>
      <c r="I133" s="109">
        <v>3.54</v>
      </c>
      <c r="J133" s="120">
        <v>66.0</v>
      </c>
      <c r="K133" s="120">
        <v>198.0</v>
      </c>
      <c r="L133" s="134"/>
      <c r="M133" s="93"/>
      <c r="N133" s="93"/>
      <c r="O133" s="56"/>
      <c r="P133" s="56"/>
      <c r="Q133" s="56"/>
      <c r="R133" s="56"/>
      <c r="S133" s="56"/>
      <c r="T133" s="56"/>
      <c r="U133" s="56"/>
      <c r="V133" s="56"/>
    </row>
    <row r="134" ht="18.75" customHeight="1">
      <c r="A134" s="90"/>
      <c r="B134" s="111" t="s">
        <v>843</v>
      </c>
      <c r="C134" s="118" t="s">
        <v>712</v>
      </c>
      <c r="D134" s="52">
        <v>1498.0</v>
      </c>
      <c r="E134" s="52">
        <v>1618.0</v>
      </c>
      <c r="F134" s="110"/>
      <c r="G134" s="95">
        <f t="shared" si="3"/>
        <v>0.08010680908</v>
      </c>
      <c r="H134" s="114"/>
      <c r="I134" s="109">
        <v>12.0</v>
      </c>
      <c r="J134" s="120">
        <v>14.0</v>
      </c>
      <c r="K134" s="120">
        <v>56.0</v>
      </c>
      <c r="L134" s="134"/>
      <c r="M134" s="93"/>
      <c r="N134" s="93"/>
      <c r="O134" s="56"/>
      <c r="P134" s="56"/>
      <c r="Q134" s="56"/>
      <c r="R134" s="56"/>
      <c r="S134" s="56"/>
      <c r="T134" s="56"/>
      <c r="U134" s="56"/>
      <c r="V134" s="56"/>
    </row>
    <row r="135" ht="18.75" customHeight="1">
      <c r="A135" s="90"/>
      <c r="B135" s="126"/>
      <c r="C135" s="146"/>
      <c r="D135" s="109"/>
      <c r="E135" s="109"/>
      <c r="F135" s="110"/>
      <c r="G135" s="95" t="str">
        <f t="shared" si="3"/>
        <v/>
      </c>
      <c r="H135" s="96"/>
      <c r="I135" s="93"/>
      <c r="J135" s="115"/>
      <c r="K135" s="115"/>
      <c r="L135" s="93"/>
      <c r="M135" s="93"/>
      <c r="N135" s="93"/>
      <c r="O135" s="56"/>
      <c r="P135" s="56"/>
      <c r="Q135" s="56"/>
      <c r="R135" s="56"/>
      <c r="S135" s="56"/>
      <c r="T135" s="56"/>
      <c r="U135" s="56"/>
      <c r="V135" s="56"/>
    </row>
    <row r="136" ht="18.75" customHeight="1">
      <c r="A136" s="90"/>
      <c r="B136" s="107" t="s">
        <v>935</v>
      </c>
      <c r="C136" s="146"/>
      <c r="D136" s="109"/>
      <c r="E136" s="147"/>
      <c r="F136" s="110"/>
      <c r="G136" s="95" t="str">
        <f>IFERROR(DIVIDE(MINUS(E136,#REF!),#REF!),)</f>
        <v/>
      </c>
      <c r="H136" s="96"/>
      <c r="I136" s="93"/>
      <c r="J136" s="115"/>
      <c r="K136" s="115"/>
      <c r="L136" s="93"/>
      <c r="M136" s="93"/>
      <c r="N136" s="93"/>
      <c r="O136" s="56"/>
      <c r="P136" s="56"/>
      <c r="Q136" s="56"/>
      <c r="R136" s="56"/>
      <c r="S136" s="56"/>
      <c r="T136" s="56"/>
      <c r="U136" s="56"/>
      <c r="V136" s="56"/>
    </row>
    <row r="137" ht="18.75" customHeight="1">
      <c r="A137" s="90"/>
      <c r="B137" s="111" t="s">
        <v>844</v>
      </c>
      <c r="C137" s="118" t="s">
        <v>795</v>
      </c>
      <c r="D137" s="52">
        <v>242.0</v>
      </c>
      <c r="E137" s="52">
        <v>262.0</v>
      </c>
      <c r="F137" s="113"/>
      <c r="G137" s="95">
        <f t="shared" ref="G137:G237" si="4">IFERROR(DIVIDE(MINUS(E137,D137),D137),)</f>
        <v>0.0826446281</v>
      </c>
      <c r="H137" s="122"/>
      <c r="I137" s="109">
        <v>2.28</v>
      </c>
      <c r="J137" s="120">
        <v>66.0</v>
      </c>
      <c r="K137" s="120">
        <v>198.0</v>
      </c>
      <c r="L137" s="93"/>
      <c r="M137" s="93"/>
      <c r="N137" s="93"/>
      <c r="O137" s="56"/>
      <c r="P137" s="56"/>
      <c r="Q137" s="56"/>
      <c r="R137" s="56"/>
      <c r="S137" s="56"/>
      <c r="T137" s="56"/>
      <c r="U137" s="56"/>
      <c r="V137" s="56"/>
    </row>
    <row r="138" ht="18.75" customHeight="1">
      <c r="A138" s="90"/>
      <c r="B138" s="111" t="s">
        <v>845</v>
      </c>
      <c r="C138" s="118" t="s">
        <v>748</v>
      </c>
      <c r="D138" s="52">
        <v>254.0</v>
      </c>
      <c r="E138" s="52">
        <v>274.0</v>
      </c>
      <c r="F138" s="113"/>
      <c r="G138" s="95">
        <f t="shared" si="4"/>
        <v>0.07874015748</v>
      </c>
      <c r="H138" s="122"/>
      <c r="I138" s="109"/>
      <c r="J138" s="120"/>
      <c r="K138" s="120"/>
      <c r="L138" s="93"/>
      <c r="M138" s="93"/>
      <c r="N138" s="93"/>
      <c r="O138" s="56"/>
      <c r="P138" s="56"/>
      <c r="Q138" s="56"/>
      <c r="R138" s="56"/>
      <c r="S138" s="56"/>
      <c r="T138" s="56"/>
      <c r="U138" s="56"/>
      <c r="V138" s="56"/>
    </row>
    <row r="139" ht="18.75" customHeight="1">
      <c r="A139" s="90"/>
      <c r="B139" s="111" t="s">
        <v>848</v>
      </c>
      <c r="C139" s="118" t="s">
        <v>798</v>
      </c>
      <c r="D139" s="52">
        <v>273.6864</v>
      </c>
      <c r="E139" s="52">
        <v>296.0</v>
      </c>
      <c r="F139" s="113"/>
      <c r="G139" s="95">
        <f t="shared" si="4"/>
        <v>0.0815298093</v>
      </c>
      <c r="H139" s="114"/>
      <c r="I139" s="109">
        <v>2.58</v>
      </c>
      <c r="J139" s="120">
        <v>46.0</v>
      </c>
      <c r="K139" s="120">
        <v>184.0</v>
      </c>
      <c r="L139" s="93"/>
      <c r="M139" s="93"/>
      <c r="N139" s="93"/>
      <c r="O139" s="56"/>
      <c r="P139" s="56"/>
      <c r="Q139" s="56"/>
      <c r="R139" s="56"/>
      <c r="S139" s="56"/>
      <c r="T139" s="56"/>
      <c r="U139" s="56"/>
      <c r="V139" s="56"/>
    </row>
    <row r="140" ht="18.75" customHeight="1">
      <c r="A140" s="90"/>
      <c r="B140" s="111" t="s">
        <v>851</v>
      </c>
      <c r="C140" s="118" t="s">
        <v>306</v>
      </c>
      <c r="D140" s="52">
        <v>281.52</v>
      </c>
      <c r="E140" s="52">
        <v>304.0</v>
      </c>
      <c r="F140" s="113"/>
      <c r="G140" s="95">
        <f t="shared" si="4"/>
        <v>0.07985223075</v>
      </c>
      <c r="H140" s="114"/>
      <c r="I140" s="109">
        <v>2.68</v>
      </c>
      <c r="J140" s="120">
        <v>46.0</v>
      </c>
      <c r="K140" s="120">
        <v>184.0</v>
      </c>
      <c r="L140" s="93"/>
      <c r="M140" s="93"/>
      <c r="N140" s="93"/>
      <c r="O140" s="56"/>
      <c r="P140" s="56"/>
      <c r="Q140" s="56"/>
      <c r="R140" s="56"/>
      <c r="S140" s="56"/>
      <c r="T140" s="56"/>
      <c r="U140" s="56"/>
      <c r="V140" s="56"/>
    </row>
    <row r="141" ht="18.75" customHeight="1">
      <c r="A141" s="90"/>
      <c r="B141" s="111" t="s">
        <v>855</v>
      </c>
      <c r="C141" s="118" t="s">
        <v>801</v>
      </c>
      <c r="D141" s="52">
        <v>332.0</v>
      </c>
      <c r="E141" s="52">
        <v>358.0</v>
      </c>
      <c r="F141" s="113"/>
      <c r="G141" s="95">
        <f t="shared" si="4"/>
        <v>0.07831325301</v>
      </c>
      <c r="H141" s="114"/>
      <c r="I141" s="109">
        <v>3.1</v>
      </c>
      <c r="J141" s="120">
        <v>46.0</v>
      </c>
      <c r="K141" s="120">
        <v>184.0</v>
      </c>
      <c r="L141" s="93"/>
      <c r="M141" s="93"/>
      <c r="N141" s="93"/>
      <c r="O141" s="56"/>
      <c r="P141" s="56"/>
      <c r="Q141" s="56"/>
      <c r="R141" s="56"/>
      <c r="S141" s="56"/>
      <c r="T141" s="56"/>
      <c r="U141" s="56"/>
      <c r="V141" s="56"/>
    </row>
    <row r="142" ht="18.75" customHeight="1">
      <c r="A142" s="90"/>
      <c r="B142" s="111" t="s">
        <v>856</v>
      </c>
      <c r="C142" s="118" t="s">
        <v>803</v>
      </c>
      <c r="D142" s="52">
        <v>313.99679999999995</v>
      </c>
      <c r="E142" s="52">
        <v>338.0</v>
      </c>
      <c r="F142" s="113"/>
      <c r="G142" s="95">
        <f t="shared" si="4"/>
        <v>0.07644409115</v>
      </c>
      <c r="H142" s="114"/>
      <c r="I142" s="109">
        <v>2.96</v>
      </c>
      <c r="J142" s="120">
        <v>46.0</v>
      </c>
      <c r="K142" s="120">
        <v>184.0</v>
      </c>
      <c r="L142" s="93"/>
      <c r="M142" s="93"/>
      <c r="N142" s="93"/>
      <c r="O142" s="56"/>
      <c r="P142" s="56"/>
      <c r="Q142" s="56"/>
      <c r="R142" s="56"/>
      <c r="S142" s="56"/>
      <c r="T142" s="56"/>
      <c r="U142" s="56"/>
      <c r="V142" s="56"/>
    </row>
    <row r="143" ht="18.75" customHeight="1">
      <c r="A143" s="90"/>
      <c r="B143" s="111" t="s">
        <v>857</v>
      </c>
      <c r="C143" s="118" t="s">
        <v>339</v>
      </c>
      <c r="D143" s="52">
        <v>328.0</v>
      </c>
      <c r="E143" s="52">
        <v>354.0</v>
      </c>
      <c r="F143" s="113"/>
      <c r="G143" s="95">
        <f t="shared" si="4"/>
        <v>0.07926829268</v>
      </c>
      <c r="H143" s="114"/>
      <c r="I143" s="109">
        <v>3.08</v>
      </c>
      <c r="J143" s="120">
        <v>46.0</v>
      </c>
      <c r="K143" s="120">
        <v>184.0</v>
      </c>
      <c r="L143" s="93"/>
      <c r="M143" s="93"/>
      <c r="N143" s="93"/>
      <c r="O143" s="56"/>
      <c r="P143" s="56"/>
      <c r="Q143" s="56"/>
      <c r="R143" s="56"/>
      <c r="S143" s="56"/>
      <c r="T143" s="56"/>
      <c r="U143" s="56"/>
      <c r="V143" s="56"/>
    </row>
    <row r="144" ht="18.75" customHeight="1">
      <c r="A144" s="90"/>
      <c r="B144" s="111" t="s">
        <v>858</v>
      </c>
      <c r="C144" s="118" t="s">
        <v>806</v>
      </c>
      <c r="D144" s="52">
        <v>277.9296</v>
      </c>
      <c r="E144" s="52">
        <v>298.0</v>
      </c>
      <c r="F144" s="113"/>
      <c r="G144" s="95">
        <f t="shared" si="4"/>
        <v>0.07221397073</v>
      </c>
      <c r="H144" s="114"/>
      <c r="I144" s="109">
        <v>2.62</v>
      </c>
      <c r="J144" s="120">
        <v>66.0</v>
      </c>
      <c r="K144" s="120">
        <v>198.0</v>
      </c>
      <c r="L144" s="93"/>
      <c r="M144" s="93"/>
      <c r="N144" s="93"/>
      <c r="O144" s="56"/>
      <c r="P144" s="56"/>
      <c r="Q144" s="56"/>
      <c r="R144" s="56"/>
      <c r="S144" s="56"/>
      <c r="T144" s="56"/>
      <c r="U144" s="56"/>
      <c r="V144" s="56"/>
    </row>
    <row r="145" ht="18.75" customHeight="1">
      <c r="A145" s="90"/>
      <c r="B145" s="111" t="s">
        <v>859</v>
      </c>
      <c r="C145" s="118" t="s">
        <v>808</v>
      </c>
      <c r="D145" s="52">
        <v>552.0</v>
      </c>
      <c r="E145" s="52">
        <v>596.0</v>
      </c>
      <c r="F145" s="113"/>
      <c r="G145" s="95">
        <f t="shared" si="4"/>
        <v>0.07971014493</v>
      </c>
      <c r="H145" s="114"/>
      <c r="I145" s="109">
        <v>5.16</v>
      </c>
      <c r="J145" s="120">
        <v>24.0</v>
      </c>
      <c r="K145" s="120">
        <v>96.0</v>
      </c>
      <c r="L145" s="93"/>
      <c r="M145" s="93"/>
      <c r="N145" s="93"/>
      <c r="O145" s="56"/>
      <c r="P145" s="56"/>
      <c r="Q145" s="56"/>
      <c r="R145" s="56"/>
      <c r="S145" s="56"/>
      <c r="T145" s="56"/>
      <c r="U145" s="56"/>
      <c r="V145" s="56"/>
    </row>
    <row r="146" ht="18.75" customHeight="1">
      <c r="A146" s="90"/>
      <c r="B146" s="111" t="s">
        <v>860</v>
      </c>
      <c r="C146" s="118" t="s">
        <v>810</v>
      </c>
      <c r="D146" s="52">
        <v>352.0</v>
      </c>
      <c r="E146" s="52">
        <v>378.0</v>
      </c>
      <c r="F146" s="113"/>
      <c r="G146" s="95">
        <f t="shared" si="4"/>
        <v>0.07386363636</v>
      </c>
      <c r="H146" s="114"/>
      <c r="I146" s="109">
        <v>3.28</v>
      </c>
      <c r="J146" s="120">
        <v>66.0</v>
      </c>
      <c r="K146" s="120">
        <v>198.0</v>
      </c>
      <c r="L146" s="93"/>
      <c r="M146" s="93"/>
      <c r="N146" s="93"/>
      <c r="O146" s="56"/>
      <c r="P146" s="56"/>
      <c r="Q146" s="56"/>
      <c r="R146" s="56"/>
      <c r="S146" s="56"/>
      <c r="T146" s="56"/>
      <c r="U146" s="56"/>
      <c r="V146" s="56"/>
    </row>
    <row r="147" ht="18.75" customHeight="1">
      <c r="A147" s="90"/>
      <c r="B147" s="111" t="s">
        <v>861</v>
      </c>
      <c r="C147" s="118" t="s">
        <v>781</v>
      </c>
      <c r="D147" s="52">
        <v>385.56</v>
      </c>
      <c r="E147" s="52">
        <v>416.0</v>
      </c>
      <c r="F147" s="113"/>
      <c r="G147" s="95">
        <f t="shared" si="4"/>
        <v>0.07895009856</v>
      </c>
      <c r="H147" s="114"/>
      <c r="I147" s="109">
        <v>3.64</v>
      </c>
      <c r="J147" s="120">
        <v>30.0</v>
      </c>
      <c r="K147" s="120">
        <v>120.0</v>
      </c>
      <c r="L147" s="93"/>
      <c r="M147" s="93"/>
      <c r="N147" s="93"/>
      <c r="O147" s="56"/>
      <c r="P147" s="56"/>
      <c r="Q147" s="56"/>
      <c r="R147" s="56"/>
      <c r="S147" s="56"/>
      <c r="T147" s="56"/>
      <c r="U147" s="56"/>
      <c r="V147" s="56"/>
    </row>
    <row r="148" ht="18.75" customHeight="1">
      <c r="A148" s="90"/>
      <c r="B148" s="111" t="s">
        <v>862</v>
      </c>
      <c r="C148" s="118" t="s">
        <v>813</v>
      </c>
      <c r="D148" s="52">
        <v>712.0</v>
      </c>
      <c r="E148" s="52">
        <v>768.0</v>
      </c>
      <c r="F148" s="113"/>
      <c r="G148" s="95">
        <f t="shared" si="4"/>
        <v>0.07865168539</v>
      </c>
      <c r="H148" s="114"/>
      <c r="I148" s="109">
        <v>6.0</v>
      </c>
      <c r="J148" s="120">
        <v>13.0</v>
      </c>
      <c r="K148" s="120">
        <v>52.0</v>
      </c>
      <c r="L148" s="93"/>
      <c r="M148" s="93"/>
      <c r="N148" s="93"/>
      <c r="O148" s="56"/>
      <c r="P148" s="56"/>
      <c r="Q148" s="56"/>
      <c r="R148" s="56"/>
      <c r="S148" s="56"/>
      <c r="T148" s="56"/>
      <c r="U148" s="56"/>
      <c r="V148" s="56"/>
    </row>
    <row r="149" ht="18.75" customHeight="1">
      <c r="A149" s="90"/>
      <c r="B149" s="111" t="s">
        <v>863</v>
      </c>
      <c r="C149" s="118" t="s">
        <v>815</v>
      </c>
      <c r="D149" s="52">
        <v>722.0</v>
      </c>
      <c r="E149" s="52">
        <v>778.0</v>
      </c>
      <c r="F149" s="113"/>
      <c r="G149" s="95">
        <f t="shared" si="4"/>
        <v>0.07756232687</v>
      </c>
      <c r="H149" s="114"/>
      <c r="I149" s="109">
        <v>6.0</v>
      </c>
      <c r="J149" s="120">
        <v>13.0</v>
      </c>
      <c r="K149" s="120">
        <v>52.0</v>
      </c>
      <c r="L149" s="93"/>
      <c r="M149" s="93"/>
      <c r="N149" s="93"/>
      <c r="O149" s="56"/>
      <c r="P149" s="56"/>
      <c r="Q149" s="56"/>
      <c r="R149" s="56"/>
      <c r="S149" s="56"/>
      <c r="T149" s="56"/>
      <c r="U149" s="56"/>
      <c r="V149" s="56"/>
    </row>
    <row r="150" ht="18.75" customHeight="1">
      <c r="A150" s="90"/>
      <c r="B150" s="111" t="s">
        <v>864</v>
      </c>
      <c r="C150" s="118" t="s">
        <v>482</v>
      </c>
      <c r="D150" s="52">
        <v>1296.0</v>
      </c>
      <c r="E150" s="52">
        <v>1398.0</v>
      </c>
      <c r="F150" s="113"/>
      <c r="G150" s="95">
        <f t="shared" si="4"/>
        <v>0.0787037037</v>
      </c>
      <c r="H150" s="114"/>
      <c r="I150" s="109">
        <v>10.0</v>
      </c>
      <c r="J150" s="120">
        <v>13.0</v>
      </c>
      <c r="K150" s="120">
        <v>52.0</v>
      </c>
      <c r="L150" s="93"/>
      <c r="M150" s="93"/>
      <c r="N150" s="93"/>
      <c r="O150" s="56"/>
      <c r="P150" s="56"/>
      <c r="Q150" s="56"/>
      <c r="R150" s="56"/>
      <c r="S150" s="56"/>
      <c r="T150" s="56"/>
      <c r="U150" s="56"/>
      <c r="V150" s="56"/>
    </row>
    <row r="151" ht="18.75" customHeight="1">
      <c r="A151" s="90"/>
      <c r="B151" s="111" t="s">
        <v>865</v>
      </c>
      <c r="C151" s="118" t="s">
        <v>502</v>
      </c>
      <c r="D151" s="52">
        <v>1296.0</v>
      </c>
      <c r="E151" s="52">
        <v>1398.0</v>
      </c>
      <c r="F151" s="113"/>
      <c r="G151" s="95">
        <f t="shared" si="4"/>
        <v>0.0787037037</v>
      </c>
      <c r="H151" s="114"/>
      <c r="I151" s="109">
        <v>10.0</v>
      </c>
      <c r="J151" s="120">
        <v>13.0</v>
      </c>
      <c r="K151" s="120">
        <v>52.0</v>
      </c>
      <c r="L151" s="93"/>
      <c r="M151" s="93"/>
      <c r="N151" s="93"/>
      <c r="O151" s="56"/>
      <c r="P151" s="56"/>
      <c r="Q151" s="56"/>
      <c r="R151" s="56"/>
      <c r="S151" s="56"/>
      <c r="T151" s="56"/>
      <c r="U151" s="56"/>
      <c r="V151" s="56"/>
    </row>
    <row r="152" ht="18.75" customHeight="1">
      <c r="A152" s="90"/>
      <c r="B152" s="111" t="s">
        <v>866</v>
      </c>
      <c r="C152" s="118" t="s">
        <v>523</v>
      </c>
      <c r="D152" s="52">
        <v>1982.0</v>
      </c>
      <c r="E152" s="52">
        <v>2142.0</v>
      </c>
      <c r="F152" s="113"/>
      <c r="G152" s="95">
        <f t="shared" si="4"/>
        <v>0.08072653885</v>
      </c>
      <c r="H152" s="114"/>
      <c r="I152" s="109"/>
      <c r="J152" s="120"/>
      <c r="K152" s="120"/>
      <c r="L152" s="93"/>
      <c r="M152" s="93"/>
      <c r="N152" s="93"/>
      <c r="O152" s="56"/>
      <c r="P152" s="56"/>
      <c r="Q152" s="56"/>
      <c r="R152" s="56"/>
      <c r="S152" s="56"/>
      <c r="T152" s="56"/>
      <c r="U152" s="56"/>
      <c r="V152" s="56"/>
    </row>
    <row r="153" ht="18.75" customHeight="1">
      <c r="A153" s="90"/>
      <c r="B153" s="111" t="s">
        <v>867</v>
      </c>
      <c r="C153" s="118" t="s">
        <v>820</v>
      </c>
      <c r="D153" s="52">
        <v>1674.0</v>
      </c>
      <c r="E153" s="52">
        <v>1808.0</v>
      </c>
      <c r="F153" s="113"/>
      <c r="G153" s="95">
        <f t="shared" si="4"/>
        <v>0.08004778973</v>
      </c>
      <c r="H153" s="114"/>
      <c r="I153" s="109">
        <v>15.0</v>
      </c>
      <c r="J153" s="120">
        <v>6.0</v>
      </c>
      <c r="K153" s="120">
        <v>24.0</v>
      </c>
      <c r="L153" s="93"/>
      <c r="M153" s="93"/>
      <c r="N153" s="93"/>
      <c r="O153" s="56"/>
      <c r="P153" s="56"/>
      <c r="Q153" s="56"/>
      <c r="R153" s="56"/>
      <c r="S153" s="56"/>
      <c r="T153" s="56"/>
      <c r="U153" s="56"/>
      <c r="V153" s="56"/>
    </row>
    <row r="154" ht="18.75" customHeight="1">
      <c r="A154" s="90"/>
      <c r="B154" s="111" t="s">
        <v>868</v>
      </c>
      <c r="C154" s="118" t="s">
        <v>719</v>
      </c>
      <c r="D154" s="52">
        <v>242.0</v>
      </c>
      <c r="E154" s="52">
        <v>262.0</v>
      </c>
      <c r="F154" s="113"/>
      <c r="G154" s="95">
        <f t="shared" si="4"/>
        <v>0.0826446281</v>
      </c>
      <c r="H154" s="122"/>
      <c r="I154" s="109">
        <v>2.28</v>
      </c>
      <c r="J154" s="120">
        <v>66.0</v>
      </c>
      <c r="K154" s="120">
        <v>198.0</v>
      </c>
      <c r="L154" s="93"/>
      <c r="M154" s="93"/>
      <c r="N154" s="93"/>
      <c r="O154" s="56"/>
      <c r="P154" s="56"/>
      <c r="Q154" s="56"/>
      <c r="R154" s="56"/>
      <c r="S154" s="56"/>
      <c r="T154" s="56"/>
      <c r="U154" s="56"/>
      <c r="V154" s="56"/>
    </row>
    <row r="155" ht="18.75" customHeight="1">
      <c r="A155" s="90"/>
      <c r="B155" s="111" t="s">
        <v>869</v>
      </c>
      <c r="C155" s="118" t="s">
        <v>823</v>
      </c>
      <c r="D155" s="52">
        <v>277.9296</v>
      </c>
      <c r="E155" s="52">
        <v>298.0</v>
      </c>
      <c r="F155" s="113"/>
      <c r="G155" s="95">
        <f t="shared" si="4"/>
        <v>0.07221397073</v>
      </c>
      <c r="H155" s="114"/>
      <c r="I155" s="109">
        <v>2.62</v>
      </c>
      <c r="J155" s="120">
        <v>66.0</v>
      </c>
      <c r="K155" s="120">
        <v>198.0</v>
      </c>
      <c r="L155" s="93"/>
      <c r="M155" s="93"/>
      <c r="N155" s="93"/>
      <c r="O155" s="56"/>
      <c r="P155" s="56"/>
      <c r="Q155" s="56"/>
      <c r="R155" s="56"/>
      <c r="S155" s="56"/>
      <c r="T155" s="56"/>
      <c r="U155" s="56"/>
      <c r="V155" s="56"/>
    </row>
    <row r="156" ht="18.75" customHeight="1">
      <c r="A156" s="90"/>
      <c r="B156" s="111" t="s">
        <v>870</v>
      </c>
      <c r="C156" s="118" t="s">
        <v>717</v>
      </c>
      <c r="D156" s="52">
        <v>252.4704</v>
      </c>
      <c r="E156" s="52">
        <v>274.0</v>
      </c>
      <c r="F156" s="113"/>
      <c r="G156" s="95">
        <f t="shared" si="4"/>
        <v>0.08527573925</v>
      </c>
      <c r="H156" s="122"/>
      <c r="I156" s="109">
        <v>2.38</v>
      </c>
      <c r="J156" s="120">
        <v>66.0</v>
      </c>
      <c r="K156" s="120">
        <v>198.0</v>
      </c>
      <c r="L156" s="93"/>
      <c r="M156" s="93"/>
      <c r="N156" s="93"/>
      <c r="O156" s="56"/>
      <c r="P156" s="56"/>
      <c r="Q156" s="56"/>
      <c r="R156" s="56"/>
      <c r="S156" s="56"/>
      <c r="T156" s="56"/>
      <c r="U156" s="56"/>
      <c r="V156" s="56"/>
    </row>
    <row r="157" ht="18.75" customHeight="1">
      <c r="A157" s="90"/>
      <c r="B157" s="111" t="s">
        <v>871</v>
      </c>
      <c r="C157" s="118" t="s">
        <v>723</v>
      </c>
      <c r="D157" s="52">
        <v>264.0</v>
      </c>
      <c r="E157" s="52">
        <v>286.0</v>
      </c>
      <c r="F157" s="113"/>
      <c r="G157" s="95">
        <f t="shared" si="4"/>
        <v>0.08333333333</v>
      </c>
      <c r="H157" s="114"/>
      <c r="I157" s="109">
        <v>2.48</v>
      </c>
      <c r="J157" s="120">
        <v>66.0</v>
      </c>
      <c r="K157" s="120">
        <v>198.0</v>
      </c>
      <c r="L157" s="93"/>
      <c r="M157" s="93"/>
      <c r="N157" s="93"/>
      <c r="O157" s="56"/>
      <c r="P157" s="56"/>
      <c r="Q157" s="56"/>
      <c r="R157" s="56"/>
      <c r="S157" s="56"/>
      <c r="T157" s="56"/>
      <c r="U157" s="56"/>
      <c r="V157" s="56"/>
    </row>
    <row r="158" ht="18.75" customHeight="1">
      <c r="A158" s="90"/>
      <c r="B158" s="111" t="s">
        <v>872</v>
      </c>
      <c r="C158" s="118" t="s">
        <v>395</v>
      </c>
      <c r="D158" s="52">
        <v>236.0</v>
      </c>
      <c r="E158" s="52">
        <v>256.0</v>
      </c>
      <c r="F158" s="113"/>
      <c r="G158" s="95">
        <f t="shared" si="4"/>
        <v>0.08474576271</v>
      </c>
      <c r="H158" s="122"/>
      <c r="I158" s="109">
        <v>2.2</v>
      </c>
      <c r="J158" s="120">
        <v>90.0</v>
      </c>
      <c r="K158" s="120">
        <v>270.0</v>
      </c>
      <c r="L158" s="93"/>
      <c r="M158" s="93"/>
      <c r="N158" s="93"/>
      <c r="O158" s="56"/>
      <c r="P158" s="56"/>
      <c r="Q158" s="56"/>
      <c r="R158" s="56"/>
      <c r="S158" s="56"/>
      <c r="T158" s="56"/>
      <c r="U158" s="56"/>
      <c r="V158" s="56"/>
    </row>
    <row r="159" ht="18.75" customHeight="1">
      <c r="A159" s="90"/>
      <c r="B159" s="111" t="s">
        <v>873</v>
      </c>
      <c r="C159" s="118" t="s">
        <v>829</v>
      </c>
      <c r="D159" s="52">
        <v>517.6704</v>
      </c>
      <c r="E159" s="52">
        <v>558.0</v>
      </c>
      <c r="F159" s="113"/>
      <c r="G159" s="95">
        <f t="shared" si="4"/>
        <v>0.0779059417</v>
      </c>
      <c r="H159" s="114"/>
      <c r="I159" s="109">
        <v>4.88</v>
      </c>
      <c r="J159" s="120">
        <v>35.0</v>
      </c>
      <c r="K159" s="120">
        <v>140.0</v>
      </c>
      <c r="L159" s="93"/>
      <c r="M159" s="93"/>
      <c r="N159" s="93"/>
      <c r="O159" s="56"/>
      <c r="P159" s="56"/>
      <c r="Q159" s="56"/>
      <c r="R159" s="56"/>
      <c r="S159" s="56"/>
      <c r="T159" s="56"/>
      <c r="U159" s="56"/>
      <c r="V159" s="56"/>
    </row>
    <row r="160" ht="18.75" customHeight="1">
      <c r="A160" s="90"/>
      <c r="B160" s="111" t="s">
        <v>874</v>
      </c>
      <c r="C160" s="118" t="s">
        <v>663</v>
      </c>
      <c r="D160" s="52">
        <v>391.68</v>
      </c>
      <c r="E160" s="52">
        <v>424.0</v>
      </c>
      <c r="F160" s="113"/>
      <c r="G160" s="95">
        <f t="shared" si="4"/>
        <v>0.08251633987</v>
      </c>
      <c r="H160" s="122"/>
      <c r="I160" s="109">
        <v>3.68</v>
      </c>
      <c r="J160" s="120">
        <v>64.0</v>
      </c>
      <c r="K160" s="120">
        <v>256.0</v>
      </c>
      <c r="L160" s="93"/>
      <c r="M160" s="93"/>
      <c r="N160" s="93"/>
      <c r="O160" s="56"/>
      <c r="P160" s="56"/>
      <c r="Q160" s="56"/>
      <c r="R160" s="56"/>
      <c r="S160" s="56"/>
      <c r="T160" s="56"/>
      <c r="U160" s="56"/>
      <c r="V160" s="56"/>
    </row>
    <row r="161" ht="18.75" customHeight="1">
      <c r="A161" s="90"/>
      <c r="B161" s="111" t="s">
        <v>875</v>
      </c>
      <c r="C161" s="118" t="s">
        <v>690</v>
      </c>
      <c r="D161" s="52">
        <v>401.88</v>
      </c>
      <c r="E161" s="52">
        <v>434.0</v>
      </c>
      <c r="F161" s="113"/>
      <c r="G161" s="95">
        <f t="shared" si="4"/>
        <v>0.07992435553</v>
      </c>
      <c r="H161" s="122"/>
      <c r="I161" s="109">
        <v>3.68</v>
      </c>
      <c r="J161" s="120">
        <v>64.0</v>
      </c>
      <c r="K161" s="120">
        <v>256.0</v>
      </c>
      <c r="L161" s="93"/>
      <c r="M161" s="93"/>
      <c r="N161" s="93"/>
      <c r="O161" s="56"/>
      <c r="P161" s="56"/>
      <c r="Q161" s="56"/>
      <c r="R161" s="56"/>
      <c r="S161" s="56"/>
      <c r="T161" s="56"/>
      <c r="U161" s="56"/>
      <c r="V161" s="56"/>
    </row>
    <row r="162" ht="18.75" customHeight="1">
      <c r="A162" s="90"/>
      <c r="B162" s="111" t="s">
        <v>876</v>
      </c>
      <c r="C162" s="118" t="s">
        <v>710</v>
      </c>
      <c r="D162" s="52">
        <v>668.3040000000001</v>
      </c>
      <c r="E162" s="52">
        <v>722.0</v>
      </c>
      <c r="F162" s="113"/>
      <c r="G162" s="95">
        <f t="shared" si="4"/>
        <v>0.08034666858</v>
      </c>
      <c r="H162" s="114"/>
      <c r="I162" s="109">
        <v>6.3</v>
      </c>
      <c r="J162" s="120">
        <v>30.0</v>
      </c>
      <c r="K162" s="120">
        <v>120.0</v>
      </c>
      <c r="L162" s="93"/>
      <c r="M162" s="93"/>
      <c r="N162" s="93"/>
      <c r="O162" s="56"/>
      <c r="P162" s="56"/>
      <c r="Q162" s="56"/>
      <c r="R162" s="56"/>
      <c r="S162" s="56"/>
      <c r="T162" s="56"/>
      <c r="U162" s="56"/>
      <c r="V162" s="56"/>
    </row>
    <row r="163" ht="18.75" customHeight="1">
      <c r="A163" s="90"/>
      <c r="B163" s="111" t="s">
        <v>877</v>
      </c>
      <c r="C163" s="118" t="s">
        <v>601</v>
      </c>
      <c r="D163" s="52">
        <v>684.0</v>
      </c>
      <c r="E163" s="52">
        <v>738.0</v>
      </c>
      <c r="F163" s="113"/>
      <c r="G163" s="95">
        <f t="shared" si="4"/>
        <v>0.07894736842</v>
      </c>
      <c r="H163" s="114"/>
      <c r="I163" s="109">
        <v>6.44</v>
      </c>
      <c r="J163" s="120">
        <v>30.0</v>
      </c>
      <c r="K163" s="120">
        <v>120.0</v>
      </c>
      <c r="L163" s="93"/>
      <c r="M163" s="93"/>
      <c r="N163" s="93"/>
      <c r="O163" s="56"/>
      <c r="P163" s="56"/>
      <c r="Q163" s="56"/>
      <c r="R163" s="56"/>
      <c r="S163" s="56"/>
      <c r="T163" s="56"/>
      <c r="U163" s="56"/>
      <c r="V163" s="56"/>
    </row>
    <row r="164" ht="18.75" customHeight="1">
      <c r="A164" s="90"/>
      <c r="B164" s="111" t="s">
        <v>884</v>
      </c>
      <c r="C164" s="118" t="s">
        <v>731</v>
      </c>
      <c r="D164" s="52">
        <v>395.76</v>
      </c>
      <c r="E164" s="52">
        <v>428.0</v>
      </c>
      <c r="F164" s="113"/>
      <c r="G164" s="95">
        <f t="shared" si="4"/>
        <v>0.08146351324</v>
      </c>
      <c r="H164" s="122"/>
      <c r="I164" s="109">
        <v>3.72</v>
      </c>
      <c r="J164" s="120">
        <v>66.0</v>
      </c>
      <c r="K164" s="120">
        <v>198.0</v>
      </c>
      <c r="L164" s="93"/>
      <c r="M164" s="93"/>
      <c r="N164" s="93"/>
      <c r="O164" s="56"/>
      <c r="P164" s="56"/>
      <c r="Q164" s="56"/>
      <c r="R164" s="56"/>
      <c r="S164" s="56"/>
      <c r="T164" s="56"/>
      <c r="U164" s="56"/>
      <c r="V164" s="56"/>
    </row>
    <row r="165" ht="18.75" customHeight="1">
      <c r="A165" s="90"/>
      <c r="B165" s="123" t="s">
        <v>885</v>
      </c>
      <c r="C165" s="124" t="s">
        <v>712</v>
      </c>
      <c r="D165" s="52">
        <v>1550.4</v>
      </c>
      <c r="E165" s="52">
        <v>1674.0</v>
      </c>
      <c r="F165" s="113"/>
      <c r="G165" s="95">
        <f t="shared" si="4"/>
        <v>0.07972136223</v>
      </c>
      <c r="H165" s="114"/>
      <c r="I165" s="109">
        <v>10.0</v>
      </c>
      <c r="J165" s="120">
        <v>14.0</v>
      </c>
      <c r="K165" s="120">
        <v>56.0</v>
      </c>
      <c r="L165" s="93"/>
      <c r="M165" s="93"/>
      <c r="N165" s="93"/>
      <c r="O165" s="56"/>
      <c r="P165" s="56"/>
      <c r="Q165" s="56"/>
      <c r="R165" s="56"/>
      <c r="S165" s="56"/>
      <c r="T165" s="56"/>
      <c r="U165" s="56"/>
      <c r="V165" s="56"/>
    </row>
    <row r="166" ht="18.75" customHeight="1">
      <c r="A166" s="90"/>
      <c r="B166" s="149"/>
      <c r="C166" s="150"/>
      <c r="D166" s="151"/>
      <c r="E166" s="109"/>
      <c r="F166" s="110"/>
      <c r="G166" s="95" t="str">
        <f t="shared" si="4"/>
        <v/>
      </c>
      <c r="H166" s="96"/>
      <c r="I166" s="93"/>
      <c r="J166" s="115"/>
      <c r="K166" s="115"/>
      <c r="L166" s="93"/>
      <c r="M166" s="93"/>
      <c r="N166" s="93"/>
      <c r="O166" s="56"/>
      <c r="P166" s="56"/>
      <c r="Q166" s="56"/>
      <c r="R166" s="56"/>
      <c r="S166" s="56"/>
      <c r="T166" s="56"/>
      <c r="U166" s="56"/>
      <c r="V166" s="56"/>
    </row>
    <row r="167" ht="18.75" customHeight="1">
      <c r="A167" s="90"/>
      <c r="B167" s="107" t="s">
        <v>937</v>
      </c>
      <c r="C167" s="108"/>
      <c r="D167" s="109"/>
      <c r="E167" s="109"/>
      <c r="F167" s="113"/>
      <c r="G167" s="95" t="str">
        <f t="shared" si="4"/>
        <v/>
      </c>
      <c r="H167" s="96"/>
      <c r="I167" s="93"/>
      <c r="J167" s="115"/>
      <c r="K167" s="115"/>
      <c r="L167" s="134"/>
      <c r="M167" s="93"/>
      <c r="N167" s="93"/>
      <c r="O167" s="56"/>
      <c r="P167" s="56"/>
      <c r="Q167" s="56"/>
      <c r="R167" s="56"/>
      <c r="S167" s="56"/>
      <c r="T167" s="56"/>
      <c r="U167" s="56"/>
      <c r="V167" s="56"/>
    </row>
    <row r="168" ht="18.75" customHeight="1">
      <c r="A168" s="90">
        <v>1.0</v>
      </c>
      <c r="B168" s="111" t="s">
        <v>886</v>
      </c>
      <c r="C168" s="118" t="s">
        <v>887</v>
      </c>
      <c r="D168" s="152">
        <v>218.28</v>
      </c>
      <c r="E168" s="152">
        <v>228.0</v>
      </c>
      <c r="F168" s="110"/>
      <c r="G168" s="95">
        <f t="shared" si="4"/>
        <v>0.04452996152</v>
      </c>
      <c r="H168" s="122"/>
      <c r="I168" s="120"/>
      <c r="J168" s="115">
        <v>108.0</v>
      </c>
      <c r="K168" s="115">
        <v>324.0</v>
      </c>
      <c r="L168" s="120"/>
      <c r="M168" s="93"/>
      <c r="N168" s="93"/>
      <c r="O168" s="56"/>
      <c r="P168" s="56"/>
      <c r="Q168" s="56"/>
      <c r="R168" s="56"/>
      <c r="S168" s="56"/>
      <c r="T168" s="56"/>
      <c r="U168" s="56"/>
      <c r="V168" s="56"/>
    </row>
    <row r="169" ht="18.75" customHeight="1">
      <c r="A169" s="90"/>
      <c r="B169" s="111" t="s">
        <v>888</v>
      </c>
      <c r="C169" s="118" t="s">
        <v>748</v>
      </c>
      <c r="D169" s="52">
        <v>232.0</v>
      </c>
      <c r="E169" s="152">
        <v>242.0</v>
      </c>
      <c r="F169" s="110"/>
      <c r="G169" s="95">
        <f t="shared" si="4"/>
        <v>0.04310344828</v>
      </c>
      <c r="H169" s="122"/>
      <c r="I169" s="120"/>
      <c r="J169" s="115"/>
      <c r="K169" s="115"/>
      <c r="L169" s="120"/>
      <c r="M169" s="93"/>
      <c r="N169" s="93"/>
      <c r="O169" s="56"/>
      <c r="P169" s="56"/>
      <c r="Q169" s="56"/>
      <c r="R169" s="56"/>
      <c r="S169" s="56"/>
      <c r="T169" s="56"/>
      <c r="U169" s="56"/>
      <c r="V169" s="56"/>
    </row>
    <row r="170" ht="18.75" customHeight="1">
      <c r="A170" s="90">
        <v>2.0</v>
      </c>
      <c r="B170" s="111" t="s">
        <v>889</v>
      </c>
      <c r="C170" s="118" t="s">
        <v>890</v>
      </c>
      <c r="D170" s="52">
        <v>228.48</v>
      </c>
      <c r="E170" s="52">
        <v>238.0</v>
      </c>
      <c r="F170" s="110"/>
      <c r="G170" s="95">
        <f t="shared" si="4"/>
        <v>0.04166666667</v>
      </c>
      <c r="H170" s="122"/>
      <c r="I170" s="120"/>
      <c r="J170" s="115">
        <v>132.0</v>
      </c>
      <c r="K170" s="115">
        <v>528.0</v>
      </c>
      <c r="L170" s="120"/>
      <c r="M170" s="93"/>
      <c r="N170" s="93"/>
      <c r="O170" s="56"/>
      <c r="P170" s="56"/>
      <c r="Q170" s="56"/>
      <c r="R170" s="56"/>
      <c r="S170" s="56"/>
      <c r="T170" s="56"/>
      <c r="U170" s="56"/>
      <c r="V170" s="56"/>
    </row>
    <row r="171" ht="18.75" customHeight="1">
      <c r="A171" s="90">
        <v>3.0</v>
      </c>
      <c r="B171" s="111" t="s">
        <v>891</v>
      </c>
      <c r="C171" s="118" t="s">
        <v>798</v>
      </c>
      <c r="D171" s="52">
        <v>252.0</v>
      </c>
      <c r="E171" s="52">
        <v>272.0</v>
      </c>
      <c r="F171" s="110"/>
      <c r="G171" s="95">
        <f t="shared" si="4"/>
        <v>0.07936507937</v>
      </c>
      <c r="H171" s="122"/>
      <c r="I171" s="115">
        <v>2.36</v>
      </c>
      <c r="J171" s="115">
        <v>60.0</v>
      </c>
      <c r="K171" s="115">
        <v>240.0</v>
      </c>
      <c r="L171" s="120"/>
      <c r="M171" s="93"/>
      <c r="N171" s="93"/>
      <c r="O171" s="56"/>
      <c r="P171" s="56"/>
      <c r="Q171" s="56"/>
      <c r="R171" s="56"/>
      <c r="S171" s="56"/>
      <c r="T171" s="56"/>
      <c r="U171" s="56"/>
      <c r="V171" s="56"/>
    </row>
    <row r="172" ht="18.75" customHeight="1">
      <c r="A172" s="90">
        <v>4.0</v>
      </c>
      <c r="B172" s="111" t="s">
        <v>893</v>
      </c>
      <c r="C172" s="118" t="s">
        <v>306</v>
      </c>
      <c r="D172" s="52">
        <v>262.0</v>
      </c>
      <c r="E172" s="52">
        <v>284.0</v>
      </c>
      <c r="F172" s="110"/>
      <c r="G172" s="95">
        <f t="shared" si="4"/>
        <v>0.08396946565</v>
      </c>
      <c r="H172" s="122"/>
      <c r="I172" s="109">
        <v>2.46</v>
      </c>
      <c r="J172" s="120">
        <v>46.0</v>
      </c>
      <c r="K172" s="120">
        <v>184.0</v>
      </c>
      <c r="L172" s="120"/>
      <c r="M172" s="93"/>
      <c r="N172" s="93"/>
      <c r="O172" s="56"/>
      <c r="P172" s="56"/>
      <c r="Q172" s="56"/>
      <c r="R172" s="56"/>
      <c r="S172" s="56"/>
      <c r="T172" s="56"/>
      <c r="U172" s="56"/>
      <c r="V172" s="56"/>
    </row>
    <row r="173" ht="18.75" customHeight="1">
      <c r="A173" s="90">
        <v>5.0</v>
      </c>
      <c r="B173" s="153" t="s">
        <v>894</v>
      </c>
      <c r="C173" s="118" t="s">
        <v>801</v>
      </c>
      <c r="D173" s="52">
        <v>303.96</v>
      </c>
      <c r="E173" s="52">
        <v>328.0</v>
      </c>
      <c r="F173" s="110"/>
      <c r="G173" s="95">
        <f t="shared" si="4"/>
        <v>0.07908935386</v>
      </c>
      <c r="H173" s="114"/>
      <c r="I173" s="115">
        <v>2.88</v>
      </c>
      <c r="J173" s="115">
        <v>60.0</v>
      </c>
      <c r="K173" s="115">
        <v>240.0</v>
      </c>
      <c r="L173" s="120"/>
      <c r="M173" s="93"/>
      <c r="N173" s="93"/>
      <c r="O173" s="56"/>
      <c r="P173" s="56"/>
      <c r="Q173" s="56"/>
      <c r="R173" s="56"/>
      <c r="S173" s="56"/>
      <c r="T173" s="56"/>
      <c r="U173" s="56"/>
      <c r="V173" s="56"/>
    </row>
    <row r="174" ht="18.75" customHeight="1">
      <c r="A174" s="90">
        <v>6.0</v>
      </c>
      <c r="B174" s="111" t="s">
        <v>895</v>
      </c>
      <c r="C174" s="118" t="s">
        <v>896</v>
      </c>
      <c r="D174" s="52">
        <v>291.72</v>
      </c>
      <c r="E174" s="52">
        <v>316.0</v>
      </c>
      <c r="F174" s="110"/>
      <c r="G174" s="95">
        <f t="shared" si="4"/>
        <v>0.083230495</v>
      </c>
      <c r="H174" s="114"/>
      <c r="I174" s="115">
        <v>2.76</v>
      </c>
      <c r="J174" s="115">
        <v>60.0</v>
      </c>
      <c r="K174" s="115">
        <v>240.0</v>
      </c>
      <c r="L174" s="120"/>
      <c r="M174" s="93"/>
      <c r="N174" s="93"/>
      <c r="O174" s="56"/>
      <c r="P174" s="56"/>
      <c r="Q174" s="56"/>
      <c r="R174" s="56"/>
      <c r="S174" s="56"/>
      <c r="T174" s="56"/>
      <c r="U174" s="56"/>
      <c r="V174" s="56"/>
    </row>
    <row r="175" ht="18.75" customHeight="1">
      <c r="A175" s="90">
        <v>7.0</v>
      </c>
      <c r="B175" s="111" t="s">
        <v>897</v>
      </c>
      <c r="C175" s="118" t="s">
        <v>339</v>
      </c>
      <c r="D175" s="52">
        <v>303.96</v>
      </c>
      <c r="E175" s="52">
        <v>328.0</v>
      </c>
      <c r="F175" s="110"/>
      <c r="G175" s="95">
        <f t="shared" si="4"/>
        <v>0.07908935386</v>
      </c>
      <c r="H175" s="114"/>
      <c r="I175" s="109">
        <v>2.86</v>
      </c>
      <c r="J175" s="120">
        <v>46.0</v>
      </c>
      <c r="K175" s="120">
        <v>184.0</v>
      </c>
      <c r="L175" s="120"/>
      <c r="M175" s="93"/>
      <c r="N175" s="93"/>
      <c r="O175" s="56"/>
      <c r="P175" s="56"/>
      <c r="Q175" s="56"/>
      <c r="R175" s="56"/>
      <c r="S175" s="56"/>
      <c r="T175" s="56"/>
      <c r="U175" s="56"/>
      <c r="V175" s="56"/>
    </row>
    <row r="176" ht="18.75" customHeight="1">
      <c r="A176" s="90">
        <v>8.0</v>
      </c>
      <c r="B176" s="111" t="s">
        <v>899</v>
      </c>
      <c r="C176" s="118" t="s">
        <v>617</v>
      </c>
      <c r="D176" s="52">
        <v>293.76</v>
      </c>
      <c r="E176" s="52">
        <v>318.0</v>
      </c>
      <c r="F176" s="110"/>
      <c r="G176" s="95">
        <f t="shared" si="4"/>
        <v>0.08251633987</v>
      </c>
      <c r="H176" s="114"/>
      <c r="I176" s="115">
        <v>2.78</v>
      </c>
      <c r="J176" s="115">
        <v>66.0</v>
      </c>
      <c r="K176" s="115">
        <v>198.0</v>
      </c>
      <c r="L176" s="120"/>
      <c r="M176" s="93"/>
      <c r="N176" s="93"/>
      <c r="O176" s="56"/>
      <c r="P176" s="56"/>
      <c r="Q176" s="56"/>
      <c r="R176" s="56"/>
      <c r="S176" s="56"/>
      <c r="T176" s="56"/>
      <c r="U176" s="56"/>
      <c r="V176" s="56"/>
    </row>
    <row r="177" ht="18.75" customHeight="1">
      <c r="A177" s="90">
        <v>9.0</v>
      </c>
      <c r="B177" s="153" t="s">
        <v>900</v>
      </c>
      <c r="C177" s="118" t="s">
        <v>901</v>
      </c>
      <c r="D177" s="52">
        <v>252.4704</v>
      </c>
      <c r="E177" s="52">
        <v>274.0</v>
      </c>
      <c r="F177" s="110"/>
      <c r="G177" s="95">
        <f t="shared" si="4"/>
        <v>0.08527573925</v>
      </c>
      <c r="H177" s="122"/>
      <c r="I177" s="115">
        <v>2.38</v>
      </c>
      <c r="J177" s="115">
        <v>66.0</v>
      </c>
      <c r="K177" s="115">
        <v>198.0</v>
      </c>
      <c r="L177" s="120"/>
      <c r="M177" s="93"/>
      <c r="N177" s="93"/>
      <c r="O177" s="56"/>
      <c r="P177" s="56"/>
      <c r="Q177" s="56"/>
      <c r="R177" s="56"/>
      <c r="S177" s="56"/>
      <c r="T177" s="56"/>
      <c r="U177" s="56"/>
      <c r="V177" s="56"/>
    </row>
    <row r="178" ht="18.75" customHeight="1">
      <c r="A178" s="90">
        <v>10.0</v>
      </c>
      <c r="B178" s="111" t="s">
        <v>902</v>
      </c>
      <c r="C178" s="118" t="s">
        <v>808</v>
      </c>
      <c r="D178" s="52">
        <v>518.16</v>
      </c>
      <c r="E178" s="52">
        <v>558.0</v>
      </c>
      <c r="F178" s="110"/>
      <c r="G178" s="95">
        <f t="shared" si="4"/>
        <v>0.07688744789</v>
      </c>
      <c r="H178" s="114"/>
      <c r="I178" s="115">
        <v>4.86</v>
      </c>
      <c r="J178" s="115">
        <v>24.0</v>
      </c>
      <c r="K178" s="115">
        <v>96.0</v>
      </c>
      <c r="L178" s="120"/>
      <c r="M178" s="93"/>
      <c r="N178" s="93"/>
      <c r="O178" s="56"/>
      <c r="P178" s="56"/>
      <c r="Q178" s="56"/>
      <c r="R178" s="56"/>
      <c r="S178" s="56"/>
      <c r="T178" s="56"/>
      <c r="U178" s="56"/>
      <c r="V178" s="56"/>
    </row>
    <row r="179" ht="18.75" customHeight="1">
      <c r="A179" s="90">
        <v>11.0</v>
      </c>
      <c r="B179" s="111" t="s">
        <v>903</v>
      </c>
      <c r="C179" s="118" t="s">
        <v>904</v>
      </c>
      <c r="D179" s="52">
        <v>316.1184</v>
      </c>
      <c r="E179" s="52">
        <v>342.0</v>
      </c>
      <c r="F179" s="110"/>
      <c r="G179" s="95">
        <f t="shared" si="4"/>
        <v>0.08187312096</v>
      </c>
      <c r="H179" s="114"/>
      <c r="I179" s="115">
        <v>2.98</v>
      </c>
      <c r="J179" s="115">
        <v>60.0</v>
      </c>
      <c r="K179" s="115">
        <v>240.0</v>
      </c>
      <c r="L179" s="120"/>
      <c r="M179" s="93"/>
      <c r="N179" s="93"/>
      <c r="O179" s="56"/>
      <c r="P179" s="56"/>
      <c r="Q179" s="56"/>
      <c r="R179" s="56"/>
      <c r="S179" s="56"/>
      <c r="T179" s="56"/>
      <c r="U179" s="56"/>
      <c r="V179" s="56"/>
    </row>
    <row r="180" ht="18.75" customHeight="1">
      <c r="A180" s="90">
        <v>12.0</v>
      </c>
      <c r="B180" s="111" t="s">
        <v>905</v>
      </c>
      <c r="C180" s="118" t="s">
        <v>906</v>
      </c>
      <c r="D180" s="52">
        <v>362.0</v>
      </c>
      <c r="E180" s="52">
        <v>392.0</v>
      </c>
      <c r="F180" s="110"/>
      <c r="G180" s="95">
        <f t="shared" si="4"/>
        <v>0.08287292818</v>
      </c>
      <c r="H180" s="114"/>
      <c r="I180" s="115">
        <v>3.38</v>
      </c>
      <c r="J180" s="115">
        <v>30.0</v>
      </c>
      <c r="K180" s="115">
        <v>120.0</v>
      </c>
      <c r="L180" s="120"/>
      <c r="M180" s="93"/>
      <c r="N180" s="93"/>
      <c r="O180" s="56"/>
      <c r="P180" s="56"/>
      <c r="Q180" s="56"/>
      <c r="R180" s="56"/>
      <c r="S180" s="56"/>
      <c r="T180" s="56"/>
      <c r="U180" s="56"/>
      <c r="V180" s="56"/>
    </row>
    <row r="181" ht="18.75" customHeight="1">
      <c r="A181" s="90">
        <v>13.0</v>
      </c>
      <c r="B181" s="111" t="s">
        <v>908</v>
      </c>
      <c r="C181" s="118" t="s">
        <v>813</v>
      </c>
      <c r="D181" s="52">
        <v>682.0</v>
      </c>
      <c r="E181" s="52">
        <v>738.0</v>
      </c>
      <c r="F181" s="110"/>
      <c r="G181" s="95">
        <f t="shared" si="4"/>
        <v>0.08211143695</v>
      </c>
      <c r="H181" s="114"/>
      <c r="I181" s="115">
        <v>6.42</v>
      </c>
      <c r="J181" s="115">
        <v>13.0</v>
      </c>
      <c r="K181" s="115">
        <v>52.0</v>
      </c>
      <c r="L181" s="120"/>
      <c r="M181" s="93"/>
      <c r="N181" s="93"/>
      <c r="O181" s="56"/>
      <c r="P181" s="56"/>
      <c r="Q181" s="56"/>
      <c r="R181" s="56"/>
      <c r="S181" s="56"/>
      <c r="T181" s="56"/>
      <c r="U181" s="56"/>
      <c r="V181" s="56"/>
    </row>
    <row r="182" ht="18.75" customHeight="1">
      <c r="A182" s="90">
        <v>14.0</v>
      </c>
      <c r="B182" s="111" t="s">
        <v>909</v>
      </c>
      <c r="C182" s="118" t="s">
        <v>910</v>
      </c>
      <c r="D182" s="52">
        <v>622.0</v>
      </c>
      <c r="E182" s="52">
        <v>672.0</v>
      </c>
      <c r="F182" s="110"/>
      <c r="G182" s="95">
        <f t="shared" si="4"/>
        <v>0.08038585209</v>
      </c>
      <c r="H182" s="114"/>
      <c r="I182" s="115">
        <v>5.86</v>
      </c>
      <c r="J182" s="115">
        <v>30.0</v>
      </c>
      <c r="K182" s="115">
        <v>120.0</v>
      </c>
      <c r="L182" s="120"/>
      <c r="M182" s="93"/>
      <c r="N182" s="93"/>
      <c r="O182" s="56"/>
      <c r="P182" s="56"/>
      <c r="Q182" s="56"/>
      <c r="R182" s="56"/>
      <c r="S182" s="56"/>
      <c r="T182" s="56"/>
      <c r="U182" s="56"/>
      <c r="V182" s="56"/>
    </row>
    <row r="183" ht="18.75" customHeight="1">
      <c r="A183" s="90">
        <v>15.0</v>
      </c>
      <c r="B183" s="111" t="s">
        <v>911</v>
      </c>
      <c r="C183" s="118" t="s">
        <v>815</v>
      </c>
      <c r="D183" s="52">
        <v>691.6416</v>
      </c>
      <c r="E183" s="52">
        <v>748.0</v>
      </c>
      <c r="F183" s="110"/>
      <c r="G183" s="95">
        <f t="shared" si="4"/>
        <v>0.08148497719</v>
      </c>
      <c r="H183" s="114"/>
      <c r="I183" s="120">
        <v>6.0</v>
      </c>
      <c r="J183" s="115">
        <v>13.0</v>
      </c>
      <c r="K183" s="115">
        <v>52.0</v>
      </c>
      <c r="L183" s="120"/>
      <c r="M183" s="93"/>
      <c r="N183" s="93"/>
      <c r="O183" s="56"/>
      <c r="P183" s="56"/>
      <c r="Q183" s="56"/>
      <c r="R183" s="56"/>
      <c r="S183" s="56"/>
      <c r="T183" s="56"/>
      <c r="U183" s="56"/>
      <c r="V183" s="56"/>
    </row>
    <row r="184" ht="18.75" customHeight="1">
      <c r="A184" s="90">
        <v>16.0</v>
      </c>
      <c r="B184" s="111" t="s">
        <v>912</v>
      </c>
      <c r="C184" s="118" t="s">
        <v>913</v>
      </c>
      <c r="D184" s="52">
        <v>1244.4</v>
      </c>
      <c r="E184" s="52">
        <v>1344.0</v>
      </c>
      <c r="F184" s="110"/>
      <c r="G184" s="95">
        <f t="shared" si="4"/>
        <v>0.08003857281</v>
      </c>
      <c r="H184" s="114"/>
      <c r="I184" s="120">
        <v>10.0</v>
      </c>
      <c r="J184" s="115">
        <v>13.0</v>
      </c>
      <c r="K184" s="115">
        <v>52.0</v>
      </c>
      <c r="L184" s="120"/>
      <c r="M184" s="93"/>
      <c r="N184" s="93"/>
      <c r="O184" s="56"/>
      <c r="P184" s="56"/>
      <c r="Q184" s="56"/>
      <c r="R184" s="56"/>
      <c r="S184" s="56"/>
      <c r="T184" s="56"/>
      <c r="U184" s="56"/>
      <c r="V184" s="56"/>
    </row>
    <row r="185" ht="18.75" customHeight="1">
      <c r="A185" s="90"/>
      <c r="B185" s="111" t="s">
        <v>914</v>
      </c>
      <c r="C185" s="118" t="s">
        <v>523</v>
      </c>
      <c r="D185" s="52">
        <v>1927.8</v>
      </c>
      <c r="E185" s="52">
        <v>2082.0</v>
      </c>
      <c r="F185" s="110"/>
      <c r="G185" s="95">
        <f t="shared" si="4"/>
        <v>0.07998755058</v>
      </c>
      <c r="H185" s="114"/>
      <c r="I185" s="120"/>
      <c r="J185" s="115"/>
      <c r="K185" s="115"/>
      <c r="L185" s="120"/>
      <c r="M185" s="93"/>
      <c r="N185" s="93"/>
      <c r="O185" s="56"/>
      <c r="P185" s="56"/>
      <c r="Q185" s="56"/>
      <c r="R185" s="56"/>
      <c r="S185" s="56"/>
      <c r="T185" s="56"/>
      <c r="U185" s="56"/>
      <c r="V185" s="56"/>
    </row>
    <row r="186" ht="18.75" customHeight="1">
      <c r="A186" s="90">
        <v>17.0</v>
      </c>
      <c r="B186" s="111" t="s">
        <v>915</v>
      </c>
      <c r="C186" s="118" t="s">
        <v>734</v>
      </c>
      <c r="D186" s="52">
        <v>1621.8</v>
      </c>
      <c r="E186" s="52">
        <v>1752.0</v>
      </c>
      <c r="F186" s="110"/>
      <c r="G186" s="95">
        <f t="shared" si="4"/>
        <v>0.08028116907</v>
      </c>
      <c r="H186" s="122"/>
      <c r="I186" s="115">
        <v>15.4</v>
      </c>
      <c r="J186" s="115">
        <v>6.0</v>
      </c>
      <c r="K186" s="115">
        <v>24.0</v>
      </c>
      <c r="L186" s="120"/>
      <c r="M186" s="93"/>
      <c r="N186" s="93"/>
      <c r="O186" s="56"/>
      <c r="P186" s="56"/>
      <c r="Q186" s="56"/>
      <c r="R186" s="56"/>
      <c r="S186" s="56"/>
      <c r="T186" s="56"/>
      <c r="U186" s="56"/>
      <c r="V186" s="56"/>
    </row>
    <row r="187" ht="18.75" customHeight="1">
      <c r="A187" s="90">
        <v>18.0</v>
      </c>
      <c r="B187" s="111" t="s">
        <v>917</v>
      </c>
      <c r="C187" s="118" t="s">
        <v>918</v>
      </c>
      <c r="D187" s="52">
        <v>224.0</v>
      </c>
      <c r="E187" s="52">
        <v>242.0</v>
      </c>
      <c r="F187" s="110"/>
      <c r="G187" s="95">
        <f t="shared" si="4"/>
        <v>0.08035714286</v>
      </c>
      <c r="H187" s="122"/>
      <c r="I187" s="115">
        <v>2.1</v>
      </c>
      <c r="J187" s="115">
        <v>132.0</v>
      </c>
      <c r="K187" s="115">
        <v>264.0</v>
      </c>
      <c r="L187" s="120"/>
      <c r="M187" s="93"/>
      <c r="N187" s="93"/>
      <c r="O187" s="56"/>
      <c r="P187" s="56"/>
      <c r="Q187" s="56"/>
      <c r="R187" s="56"/>
      <c r="S187" s="56"/>
      <c r="T187" s="56"/>
      <c r="U187" s="56"/>
      <c r="V187" s="56"/>
    </row>
    <row r="188" ht="18.75" customHeight="1">
      <c r="A188" s="90">
        <v>19.0</v>
      </c>
      <c r="B188" s="111" t="s">
        <v>919</v>
      </c>
      <c r="C188" s="118" t="s">
        <v>920</v>
      </c>
      <c r="D188" s="52">
        <v>224.0</v>
      </c>
      <c r="E188" s="52">
        <v>242.0</v>
      </c>
      <c r="F188" s="110"/>
      <c r="G188" s="95">
        <f t="shared" si="4"/>
        <v>0.08035714286</v>
      </c>
      <c r="H188" s="122"/>
      <c r="I188" s="115">
        <v>2.1</v>
      </c>
      <c r="J188" s="115">
        <v>132.0</v>
      </c>
      <c r="K188" s="115">
        <v>264.0</v>
      </c>
      <c r="L188" s="120"/>
      <c r="M188" s="93"/>
      <c r="N188" s="93"/>
      <c r="O188" s="56"/>
      <c r="P188" s="56"/>
      <c r="Q188" s="56"/>
      <c r="R188" s="56"/>
      <c r="S188" s="56"/>
      <c r="T188" s="56"/>
      <c r="U188" s="56"/>
      <c r="V188" s="56"/>
    </row>
    <row r="189" ht="18.75" customHeight="1">
      <c r="A189" s="90">
        <v>20.0</v>
      </c>
      <c r="B189" s="111" t="s">
        <v>921</v>
      </c>
      <c r="C189" s="118" t="s">
        <v>922</v>
      </c>
      <c r="D189" s="52">
        <v>236.0</v>
      </c>
      <c r="E189" s="52">
        <v>256.0</v>
      </c>
      <c r="F189" s="110"/>
      <c r="G189" s="95">
        <f t="shared" si="4"/>
        <v>0.08474576271</v>
      </c>
      <c r="H189" s="122"/>
      <c r="I189" s="115">
        <v>2.2</v>
      </c>
      <c r="J189" s="115">
        <v>132.0</v>
      </c>
      <c r="K189" s="115">
        <v>264.0</v>
      </c>
      <c r="L189" s="120"/>
      <c r="M189" s="93"/>
      <c r="N189" s="93"/>
      <c r="O189" s="56"/>
      <c r="P189" s="56"/>
      <c r="Q189" s="56"/>
      <c r="R189" s="56"/>
      <c r="S189" s="56"/>
      <c r="T189" s="56"/>
      <c r="U189" s="56"/>
      <c r="V189" s="56"/>
    </row>
    <row r="190" ht="18.75" customHeight="1">
      <c r="A190" s="90">
        <v>21.0</v>
      </c>
      <c r="B190" s="111" t="s">
        <v>923</v>
      </c>
      <c r="C190" s="118" t="s">
        <v>924</v>
      </c>
      <c r="D190" s="52">
        <v>216.4032</v>
      </c>
      <c r="E190" s="52">
        <v>234.0</v>
      </c>
      <c r="F190" s="110"/>
      <c r="G190" s="95">
        <f t="shared" si="4"/>
        <v>0.08131487889</v>
      </c>
      <c r="H190" s="122"/>
      <c r="I190" s="120"/>
      <c r="J190" s="115">
        <v>132.0</v>
      </c>
      <c r="K190" s="115">
        <v>264.0</v>
      </c>
      <c r="L190" s="120"/>
      <c r="M190" s="93"/>
      <c r="N190" s="93"/>
      <c r="O190" s="56"/>
      <c r="P190" s="56"/>
      <c r="Q190" s="56"/>
      <c r="R190" s="56"/>
      <c r="S190" s="56"/>
      <c r="T190" s="56"/>
      <c r="U190" s="56"/>
      <c r="V190" s="56"/>
    </row>
    <row r="191" ht="18.75" customHeight="1">
      <c r="A191" s="90">
        <v>22.0</v>
      </c>
      <c r="B191" s="111" t="s">
        <v>925</v>
      </c>
      <c r="C191" s="118" t="s">
        <v>359</v>
      </c>
      <c r="D191" s="52">
        <v>472.0</v>
      </c>
      <c r="E191" s="52">
        <v>508.0</v>
      </c>
      <c r="F191" s="110"/>
      <c r="G191" s="95">
        <f t="shared" si="4"/>
        <v>0.07627118644</v>
      </c>
      <c r="H191" s="122"/>
      <c r="I191" s="115">
        <v>4.42</v>
      </c>
      <c r="J191" s="115">
        <v>30.0</v>
      </c>
      <c r="K191" s="115">
        <v>120.0</v>
      </c>
      <c r="L191" s="120"/>
      <c r="M191" s="93"/>
      <c r="N191" s="93"/>
      <c r="O191" s="56"/>
      <c r="P191" s="56"/>
      <c r="Q191" s="56"/>
      <c r="R191" s="56"/>
      <c r="S191" s="56"/>
      <c r="T191" s="56"/>
      <c r="U191" s="56"/>
      <c r="V191" s="56"/>
    </row>
    <row r="192" ht="18.75" customHeight="1">
      <c r="A192" s="90">
        <v>23.0</v>
      </c>
      <c r="B192" s="111" t="s">
        <v>927</v>
      </c>
      <c r="C192" s="118" t="s">
        <v>928</v>
      </c>
      <c r="D192" s="52">
        <v>362.0</v>
      </c>
      <c r="E192" s="52">
        <v>392.0</v>
      </c>
      <c r="F192" s="110"/>
      <c r="G192" s="95">
        <f t="shared" si="4"/>
        <v>0.08287292818</v>
      </c>
      <c r="H192" s="122"/>
      <c r="I192" s="115">
        <v>3.4</v>
      </c>
      <c r="J192" s="115">
        <v>64.0</v>
      </c>
      <c r="K192" s="115">
        <v>256.0</v>
      </c>
      <c r="L192" s="120"/>
      <c r="M192" s="93"/>
      <c r="N192" s="93"/>
      <c r="O192" s="56"/>
      <c r="P192" s="56"/>
      <c r="Q192" s="56"/>
      <c r="R192" s="56"/>
      <c r="S192" s="56"/>
      <c r="T192" s="56"/>
      <c r="U192" s="56"/>
      <c r="V192" s="56"/>
    </row>
    <row r="193" ht="18.75" customHeight="1">
      <c r="A193" s="90">
        <v>24.0</v>
      </c>
      <c r="B193" s="111" t="s">
        <v>929</v>
      </c>
      <c r="C193" s="118" t="s">
        <v>930</v>
      </c>
      <c r="D193" s="52">
        <v>372.0</v>
      </c>
      <c r="E193" s="52">
        <v>402.0</v>
      </c>
      <c r="F193" s="110"/>
      <c r="G193" s="95">
        <f t="shared" si="4"/>
        <v>0.08064516129</v>
      </c>
      <c r="H193" s="122"/>
      <c r="I193" s="115">
        <v>3.48</v>
      </c>
      <c r="J193" s="115">
        <v>64.0</v>
      </c>
      <c r="K193" s="115">
        <v>256.0</v>
      </c>
      <c r="L193" s="120"/>
      <c r="M193" s="93"/>
      <c r="N193" s="93"/>
      <c r="O193" s="56"/>
      <c r="P193" s="56"/>
      <c r="Q193" s="56"/>
      <c r="R193" s="56"/>
      <c r="S193" s="56"/>
      <c r="T193" s="56"/>
      <c r="U193" s="56"/>
      <c r="V193" s="56"/>
    </row>
    <row r="194" ht="18.75" customHeight="1">
      <c r="A194" s="90">
        <v>25.0</v>
      </c>
      <c r="B194" s="153" t="s">
        <v>847</v>
      </c>
      <c r="C194" s="118" t="s">
        <v>678</v>
      </c>
      <c r="D194" s="52">
        <v>1256.0</v>
      </c>
      <c r="E194" s="52">
        <v>1356.0</v>
      </c>
      <c r="F194" s="110"/>
      <c r="G194" s="95">
        <f t="shared" si="4"/>
        <v>0.07961783439</v>
      </c>
      <c r="H194" s="114"/>
      <c r="I194" s="120">
        <v>10.0</v>
      </c>
      <c r="J194" s="115">
        <v>64.0</v>
      </c>
      <c r="K194" s="115">
        <v>128.0</v>
      </c>
      <c r="L194" s="120"/>
      <c r="M194" s="93"/>
      <c r="N194" s="93"/>
      <c r="O194" s="56"/>
      <c r="P194" s="56"/>
      <c r="Q194" s="56"/>
      <c r="R194" s="56"/>
      <c r="S194" s="56"/>
      <c r="T194" s="56"/>
      <c r="U194" s="56"/>
      <c r="V194" s="56"/>
    </row>
    <row r="195" ht="18.75" customHeight="1">
      <c r="A195" s="90">
        <v>26.0</v>
      </c>
      <c r="B195" s="153" t="s">
        <v>849</v>
      </c>
      <c r="C195" s="118" t="s">
        <v>693</v>
      </c>
      <c r="D195" s="52">
        <v>1276.0</v>
      </c>
      <c r="E195" s="52">
        <v>1378.0</v>
      </c>
      <c r="F195" s="110"/>
      <c r="G195" s="95">
        <f t="shared" si="4"/>
        <v>0.07993730408</v>
      </c>
      <c r="H195" s="114"/>
      <c r="I195" s="120">
        <v>10.0</v>
      </c>
      <c r="J195" s="115">
        <v>64.0</v>
      </c>
      <c r="K195" s="115">
        <v>128.0</v>
      </c>
      <c r="L195" s="120"/>
      <c r="M195" s="93"/>
      <c r="N195" s="93"/>
      <c r="O195" s="56"/>
      <c r="P195" s="56"/>
      <c r="Q195" s="56"/>
      <c r="R195" s="56"/>
      <c r="S195" s="56"/>
      <c r="T195" s="56"/>
      <c r="U195" s="56"/>
      <c r="V195" s="56"/>
    </row>
    <row r="196" ht="18.75" customHeight="1">
      <c r="A196" s="90">
        <v>27.0</v>
      </c>
      <c r="B196" s="111" t="s">
        <v>931</v>
      </c>
      <c r="C196" s="118" t="s">
        <v>710</v>
      </c>
      <c r="D196" s="52">
        <v>632.0</v>
      </c>
      <c r="E196" s="52">
        <v>684.0</v>
      </c>
      <c r="F196" s="110"/>
      <c r="G196" s="95">
        <f t="shared" si="4"/>
        <v>0.08227848101</v>
      </c>
      <c r="H196" s="114"/>
      <c r="I196" s="120">
        <v>5.0</v>
      </c>
      <c r="J196" s="115">
        <v>30.0</v>
      </c>
      <c r="K196" s="115">
        <v>120.0</v>
      </c>
      <c r="L196" s="120"/>
      <c r="M196" s="93"/>
      <c r="N196" s="93"/>
      <c r="O196" s="56"/>
      <c r="P196" s="56"/>
      <c r="Q196" s="56"/>
      <c r="R196" s="56"/>
      <c r="S196" s="56"/>
      <c r="T196" s="56"/>
      <c r="U196" s="56"/>
      <c r="V196" s="56"/>
    </row>
    <row r="197" ht="18.75" customHeight="1">
      <c r="A197" s="90">
        <v>28.0</v>
      </c>
      <c r="B197" s="153" t="s">
        <v>932</v>
      </c>
      <c r="C197" s="118" t="s">
        <v>601</v>
      </c>
      <c r="D197" s="52">
        <v>668.0</v>
      </c>
      <c r="E197" s="52">
        <v>722.0</v>
      </c>
      <c r="F197" s="110"/>
      <c r="G197" s="95">
        <f t="shared" si="4"/>
        <v>0.08083832335</v>
      </c>
      <c r="H197" s="114"/>
      <c r="I197" s="120">
        <v>5.0</v>
      </c>
      <c r="J197" s="115">
        <v>30.0</v>
      </c>
      <c r="K197" s="115">
        <v>120.0</v>
      </c>
      <c r="L197" s="120"/>
      <c r="M197" s="93"/>
      <c r="N197" s="93"/>
      <c r="O197" s="56"/>
      <c r="P197" s="56"/>
      <c r="Q197" s="56"/>
      <c r="R197" s="56"/>
      <c r="S197" s="56"/>
      <c r="T197" s="56"/>
      <c r="U197" s="56"/>
      <c r="V197" s="56"/>
    </row>
    <row r="198" ht="18.75" customHeight="1">
      <c r="A198" s="90">
        <v>29.0</v>
      </c>
      <c r="B198" s="111" t="s">
        <v>933</v>
      </c>
      <c r="C198" s="118" t="s">
        <v>731</v>
      </c>
      <c r="D198" s="52">
        <v>387.6</v>
      </c>
      <c r="E198" s="52">
        <v>418.0</v>
      </c>
      <c r="F198" s="110"/>
      <c r="G198" s="95">
        <f t="shared" si="4"/>
        <v>0.07843137255</v>
      </c>
      <c r="H198" s="114"/>
      <c r="I198" s="115">
        <v>3.64</v>
      </c>
      <c r="J198" s="115">
        <v>30.0</v>
      </c>
      <c r="K198" s="115">
        <v>120.0</v>
      </c>
      <c r="L198" s="120"/>
      <c r="M198" s="93"/>
      <c r="N198" s="93"/>
      <c r="O198" s="56"/>
      <c r="P198" s="56"/>
      <c r="Q198" s="56"/>
      <c r="R198" s="56"/>
      <c r="S198" s="56"/>
      <c r="T198" s="56"/>
      <c r="U198" s="56"/>
      <c r="V198" s="56"/>
    </row>
    <row r="199" ht="18.75" customHeight="1">
      <c r="A199" s="90">
        <v>30.0</v>
      </c>
      <c r="B199" s="154" t="s">
        <v>934</v>
      </c>
      <c r="C199" s="124" t="s">
        <v>712</v>
      </c>
      <c r="D199" s="125">
        <v>1423.92</v>
      </c>
      <c r="E199" s="52">
        <v>1538.0</v>
      </c>
      <c r="F199" s="110"/>
      <c r="G199" s="95">
        <f t="shared" si="4"/>
        <v>0.0801168605</v>
      </c>
      <c r="H199" s="114"/>
      <c r="I199" s="120">
        <v>10.0</v>
      </c>
      <c r="J199" s="115">
        <v>14.0</v>
      </c>
      <c r="K199" s="115">
        <v>56.0</v>
      </c>
      <c r="L199" s="120"/>
      <c r="M199" s="93"/>
      <c r="N199" s="93"/>
      <c r="O199" s="56"/>
      <c r="P199" s="56"/>
      <c r="Q199" s="56"/>
      <c r="R199" s="56"/>
      <c r="S199" s="56"/>
      <c r="T199" s="56"/>
      <c r="U199" s="56"/>
      <c r="V199" s="56"/>
    </row>
    <row r="200" ht="18.75" customHeight="1">
      <c r="A200" s="90"/>
      <c r="B200" s="149"/>
      <c r="C200" s="150"/>
      <c r="D200" s="151"/>
      <c r="E200" s="109"/>
      <c r="F200" s="110"/>
      <c r="G200" s="95" t="str">
        <f t="shared" si="4"/>
        <v/>
      </c>
      <c r="H200" s="96"/>
      <c r="I200" s="93"/>
      <c r="J200" s="115"/>
      <c r="K200" s="115"/>
      <c r="L200" s="93"/>
      <c r="M200" s="93"/>
      <c r="N200" s="93"/>
      <c r="O200" s="56"/>
      <c r="P200" s="56"/>
      <c r="Q200" s="56"/>
      <c r="R200" s="56"/>
      <c r="S200" s="56"/>
      <c r="T200" s="56"/>
      <c r="U200" s="56"/>
      <c r="V200" s="56"/>
    </row>
    <row r="201" ht="18.75" customHeight="1">
      <c r="A201" s="90"/>
      <c r="B201" s="107" t="s">
        <v>944</v>
      </c>
      <c r="C201" s="108"/>
      <c r="D201" s="143"/>
      <c r="E201" s="109"/>
      <c r="F201" s="110"/>
      <c r="G201" s="95" t="str">
        <f t="shared" si="4"/>
        <v/>
      </c>
      <c r="H201" s="96"/>
      <c r="I201" s="93"/>
      <c r="J201" s="115"/>
      <c r="K201" s="115"/>
      <c r="L201" s="93"/>
      <c r="M201" s="93"/>
      <c r="N201" s="93"/>
      <c r="O201" s="56"/>
      <c r="P201" s="56"/>
      <c r="Q201" s="56"/>
      <c r="R201" s="56"/>
      <c r="S201" s="56"/>
      <c r="T201" s="56"/>
      <c r="U201" s="56"/>
      <c r="V201" s="56"/>
    </row>
    <row r="202" ht="18.75" customHeight="1">
      <c r="A202" s="90">
        <v>1.0</v>
      </c>
      <c r="B202" s="111">
        <v>121.0</v>
      </c>
      <c r="C202" s="112" t="s">
        <v>795</v>
      </c>
      <c r="D202" s="137">
        <v>218.28</v>
      </c>
      <c r="E202" s="52">
        <v>228.0</v>
      </c>
      <c r="F202" s="110"/>
      <c r="G202" s="95">
        <f t="shared" si="4"/>
        <v>0.04452996152</v>
      </c>
      <c r="H202" s="114"/>
      <c r="I202" s="120"/>
      <c r="J202" s="120">
        <v>108.0</v>
      </c>
      <c r="K202" s="120">
        <v>216.0</v>
      </c>
      <c r="L202" s="93"/>
      <c r="M202" s="93"/>
      <c r="N202" s="93"/>
      <c r="O202" s="56"/>
      <c r="P202" s="56"/>
      <c r="Q202" s="56"/>
      <c r="R202" s="56"/>
      <c r="S202" s="56"/>
      <c r="T202" s="56"/>
      <c r="U202" s="56"/>
      <c r="V202" s="56"/>
    </row>
    <row r="203" ht="18.75" customHeight="1">
      <c r="A203" s="90"/>
      <c r="B203" s="111" t="s">
        <v>936</v>
      </c>
      <c r="C203" s="118" t="s">
        <v>748</v>
      </c>
      <c r="D203" s="52">
        <v>232.0</v>
      </c>
      <c r="E203" s="52">
        <v>242.0</v>
      </c>
      <c r="F203" s="110"/>
      <c r="G203" s="95">
        <f t="shared" si="4"/>
        <v>0.04310344828</v>
      </c>
      <c r="H203" s="114"/>
      <c r="I203" s="120"/>
      <c r="J203" s="120"/>
      <c r="K203" s="120"/>
      <c r="L203" s="93"/>
      <c r="M203" s="93"/>
      <c r="N203" s="93"/>
      <c r="O203" s="56"/>
      <c r="P203" s="56"/>
      <c r="Q203" s="56"/>
      <c r="R203" s="56"/>
      <c r="S203" s="56"/>
      <c r="T203" s="56"/>
      <c r="U203" s="56"/>
      <c r="V203" s="56"/>
    </row>
    <row r="204" ht="18.75" customHeight="1">
      <c r="A204" s="90">
        <v>2.0</v>
      </c>
      <c r="B204" s="111">
        <v>123.0</v>
      </c>
      <c r="C204" s="118" t="s">
        <v>798</v>
      </c>
      <c r="D204" s="52">
        <v>252.0</v>
      </c>
      <c r="E204" s="52">
        <v>272.0</v>
      </c>
      <c r="F204" s="110"/>
      <c r="G204" s="95">
        <f t="shared" si="4"/>
        <v>0.07936507937</v>
      </c>
      <c r="H204" s="114"/>
      <c r="I204" s="120"/>
      <c r="J204" s="120">
        <v>60.0</v>
      </c>
      <c r="K204" s="120">
        <v>240.0</v>
      </c>
      <c r="L204" s="93"/>
      <c r="M204" s="93"/>
      <c r="N204" s="93"/>
      <c r="O204" s="56"/>
      <c r="P204" s="56"/>
      <c r="Q204" s="56"/>
      <c r="R204" s="56"/>
      <c r="S204" s="56"/>
      <c r="T204" s="56"/>
      <c r="U204" s="56"/>
      <c r="V204" s="56"/>
    </row>
    <row r="205" ht="18.75" customHeight="1">
      <c r="A205" s="90">
        <v>3.0</v>
      </c>
      <c r="B205" s="155" t="s">
        <v>471</v>
      </c>
      <c r="C205" s="118" t="s">
        <v>306</v>
      </c>
      <c r="D205" s="52">
        <v>262.0</v>
      </c>
      <c r="E205" s="52">
        <v>284.0</v>
      </c>
      <c r="F205" s="110"/>
      <c r="G205" s="95">
        <f t="shared" si="4"/>
        <v>0.08396946565</v>
      </c>
      <c r="H205" s="122"/>
      <c r="I205" s="115">
        <v>2.46</v>
      </c>
      <c r="J205" s="115">
        <v>46.0</v>
      </c>
      <c r="K205" s="115">
        <v>184.0</v>
      </c>
      <c r="L205" s="93"/>
      <c r="M205" s="93"/>
      <c r="N205" s="93"/>
      <c r="O205" s="56"/>
      <c r="P205" s="56"/>
      <c r="Q205" s="56"/>
      <c r="R205" s="56"/>
      <c r="S205" s="56"/>
      <c r="T205" s="56"/>
      <c r="U205" s="56"/>
      <c r="V205" s="56"/>
    </row>
    <row r="206" ht="18.75" customHeight="1">
      <c r="A206" s="90">
        <v>4.0</v>
      </c>
      <c r="B206" s="155" t="s">
        <v>573</v>
      </c>
      <c r="C206" s="118" t="s">
        <v>801</v>
      </c>
      <c r="D206" s="52">
        <v>303.96</v>
      </c>
      <c r="E206" s="52">
        <v>328.0</v>
      </c>
      <c r="F206" s="110"/>
      <c r="G206" s="95">
        <f t="shared" si="4"/>
        <v>0.07908935386</v>
      </c>
      <c r="H206" s="114"/>
      <c r="I206" s="115">
        <v>2.88</v>
      </c>
      <c r="J206" s="115">
        <v>60.0</v>
      </c>
      <c r="K206" s="115">
        <v>240.0</v>
      </c>
      <c r="L206" s="93"/>
      <c r="M206" s="93"/>
      <c r="N206" s="93"/>
      <c r="O206" s="56"/>
      <c r="P206" s="56"/>
      <c r="Q206" s="56"/>
      <c r="R206" s="56"/>
      <c r="S206" s="56"/>
      <c r="T206" s="56"/>
      <c r="U206" s="56"/>
      <c r="V206" s="56"/>
    </row>
    <row r="207" ht="18.75" customHeight="1">
      <c r="A207" s="90">
        <v>5.0</v>
      </c>
      <c r="B207" s="111">
        <v>124.0</v>
      </c>
      <c r="C207" s="118" t="s">
        <v>803</v>
      </c>
      <c r="D207" s="52">
        <v>291.72</v>
      </c>
      <c r="E207" s="52">
        <v>316.0</v>
      </c>
      <c r="F207" s="110"/>
      <c r="G207" s="95">
        <f t="shared" si="4"/>
        <v>0.083230495</v>
      </c>
      <c r="H207" s="114"/>
      <c r="I207" s="115">
        <v>2.76</v>
      </c>
      <c r="J207" s="120">
        <v>46.0</v>
      </c>
      <c r="K207" s="120">
        <v>184.0</v>
      </c>
      <c r="L207" s="134"/>
      <c r="M207" s="93"/>
      <c r="N207" s="93"/>
      <c r="O207" s="56"/>
      <c r="P207" s="56"/>
      <c r="Q207" s="56"/>
      <c r="R207" s="56"/>
      <c r="S207" s="56"/>
      <c r="T207" s="56"/>
      <c r="U207" s="56"/>
      <c r="V207" s="56"/>
    </row>
    <row r="208" ht="18.75" customHeight="1">
      <c r="A208" s="90">
        <v>6.0</v>
      </c>
      <c r="B208" s="155" t="s">
        <v>698</v>
      </c>
      <c r="C208" s="118" t="s">
        <v>339</v>
      </c>
      <c r="D208" s="52">
        <v>303.96</v>
      </c>
      <c r="E208" s="52">
        <v>328.0</v>
      </c>
      <c r="F208" s="110"/>
      <c r="G208" s="95">
        <f t="shared" si="4"/>
        <v>0.07908935386</v>
      </c>
      <c r="H208" s="114"/>
      <c r="I208" s="115">
        <v>2.86</v>
      </c>
      <c r="J208" s="115">
        <v>46.0</v>
      </c>
      <c r="K208" s="115">
        <v>184.0</v>
      </c>
      <c r="L208" s="134"/>
      <c r="M208" s="93"/>
      <c r="N208" s="93"/>
      <c r="O208" s="56"/>
      <c r="P208" s="56"/>
      <c r="Q208" s="56"/>
      <c r="R208" s="56"/>
      <c r="S208" s="56"/>
      <c r="T208" s="56"/>
      <c r="U208" s="56"/>
      <c r="V208" s="56"/>
    </row>
    <row r="209" ht="18.75" customHeight="1">
      <c r="A209" s="90">
        <v>8.0</v>
      </c>
      <c r="B209" s="111">
        <v>127.0</v>
      </c>
      <c r="C209" s="118" t="s">
        <v>938</v>
      </c>
      <c r="D209" s="52">
        <v>252.4704</v>
      </c>
      <c r="E209" s="52">
        <v>274.0</v>
      </c>
      <c r="F209" s="110"/>
      <c r="G209" s="95">
        <f t="shared" si="4"/>
        <v>0.08527573925</v>
      </c>
      <c r="H209" s="122"/>
      <c r="I209" s="115">
        <v>2.38</v>
      </c>
      <c r="J209" s="120">
        <v>66.0</v>
      </c>
      <c r="K209" s="120">
        <v>198.0</v>
      </c>
      <c r="L209" s="93"/>
      <c r="M209" s="93"/>
      <c r="N209" s="93"/>
      <c r="O209" s="56"/>
      <c r="P209" s="56"/>
      <c r="Q209" s="56"/>
      <c r="R209" s="56"/>
      <c r="S209" s="56"/>
      <c r="T209" s="56"/>
      <c r="U209" s="56"/>
      <c r="V209" s="56"/>
    </row>
    <row r="210" ht="18.75" customHeight="1">
      <c r="A210" s="90">
        <v>9.0</v>
      </c>
      <c r="B210" s="111">
        <v>129.0</v>
      </c>
      <c r="C210" s="118" t="s">
        <v>808</v>
      </c>
      <c r="D210" s="52">
        <v>518.16</v>
      </c>
      <c r="E210" s="52">
        <v>558.0</v>
      </c>
      <c r="F210" s="110"/>
      <c r="G210" s="95">
        <f t="shared" si="4"/>
        <v>0.07688744789</v>
      </c>
      <c r="H210" s="114"/>
      <c r="I210" s="115">
        <v>4.86</v>
      </c>
      <c r="J210" s="120">
        <v>24.0</v>
      </c>
      <c r="K210" s="120">
        <v>96.0</v>
      </c>
      <c r="L210" s="93"/>
      <c r="M210" s="93"/>
      <c r="N210" s="93"/>
      <c r="O210" s="56"/>
      <c r="P210" s="56"/>
      <c r="Q210" s="56"/>
      <c r="R210" s="56"/>
      <c r="S210" s="56"/>
      <c r="T210" s="56"/>
      <c r="U210" s="56"/>
      <c r="V210" s="56"/>
    </row>
    <row r="211" ht="18.75" customHeight="1">
      <c r="A211" s="90">
        <v>10.0</v>
      </c>
      <c r="B211" s="111">
        <v>130.0</v>
      </c>
      <c r="C211" s="118" t="s">
        <v>939</v>
      </c>
      <c r="D211" s="52">
        <v>316.1184</v>
      </c>
      <c r="E211" s="52">
        <v>342.0</v>
      </c>
      <c r="F211" s="110"/>
      <c r="G211" s="95">
        <f t="shared" si="4"/>
        <v>0.08187312096</v>
      </c>
      <c r="H211" s="114"/>
      <c r="I211" s="115">
        <v>2.98</v>
      </c>
      <c r="J211" s="120">
        <v>66.0</v>
      </c>
      <c r="K211" s="120">
        <v>198.0</v>
      </c>
      <c r="L211" s="134"/>
      <c r="M211" s="93"/>
      <c r="N211" s="93"/>
      <c r="O211" s="56"/>
      <c r="P211" s="56"/>
      <c r="Q211" s="56"/>
      <c r="R211" s="56"/>
      <c r="S211" s="56"/>
      <c r="T211" s="56"/>
      <c r="U211" s="56"/>
      <c r="V211" s="56"/>
    </row>
    <row r="212" ht="18.75" customHeight="1">
      <c r="A212" s="90">
        <v>11.0</v>
      </c>
      <c r="B212" s="111">
        <v>131.0</v>
      </c>
      <c r="C212" s="118" t="s">
        <v>756</v>
      </c>
      <c r="D212" s="52">
        <v>362.0</v>
      </c>
      <c r="E212" s="52">
        <v>392.0</v>
      </c>
      <c r="F212" s="110"/>
      <c r="G212" s="95">
        <f t="shared" si="4"/>
        <v>0.08287292818</v>
      </c>
      <c r="H212" s="114"/>
      <c r="I212" s="115">
        <v>3.38</v>
      </c>
      <c r="J212" s="120">
        <v>30.0</v>
      </c>
      <c r="K212" s="120">
        <v>120.0</v>
      </c>
      <c r="L212" s="93"/>
      <c r="M212" s="93"/>
      <c r="N212" s="93"/>
      <c r="O212" s="56"/>
      <c r="P212" s="56"/>
      <c r="Q212" s="56"/>
      <c r="R212" s="56"/>
      <c r="S212" s="56"/>
      <c r="T212" s="56"/>
      <c r="U212" s="56"/>
      <c r="V212" s="56"/>
    </row>
    <row r="213" ht="18.75" customHeight="1">
      <c r="A213" s="90">
        <v>12.0</v>
      </c>
      <c r="B213" s="155" t="s">
        <v>940</v>
      </c>
      <c r="C213" s="118" t="s">
        <v>941</v>
      </c>
      <c r="D213" s="52">
        <v>362.0</v>
      </c>
      <c r="E213" s="52">
        <v>392.0</v>
      </c>
      <c r="F213" s="110"/>
      <c r="G213" s="95">
        <f t="shared" si="4"/>
        <v>0.08287292818</v>
      </c>
      <c r="H213" s="114"/>
      <c r="I213" s="115">
        <v>3.38</v>
      </c>
      <c r="J213" s="115">
        <v>30.0</v>
      </c>
      <c r="K213" s="115">
        <v>120.0</v>
      </c>
      <c r="L213" s="93"/>
      <c r="M213" s="93"/>
      <c r="N213" s="93"/>
      <c r="O213" s="56"/>
      <c r="P213" s="56"/>
      <c r="Q213" s="56"/>
      <c r="R213" s="56"/>
      <c r="S213" s="56"/>
      <c r="T213" s="56"/>
      <c r="U213" s="56"/>
      <c r="V213" s="56"/>
    </row>
    <row r="214" ht="18.75" customHeight="1">
      <c r="A214" s="90">
        <v>13.0</v>
      </c>
      <c r="B214" s="111">
        <v>132.0</v>
      </c>
      <c r="C214" s="118" t="s">
        <v>813</v>
      </c>
      <c r="D214" s="52">
        <v>682.0</v>
      </c>
      <c r="E214" s="52">
        <v>738.0</v>
      </c>
      <c r="F214" s="110"/>
      <c r="G214" s="95">
        <f t="shared" si="4"/>
        <v>0.08211143695</v>
      </c>
      <c r="H214" s="114"/>
      <c r="I214" s="115">
        <v>6.42</v>
      </c>
      <c r="J214" s="120">
        <v>13.0</v>
      </c>
      <c r="K214" s="120">
        <v>52.0</v>
      </c>
      <c r="L214" s="93"/>
      <c r="M214" s="93"/>
      <c r="N214" s="93"/>
      <c r="O214" s="56"/>
      <c r="P214" s="56"/>
      <c r="Q214" s="56"/>
      <c r="R214" s="56"/>
      <c r="S214" s="56"/>
      <c r="T214" s="56"/>
      <c r="U214" s="56"/>
      <c r="V214" s="56"/>
    </row>
    <row r="215" ht="18.75" customHeight="1">
      <c r="A215" s="90">
        <v>14.0</v>
      </c>
      <c r="B215" s="111" t="s">
        <v>942</v>
      </c>
      <c r="C215" s="118" t="s">
        <v>815</v>
      </c>
      <c r="D215" s="52">
        <v>732.36</v>
      </c>
      <c r="E215" s="52">
        <v>748.0</v>
      </c>
      <c r="F215" s="110"/>
      <c r="G215" s="95">
        <f t="shared" si="4"/>
        <v>0.02135561746</v>
      </c>
      <c r="H215" s="114"/>
      <c r="I215" s="120">
        <v>6.0</v>
      </c>
      <c r="J215" s="115">
        <v>13.0</v>
      </c>
      <c r="K215" s="115">
        <v>52.0</v>
      </c>
      <c r="L215" s="93"/>
      <c r="M215" s="93"/>
      <c r="N215" s="93"/>
      <c r="O215" s="56"/>
      <c r="P215" s="56"/>
      <c r="Q215" s="56"/>
      <c r="R215" s="56"/>
      <c r="S215" s="56"/>
      <c r="T215" s="56"/>
      <c r="U215" s="56"/>
      <c r="V215" s="56"/>
    </row>
    <row r="216" ht="18.75" customHeight="1">
      <c r="A216" s="90">
        <v>15.0</v>
      </c>
      <c r="B216" s="155" t="s">
        <v>943</v>
      </c>
      <c r="C216" s="118" t="s">
        <v>910</v>
      </c>
      <c r="D216" s="52">
        <v>622.0</v>
      </c>
      <c r="E216" s="52">
        <v>672.0</v>
      </c>
      <c r="F216" s="110"/>
      <c r="G216" s="95">
        <f t="shared" si="4"/>
        <v>0.08038585209</v>
      </c>
      <c r="H216" s="114"/>
      <c r="I216" s="115">
        <v>5.86</v>
      </c>
      <c r="J216" s="115">
        <v>30.0</v>
      </c>
      <c r="K216" s="115">
        <v>120.0</v>
      </c>
      <c r="L216" s="93"/>
      <c r="M216" s="93"/>
      <c r="N216" s="93"/>
      <c r="O216" s="56"/>
      <c r="P216" s="56"/>
      <c r="Q216" s="56"/>
      <c r="R216" s="56"/>
      <c r="S216" s="56"/>
      <c r="T216" s="56"/>
      <c r="U216" s="56"/>
      <c r="V216" s="56"/>
    </row>
    <row r="217" ht="18.75" customHeight="1">
      <c r="A217" s="90">
        <v>16.0</v>
      </c>
      <c r="B217" s="111">
        <v>134.0</v>
      </c>
      <c r="C217" s="118" t="s">
        <v>482</v>
      </c>
      <c r="D217" s="52">
        <v>1244.4</v>
      </c>
      <c r="E217" s="52">
        <v>1344.0</v>
      </c>
      <c r="F217" s="110"/>
      <c r="G217" s="95">
        <f t="shared" si="4"/>
        <v>0.08003857281</v>
      </c>
      <c r="H217" s="114"/>
      <c r="I217" s="120">
        <v>10.0</v>
      </c>
      <c r="J217" s="120">
        <v>13.0</v>
      </c>
      <c r="K217" s="120">
        <v>52.0</v>
      </c>
      <c r="L217" s="134"/>
      <c r="M217" s="93"/>
      <c r="N217" s="93"/>
      <c r="O217" s="56"/>
      <c r="P217" s="56"/>
      <c r="Q217" s="56"/>
      <c r="R217" s="56"/>
      <c r="S217" s="56"/>
      <c r="T217" s="56"/>
      <c r="U217" s="56"/>
      <c r="V217" s="56"/>
    </row>
    <row r="218" ht="18.75" customHeight="1">
      <c r="A218" s="90">
        <v>17.0</v>
      </c>
      <c r="B218" s="111">
        <v>135.0</v>
      </c>
      <c r="C218" s="118" t="s">
        <v>502</v>
      </c>
      <c r="D218" s="52">
        <v>1244.4</v>
      </c>
      <c r="E218" s="52">
        <v>1344.0</v>
      </c>
      <c r="F218" s="110"/>
      <c r="G218" s="95">
        <f t="shared" si="4"/>
        <v>0.08003857281</v>
      </c>
      <c r="H218" s="114"/>
      <c r="I218" s="120">
        <v>10.0</v>
      </c>
      <c r="J218" s="120">
        <v>13.0</v>
      </c>
      <c r="K218" s="120">
        <v>52.0</v>
      </c>
      <c r="L218" s="93"/>
      <c r="M218" s="93"/>
      <c r="N218" s="93"/>
      <c r="O218" s="56"/>
      <c r="P218" s="56"/>
      <c r="Q218" s="56"/>
      <c r="R218" s="56"/>
      <c r="S218" s="56"/>
      <c r="T218" s="56"/>
      <c r="U218" s="56"/>
      <c r="V218" s="56"/>
    </row>
    <row r="219" ht="18.75" customHeight="1">
      <c r="A219" s="90"/>
      <c r="B219" s="111" t="s">
        <v>945</v>
      </c>
      <c r="C219" s="118" t="s">
        <v>523</v>
      </c>
      <c r="D219" s="52">
        <v>1927.8</v>
      </c>
      <c r="E219" s="52">
        <v>2082.0</v>
      </c>
      <c r="F219" s="110"/>
      <c r="G219" s="95">
        <f t="shared" si="4"/>
        <v>0.07998755058</v>
      </c>
      <c r="H219" s="114"/>
      <c r="I219" s="120"/>
      <c r="J219" s="120"/>
      <c r="K219" s="120"/>
      <c r="L219" s="93"/>
      <c r="M219" s="93"/>
      <c r="N219" s="93"/>
      <c r="O219" s="56"/>
      <c r="P219" s="56"/>
      <c r="Q219" s="56"/>
      <c r="R219" s="56"/>
      <c r="S219" s="56"/>
      <c r="T219" s="56"/>
      <c r="U219" s="56"/>
      <c r="V219" s="56"/>
    </row>
    <row r="220" ht="18.75" customHeight="1">
      <c r="A220" s="90">
        <v>18.0</v>
      </c>
      <c r="B220" s="155" t="s">
        <v>946</v>
      </c>
      <c r="C220" s="118" t="s">
        <v>734</v>
      </c>
      <c r="D220" s="52">
        <v>1621.8</v>
      </c>
      <c r="E220" s="52">
        <v>1752.0</v>
      </c>
      <c r="F220" s="110"/>
      <c r="G220" s="95">
        <f t="shared" si="4"/>
        <v>0.08028116907</v>
      </c>
      <c r="H220" s="114"/>
      <c r="I220" s="115">
        <v>15.4</v>
      </c>
      <c r="J220" s="115">
        <v>6.0</v>
      </c>
      <c r="K220" s="115">
        <v>24.0</v>
      </c>
      <c r="L220" s="134"/>
      <c r="M220" s="93"/>
      <c r="N220" s="93"/>
      <c r="O220" s="56"/>
      <c r="P220" s="56"/>
      <c r="Q220" s="56"/>
      <c r="R220" s="56"/>
      <c r="S220" s="56"/>
      <c r="T220" s="56"/>
      <c r="U220" s="56"/>
      <c r="V220" s="56"/>
    </row>
    <row r="221" ht="18.75" customHeight="1">
      <c r="A221" s="90">
        <v>19.0</v>
      </c>
      <c r="B221" s="111">
        <v>141.0</v>
      </c>
      <c r="C221" s="118" t="s">
        <v>719</v>
      </c>
      <c r="D221" s="52">
        <v>224.0</v>
      </c>
      <c r="E221" s="52">
        <v>242.0</v>
      </c>
      <c r="F221" s="110"/>
      <c r="G221" s="95">
        <f t="shared" si="4"/>
        <v>0.08035714286</v>
      </c>
      <c r="H221" s="122"/>
      <c r="I221" s="115">
        <v>2.1</v>
      </c>
      <c r="J221" s="120">
        <v>132.0</v>
      </c>
      <c r="K221" s="120">
        <v>264.0</v>
      </c>
      <c r="L221" s="134"/>
      <c r="M221" s="93"/>
      <c r="N221" s="93"/>
      <c r="O221" s="56"/>
      <c r="P221" s="56"/>
      <c r="Q221" s="56"/>
      <c r="R221" s="56"/>
      <c r="S221" s="56"/>
      <c r="T221" s="56"/>
      <c r="U221" s="56"/>
      <c r="V221" s="56"/>
    </row>
    <row r="222" ht="18.75" customHeight="1">
      <c r="A222" s="90">
        <v>20.0</v>
      </c>
      <c r="B222" s="155" t="s">
        <v>824</v>
      </c>
      <c r="C222" s="118" t="s">
        <v>823</v>
      </c>
      <c r="D222" s="52">
        <v>252.4704</v>
      </c>
      <c r="E222" s="52">
        <v>274.0</v>
      </c>
      <c r="F222" s="110"/>
      <c r="G222" s="95">
        <f t="shared" si="4"/>
        <v>0.08527573925</v>
      </c>
      <c r="H222" s="122"/>
      <c r="I222" s="115">
        <v>2.38</v>
      </c>
      <c r="J222" s="115">
        <v>66.0</v>
      </c>
      <c r="K222" s="115">
        <v>198.0</v>
      </c>
      <c r="L222" s="93"/>
      <c r="M222" s="93"/>
      <c r="N222" s="93"/>
      <c r="O222" s="56"/>
      <c r="P222" s="56"/>
      <c r="Q222" s="56"/>
      <c r="R222" s="56"/>
      <c r="S222" s="56"/>
      <c r="T222" s="56"/>
      <c r="U222" s="56"/>
      <c r="V222" s="56"/>
    </row>
    <row r="223" ht="18.75" customHeight="1">
      <c r="A223" s="90">
        <v>21.0</v>
      </c>
      <c r="B223" s="111">
        <v>142.0</v>
      </c>
      <c r="C223" s="118" t="s">
        <v>717</v>
      </c>
      <c r="D223" s="52">
        <v>224.0</v>
      </c>
      <c r="E223" s="52">
        <v>242.0</v>
      </c>
      <c r="F223" s="110"/>
      <c r="G223" s="95">
        <f t="shared" si="4"/>
        <v>0.08035714286</v>
      </c>
      <c r="H223" s="122"/>
      <c r="I223" s="115">
        <v>2.1</v>
      </c>
      <c r="J223" s="120">
        <v>132.0</v>
      </c>
      <c r="K223" s="120">
        <v>264.0</v>
      </c>
      <c r="L223" s="93"/>
      <c r="M223" s="93"/>
      <c r="N223" s="93"/>
      <c r="O223" s="56"/>
      <c r="P223" s="56"/>
      <c r="Q223" s="56"/>
      <c r="R223" s="56"/>
      <c r="S223" s="56"/>
      <c r="T223" s="56"/>
      <c r="U223" s="56"/>
      <c r="V223" s="56"/>
    </row>
    <row r="224" ht="18.75" customHeight="1">
      <c r="A224" s="90">
        <v>22.0</v>
      </c>
      <c r="B224" s="111">
        <v>143.0</v>
      </c>
      <c r="C224" s="118" t="s">
        <v>723</v>
      </c>
      <c r="D224" s="52">
        <v>236.0</v>
      </c>
      <c r="E224" s="52">
        <v>256.0</v>
      </c>
      <c r="F224" s="110"/>
      <c r="G224" s="95">
        <f t="shared" si="4"/>
        <v>0.08474576271</v>
      </c>
      <c r="H224" s="122"/>
      <c r="I224" s="115">
        <v>2.2</v>
      </c>
      <c r="J224" s="120">
        <v>132.0</v>
      </c>
      <c r="K224" s="120">
        <v>264.0</v>
      </c>
      <c r="L224" s="134"/>
      <c r="M224" s="93"/>
      <c r="N224" s="93"/>
      <c r="O224" s="56"/>
      <c r="P224" s="56"/>
      <c r="Q224" s="56"/>
      <c r="R224" s="56"/>
      <c r="S224" s="56"/>
      <c r="T224" s="56"/>
      <c r="U224" s="56"/>
      <c r="V224" s="56"/>
    </row>
    <row r="225" ht="18.75" customHeight="1">
      <c r="A225" s="90">
        <v>23.0</v>
      </c>
      <c r="B225" s="111">
        <v>144.0</v>
      </c>
      <c r="C225" s="118" t="s">
        <v>395</v>
      </c>
      <c r="D225" s="52">
        <v>216.4032</v>
      </c>
      <c r="E225" s="52">
        <v>234.0</v>
      </c>
      <c r="F225" s="110"/>
      <c r="G225" s="95">
        <f t="shared" si="4"/>
        <v>0.08131487889</v>
      </c>
      <c r="H225" s="122"/>
      <c r="I225" s="120"/>
      <c r="J225" s="120">
        <v>90.0</v>
      </c>
      <c r="K225" s="120">
        <v>270.0</v>
      </c>
      <c r="L225" s="134"/>
      <c r="M225" s="93"/>
      <c r="N225" s="93"/>
      <c r="O225" s="56"/>
      <c r="P225" s="56"/>
      <c r="Q225" s="56"/>
      <c r="R225" s="56"/>
      <c r="S225" s="56"/>
      <c r="T225" s="56"/>
      <c r="U225" s="56"/>
      <c r="V225" s="56"/>
    </row>
    <row r="226" ht="18.75" customHeight="1">
      <c r="A226" s="90">
        <v>24.0</v>
      </c>
      <c r="B226" s="111">
        <v>145.0</v>
      </c>
      <c r="C226" s="118" t="s">
        <v>829</v>
      </c>
      <c r="D226" s="52">
        <v>472.0</v>
      </c>
      <c r="E226" s="52">
        <v>508.0</v>
      </c>
      <c r="F226" s="110"/>
      <c r="G226" s="95">
        <f t="shared" si="4"/>
        <v>0.07627118644</v>
      </c>
      <c r="H226" s="122"/>
      <c r="I226" s="115">
        <v>4.42</v>
      </c>
      <c r="J226" s="120">
        <v>35.0</v>
      </c>
      <c r="K226" s="120">
        <v>140.0</v>
      </c>
      <c r="L226" s="134"/>
      <c r="M226" s="93"/>
      <c r="N226" s="93"/>
      <c r="O226" s="56"/>
      <c r="P226" s="56"/>
      <c r="Q226" s="56"/>
      <c r="R226" s="56"/>
      <c r="S226" s="56"/>
      <c r="T226" s="56"/>
      <c r="U226" s="56"/>
      <c r="V226" s="56"/>
    </row>
    <row r="227" ht="18.75" customHeight="1">
      <c r="A227" s="90">
        <v>25.0</v>
      </c>
      <c r="B227" s="111">
        <v>146.0</v>
      </c>
      <c r="C227" s="118" t="s">
        <v>663</v>
      </c>
      <c r="D227" s="52">
        <v>362.0</v>
      </c>
      <c r="E227" s="52">
        <v>392.0</v>
      </c>
      <c r="F227" s="110"/>
      <c r="G227" s="95">
        <f t="shared" si="4"/>
        <v>0.08287292818</v>
      </c>
      <c r="H227" s="114"/>
      <c r="I227" s="115">
        <v>3.4</v>
      </c>
      <c r="J227" s="120">
        <v>64.0</v>
      </c>
      <c r="K227" s="120">
        <v>256.0</v>
      </c>
      <c r="L227" s="93"/>
      <c r="M227" s="93"/>
      <c r="N227" s="93"/>
      <c r="O227" s="56"/>
      <c r="P227" s="56"/>
      <c r="Q227" s="56"/>
      <c r="R227" s="56"/>
      <c r="S227" s="56"/>
      <c r="T227" s="56"/>
      <c r="U227" s="56"/>
      <c r="V227" s="56"/>
    </row>
    <row r="228" ht="18.75" customHeight="1">
      <c r="A228" s="90">
        <v>26.0</v>
      </c>
      <c r="B228" s="111">
        <v>148.0</v>
      </c>
      <c r="C228" s="118" t="s">
        <v>690</v>
      </c>
      <c r="D228" s="52">
        <v>372.0</v>
      </c>
      <c r="E228" s="52">
        <v>402.0</v>
      </c>
      <c r="F228" s="110"/>
      <c r="G228" s="95">
        <f t="shared" si="4"/>
        <v>0.08064516129</v>
      </c>
      <c r="H228" s="114"/>
      <c r="I228" s="115">
        <v>3.48</v>
      </c>
      <c r="J228" s="120">
        <v>64.0</v>
      </c>
      <c r="K228" s="120">
        <v>256.0</v>
      </c>
      <c r="L228" s="93"/>
      <c r="M228" s="93"/>
      <c r="N228" s="93"/>
      <c r="O228" s="56"/>
      <c r="P228" s="56"/>
      <c r="Q228" s="56"/>
      <c r="R228" s="56"/>
      <c r="S228" s="56"/>
      <c r="T228" s="56"/>
      <c r="U228" s="56"/>
      <c r="V228" s="56"/>
    </row>
    <row r="229" ht="18.75" customHeight="1">
      <c r="A229" s="90">
        <v>27.0</v>
      </c>
      <c r="B229" s="155" t="s">
        <v>739</v>
      </c>
      <c r="C229" s="118" t="s">
        <v>678</v>
      </c>
      <c r="D229" s="52">
        <v>1256.0</v>
      </c>
      <c r="E229" s="52">
        <v>1356.0</v>
      </c>
      <c r="F229" s="110"/>
      <c r="G229" s="95">
        <f t="shared" si="4"/>
        <v>0.07961783439</v>
      </c>
      <c r="H229" s="114"/>
      <c r="I229" s="120">
        <v>10.0</v>
      </c>
      <c r="J229" s="115">
        <v>64.0</v>
      </c>
      <c r="K229" s="115">
        <v>128.0</v>
      </c>
      <c r="L229" s="93"/>
      <c r="M229" s="93"/>
      <c r="N229" s="93"/>
      <c r="O229" s="56"/>
      <c r="P229" s="56"/>
      <c r="Q229" s="56"/>
      <c r="R229" s="56"/>
      <c r="S229" s="56"/>
      <c r="T229" s="56"/>
      <c r="U229" s="56"/>
      <c r="V229" s="56"/>
    </row>
    <row r="230" ht="18.75" customHeight="1">
      <c r="A230" s="90">
        <v>28.0</v>
      </c>
      <c r="B230" s="155" t="s">
        <v>741</v>
      </c>
      <c r="C230" s="118" t="s">
        <v>693</v>
      </c>
      <c r="D230" s="52">
        <v>1276.0</v>
      </c>
      <c r="E230" s="52">
        <v>1378.0</v>
      </c>
      <c r="F230" s="110"/>
      <c r="G230" s="95">
        <f t="shared" si="4"/>
        <v>0.07993730408</v>
      </c>
      <c r="H230" s="114"/>
      <c r="I230" s="120">
        <v>10.0</v>
      </c>
      <c r="J230" s="115">
        <v>64.0</v>
      </c>
      <c r="K230" s="115">
        <v>128.0</v>
      </c>
      <c r="L230" s="93"/>
      <c r="M230" s="93"/>
      <c r="N230" s="93"/>
      <c r="O230" s="56"/>
      <c r="P230" s="56"/>
      <c r="Q230" s="56"/>
      <c r="R230" s="56"/>
      <c r="S230" s="56"/>
      <c r="T230" s="56"/>
      <c r="U230" s="56"/>
      <c r="V230" s="56"/>
    </row>
    <row r="231" ht="18.75" customHeight="1">
      <c r="A231" s="90">
        <v>29.0</v>
      </c>
      <c r="B231" s="111">
        <v>147.0</v>
      </c>
      <c r="C231" s="118" t="s">
        <v>710</v>
      </c>
      <c r="D231" s="52">
        <v>632.0</v>
      </c>
      <c r="E231" s="52">
        <v>684.0</v>
      </c>
      <c r="F231" s="110"/>
      <c r="G231" s="95">
        <f t="shared" si="4"/>
        <v>0.08227848101</v>
      </c>
      <c r="H231" s="114"/>
      <c r="I231" s="115">
        <v>5.94</v>
      </c>
      <c r="J231" s="115">
        <v>30.0</v>
      </c>
      <c r="K231" s="115">
        <v>120.0</v>
      </c>
      <c r="L231" s="93"/>
      <c r="M231" s="93"/>
      <c r="N231" s="93"/>
      <c r="O231" s="56"/>
      <c r="P231" s="56"/>
      <c r="Q231" s="56"/>
      <c r="R231" s="56"/>
      <c r="S231" s="56"/>
      <c r="T231" s="56"/>
      <c r="U231" s="56"/>
      <c r="V231" s="56"/>
    </row>
    <row r="232" ht="18.75" customHeight="1">
      <c r="A232" s="90">
        <v>30.0</v>
      </c>
      <c r="B232" s="111" t="s">
        <v>947</v>
      </c>
      <c r="C232" s="118" t="s">
        <v>601</v>
      </c>
      <c r="D232" s="52">
        <v>668.0</v>
      </c>
      <c r="E232" s="52">
        <v>722.0</v>
      </c>
      <c r="F232" s="110"/>
      <c r="G232" s="95">
        <f t="shared" si="4"/>
        <v>0.08083832335</v>
      </c>
      <c r="H232" s="114"/>
      <c r="I232" s="115">
        <v>6.28</v>
      </c>
      <c r="J232" s="115">
        <v>30.0</v>
      </c>
      <c r="K232" s="115">
        <v>120.0</v>
      </c>
      <c r="L232" s="93"/>
      <c r="M232" s="93"/>
      <c r="N232" s="93"/>
      <c r="O232" s="56"/>
      <c r="P232" s="56"/>
      <c r="Q232" s="56"/>
      <c r="R232" s="56"/>
      <c r="S232" s="56"/>
      <c r="T232" s="56"/>
      <c r="U232" s="56"/>
      <c r="V232" s="56"/>
    </row>
    <row r="233" ht="18.75" customHeight="1">
      <c r="A233" s="90">
        <v>31.0</v>
      </c>
      <c r="B233" s="155" t="s">
        <v>948</v>
      </c>
      <c r="C233" s="118" t="s">
        <v>731</v>
      </c>
      <c r="D233" s="52">
        <v>387.6</v>
      </c>
      <c r="E233" s="52">
        <v>418.0</v>
      </c>
      <c r="F233" s="110"/>
      <c r="G233" s="95">
        <f t="shared" si="4"/>
        <v>0.07843137255</v>
      </c>
      <c r="H233" s="122"/>
      <c r="I233" s="115">
        <v>3.64</v>
      </c>
      <c r="J233" s="115">
        <v>30.0</v>
      </c>
      <c r="K233" s="115">
        <v>120.0</v>
      </c>
      <c r="L233" s="93"/>
      <c r="M233" s="93"/>
      <c r="N233" s="93"/>
      <c r="O233" s="56"/>
      <c r="P233" s="56"/>
      <c r="Q233" s="56"/>
      <c r="R233" s="56"/>
      <c r="S233" s="56"/>
      <c r="T233" s="56"/>
      <c r="U233" s="56"/>
      <c r="V233" s="56"/>
    </row>
    <row r="234" ht="18.75" customHeight="1">
      <c r="A234" s="90">
        <v>32.0</v>
      </c>
      <c r="B234" s="111">
        <v>150.0</v>
      </c>
      <c r="C234" s="118" t="s">
        <v>712</v>
      </c>
      <c r="D234" s="52">
        <v>1423.92</v>
      </c>
      <c r="E234" s="52">
        <v>1538.0</v>
      </c>
      <c r="F234" s="110"/>
      <c r="G234" s="95">
        <f t="shared" si="4"/>
        <v>0.0801168605</v>
      </c>
      <c r="H234" s="114"/>
      <c r="I234" s="120">
        <v>10.0</v>
      </c>
      <c r="J234" s="115">
        <v>14.0</v>
      </c>
      <c r="K234" s="115">
        <v>56.0</v>
      </c>
      <c r="L234" s="134"/>
      <c r="M234" s="93"/>
      <c r="N234" s="93"/>
      <c r="O234" s="56"/>
      <c r="P234" s="56"/>
      <c r="Q234" s="56"/>
      <c r="R234" s="56"/>
      <c r="S234" s="56"/>
      <c r="T234" s="56"/>
      <c r="U234" s="56"/>
      <c r="V234" s="56"/>
    </row>
    <row r="235" ht="18.75" customHeight="1">
      <c r="A235" s="90">
        <v>33.0</v>
      </c>
      <c r="B235" s="111">
        <v>186.0</v>
      </c>
      <c r="C235" s="118" t="s">
        <v>727</v>
      </c>
      <c r="D235" s="52">
        <v>132.0</v>
      </c>
      <c r="E235" s="52">
        <v>142.0</v>
      </c>
      <c r="F235" s="110"/>
      <c r="G235" s="95">
        <f t="shared" si="4"/>
        <v>0.07575757576</v>
      </c>
      <c r="H235" s="114"/>
      <c r="I235" s="115"/>
      <c r="J235" s="115">
        <v>64.0</v>
      </c>
      <c r="K235" s="115">
        <v>256.0</v>
      </c>
      <c r="L235" s="93"/>
      <c r="M235" s="93"/>
      <c r="N235" s="93"/>
      <c r="O235" s="56"/>
      <c r="P235" s="56"/>
      <c r="Q235" s="56"/>
      <c r="R235" s="56"/>
      <c r="S235" s="56"/>
      <c r="T235" s="56"/>
      <c r="U235" s="56"/>
      <c r="V235" s="56"/>
    </row>
    <row r="236" ht="18.75" customHeight="1">
      <c r="A236" s="90">
        <v>34.0</v>
      </c>
      <c r="B236" s="111">
        <v>1861.0</v>
      </c>
      <c r="C236" s="118" t="s">
        <v>725</v>
      </c>
      <c r="D236" s="52">
        <v>174.0</v>
      </c>
      <c r="E236" s="52">
        <v>188.0</v>
      </c>
      <c r="F236" s="110"/>
      <c r="G236" s="95">
        <f t="shared" si="4"/>
        <v>0.08045977011</v>
      </c>
      <c r="H236" s="114"/>
      <c r="I236" s="115"/>
      <c r="J236" s="115">
        <v>64.0</v>
      </c>
      <c r="K236" s="115">
        <v>256.0</v>
      </c>
      <c r="L236" s="93"/>
      <c r="M236" s="93"/>
      <c r="N236" s="93"/>
      <c r="O236" s="56"/>
      <c r="P236" s="56"/>
      <c r="Q236" s="56"/>
      <c r="R236" s="56"/>
      <c r="S236" s="56"/>
      <c r="T236" s="56"/>
      <c r="U236" s="56"/>
      <c r="V236" s="56"/>
    </row>
    <row r="237" ht="18.75" customHeight="1">
      <c r="A237" s="90"/>
      <c r="B237" s="156"/>
      <c r="C237" s="146"/>
      <c r="D237" s="109"/>
      <c r="E237" s="109"/>
      <c r="F237" s="110"/>
      <c r="G237" s="95" t="str">
        <f t="shared" si="4"/>
        <v/>
      </c>
      <c r="H237" s="140"/>
      <c r="I237" s="109"/>
      <c r="J237" s="115"/>
      <c r="K237" s="115"/>
      <c r="L237" s="93"/>
      <c r="M237" s="93"/>
      <c r="N237" s="93"/>
      <c r="O237" s="56"/>
      <c r="P237" s="56"/>
      <c r="Q237" s="56"/>
      <c r="R237" s="56"/>
      <c r="S237" s="56"/>
      <c r="T237" s="56"/>
      <c r="U237" s="56"/>
      <c r="V237" s="56"/>
    </row>
    <row r="238" ht="18.75" customHeight="1">
      <c r="A238" s="90"/>
      <c r="B238" s="107" t="s">
        <v>949</v>
      </c>
      <c r="C238" s="146"/>
      <c r="D238" s="109"/>
      <c r="E238" s="147"/>
      <c r="F238" s="110"/>
      <c r="G238" s="95" t="str">
        <f>IFERROR(DIVIDE(MINUS(E238,#REF!),#REF!),)</f>
        <v/>
      </c>
      <c r="H238" s="133"/>
      <c r="I238" s="134"/>
      <c r="J238" s="115"/>
      <c r="K238" s="115"/>
      <c r="L238" s="93"/>
      <c r="M238" s="93"/>
      <c r="N238" s="93"/>
      <c r="O238" s="56"/>
      <c r="P238" s="56"/>
      <c r="Q238" s="56"/>
      <c r="R238" s="56"/>
      <c r="S238" s="56"/>
      <c r="T238" s="56"/>
      <c r="U238" s="56"/>
      <c r="V238" s="56"/>
    </row>
    <row r="239" ht="18.75" customHeight="1">
      <c r="A239" s="90">
        <v>1.0</v>
      </c>
      <c r="B239" s="111" t="s">
        <v>950</v>
      </c>
      <c r="C239" s="118" t="s">
        <v>951</v>
      </c>
      <c r="D239" s="52">
        <v>244.0</v>
      </c>
      <c r="E239" s="52">
        <v>264.0</v>
      </c>
      <c r="F239" s="110"/>
      <c r="G239" s="95">
        <f t="shared" ref="G239:G360" si="5">IFERROR(DIVIDE(MINUS(E239,D239),D239),)</f>
        <v>0.08196721311</v>
      </c>
      <c r="H239" s="122"/>
      <c r="I239" s="109">
        <v>2.28</v>
      </c>
      <c r="J239" s="120">
        <v>66.0</v>
      </c>
      <c r="K239" s="120">
        <v>198.0</v>
      </c>
      <c r="L239" s="93"/>
      <c r="M239" s="93"/>
      <c r="N239" s="93"/>
      <c r="O239" s="56"/>
      <c r="P239" s="56"/>
      <c r="Q239" s="56"/>
      <c r="R239" s="56"/>
      <c r="S239" s="56"/>
      <c r="T239" s="56"/>
      <c r="U239" s="56"/>
      <c r="V239" s="56"/>
    </row>
    <row r="240" ht="18.75" customHeight="1">
      <c r="A240" s="90"/>
      <c r="B240" s="111" t="s">
        <v>952</v>
      </c>
      <c r="C240" s="118" t="s">
        <v>748</v>
      </c>
      <c r="D240" s="52">
        <v>256.0</v>
      </c>
      <c r="E240" s="52">
        <v>276.0</v>
      </c>
      <c r="F240" s="110"/>
      <c r="G240" s="95">
        <f t="shared" si="5"/>
        <v>0.078125</v>
      </c>
      <c r="H240" s="122"/>
      <c r="I240" s="109"/>
      <c r="J240" s="120"/>
      <c r="K240" s="120"/>
      <c r="L240" s="93"/>
      <c r="M240" s="93"/>
      <c r="N240" s="93"/>
      <c r="O240" s="56"/>
      <c r="P240" s="56"/>
      <c r="Q240" s="56"/>
      <c r="R240" s="56"/>
      <c r="S240" s="56"/>
      <c r="T240" s="56"/>
      <c r="U240" s="56"/>
      <c r="V240" s="56"/>
    </row>
    <row r="241" ht="18.75" customHeight="1">
      <c r="A241" s="90">
        <v>2.0</v>
      </c>
      <c r="B241" s="111" t="s">
        <v>953</v>
      </c>
      <c r="C241" s="118" t="s">
        <v>798</v>
      </c>
      <c r="D241" s="52">
        <v>273.6864</v>
      </c>
      <c r="E241" s="52">
        <v>296.0</v>
      </c>
      <c r="F241" s="110"/>
      <c r="G241" s="95">
        <f t="shared" si="5"/>
        <v>0.0815298093</v>
      </c>
      <c r="H241" s="122"/>
      <c r="I241" s="109">
        <v>2.58</v>
      </c>
      <c r="J241" s="120">
        <v>60.0</v>
      </c>
      <c r="K241" s="120">
        <v>240.0</v>
      </c>
      <c r="L241" s="93"/>
      <c r="M241" s="93"/>
      <c r="N241" s="93"/>
      <c r="O241" s="56"/>
      <c r="P241" s="56"/>
      <c r="Q241" s="56"/>
      <c r="R241" s="56"/>
      <c r="S241" s="56"/>
      <c r="T241" s="56"/>
      <c r="U241" s="56"/>
      <c r="V241" s="56"/>
    </row>
    <row r="242" ht="18.75" customHeight="1">
      <c r="A242" s="90">
        <v>3.0</v>
      </c>
      <c r="B242" s="111" t="s">
        <v>954</v>
      </c>
      <c r="C242" s="118" t="s">
        <v>306</v>
      </c>
      <c r="D242" s="52">
        <v>283.56</v>
      </c>
      <c r="E242" s="52">
        <v>306.0</v>
      </c>
      <c r="F242" s="110"/>
      <c r="G242" s="95">
        <f t="shared" si="5"/>
        <v>0.07913669065</v>
      </c>
      <c r="H242" s="114"/>
      <c r="I242" s="109">
        <v>2.68</v>
      </c>
      <c r="J242" s="120">
        <v>46.0</v>
      </c>
      <c r="K242" s="120">
        <v>184.0</v>
      </c>
      <c r="L242" s="93"/>
      <c r="M242" s="93"/>
      <c r="N242" s="93"/>
      <c r="O242" s="56"/>
      <c r="P242" s="56"/>
      <c r="Q242" s="56"/>
      <c r="R242" s="56"/>
      <c r="S242" s="56"/>
      <c r="T242" s="56"/>
      <c r="U242" s="56"/>
      <c r="V242" s="56"/>
    </row>
    <row r="243" ht="18.75" customHeight="1">
      <c r="A243" s="90">
        <v>4.0</v>
      </c>
      <c r="B243" s="111" t="s">
        <v>955</v>
      </c>
      <c r="C243" s="118" t="s">
        <v>801</v>
      </c>
      <c r="D243" s="52">
        <v>332.0</v>
      </c>
      <c r="E243" s="52">
        <v>358.0</v>
      </c>
      <c r="F243" s="110"/>
      <c r="G243" s="95">
        <f t="shared" si="5"/>
        <v>0.07831325301</v>
      </c>
      <c r="H243" s="114"/>
      <c r="I243" s="109">
        <v>3.1</v>
      </c>
      <c r="J243" s="120">
        <v>60.0</v>
      </c>
      <c r="K243" s="120">
        <v>240.0</v>
      </c>
      <c r="L243" s="93"/>
      <c r="M243" s="93"/>
      <c r="N243" s="93"/>
      <c r="O243" s="56"/>
      <c r="P243" s="56"/>
      <c r="Q243" s="56"/>
      <c r="R243" s="56"/>
      <c r="S243" s="56"/>
      <c r="T243" s="56"/>
      <c r="U243" s="56"/>
      <c r="V243" s="56"/>
    </row>
    <row r="244" ht="18.75" customHeight="1">
      <c r="A244" s="90">
        <v>5.0</v>
      </c>
      <c r="B244" s="111" t="s">
        <v>956</v>
      </c>
      <c r="C244" s="118" t="s">
        <v>803</v>
      </c>
      <c r="D244" s="52">
        <v>313.99679999999995</v>
      </c>
      <c r="E244" s="52">
        <v>338.0</v>
      </c>
      <c r="F244" s="110"/>
      <c r="G244" s="95">
        <f t="shared" si="5"/>
        <v>0.07644409115</v>
      </c>
      <c r="H244" s="114"/>
      <c r="I244" s="109">
        <v>2.96</v>
      </c>
      <c r="J244" s="120">
        <v>46.0</v>
      </c>
      <c r="K244" s="120">
        <v>184.0</v>
      </c>
      <c r="L244" s="93"/>
      <c r="M244" s="93"/>
      <c r="N244" s="93"/>
      <c r="O244" s="56"/>
      <c r="P244" s="56"/>
      <c r="Q244" s="56"/>
      <c r="R244" s="56"/>
      <c r="S244" s="56"/>
      <c r="T244" s="56"/>
      <c r="U244" s="56"/>
      <c r="V244" s="56"/>
    </row>
    <row r="245" ht="18.75" customHeight="1">
      <c r="A245" s="90">
        <v>6.0</v>
      </c>
      <c r="B245" s="111" t="s">
        <v>957</v>
      </c>
      <c r="C245" s="118" t="s">
        <v>958</v>
      </c>
      <c r="D245" s="52">
        <v>328.0</v>
      </c>
      <c r="E245" s="52">
        <v>354.0</v>
      </c>
      <c r="F245" s="110"/>
      <c r="G245" s="95">
        <f t="shared" si="5"/>
        <v>0.07926829268</v>
      </c>
      <c r="H245" s="114"/>
      <c r="I245" s="109">
        <v>3.08</v>
      </c>
      <c r="J245" s="120">
        <v>46.0</v>
      </c>
      <c r="K245" s="120">
        <v>184.0</v>
      </c>
      <c r="L245" s="93"/>
      <c r="M245" s="93"/>
      <c r="N245" s="93"/>
      <c r="O245" s="56"/>
      <c r="P245" s="56"/>
      <c r="Q245" s="56"/>
      <c r="R245" s="56"/>
      <c r="S245" s="56"/>
      <c r="T245" s="56"/>
      <c r="U245" s="56"/>
      <c r="V245" s="56"/>
    </row>
    <row r="246" ht="18.75" customHeight="1">
      <c r="A246" s="90">
        <v>7.0</v>
      </c>
      <c r="B246" s="111" t="s">
        <v>959</v>
      </c>
      <c r="C246" s="159" t="s">
        <v>363</v>
      </c>
      <c r="D246" s="52">
        <v>277.9296</v>
      </c>
      <c r="E246" s="52">
        <v>298.0</v>
      </c>
      <c r="F246" s="110"/>
      <c r="G246" s="95">
        <f t="shared" si="5"/>
        <v>0.07221397073</v>
      </c>
      <c r="H246" s="114"/>
      <c r="I246" s="109">
        <v>2.62</v>
      </c>
      <c r="J246" s="120">
        <v>66.0</v>
      </c>
      <c r="K246" s="120">
        <v>198.0</v>
      </c>
      <c r="L246" s="93"/>
      <c r="M246" s="93"/>
      <c r="N246" s="93"/>
      <c r="O246" s="56"/>
      <c r="P246" s="56"/>
      <c r="Q246" s="56"/>
      <c r="R246" s="56"/>
      <c r="S246" s="56"/>
      <c r="T246" s="56"/>
      <c r="U246" s="56"/>
      <c r="V246" s="56"/>
    </row>
    <row r="247" ht="18.75" customHeight="1">
      <c r="A247" s="90">
        <v>8.0</v>
      </c>
      <c r="B247" s="111" t="s">
        <v>960</v>
      </c>
      <c r="C247" s="118" t="s">
        <v>961</v>
      </c>
      <c r="D247" s="52">
        <v>552.0</v>
      </c>
      <c r="E247" s="52">
        <v>596.0</v>
      </c>
      <c r="F247" s="110"/>
      <c r="G247" s="95">
        <f t="shared" si="5"/>
        <v>0.07971014493</v>
      </c>
      <c r="H247" s="114"/>
      <c r="I247" s="109">
        <v>5.16</v>
      </c>
      <c r="J247" s="120">
        <v>24.0</v>
      </c>
      <c r="K247" s="120">
        <v>96.0</v>
      </c>
      <c r="L247" s="93"/>
      <c r="M247" s="93"/>
      <c r="N247" s="93"/>
      <c r="O247" s="56"/>
      <c r="P247" s="56"/>
      <c r="Q247" s="56"/>
      <c r="R247" s="56"/>
      <c r="S247" s="56"/>
      <c r="T247" s="56"/>
      <c r="U247" s="56"/>
      <c r="V247" s="56"/>
    </row>
    <row r="248" ht="18.75" customHeight="1">
      <c r="A248" s="90">
        <v>9.0</v>
      </c>
      <c r="B248" s="111" t="s">
        <v>962</v>
      </c>
      <c r="C248" s="118" t="s">
        <v>939</v>
      </c>
      <c r="D248" s="52">
        <v>352.0</v>
      </c>
      <c r="E248" s="52">
        <v>378.0</v>
      </c>
      <c r="F248" s="110"/>
      <c r="G248" s="95">
        <f t="shared" si="5"/>
        <v>0.07386363636</v>
      </c>
      <c r="H248" s="114"/>
      <c r="I248" s="109">
        <v>3.28</v>
      </c>
      <c r="J248" s="120">
        <v>66.0</v>
      </c>
      <c r="K248" s="120">
        <v>198.0</v>
      </c>
      <c r="L248" s="93"/>
      <c r="M248" s="93"/>
      <c r="N248" s="93"/>
      <c r="O248" s="56"/>
      <c r="P248" s="56"/>
      <c r="Q248" s="56"/>
      <c r="R248" s="56"/>
      <c r="S248" s="56"/>
      <c r="T248" s="56"/>
      <c r="U248" s="56"/>
      <c r="V248" s="56"/>
    </row>
    <row r="249" ht="18.75" customHeight="1">
      <c r="A249" s="90">
        <v>10.0</v>
      </c>
      <c r="B249" s="111" t="s">
        <v>963</v>
      </c>
      <c r="C249" s="118" t="s">
        <v>756</v>
      </c>
      <c r="D249" s="52">
        <v>387.6</v>
      </c>
      <c r="E249" s="52">
        <v>418.0</v>
      </c>
      <c r="F249" s="110"/>
      <c r="G249" s="95">
        <f t="shared" si="5"/>
        <v>0.07843137255</v>
      </c>
      <c r="H249" s="114"/>
      <c r="I249" s="109">
        <v>3.64</v>
      </c>
      <c r="J249" s="120">
        <v>30.0</v>
      </c>
      <c r="K249" s="120">
        <v>120.0</v>
      </c>
      <c r="L249" s="93"/>
      <c r="M249" s="93"/>
      <c r="N249" s="93"/>
      <c r="O249" s="56"/>
      <c r="P249" s="56"/>
      <c r="Q249" s="56"/>
      <c r="R249" s="56"/>
      <c r="S249" s="56"/>
      <c r="T249" s="56"/>
      <c r="U249" s="56"/>
      <c r="V249" s="56"/>
    </row>
    <row r="250" ht="18.75" customHeight="1">
      <c r="A250" s="90">
        <v>11.0</v>
      </c>
      <c r="B250" s="111" t="s">
        <v>964</v>
      </c>
      <c r="C250" s="118" t="s">
        <v>756</v>
      </c>
      <c r="D250" s="52">
        <v>397.8</v>
      </c>
      <c r="E250" s="52">
        <v>428.0</v>
      </c>
      <c r="F250" s="110"/>
      <c r="G250" s="95">
        <f t="shared" si="5"/>
        <v>0.07591754651</v>
      </c>
      <c r="H250" s="114"/>
      <c r="I250" s="109">
        <v>3.74</v>
      </c>
      <c r="J250" s="120">
        <v>30.0</v>
      </c>
      <c r="K250" s="120">
        <v>120.0</v>
      </c>
      <c r="L250" s="93"/>
      <c r="M250" s="93"/>
      <c r="N250" s="93"/>
      <c r="O250" s="56"/>
      <c r="P250" s="56"/>
      <c r="Q250" s="56"/>
      <c r="R250" s="56"/>
      <c r="S250" s="56"/>
      <c r="T250" s="56"/>
      <c r="U250" s="56"/>
      <c r="V250" s="56"/>
    </row>
    <row r="251" ht="18.75" customHeight="1">
      <c r="A251" s="90">
        <v>12.0</v>
      </c>
      <c r="B251" s="111" t="s">
        <v>965</v>
      </c>
      <c r="C251" s="118" t="s">
        <v>966</v>
      </c>
      <c r="D251" s="52">
        <v>712.0</v>
      </c>
      <c r="E251" s="52">
        <v>768.0</v>
      </c>
      <c r="F251" s="110"/>
      <c r="G251" s="95">
        <f t="shared" si="5"/>
        <v>0.07865168539</v>
      </c>
      <c r="H251" s="114"/>
      <c r="I251" s="109">
        <v>5.0</v>
      </c>
      <c r="J251" s="120">
        <v>13.0</v>
      </c>
      <c r="K251" s="120">
        <v>52.0</v>
      </c>
      <c r="L251" s="93"/>
      <c r="M251" s="93"/>
      <c r="N251" s="93"/>
      <c r="O251" s="56"/>
      <c r="P251" s="56"/>
      <c r="Q251" s="56"/>
      <c r="R251" s="56"/>
      <c r="S251" s="56"/>
      <c r="T251" s="56"/>
      <c r="U251" s="56"/>
      <c r="V251" s="56"/>
    </row>
    <row r="252" ht="18.75" customHeight="1">
      <c r="A252" s="90">
        <v>13.0</v>
      </c>
      <c r="B252" s="111" t="s">
        <v>967</v>
      </c>
      <c r="C252" s="118" t="s">
        <v>968</v>
      </c>
      <c r="D252" s="52">
        <v>714.0</v>
      </c>
      <c r="E252" s="52">
        <v>772.0</v>
      </c>
      <c r="F252" s="110"/>
      <c r="G252" s="95">
        <f t="shared" si="5"/>
        <v>0.081232493</v>
      </c>
      <c r="H252" s="114"/>
      <c r="I252" s="109">
        <v>5.0</v>
      </c>
      <c r="J252" s="120">
        <v>13.0</v>
      </c>
      <c r="K252" s="120">
        <v>52.0</v>
      </c>
      <c r="L252" s="93"/>
      <c r="M252" s="93"/>
      <c r="N252" s="93"/>
      <c r="O252" s="56"/>
      <c r="P252" s="56"/>
      <c r="Q252" s="56"/>
      <c r="R252" s="56"/>
      <c r="S252" s="56"/>
      <c r="T252" s="56"/>
      <c r="U252" s="56"/>
      <c r="V252" s="56"/>
    </row>
    <row r="253" ht="18.75" customHeight="1">
      <c r="A253" s="90">
        <v>14.0</v>
      </c>
      <c r="B253" s="111" t="s">
        <v>969</v>
      </c>
      <c r="C253" s="118" t="s">
        <v>970</v>
      </c>
      <c r="D253" s="52">
        <v>1298.0</v>
      </c>
      <c r="E253" s="52">
        <v>1398.0</v>
      </c>
      <c r="F253" s="110"/>
      <c r="G253" s="95">
        <f t="shared" si="5"/>
        <v>0.07704160247</v>
      </c>
      <c r="H253" s="114"/>
      <c r="I253" s="109">
        <v>10.0</v>
      </c>
      <c r="J253" s="120">
        <v>13.0</v>
      </c>
      <c r="K253" s="120">
        <v>52.0</v>
      </c>
      <c r="L253" s="93"/>
      <c r="M253" s="93"/>
      <c r="N253" s="93"/>
      <c r="O253" s="56"/>
      <c r="P253" s="56"/>
      <c r="Q253" s="56"/>
      <c r="R253" s="56"/>
      <c r="S253" s="56"/>
      <c r="T253" s="56"/>
      <c r="U253" s="56"/>
      <c r="V253" s="56"/>
    </row>
    <row r="254" ht="18.75" customHeight="1">
      <c r="A254" s="90">
        <v>15.0</v>
      </c>
      <c r="B254" s="111" t="s">
        <v>971</v>
      </c>
      <c r="C254" s="118" t="s">
        <v>972</v>
      </c>
      <c r="D254" s="52">
        <v>1298.0</v>
      </c>
      <c r="E254" s="52">
        <v>1398.0</v>
      </c>
      <c r="F254" s="110"/>
      <c r="G254" s="95">
        <f t="shared" si="5"/>
        <v>0.07704160247</v>
      </c>
      <c r="H254" s="114"/>
      <c r="I254" s="109">
        <v>10.0</v>
      </c>
      <c r="J254" s="120">
        <v>13.0</v>
      </c>
      <c r="K254" s="120">
        <v>52.0</v>
      </c>
      <c r="L254" s="93"/>
      <c r="M254" s="93"/>
      <c r="N254" s="93"/>
      <c r="O254" s="56"/>
      <c r="P254" s="56"/>
      <c r="Q254" s="56"/>
      <c r="R254" s="56"/>
      <c r="S254" s="56"/>
      <c r="T254" s="56"/>
      <c r="U254" s="56"/>
      <c r="V254" s="56"/>
    </row>
    <row r="255" ht="18.75" customHeight="1">
      <c r="A255" s="90"/>
      <c r="B255" s="111" t="s">
        <v>973</v>
      </c>
      <c r="C255" s="118" t="s">
        <v>523</v>
      </c>
      <c r="D255" s="52">
        <v>1998.0</v>
      </c>
      <c r="E255" s="52">
        <v>2158.0</v>
      </c>
      <c r="F255" s="110"/>
      <c r="G255" s="95">
        <f t="shared" si="5"/>
        <v>0.08008008008</v>
      </c>
      <c r="H255" s="114"/>
      <c r="I255" s="109"/>
      <c r="J255" s="120"/>
      <c r="K255" s="120"/>
      <c r="L255" s="93"/>
      <c r="M255" s="93"/>
      <c r="N255" s="93"/>
      <c r="O255" s="56"/>
      <c r="P255" s="56"/>
      <c r="Q255" s="56"/>
      <c r="R255" s="56"/>
      <c r="S255" s="56"/>
      <c r="T255" s="56"/>
      <c r="U255" s="56"/>
      <c r="V255" s="56"/>
    </row>
    <row r="256" ht="18.75" customHeight="1">
      <c r="A256" s="90">
        <v>16.0</v>
      </c>
      <c r="B256" s="111" t="s">
        <v>974</v>
      </c>
      <c r="C256" s="118" t="s">
        <v>734</v>
      </c>
      <c r="D256" s="52">
        <v>1694.0</v>
      </c>
      <c r="E256" s="52">
        <v>1828.0</v>
      </c>
      <c r="F256" s="110"/>
      <c r="G256" s="95">
        <f t="shared" si="5"/>
        <v>0.07910271547</v>
      </c>
      <c r="H256" s="114"/>
      <c r="I256" s="109">
        <v>15.0</v>
      </c>
      <c r="J256" s="120">
        <v>6.0</v>
      </c>
      <c r="K256" s="120">
        <v>24.0</v>
      </c>
      <c r="L256" s="93"/>
      <c r="M256" s="93"/>
      <c r="N256" s="93"/>
      <c r="O256" s="56"/>
      <c r="P256" s="56"/>
      <c r="Q256" s="56"/>
      <c r="R256" s="56"/>
      <c r="S256" s="56"/>
      <c r="T256" s="56"/>
      <c r="U256" s="56"/>
      <c r="V256" s="56"/>
    </row>
    <row r="257" ht="18.75" customHeight="1">
      <c r="A257" s="90">
        <v>17.0</v>
      </c>
      <c r="B257" s="111" t="s">
        <v>975</v>
      </c>
      <c r="C257" s="118" t="s">
        <v>719</v>
      </c>
      <c r="D257" s="52">
        <v>244.0</v>
      </c>
      <c r="E257" s="52">
        <v>264.0</v>
      </c>
      <c r="F257" s="110"/>
      <c r="G257" s="95">
        <f t="shared" si="5"/>
        <v>0.08196721311</v>
      </c>
      <c r="H257" s="122"/>
      <c r="I257" s="109">
        <v>2.28</v>
      </c>
      <c r="J257" s="120">
        <v>66.0</v>
      </c>
      <c r="K257" s="120">
        <v>198.0</v>
      </c>
      <c r="L257" s="93"/>
      <c r="M257" s="93"/>
      <c r="N257" s="93"/>
      <c r="O257" s="56"/>
      <c r="P257" s="56"/>
      <c r="Q257" s="56"/>
      <c r="R257" s="56"/>
      <c r="S257" s="56"/>
      <c r="T257" s="56"/>
      <c r="U257" s="56"/>
      <c r="V257" s="56"/>
    </row>
    <row r="258" ht="18.75" customHeight="1">
      <c r="A258" s="90">
        <v>18.0</v>
      </c>
      <c r="B258" s="111" t="s">
        <v>976</v>
      </c>
      <c r="C258" s="118" t="s">
        <v>717</v>
      </c>
      <c r="D258" s="52">
        <v>252.4704</v>
      </c>
      <c r="E258" s="52">
        <v>274.0</v>
      </c>
      <c r="F258" s="110"/>
      <c r="G258" s="95">
        <f t="shared" si="5"/>
        <v>0.08527573925</v>
      </c>
      <c r="H258" s="122"/>
      <c r="I258" s="109">
        <v>2.38</v>
      </c>
      <c r="J258" s="120">
        <v>66.0</v>
      </c>
      <c r="K258" s="120">
        <v>198.0</v>
      </c>
      <c r="L258" s="93"/>
      <c r="M258" s="93"/>
      <c r="N258" s="93"/>
      <c r="O258" s="56"/>
      <c r="P258" s="56"/>
      <c r="Q258" s="56"/>
      <c r="R258" s="56"/>
      <c r="S258" s="56"/>
      <c r="T258" s="56"/>
      <c r="U258" s="56"/>
      <c r="V258" s="56"/>
    </row>
    <row r="259" ht="18.75" customHeight="1">
      <c r="A259" s="90">
        <v>19.0</v>
      </c>
      <c r="B259" s="111" t="s">
        <v>977</v>
      </c>
      <c r="C259" s="118" t="s">
        <v>978</v>
      </c>
      <c r="D259" s="52">
        <v>236.0</v>
      </c>
      <c r="E259" s="52">
        <v>256.0</v>
      </c>
      <c r="F259" s="110"/>
      <c r="G259" s="95">
        <f t="shared" si="5"/>
        <v>0.08474576271</v>
      </c>
      <c r="H259" s="122"/>
      <c r="I259" s="109">
        <v>2.2</v>
      </c>
      <c r="J259" s="120">
        <v>90.0</v>
      </c>
      <c r="K259" s="120">
        <v>270.0</v>
      </c>
      <c r="L259" s="93"/>
      <c r="M259" s="93"/>
      <c r="N259" s="93"/>
      <c r="O259" s="56"/>
      <c r="P259" s="56"/>
      <c r="Q259" s="56"/>
      <c r="R259" s="56"/>
      <c r="S259" s="56"/>
      <c r="T259" s="56"/>
      <c r="U259" s="56"/>
      <c r="V259" s="56"/>
    </row>
    <row r="260" ht="18.75" customHeight="1">
      <c r="A260" s="90">
        <v>20.0</v>
      </c>
      <c r="B260" s="111" t="s">
        <v>979</v>
      </c>
      <c r="C260" s="118" t="s">
        <v>980</v>
      </c>
      <c r="D260" s="52">
        <v>517.6704</v>
      </c>
      <c r="E260" s="52">
        <v>558.0</v>
      </c>
      <c r="F260" s="110"/>
      <c r="G260" s="95">
        <f t="shared" si="5"/>
        <v>0.0779059417</v>
      </c>
      <c r="H260" s="114"/>
      <c r="I260" s="109">
        <v>4.88</v>
      </c>
      <c r="J260" s="120">
        <v>35.0</v>
      </c>
      <c r="K260" s="120">
        <v>140.0</v>
      </c>
      <c r="L260" s="93"/>
      <c r="M260" s="93"/>
      <c r="N260" s="93"/>
      <c r="O260" s="56"/>
      <c r="P260" s="56"/>
      <c r="Q260" s="56"/>
      <c r="R260" s="56"/>
      <c r="S260" s="56"/>
      <c r="T260" s="56"/>
      <c r="U260" s="56"/>
      <c r="V260" s="56"/>
    </row>
    <row r="261" ht="18.75" customHeight="1">
      <c r="A261" s="90">
        <v>21.0</v>
      </c>
      <c r="B261" s="111" t="s">
        <v>981</v>
      </c>
      <c r="C261" s="118" t="s">
        <v>663</v>
      </c>
      <c r="D261" s="52">
        <v>391.68</v>
      </c>
      <c r="E261" s="52">
        <v>424.0</v>
      </c>
      <c r="F261" s="110"/>
      <c r="G261" s="95">
        <f t="shared" si="5"/>
        <v>0.08251633987</v>
      </c>
      <c r="H261" s="114"/>
      <c r="I261" s="109">
        <v>3.68</v>
      </c>
      <c r="J261" s="120">
        <v>64.0</v>
      </c>
      <c r="K261" s="120">
        <v>256.0</v>
      </c>
      <c r="L261" s="93"/>
      <c r="M261" s="93"/>
      <c r="N261" s="93"/>
      <c r="O261" s="56"/>
      <c r="P261" s="56"/>
      <c r="Q261" s="56"/>
      <c r="R261" s="56"/>
      <c r="S261" s="56"/>
      <c r="T261" s="56"/>
      <c r="U261" s="56"/>
      <c r="V261" s="56"/>
    </row>
    <row r="262" ht="18.75" customHeight="1">
      <c r="A262" s="90">
        <v>22.0</v>
      </c>
      <c r="B262" s="111" t="s">
        <v>982</v>
      </c>
      <c r="C262" s="118" t="s">
        <v>710</v>
      </c>
      <c r="D262" s="52">
        <v>672.0</v>
      </c>
      <c r="E262" s="52">
        <v>726.0</v>
      </c>
      <c r="F262" s="110"/>
      <c r="G262" s="95">
        <f t="shared" si="5"/>
        <v>0.08035714286</v>
      </c>
      <c r="H262" s="114"/>
      <c r="I262" s="109">
        <v>6.3</v>
      </c>
      <c r="J262" s="120">
        <v>30.0</v>
      </c>
      <c r="K262" s="120">
        <v>120.0</v>
      </c>
      <c r="L262" s="93"/>
      <c r="M262" s="93"/>
      <c r="N262" s="93"/>
      <c r="O262" s="56"/>
      <c r="P262" s="56"/>
      <c r="Q262" s="56"/>
      <c r="R262" s="56"/>
      <c r="S262" s="56"/>
      <c r="T262" s="56"/>
      <c r="U262" s="56"/>
      <c r="V262" s="56"/>
    </row>
    <row r="263" ht="18.75" customHeight="1">
      <c r="A263" s="90">
        <v>23.0</v>
      </c>
      <c r="B263" s="111" t="s">
        <v>983</v>
      </c>
      <c r="C263" s="118" t="s">
        <v>601</v>
      </c>
      <c r="D263" s="52">
        <v>682.0</v>
      </c>
      <c r="E263" s="52">
        <v>738.0</v>
      </c>
      <c r="F263" s="110"/>
      <c r="G263" s="95">
        <f t="shared" si="5"/>
        <v>0.08211143695</v>
      </c>
      <c r="H263" s="114"/>
      <c r="I263" s="109">
        <v>6.44</v>
      </c>
      <c r="J263" s="120">
        <v>30.0</v>
      </c>
      <c r="K263" s="120">
        <v>120.0</v>
      </c>
      <c r="L263" s="93"/>
      <c r="M263" s="93"/>
      <c r="N263" s="93"/>
      <c r="O263" s="56"/>
      <c r="P263" s="56"/>
      <c r="Q263" s="56"/>
      <c r="R263" s="56"/>
      <c r="S263" s="56"/>
      <c r="T263" s="56"/>
      <c r="U263" s="56"/>
      <c r="V263" s="56"/>
    </row>
    <row r="264" ht="18.75" customHeight="1">
      <c r="A264" s="90">
        <v>24.0</v>
      </c>
      <c r="B264" s="135" t="s">
        <v>984</v>
      </c>
      <c r="C264" s="136" t="s">
        <v>731</v>
      </c>
      <c r="D264" s="52">
        <v>395.76</v>
      </c>
      <c r="E264" s="52">
        <v>428.0</v>
      </c>
      <c r="F264" s="110"/>
      <c r="G264" s="95">
        <f t="shared" si="5"/>
        <v>0.08146351324</v>
      </c>
      <c r="H264" s="122"/>
      <c r="I264" s="109">
        <v>3.72</v>
      </c>
      <c r="J264" s="120">
        <v>30.0</v>
      </c>
      <c r="K264" s="120">
        <v>120.0</v>
      </c>
      <c r="L264" s="93"/>
      <c r="M264" s="93"/>
      <c r="N264" s="93"/>
      <c r="O264" s="56"/>
      <c r="P264" s="56"/>
      <c r="Q264" s="56"/>
      <c r="R264" s="56"/>
      <c r="S264" s="56"/>
      <c r="T264" s="56"/>
      <c r="U264" s="56"/>
      <c r="V264" s="56"/>
    </row>
    <row r="265" ht="18.75" customHeight="1">
      <c r="A265" s="90">
        <v>25.0</v>
      </c>
      <c r="B265" s="135" t="s">
        <v>985</v>
      </c>
      <c r="C265" s="145" t="s">
        <v>712</v>
      </c>
      <c r="D265" s="52">
        <v>1550.4</v>
      </c>
      <c r="E265" s="52">
        <v>1674.0</v>
      </c>
      <c r="F265" s="110"/>
      <c r="G265" s="95">
        <f t="shared" si="5"/>
        <v>0.07972136223</v>
      </c>
      <c r="H265" s="114"/>
      <c r="I265" s="109">
        <v>10.0</v>
      </c>
      <c r="J265" s="120">
        <v>14.0</v>
      </c>
      <c r="K265" s="120">
        <v>56.0</v>
      </c>
      <c r="L265" s="93"/>
      <c r="M265" s="93"/>
      <c r="N265" s="93"/>
      <c r="O265" s="56"/>
      <c r="P265" s="56"/>
      <c r="Q265" s="56"/>
      <c r="R265" s="56"/>
      <c r="S265" s="56"/>
      <c r="T265" s="56"/>
      <c r="U265" s="56"/>
      <c r="V265" s="56"/>
    </row>
    <row r="266" ht="18.75" customHeight="1">
      <c r="A266" s="90"/>
      <c r="B266" s="91"/>
      <c r="C266" s="129"/>
      <c r="D266" s="132"/>
      <c r="E266" s="109"/>
      <c r="F266" s="110"/>
      <c r="G266" s="95" t="str">
        <f t="shared" si="5"/>
        <v/>
      </c>
      <c r="H266" s="133"/>
      <c r="I266" s="93"/>
      <c r="J266" s="115"/>
      <c r="K266" s="115"/>
      <c r="L266" s="93"/>
      <c r="M266" s="93"/>
      <c r="N266" s="93"/>
      <c r="O266" s="56"/>
      <c r="P266" s="56"/>
      <c r="Q266" s="56"/>
      <c r="R266" s="56"/>
      <c r="S266" s="56"/>
      <c r="T266" s="56"/>
      <c r="U266" s="56"/>
      <c r="V266" s="56"/>
    </row>
    <row r="267" ht="18.75" customHeight="1">
      <c r="A267" s="90"/>
      <c r="B267" s="107" t="s">
        <v>986</v>
      </c>
      <c r="C267" s="108"/>
      <c r="D267" s="109"/>
      <c r="E267" s="109"/>
      <c r="F267" s="110"/>
      <c r="G267" s="95" t="str">
        <f t="shared" si="5"/>
        <v/>
      </c>
      <c r="H267" s="133"/>
      <c r="I267" s="134"/>
      <c r="J267" s="115"/>
      <c r="K267" s="115"/>
      <c r="L267" s="134"/>
      <c r="M267" s="93"/>
      <c r="N267" s="93"/>
      <c r="O267" s="56"/>
      <c r="P267" s="56"/>
      <c r="Q267" s="56"/>
      <c r="R267" s="56"/>
      <c r="S267" s="56"/>
      <c r="T267" s="56"/>
      <c r="U267" s="56"/>
      <c r="V267" s="56"/>
    </row>
    <row r="268" ht="18.75" customHeight="1">
      <c r="A268" s="90">
        <v>1.0</v>
      </c>
      <c r="B268" s="111" t="s">
        <v>987</v>
      </c>
      <c r="C268" s="112" t="s">
        <v>951</v>
      </c>
      <c r="D268" s="52">
        <v>244.0</v>
      </c>
      <c r="E268" s="52">
        <v>264.0</v>
      </c>
      <c r="F268" s="110"/>
      <c r="G268" s="95">
        <f t="shared" si="5"/>
        <v>0.08196721311</v>
      </c>
      <c r="H268" s="122"/>
      <c r="I268" s="115">
        <v>2.28</v>
      </c>
      <c r="J268" s="115">
        <v>66.0</v>
      </c>
      <c r="K268" s="115">
        <v>198.0</v>
      </c>
      <c r="L268" s="109"/>
      <c r="M268" s="93"/>
      <c r="N268" s="93"/>
      <c r="O268" s="56"/>
      <c r="P268" s="56"/>
      <c r="Q268" s="56"/>
      <c r="R268" s="56"/>
      <c r="S268" s="56"/>
      <c r="T268" s="56"/>
      <c r="U268" s="56"/>
      <c r="V268" s="56"/>
    </row>
    <row r="269" ht="18.75" customHeight="1">
      <c r="A269" s="90"/>
      <c r="B269" s="111" t="s">
        <v>988</v>
      </c>
      <c r="C269" s="112" t="s">
        <v>748</v>
      </c>
      <c r="D269" s="52">
        <v>256.0</v>
      </c>
      <c r="E269" s="52">
        <v>276.0</v>
      </c>
      <c r="F269" s="110"/>
      <c r="G269" s="95">
        <f t="shared" si="5"/>
        <v>0.078125</v>
      </c>
      <c r="H269" s="122"/>
      <c r="I269" s="115"/>
      <c r="J269" s="115"/>
      <c r="K269" s="115"/>
      <c r="L269" s="109"/>
      <c r="M269" s="93"/>
      <c r="N269" s="93"/>
      <c r="O269" s="56"/>
      <c r="P269" s="56"/>
      <c r="Q269" s="56"/>
      <c r="R269" s="56"/>
      <c r="S269" s="56"/>
      <c r="T269" s="56"/>
      <c r="U269" s="56"/>
      <c r="V269" s="56"/>
    </row>
    <row r="270" ht="18.75" customHeight="1">
      <c r="A270" s="90">
        <v>2.0</v>
      </c>
      <c r="B270" s="111" t="s">
        <v>989</v>
      </c>
      <c r="C270" s="118" t="s">
        <v>798</v>
      </c>
      <c r="D270" s="52">
        <v>273.6864</v>
      </c>
      <c r="E270" s="52">
        <v>296.0</v>
      </c>
      <c r="F270" s="110"/>
      <c r="G270" s="95">
        <f t="shared" si="5"/>
        <v>0.0815298093</v>
      </c>
      <c r="H270" s="114"/>
      <c r="I270" s="115">
        <v>2.58</v>
      </c>
      <c r="J270" s="115">
        <v>60.0</v>
      </c>
      <c r="K270" s="115">
        <v>240.0</v>
      </c>
      <c r="L270" s="109"/>
      <c r="M270" s="93"/>
      <c r="N270" s="93"/>
      <c r="O270" s="56"/>
      <c r="P270" s="56"/>
      <c r="Q270" s="56"/>
      <c r="R270" s="56"/>
      <c r="S270" s="56"/>
      <c r="T270" s="56"/>
      <c r="U270" s="56"/>
      <c r="V270" s="56"/>
    </row>
    <row r="271" ht="18.75" customHeight="1">
      <c r="A271" s="90">
        <v>3.0</v>
      </c>
      <c r="B271" s="111" t="s">
        <v>990</v>
      </c>
      <c r="C271" s="118" t="s">
        <v>306</v>
      </c>
      <c r="D271" s="52">
        <v>283.56</v>
      </c>
      <c r="E271" s="52">
        <v>306.0</v>
      </c>
      <c r="F271" s="110"/>
      <c r="G271" s="95">
        <f t="shared" si="5"/>
        <v>0.07913669065</v>
      </c>
      <c r="H271" s="114"/>
      <c r="I271" s="115">
        <v>2.68</v>
      </c>
      <c r="J271" s="115">
        <v>46.0</v>
      </c>
      <c r="K271" s="115">
        <v>184.0</v>
      </c>
      <c r="L271" s="109"/>
      <c r="M271" s="93"/>
      <c r="N271" s="93"/>
      <c r="O271" s="56"/>
      <c r="P271" s="56"/>
      <c r="Q271" s="56"/>
      <c r="R271" s="56"/>
      <c r="S271" s="56"/>
      <c r="T271" s="56"/>
      <c r="U271" s="56"/>
      <c r="V271" s="56"/>
    </row>
    <row r="272" ht="18.75" customHeight="1">
      <c r="A272" s="90">
        <v>4.0</v>
      </c>
      <c r="B272" s="111" t="s">
        <v>991</v>
      </c>
      <c r="C272" s="118" t="s">
        <v>801</v>
      </c>
      <c r="D272" s="52">
        <v>332.0</v>
      </c>
      <c r="E272" s="52">
        <v>358.0</v>
      </c>
      <c r="F272" s="110"/>
      <c r="G272" s="95">
        <f t="shared" si="5"/>
        <v>0.07831325301</v>
      </c>
      <c r="H272" s="114"/>
      <c r="I272" s="115">
        <v>3.1</v>
      </c>
      <c r="J272" s="115">
        <v>60.0</v>
      </c>
      <c r="K272" s="115">
        <v>240.0</v>
      </c>
      <c r="L272" s="109"/>
      <c r="M272" s="93"/>
      <c r="N272" s="93"/>
      <c r="O272" s="56"/>
      <c r="P272" s="56"/>
      <c r="Q272" s="56"/>
      <c r="R272" s="56"/>
      <c r="S272" s="56"/>
      <c r="T272" s="56"/>
      <c r="U272" s="56"/>
      <c r="V272" s="56"/>
    </row>
    <row r="273" ht="18.75" customHeight="1">
      <c r="A273" s="90">
        <v>5.0</v>
      </c>
      <c r="B273" s="111" t="s">
        <v>992</v>
      </c>
      <c r="C273" s="118" t="s">
        <v>803</v>
      </c>
      <c r="D273" s="52">
        <v>313.99679999999995</v>
      </c>
      <c r="E273" s="52">
        <v>338.0</v>
      </c>
      <c r="F273" s="110"/>
      <c r="G273" s="95">
        <f t="shared" si="5"/>
        <v>0.07644409115</v>
      </c>
      <c r="H273" s="114"/>
      <c r="I273" s="115">
        <v>2.96</v>
      </c>
      <c r="J273" s="115">
        <v>46.0</v>
      </c>
      <c r="K273" s="115">
        <v>184.0</v>
      </c>
      <c r="L273" s="109"/>
      <c r="M273" s="93"/>
      <c r="N273" s="93"/>
      <c r="O273" s="56"/>
      <c r="P273" s="56"/>
      <c r="Q273" s="56"/>
      <c r="R273" s="56"/>
      <c r="S273" s="56"/>
      <c r="T273" s="56"/>
      <c r="U273" s="56"/>
      <c r="V273" s="56"/>
    </row>
    <row r="274" ht="18.75" customHeight="1">
      <c r="A274" s="90">
        <v>6.0</v>
      </c>
      <c r="B274" s="111" t="s">
        <v>993</v>
      </c>
      <c r="C274" s="118" t="s">
        <v>958</v>
      </c>
      <c r="D274" s="52">
        <v>328.0</v>
      </c>
      <c r="E274" s="52">
        <v>354.0</v>
      </c>
      <c r="F274" s="110"/>
      <c r="G274" s="95">
        <f t="shared" si="5"/>
        <v>0.07926829268</v>
      </c>
      <c r="H274" s="114"/>
      <c r="I274" s="115">
        <v>3.08</v>
      </c>
      <c r="J274" s="115">
        <v>46.0</v>
      </c>
      <c r="K274" s="115">
        <v>184.0</v>
      </c>
      <c r="L274" s="109"/>
      <c r="M274" s="93"/>
      <c r="N274" s="93"/>
      <c r="O274" s="56"/>
      <c r="P274" s="56"/>
      <c r="Q274" s="56"/>
      <c r="R274" s="56"/>
      <c r="S274" s="56"/>
      <c r="T274" s="56"/>
      <c r="U274" s="56"/>
      <c r="V274" s="56"/>
    </row>
    <row r="275" ht="18.75" customHeight="1">
      <c r="A275" s="90">
        <v>7.0</v>
      </c>
      <c r="B275" s="153" t="s">
        <v>994</v>
      </c>
      <c r="C275" s="136" t="s">
        <v>363</v>
      </c>
      <c r="D275" s="52">
        <v>277.9296</v>
      </c>
      <c r="E275" s="52">
        <v>298.0</v>
      </c>
      <c r="F275" s="110"/>
      <c r="G275" s="95">
        <f t="shared" si="5"/>
        <v>0.07221397073</v>
      </c>
      <c r="H275" s="114"/>
      <c r="I275" s="115">
        <v>2.62</v>
      </c>
      <c r="J275" s="115">
        <v>66.0</v>
      </c>
      <c r="K275" s="115">
        <v>198.0</v>
      </c>
      <c r="L275" s="109"/>
      <c r="M275" s="93"/>
      <c r="N275" s="93"/>
      <c r="O275" s="56"/>
      <c r="P275" s="56"/>
      <c r="Q275" s="56"/>
      <c r="R275" s="56"/>
      <c r="S275" s="56"/>
      <c r="T275" s="56"/>
      <c r="U275" s="56"/>
      <c r="V275" s="56"/>
    </row>
    <row r="276" ht="18.75" customHeight="1">
      <c r="A276" s="90">
        <v>8.0</v>
      </c>
      <c r="B276" s="111" t="s">
        <v>995</v>
      </c>
      <c r="C276" s="118" t="s">
        <v>961</v>
      </c>
      <c r="D276" s="52">
        <v>552.0</v>
      </c>
      <c r="E276" s="52">
        <v>596.0</v>
      </c>
      <c r="F276" s="110"/>
      <c r="G276" s="95">
        <f t="shared" si="5"/>
        <v>0.07971014493</v>
      </c>
      <c r="H276" s="114"/>
      <c r="I276" s="115">
        <v>5.16</v>
      </c>
      <c r="J276" s="115">
        <v>24.0</v>
      </c>
      <c r="K276" s="115">
        <v>96.0</v>
      </c>
      <c r="L276" s="109"/>
      <c r="M276" s="93"/>
      <c r="N276" s="93"/>
      <c r="O276" s="56"/>
      <c r="P276" s="56"/>
      <c r="Q276" s="56"/>
      <c r="R276" s="56"/>
      <c r="S276" s="56"/>
      <c r="T276" s="56"/>
      <c r="U276" s="56"/>
      <c r="V276" s="56"/>
    </row>
    <row r="277" ht="18.75" customHeight="1">
      <c r="A277" s="90">
        <v>9.0</v>
      </c>
      <c r="B277" s="111" t="s">
        <v>996</v>
      </c>
      <c r="C277" s="118" t="s">
        <v>939</v>
      </c>
      <c r="D277" s="52">
        <v>352.0</v>
      </c>
      <c r="E277" s="52">
        <v>378.0</v>
      </c>
      <c r="F277" s="110"/>
      <c r="G277" s="95">
        <f t="shared" si="5"/>
        <v>0.07386363636</v>
      </c>
      <c r="H277" s="114"/>
      <c r="I277" s="115">
        <v>3.28</v>
      </c>
      <c r="J277" s="115">
        <v>66.0</v>
      </c>
      <c r="K277" s="115">
        <v>198.0</v>
      </c>
      <c r="L277" s="109"/>
      <c r="M277" s="93"/>
      <c r="N277" s="93"/>
      <c r="O277" s="56"/>
      <c r="P277" s="56"/>
      <c r="Q277" s="56"/>
      <c r="R277" s="56"/>
      <c r="S277" s="56"/>
      <c r="T277" s="56"/>
      <c r="U277" s="56"/>
      <c r="V277" s="56"/>
    </row>
    <row r="278" ht="18.75" customHeight="1">
      <c r="A278" s="90">
        <v>10.0</v>
      </c>
      <c r="B278" s="111" t="s">
        <v>997</v>
      </c>
      <c r="C278" s="118" t="s">
        <v>756</v>
      </c>
      <c r="D278" s="52">
        <v>387.6</v>
      </c>
      <c r="E278" s="52">
        <v>418.0</v>
      </c>
      <c r="F278" s="110"/>
      <c r="G278" s="95">
        <f t="shared" si="5"/>
        <v>0.07843137255</v>
      </c>
      <c r="H278" s="122"/>
      <c r="I278" s="115">
        <v>3.64</v>
      </c>
      <c r="J278" s="115">
        <v>30.0</v>
      </c>
      <c r="K278" s="115">
        <v>120.0</v>
      </c>
      <c r="L278" s="109"/>
      <c r="M278" s="93"/>
      <c r="N278" s="93"/>
      <c r="O278" s="56"/>
      <c r="P278" s="56"/>
      <c r="Q278" s="56"/>
      <c r="R278" s="56"/>
      <c r="S278" s="56"/>
      <c r="T278" s="56"/>
      <c r="U278" s="56"/>
      <c r="V278" s="56"/>
    </row>
    <row r="279" ht="18.75" customHeight="1">
      <c r="A279" s="90">
        <v>11.0</v>
      </c>
      <c r="B279" s="111" t="s">
        <v>998</v>
      </c>
      <c r="C279" s="118" t="s">
        <v>756</v>
      </c>
      <c r="D279" s="52">
        <v>397.8</v>
      </c>
      <c r="E279" s="52">
        <v>428.0</v>
      </c>
      <c r="F279" s="110"/>
      <c r="G279" s="95">
        <f t="shared" si="5"/>
        <v>0.07591754651</v>
      </c>
      <c r="H279" s="122"/>
      <c r="I279" s="115">
        <v>3.74</v>
      </c>
      <c r="J279" s="115">
        <v>30.0</v>
      </c>
      <c r="K279" s="115">
        <v>120.0</v>
      </c>
      <c r="L279" s="109"/>
      <c r="M279" s="93"/>
      <c r="N279" s="93"/>
      <c r="O279" s="56"/>
      <c r="P279" s="56"/>
      <c r="Q279" s="56"/>
      <c r="R279" s="56"/>
      <c r="S279" s="56"/>
      <c r="T279" s="56"/>
      <c r="U279" s="56"/>
      <c r="V279" s="56"/>
    </row>
    <row r="280" ht="18.75" customHeight="1">
      <c r="A280" s="90">
        <v>12.0</v>
      </c>
      <c r="B280" s="111" t="s">
        <v>999</v>
      </c>
      <c r="C280" s="118" t="s">
        <v>966</v>
      </c>
      <c r="D280" s="52">
        <v>712.0</v>
      </c>
      <c r="E280" s="52">
        <v>768.0</v>
      </c>
      <c r="F280" s="110"/>
      <c r="G280" s="95">
        <f t="shared" si="5"/>
        <v>0.07865168539</v>
      </c>
      <c r="H280" s="114"/>
      <c r="I280" s="120">
        <v>5.0</v>
      </c>
      <c r="J280" s="115">
        <v>13.0</v>
      </c>
      <c r="K280" s="115">
        <v>52.0</v>
      </c>
      <c r="L280" s="109"/>
      <c r="M280" s="93"/>
      <c r="N280" s="93"/>
      <c r="O280" s="56"/>
      <c r="P280" s="56"/>
      <c r="Q280" s="56"/>
      <c r="R280" s="56"/>
      <c r="S280" s="56"/>
      <c r="T280" s="56"/>
      <c r="U280" s="56"/>
      <c r="V280" s="56"/>
    </row>
    <row r="281" ht="18.75" customHeight="1">
      <c r="A281" s="90"/>
      <c r="B281" s="111" t="s">
        <v>1000</v>
      </c>
      <c r="C281" s="118" t="s">
        <v>966</v>
      </c>
      <c r="D281" s="160" t="s">
        <v>1001</v>
      </c>
      <c r="E281" s="52">
        <v>668.0</v>
      </c>
      <c r="F281" s="110"/>
      <c r="G281" s="95" t="str">
        <f t="shared" si="5"/>
        <v/>
      </c>
      <c r="H281" s="114"/>
      <c r="I281" s="120"/>
      <c r="J281" s="115"/>
      <c r="K281" s="115"/>
      <c r="L281" s="109"/>
      <c r="M281" s="93"/>
      <c r="N281" s="93"/>
      <c r="O281" s="56"/>
      <c r="P281" s="56"/>
      <c r="Q281" s="56"/>
      <c r="R281" s="56"/>
      <c r="S281" s="56"/>
      <c r="T281" s="56"/>
      <c r="U281" s="56"/>
      <c r="V281" s="56"/>
    </row>
    <row r="282" ht="18.75" customHeight="1">
      <c r="A282" s="90">
        <v>13.0</v>
      </c>
      <c r="B282" s="111" t="s">
        <v>1002</v>
      </c>
      <c r="C282" s="118" t="s">
        <v>968</v>
      </c>
      <c r="D282" s="52">
        <v>714.0</v>
      </c>
      <c r="E282" s="52">
        <v>772.0</v>
      </c>
      <c r="F282" s="110"/>
      <c r="G282" s="95">
        <f t="shared" si="5"/>
        <v>0.081232493</v>
      </c>
      <c r="H282" s="114"/>
      <c r="I282" s="120">
        <v>5.0</v>
      </c>
      <c r="J282" s="115">
        <v>13.0</v>
      </c>
      <c r="K282" s="115">
        <v>52.0</v>
      </c>
      <c r="L282" s="109"/>
      <c r="M282" s="93"/>
      <c r="N282" s="93"/>
      <c r="O282" s="56"/>
      <c r="P282" s="56"/>
      <c r="Q282" s="56"/>
      <c r="R282" s="56"/>
      <c r="S282" s="56"/>
      <c r="T282" s="56"/>
      <c r="U282" s="56"/>
      <c r="V282" s="56"/>
    </row>
    <row r="283" ht="18.75" customHeight="1">
      <c r="A283" s="90">
        <v>14.0</v>
      </c>
      <c r="B283" s="111" t="s">
        <v>1003</v>
      </c>
      <c r="C283" s="118" t="s">
        <v>970</v>
      </c>
      <c r="D283" s="52">
        <v>1298.0</v>
      </c>
      <c r="E283" s="52">
        <v>1398.0</v>
      </c>
      <c r="F283" s="110"/>
      <c r="G283" s="95">
        <f t="shared" si="5"/>
        <v>0.07704160247</v>
      </c>
      <c r="H283" s="114"/>
      <c r="I283" s="120">
        <v>10.0</v>
      </c>
      <c r="J283" s="115">
        <v>13.0</v>
      </c>
      <c r="K283" s="115">
        <v>52.0</v>
      </c>
      <c r="L283" s="109"/>
      <c r="M283" s="93"/>
      <c r="N283" s="93"/>
      <c r="O283" s="56"/>
      <c r="P283" s="56"/>
      <c r="Q283" s="56"/>
      <c r="R283" s="56"/>
      <c r="S283" s="56"/>
      <c r="T283" s="56"/>
      <c r="U283" s="56"/>
      <c r="V283" s="56"/>
    </row>
    <row r="284" ht="18.75" customHeight="1">
      <c r="A284" s="90">
        <v>15.0</v>
      </c>
      <c r="B284" s="111" t="s">
        <v>1005</v>
      </c>
      <c r="C284" s="118" t="s">
        <v>972</v>
      </c>
      <c r="D284" s="52">
        <v>1298.0</v>
      </c>
      <c r="E284" s="52">
        <v>1398.0</v>
      </c>
      <c r="F284" s="110"/>
      <c r="G284" s="95">
        <f t="shared" si="5"/>
        <v>0.07704160247</v>
      </c>
      <c r="H284" s="114"/>
      <c r="I284" s="120">
        <v>10.0</v>
      </c>
      <c r="J284" s="115">
        <v>13.0</v>
      </c>
      <c r="K284" s="115">
        <v>52.0</v>
      </c>
      <c r="L284" s="109"/>
      <c r="M284" s="93"/>
      <c r="N284" s="93"/>
      <c r="O284" s="56"/>
      <c r="P284" s="56"/>
      <c r="Q284" s="56"/>
      <c r="R284" s="56"/>
      <c r="S284" s="56"/>
      <c r="T284" s="56"/>
      <c r="U284" s="56"/>
      <c r="V284" s="56"/>
    </row>
    <row r="285" ht="18.75" customHeight="1">
      <c r="A285" s="90"/>
      <c r="B285" s="111" t="s">
        <v>1006</v>
      </c>
      <c r="C285" s="118" t="s">
        <v>523</v>
      </c>
      <c r="D285" s="52">
        <v>1998.0</v>
      </c>
      <c r="E285" s="52">
        <v>2158.0</v>
      </c>
      <c r="F285" s="110"/>
      <c r="G285" s="95">
        <f t="shared" si="5"/>
        <v>0.08008008008</v>
      </c>
      <c r="H285" s="114"/>
      <c r="I285" s="120"/>
      <c r="J285" s="115"/>
      <c r="K285" s="115"/>
      <c r="L285" s="109"/>
      <c r="M285" s="93"/>
      <c r="N285" s="93"/>
      <c r="O285" s="56"/>
      <c r="P285" s="56"/>
      <c r="Q285" s="56"/>
      <c r="R285" s="56"/>
      <c r="S285" s="56"/>
      <c r="T285" s="56"/>
      <c r="U285" s="56"/>
      <c r="V285" s="56"/>
    </row>
    <row r="286" ht="18.75" customHeight="1">
      <c r="A286" s="90">
        <v>16.0</v>
      </c>
      <c r="B286" s="111" t="s">
        <v>1007</v>
      </c>
      <c r="C286" s="118" t="s">
        <v>734</v>
      </c>
      <c r="D286" s="52">
        <v>1694.0</v>
      </c>
      <c r="E286" s="52">
        <v>1828.0</v>
      </c>
      <c r="F286" s="110"/>
      <c r="G286" s="95">
        <f t="shared" si="5"/>
        <v>0.07910271547</v>
      </c>
      <c r="H286" s="114"/>
      <c r="I286" s="120">
        <v>15.0</v>
      </c>
      <c r="J286" s="115">
        <v>6.0</v>
      </c>
      <c r="K286" s="115">
        <v>24.0</v>
      </c>
      <c r="L286" s="109"/>
      <c r="M286" s="93"/>
      <c r="N286" s="93"/>
      <c r="O286" s="56"/>
      <c r="P286" s="56"/>
      <c r="Q286" s="56"/>
      <c r="R286" s="56"/>
      <c r="S286" s="56"/>
      <c r="T286" s="56"/>
      <c r="U286" s="56"/>
      <c r="V286" s="56"/>
    </row>
    <row r="287" ht="18.75" customHeight="1">
      <c r="A287" s="90">
        <v>17.0</v>
      </c>
      <c r="B287" s="111" t="s">
        <v>1008</v>
      </c>
      <c r="C287" s="118" t="s">
        <v>719</v>
      </c>
      <c r="D287" s="52">
        <v>244.0</v>
      </c>
      <c r="E287" s="52">
        <v>264.0</v>
      </c>
      <c r="F287" s="110"/>
      <c r="G287" s="95">
        <f t="shared" si="5"/>
        <v>0.08196721311</v>
      </c>
      <c r="H287" s="114"/>
      <c r="I287" s="115">
        <v>2.28</v>
      </c>
      <c r="J287" s="115">
        <v>66.0</v>
      </c>
      <c r="K287" s="115">
        <v>264.0</v>
      </c>
      <c r="L287" s="109"/>
      <c r="M287" s="93"/>
      <c r="N287" s="93"/>
      <c r="O287" s="56"/>
      <c r="P287" s="56"/>
      <c r="Q287" s="56"/>
      <c r="R287" s="56"/>
      <c r="S287" s="56"/>
      <c r="T287" s="56"/>
      <c r="U287" s="56"/>
      <c r="V287" s="56"/>
    </row>
    <row r="288" ht="18.75" customHeight="1">
      <c r="A288" s="90">
        <v>18.0</v>
      </c>
      <c r="B288" s="111" t="s">
        <v>1009</v>
      </c>
      <c r="C288" s="118" t="s">
        <v>717</v>
      </c>
      <c r="D288" s="52">
        <v>252.4704</v>
      </c>
      <c r="E288" s="52">
        <v>274.0</v>
      </c>
      <c r="F288" s="110"/>
      <c r="G288" s="95">
        <f t="shared" si="5"/>
        <v>0.08527573925</v>
      </c>
      <c r="H288" s="114"/>
      <c r="I288" s="115">
        <v>2.38</v>
      </c>
      <c r="J288" s="115">
        <v>132.0</v>
      </c>
      <c r="K288" s="115">
        <v>264.0</v>
      </c>
      <c r="L288" s="109"/>
      <c r="M288" s="93"/>
      <c r="N288" s="93"/>
      <c r="O288" s="56"/>
      <c r="P288" s="56"/>
      <c r="Q288" s="56"/>
      <c r="R288" s="56"/>
      <c r="S288" s="56"/>
      <c r="T288" s="56"/>
      <c r="U288" s="56"/>
      <c r="V288" s="56"/>
    </row>
    <row r="289" ht="18.75" customHeight="1">
      <c r="A289" s="90"/>
      <c r="B289" s="111" t="s">
        <v>1010</v>
      </c>
      <c r="C289" s="118" t="s">
        <v>723</v>
      </c>
      <c r="D289" s="52">
        <v>264.0</v>
      </c>
      <c r="E289" s="52">
        <v>284.0</v>
      </c>
      <c r="F289" s="110"/>
      <c r="G289" s="95">
        <f t="shared" si="5"/>
        <v>0.07575757576</v>
      </c>
      <c r="H289" s="114"/>
      <c r="I289" s="109">
        <v>2.48</v>
      </c>
      <c r="J289" s="120">
        <v>66.0</v>
      </c>
      <c r="K289" s="120">
        <v>264.0</v>
      </c>
      <c r="L289" s="109"/>
      <c r="M289" s="93"/>
      <c r="N289" s="93"/>
      <c r="O289" s="56"/>
      <c r="P289" s="56"/>
      <c r="Q289" s="56"/>
      <c r="R289" s="56"/>
      <c r="S289" s="56"/>
      <c r="T289" s="56"/>
      <c r="U289" s="56"/>
      <c r="V289" s="56"/>
    </row>
    <row r="290" ht="18.75" customHeight="1">
      <c r="A290" s="90">
        <v>19.0</v>
      </c>
      <c r="B290" s="111" t="s">
        <v>1011</v>
      </c>
      <c r="C290" s="118" t="s">
        <v>978</v>
      </c>
      <c r="D290" s="52">
        <v>236.0</v>
      </c>
      <c r="E290" s="52">
        <v>256.0</v>
      </c>
      <c r="F290" s="110"/>
      <c r="G290" s="95">
        <f t="shared" si="5"/>
        <v>0.08474576271</v>
      </c>
      <c r="H290" s="122"/>
      <c r="I290" s="115">
        <v>2.2</v>
      </c>
      <c r="J290" s="115">
        <v>90.0</v>
      </c>
      <c r="K290" s="115">
        <v>270.0</v>
      </c>
      <c r="L290" s="109"/>
      <c r="M290" s="93"/>
      <c r="N290" s="93"/>
      <c r="O290" s="56"/>
      <c r="P290" s="56"/>
      <c r="Q290" s="56"/>
      <c r="R290" s="56"/>
      <c r="S290" s="56"/>
      <c r="T290" s="56"/>
      <c r="U290" s="56"/>
      <c r="V290" s="56"/>
    </row>
    <row r="291" ht="18.75" customHeight="1">
      <c r="A291" s="90">
        <v>20.0</v>
      </c>
      <c r="B291" s="111" t="s">
        <v>1012</v>
      </c>
      <c r="C291" s="118" t="s">
        <v>980</v>
      </c>
      <c r="D291" s="52">
        <v>517.6704</v>
      </c>
      <c r="E291" s="52">
        <v>558.0</v>
      </c>
      <c r="F291" s="110"/>
      <c r="G291" s="95">
        <f t="shared" si="5"/>
        <v>0.0779059417</v>
      </c>
      <c r="H291" s="114"/>
      <c r="I291" s="115">
        <v>4.88</v>
      </c>
      <c r="J291" s="115">
        <v>35.0</v>
      </c>
      <c r="K291" s="115">
        <v>140.0</v>
      </c>
      <c r="L291" s="109"/>
      <c r="M291" s="93"/>
      <c r="N291" s="93"/>
      <c r="O291" s="56"/>
      <c r="P291" s="56"/>
      <c r="Q291" s="56"/>
      <c r="R291" s="56"/>
      <c r="S291" s="56"/>
      <c r="T291" s="56"/>
      <c r="U291" s="56"/>
      <c r="V291" s="56"/>
    </row>
    <row r="292" ht="18.75" customHeight="1">
      <c r="A292" s="90">
        <v>21.0</v>
      </c>
      <c r="B292" s="111" t="s">
        <v>1013</v>
      </c>
      <c r="C292" s="118" t="s">
        <v>663</v>
      </c>
      <c r="D292" s="52">
        <v>391.68</v>
      </c>
      <c r="E292" s="52">
        <v>424.0</v>
      </c>
      <c r="F292" s="110"/>
      <c r="G292" s="95">
        <f t="shared" si="5"/>
        <v>0.08251633987</v>
      </c>
      <c r="H292" s="114"/>
      <c r="I292" s="115">
        <v>3.68</v>
      </c>
      <c r="J292" s="115">
        <v>64.0</v>
      </c>
      <c r="K292" s="115">
        <v>256.0</v>
      </c>
      <c r="L292" s="109"/>
      <c r="M292" s="93"/>
      <c r="N292" s="93"/>
      <c r="O292" s="56"/>
      <c r="P292" s="56"/>
      <c r="Q292" s="56"/>
      <c r="R292" s="56"/>
      <c r="S292" s="56"/>
      <c r="T292" s="56"/>
      <c r="U292" s="56"/>
      <c r="V292" s="56"/>
    </row>
    <row r="293" ht="18.75" customHeight="1">
      <c r="A293" s="90">
        <v>22.0</v>
      </c>
      <c r="B293" s="111" t="s">
        <v>1014</v>
      </c>
      <c r="C293" s="118" t="s">
        <v>710</v>
      </c>
      <c r="D293" s="52">
        <v>672.0</v>
      </c>
      <c r="E293" s="52">
        <v>726.0</v>
      </c>
      <c r="F293" s="110"/>
      <c r="G293" s="95">
        <f t="shared" si="5"/>
        <v>0.08035714286</v>
      </c>
      <c r="H293" s="114"/>
      <c r="I293" s="115">
        <v>6.3</v>
      </c>
      <c r="J293" s="115">
        <v>30.0</v>
      </c>
      <c r="K293" s="115">
        <v>120.0</v>
      </c>
      <c r="L293" s="109"/>
      <c r="M293" s="93"/>
      <c r="N293" s="93"/>
      <c r="O293" s="56"/>
      <c r="P293" s="56"/>
      <c r="Q293" s="56"/>
      <c r="R293" s="56"/>
      <c r="S293" s="56"/>
      <c r="T293" s="56"/>
      <c r="U293" s="56"/>
      <c r="V293" s="56"/>
    </row>
    <row r="294" ht="18.75" customHeight="1">
      <c r="A294" s="90">
        <v>23.0</v>
      </c>
      <c r="B294" s="111" t="s">
        <v>1015</v>
      </c>
      <c r="C294" s="118" t="s">
        <v>601</v>
      </c>
      <c r="D294" s="52">
        <v>682.0</v>
      </c>
      <c r="E294" s="52">
        <v>738.0</v>
      </c>
      <c r="F294" s="110"/>
      <c r="G294" s="95">
        <f t="shared" si="5"/>
        <v>0.08211143695</v>
      </c>
      <c r="H294" s="114"/>
      <c r="I294" s="115">
        <v>6.44</v>
      </c>
      <c r="J294" s="115">
        <v>30.0</v>
      </c>
      <c r="K294" s="115">
        <v>120.0</v>
      </c>
      <c r="L294" s="109"/>
      <c r="M294" s="93"/>
      <c r="N294" s="93"/>
      <c r="O294" s="56"/>
      <c r="P294" s="56"/>
      <c r="Q294" s="56"/>
      <c r="R294" s="56"/>
      <c r="S294" s="56"/>
      <c r="T294" s="56"/>
      <c r="U294" s="56"/>
      <c r="V294" s="56"/>
    </row>
    <row r="295" ht="18.75" customHeight="1">
      <c r="A295" s="90">
        <v>24.0</v>
      </c>
      <c r="B295" s="153" t="s">
        <v>1016</v>
      </c>
      <c r="C295" s="136" t="s">
        <v>731</v>
      </c>
      <c r="D295" s="52">
        <v>395.76</v>
      </c>
      <c r="E295" s="52">
        <v>428.0</v>
      </c>
      <c r="F295" s="110"/>
      <c r="G295" s="95">
        <f t="shared" si="5"/>
        <v>0.08146351324</v>
      </c>
      <c r="H295" s="122"/>
      <c r="I295" s="115">
        <v>3.72</v>
      </c>
      <c r="J295" s="115">
        <v>30.0</v>
      </c>
      <c r="K295" s="115">
        <v>120.0</v>
      </c>
      <c r="L295" s="109"/>
      <c r="M295" s="93"/>
      <c r="N295" s="93"/>
      <c r="O295" s="56"/>
      <c r="P295" s="56"/>
      <c r="Q295" s="56"/>
      <c r="R295" s="56"/>
      <c r="S295" s="56"/>
      <c r="T295" s="56"/>
      <c r="U295" s="56"/>
      <c r="V295" s="56"/>
    </row>
    <row r="296" ht="18.75" customHeight="1">
      <c r="A296" s="90">
        <v>25.0</v>
      </c>
      <c r="B296" s="123" t="s">
        <v>1017</v>
      </c>
      <c r="C296" s="124" t="s">
        <v>712</v>
      </c>
      <c r="D296" s="125">
        <v>1550.4</v>
      </c>
      <c r="E296" s="52">
        <v>1674.0</v>
      </c>
      <c r="F296" s="110"/>
      <c r="G296" s="95">
        <f t="shared" si="5"/>
        <v>0.07972136223</v>
      </c>
      <c r="H296" s="114"/>
      <c r="I296" s="115">
        <v>14.6</v>
      </c>
      <c r="J296" s="115">
        <v>14.0</v>
      </c>
      <c r="K296" s="115">
        <v>56.0</v>
      </c>
      <c r="L296" s="109"/>
      <c r="M296" s="93"/>
      <c r="N296" s="93"/>
      <c r="O296" s="56"/>
      <c r="P296" s="56"/>
      <c r="Q296" s="56"/>
      <c r="R296" s="56"/>
      <c r="S296" s="56"/>
      <c r="T296" s="56"/>
      <c r="U296" s="56"/>
      <c r="V296" s="56"/>
    </row>
    <row r="297" ht="18.75" customHeight="1">
      <c r="A297" s="90"/>
      <c r="B297" s="149"/>
      <c r="C297" s="150"/>
      <c r="D297" s="151"/>
      <c r="E297" s="109"/>
      <c r="F297" s="110"/>
      <c r="G297" s="95" t="str">
        <f t="shared" si="5"/>
        <v/>
      </c>
      <c r="H297" s="96"/>
      <c r="I297" s="93"/>
      <c r="J297" s="115"/>
      <c r="K297" s="115"/>
      <c r="L297" s="93"/>
      <c r="M297" s="93"/>
      <c r="N297" s="93"/>
      <c r="O297" s="56"/>
      <c r="P297" s="56"/>
      <c r="Q297" s="56"/>
      <c r="R297" s="56"/>
      <c r="S297" s="56"/>
      <c r="T297" s="56"/>
      <c r="U297" s="56"/>
      <c r="V297" s="56"/>
    </row>
    <row r="298" ht="18.75" customHeight="1">
      <c r="A298" s="90"/>
      <c r="B298" s="107" t="s">
        <v>1018</v>
      </c>
      <c r="C298" s="162"/>
      <c r="D298" s="109"/>
      <c r="E298" s="109"/>
      <c r="F298" s="110"/>
      <c r="G298" s="95" t="str">
        <f t="shared" si="5"/>
        <v/>
      </c>
      <c r="H298" s="96"/>
      <c r="I298" s="93"/>
      <c r="J298" s="115"/>
      <c r="K298" s="115"/>
      <c r="L298" s="134"/>
      <c r="M298" s="93"/>
      <c r="N298" s="93"/>
      <c r="O298" s="56"/>
      <c r="P298" s="56"/>
      <c r="Q298" s="56"/>
      <c r="R298" s="56"/>
      <c r="S298" s="56"/>
      <c r="T298" s="56"/>
      <c r="U298" s="56"/>
      <c r="V298" s="56"/>
    </row>
    <row r="299" ht="18.75" customHeight="1">
      <c r="A299" s="90">
        <v>1.0</v>
      </c>
      <c r="B299" s="111" t="s">
        <v>1019</v>
      </c>
      <c r="C299" s="118" t="s">
        <v>795</v>
      </c>
      <c r="D299" s="52">
        <v>218.28</v>
      </c>
      <c r="E299" s="52">
        <v>228.0</v>
      </c>
      <c r="F299" s="110"/>
      <c r="G299" s="95">
        <f t="shared" si="5"/>
        <v>0.04452996152</v>
      </c>
      <c r="H299" s="122"/>
      <c r="I299" s="115">
        <v>2.08</v>
      </c>
      <c r="J299" s="115">
        <v>108.0</v>
      </c>
      <c r="K299" s="115">
        <v>324.0</v>
      </c>
      <c r="L299" s="93"/>
      <c r="M299" s="93"/>
      <c r="N299" s="93"/>
      <c r="O299" s="56"/>
      <c r="P299" s="56"/>
      <c r="Q299" s="56"/>
      <c r="R299" s="56"/>
      <c r="S299" s="56"/>
      <c r="T299" s="56"/>
      <c r="U299" s="56"/>
      <c r="V299" s="56"/>
    </row>
    <row r="300" ht="18.75" customHeight="1">
      <c r="A300" s="90"/>
      <c r="B300" s="111" t="s">
        <v>1020</v>
      </c>
      <c r="C300" s="118" t="s">
        <v>748</v>
      </c>
      <c r="D300" s="52">
        <v>232.0</v>
      </c>
      <c r="E300" s="52">
        <v>242.0</v>
      </c>
      <c r="F300" s="110"/>
      <c r="G300" s="95">
        <f t="shared" si="5"/>
        <v>0.04310344828</v>
      </c>
      <c r="H300" s="122"/>
      <c r="I300" s="115"/>
      <c r="J300" s="115"/>
      <c r="K300" s="115"/>
      <c r="L300" s="93"/>
      <c r="M300" s="93"/>
      <c r="N300" s="93"/>
      <c r="O300" s="56"/>
      <c r="P300" s="56"/>
      <c r="Q300" s="56"/>
      <c r="R300" s="56"/>
      <c r="S300" s="56"/>
      <c r="T300" s="56"/>
      <c r="U300" s="56"/>
      <c r="V300" s="56"/>
    </row>
    <row r="301" ht="18.75" customHeight="1">
      <c r="A301" s="90">
        <v>2.0</v>
      </c>
      <c r="B301" s="111" t="s">
        <v>1021</v>
      </c>
      <c r="C301" s="118" t="s">
        <v>798</v>
      </c>
      <c r="D301" s="52">
        <v>252.0</v>
      </c>
      <c r="E301" s="52">
        <v>272.0</v>
      </c>
      <c r="F301" s="110"/>
      <c r="G301" s="95">
        <f t="shared" si="5"/>
        <v>0.07936507937</v>
      </c>
      <c r="H301" s="122"/>
      <c r="I301" s="115">
        <v>2.36</v>
      </c>
      <c r="J301" s="115">
        <v>46.0</v>
      </c>
      <c r="K301" s="115">
        <v>184.0</v>
      </c>
      <c r="L301" s="93"/>
      <c r="M301" s="93"/>
      <c r="N301" s="93"/>
      <c r="O301" s="56"/>
      <c r="P301" s="56"/>
      <c r="Q301" s="56"/>
      <c r="R301" s="56"/>
      <c r="S301" s="56"/>
      <c r="T301" s="56"/>
      <c r="U301" s="56"/>
      <c r="V301" s="56"/>
    </row>
    <row r="302" ht="18.75" customHeight="1">
      <c r="A302" s="90">
        <v>3.0</v>
      </c>
      <c r="B302" s="111" t="s">
        <v>1022</v>
      </c>
      <c r="C302" s="118" t="s">
        <v>306</v>
      </c>
      <c r="D302" s="52">
        <v>262.0</v>
      </c>
      <c r="E302" s="52">
        <v>284.0</v>
      </c>
      <c r="F302" s="110"/>
      <c r="G302" s="95">
        <f t="shared" si="5"/>
        <v>0.08396946565</v>
      </c>
      <c r="H302" s="114"/>
      <c r="I302" s="115">
        <v>2.46</v>
      </c>
      <c r="J302" s="115">
        <v>46.0</v>
      </c>
      <c r="K302" s="115">
        <v>184.0</v>
      </c>
      <c r="L302" s="93"/>
      <c r="M302" s="93"/>
      <c r="N302" s="93"/>
      <c r="O302" s="56"/>
      <c r="P302" s="56"/>
      <c r="Q302" s="56"/>
      <c r="R302" s="56"/>
      <c r="S302" s="56"/>
      <c r="T302" s="56"/>
      <c r="U302" s="56"/>
      <c r="V302" s="56"/>
    </row>
    <row r="303" ht="18.75" customHeight="1">
      <c r="A303" s="90">
        <v>4.0</v>
      </c>
      <c r="B303" s="111" t="s">
        <v>1023</v>
      </c>
      <c r="C303" s="118" t="s">
        <v>801</v>
      </c>
      <c r="D303" s="52">
        <v>303.96</v>
      </c>
      <c r="E303" s="52">
        <v>328.0</v>
      </c>
      <c r="F303" s="110"/>
      <c r="G303" s="95">
        <f t="shared" si="5"/>
        <v>0.07908935386</v>
      </c>
      <c r="H303" s="114"/>
      <c r="I303" s="115">
        <v>2.88</v>
      </c>
      <c r="J303" s="115">
        <v>60.0</v>
      </c>
      <c r="K303" s="115">
        <v>240.0</v>
      </c>
      <c r="L303" s="93"/>
      <c r="M303" s="93"/>
      <c r="N303" s="93"/>
      <c r="O303" s="56"/>
      <c r="P303" s="56"/>
      <c r="Q303" s="56"/>
      <c r="R303" s="56"/>
      <c r="S303" s="56"/>
      <c r="T303" s="56"/>
      <c r="U303" s="56"/>
      <c r="V303" s="56"/>
    </row>
    <row r="304" ht="18.75" customHeight="1">
      <c r="A304" s="90">
        <v>5.0</v>
      </c>
      <c r="B304" s="111" t="s">
        <v>1024</v>
      </c>
      <c r="C304" s="118" t="s">
        <v>803</v>
      </c>
      <c r="D304" s="52">
        <v>291.72</v>
      </c>
      <c r="E304" s="52">
        <v>316.0</v>
      </c>
      <c r="F304" s="110"/>
      <c r="G304" s="95">
        <f t="shared" si="5"/>
        <v>0.083230495</v>
      </c>
      <c r="H304" s="114"/>
      <c r="I304" s="115">
        <v>2.76</v>
      </c>
      <c r="J304" s="115">
        <v>46.0</v>
      </c>
      <c r="K304" s="115">
        <v>184.0</v>
      </c>
      <c r="L304" s="93"/>
      <c r="M304" s="93"/>
      <c r="N304" s="93"/>
      <c r="O304" s="56"/>
      <c r="P304" s="56"/>
      <c r="Q304" s="56"/>
      <c r="R304" s="56"/>
      <c r="S304" s="56"/>
      <c r="T304" s="56"/>
      <c r="U304" s="56"/>
      <c r="V304" s="56"/>
    </row>
    <row r="305" ht="18.75" customHeight="1">
      <c r="A305" s="90">
        <v>6.0</v>
      </c>
      <c r="B305" s="111" t="s">
        <v>1025</v>
      </c>
      <c r="C305" s="118" t="s">
        <v>339</v>
      </c>
      <c r="D305" s="52">
        <v>303.96</v>
      </c>
      <c r="E305" s="52">
        <v>328.0</v>
      </c>
      <c r="F305" s="110"/>
      <c r="G305" s="95">
        <f t="shared" si="5"/>
        <v>0.07908935386</v>
      </c>
      <c r="H305" s="114"/>
      <c r="I305" s="115">
        <v>2.86</v>
      </c>
      <c r="J305" s="115">
        <v>46.0</v>
      </c>
      <c r="K305" s="115">
        <v>184.0</v>
      </c>
      <c r="L305" s="93"/>
      <c r="M305" s="93"/>
      <c r="N305" s="93"/>
      <c r="O305" s="56"/>
      <c r="P305" s="56"/>
      <c r="Q305" s="56"/>
      <c r="R305" s="56"/>
      <c r="S305" s="56"/>
      <c r="T305" s="56"/>
      <c r="U305" s="56"/>
      <c r="V305" s="56"/>
    </row>
    <row r="306" ht="18.75" customHeight="1">
      <c r="A306" s="90">
        <v>7.0</v>
      </c>
      <c r="B306" s="111" t="s">
        <v>1026</v>
      </c>
      <c r="C306" s="118" t="s">
        <v>806</v>
      </c>
      <c r="D306" s="52">
        <v>252.4704</v>
      </c>
      <c r="E306" s="52">
        <v>274.0</v>
      </c>
      <c r="F306" s="110"/>
      <c r="G306" s="95">
        <f t="shared" si="5"/>
        <v>0.08527573925</v>
      </c>
      <c r="H306" s="122"/>
      <c r="I306" s="115">
        <v>2.38</v>
      </c>
      <c r="J306" s="115">
        <v>66.0</v>
      </c>
      <c r="K306" s="115">
        <v>198.0</v>
      </c>
      <c r="L306" s="93"/>
      <c r="M306" s="93"/>
      <c r="N306" s="93"/>
      <c r="O306" s="56"/>
      <c r="P306" s="56"/>
      <c r="Q306" s="56"/>
      <c r="R306" s="56"/>
      <c r="S306" s="56"/>
      <c r="T306" s="56"/>
      <c r="U306" s="56"/>
      <c r="V306" s="56"/>
    </row>
    <row r="307" ht="18.75" customHeight="1">
      <c r="A307" s="90">
        <v>8.0</v>
      </c>
      <c r="B307" s="111" t="s">
        <v>1027</v>
      </c>
      <c r="C307" s="118" t="s">
        <v>808</v>
      </c>
      <c r="D307" s="52">
        <v>518.16</v>
      </c>
      <c r="E307" s="52">
        <v>558.0</v>
      </c>
      <c r="F307" s="110"/>
      <c r="G307" s="95">
        <f t="shared" si="5"/>
        <v>0.07688744789</v>
      </c>
      <c r="H307" s="114"/>
      <c r="I307" s="115">
        <v>4.86</v>
      </c>
      <c r="J307" s="115">
        <v>24.0</v>
      </c>
      <c r="K307" s="115">
        <v>96.0</v>
      </c>
      <c r="L307" s="93"/>
      <c r="M307" s="93"/>
      <c r="N307" s="93"/>
      <c r="O307" s="56"/>
      <c r="P307" s="56"/>
      <c r="Q307" s="56"/>
      <c r="R307" s="56"/>
      <c r="S307" s="56"/>
      <c r="T307" s="56"/>
      <c r="U307" s="56"/>
      <c r="V307" s="56"/>
    </row>
    <row r="308" ht="18.75" customHeight="1">
      <c r="A308" s="90">
        <v>9.0</v>
      </c>
      <c r="B308" s="111" t="s">
        <v>1028</v>
      </c>
      <c r="C308" s="118" t="s">
        <v>810</v>
      </c>
      <c r="D308" s="52">
        <v>316.1184</v>
      </c>
      <c r="E308" s="52">
        <v>342.0</v>
      </c>
      <c r="F308" s="110"/>
      <c r="G308" s="95">
        <f t="shared" si="5"/>
        <v>0.08187312096</v>
      </c>
      <c r="H308" s="114"/>
      <c r="I308" s="115">
        <v>2.98</v>
      </c>
      <c r="J308" s="115">
        <v>66.0</v>
      </c>
      <c r="K308" s="115">
        <v>198.0</v>
      </c>
      <c r="L308" s="93"/>
      <c r="M308" s="93"/>
      <c r="N308" s="93"/>
      <c r="O308" s="56"/>
      <c r="P308" s="56"/>
      <c r="Q308" s="56"/>
      <c r="R308" s="56"/>
      <c r="S308" s="56"/>
      <c r="T308" s="56"/>
      <c r="U308" s="56"/>
      <c r="V308" s="56"/>
    </row>
    <row r="309" ht="18.75" customHeight="1">
      <c r="A309" s="90">
        <v>10.0</v>
      </c>
      <c r="B309" s="111" t="s">
        <v>1029</v>
      </c>
      <c r="C309" s="118" t="s">
        <v>781</v>
      </c>
      <c r="D309" s="52">
        <v>362.0</v>
      </c>
      <c r="E309" s="52">
        <v>392.0</v>
      </c>
      <c r="F309" s="110"/>
      <c r="G309" s="95">
        <f t="shared" si="5"/>
        <v>0.08287292818</v>
      </c>
      <c r="H309" s="114"/>
      <c r="I309" s="115">
        <v>3.38</v>
      </c>
      <c r="J309" s="115">
        <v>30.0</v>
      </c>
      <c r="K309" s="115">
        <v>132.0</v>
      </c>
      <c r="L309" s="93"/>
      <c r="M309" s="93"/>
      <c r="N309" s="93"/>
      <c r="O309" s="56"/>
      <c r="P309" s="56"/>
      <c r="Q309" s="56"/>
      <c r="R309" s="56"/>
      <c r="S309" s="56"/>
      <c r="T309" s="56"/>
      <c r="U309" s="56"/>
      <c r="V309" s="56"/>
    </row>
    <row r="310" ht="18.75" customHeight="1">
      <c r="A310" s="90">
        <v>11.0</v>
      </c>
      <c r="B310" s="111" t="s">
        <v>1030</v>
      </c>
      <c r="C310" s="118" t="s">
        <v>813</v>
      </c>
      <c r="D310" s="52">
        <v>682.0</v>
      </c>
      <c r="E310" s="52">
        <v>738.0</v>
      </c>
      <c r="F310" s="110"/>
      <c r="G310" s="95">
        <f t="shared" si="5"/>
        <v>0.08211143695</v>
      </c>
      <c r="H310" s="114"/>
      <c r="I310" s="120">
        <v>5.0</v>
      </c>
      <c r="J310" s="115">
        <v>13.0</v>
      </c>
      <c r="K310" s="115">
        <v>52.0</v>
      </c>
      <c r="L310" s="93"/>
      <c r="M310" s="93"/>
      <c r="N310" s="93"/>
      <c r="O310" s="56"/>
      <c r="P310" s="56"/>
      <c r="Q310" s="56"/>
      <c r="R310" s="56"/>
      <c r="S310" s="56"/>
      <c r="T310" s="56"/>
      <c r="U310" s="56"/>
      <c r="V310" s="56"/>
    </row>
    <row r="311" ht="18.75" customHeight="1">
      <c r="A311" s="90">
        <v>12.0</v>
      </c>
      <c r="B311" s="111" t="s">
        <v>1031</v>
      </c>
      <c r="C311" s="118" t="s">
        <v>815</v>
      </c>
      <c r="D311" s="52">
        <v>691.6416</v>
      </c>
      <c r="E311" s="52">
        <v>748.0</v>
      </c>
      <c r="F311" s="110"/>
      <c r="G311" s="95">
        <f t="shared" si="5"/>
        <v>0.08148497719</v>
      </c>
      <c r="H311" s="114"/>
      <c r="I311" s="120">
        <v>5.0</v>
      </c>
      <c r="J311" s="115">
        <v>13.0</v>
      </c>
      <c r="K311" s="115">
        <v>52.0</v>
      </c>
      <c r="L311" s="93"/>
      <c r="M311" s="93"/>
      <c r="N311" s="93"/>
      <c r="O311" s="56"/>
      <c r="P311" s="56"/>
      <c r="Q311" s="56"/>
      <c r="R311" s="56"/>
      <c r="S311" s="56"/>
      <c r="T311" s="56"/>
      <c r="U311" s="56"/>
      <c r="V311" s="56"/>
    </row>
    <row r="312" ht="18.75" customHeight="1">
      <c r="A312" s="90">
        <v>13.0</v>
      </c>
      <c r="B312" s="111" t="s">
        <v>1032</v>
      </c>
      <c r="C312" s="118" t="s">
        <v>482</v>
      </c>
      <c r="D312" s="52">
        <v>1244.4</v>
      </c>
      <c r="E312" s="52">
        <v>1344.0</v>
      </c>
      <c r="F312" s="110"/>
      <c r="G312" s="95">
        <f t="shared" si="5"/>
        <v>0.08003857281</v>
      </c>
      <c r="H312" s="114"/>
      <c r="I312" s="120">
        <v>10.0</v>
      </c>
      <c r="J312" s="115">
        <v>13.0</v>
      </c>
      <c r="K312" s="115">
        <v>52.0</v>
      </c>
      <c r="L312" s="93"/>
      <c r="M312" s="93"/>
      <c r="N312" s="93"/>
      <c r="O312" s="56"/>
      <c r="P312" s="56"/>
      <c r="Q312" s="56"/>
      <c r="R312" s="56"/>
      <c r="S312" s="56"/>
      <c r="T312" s="56"/>
      <c r="U312" s="56"/>
      <c r="V312" s="56"/>
    </row>
    <row r="313" ht="18.75" customHeight="1">
      <c r="A313" s="90">
        <v>14.0</v>
      </c>
      <c r="B313" s="111" t="s">
        <v>1033</v>
      </c>
      <c r="C313" s="118" t="s">
        <v>502</v>
      </c>
      <c r="D313" s="52">
        <v>1244.4</v>
      </c>
      <c r="E313" s="52">
        <v>1344.0</v>
      </c>
      <c r="F313" s="110"/>
      <c r="G313" s="95">
        <f t="shared" si="5"/>
        <v>0.08003857281</v>
      </c>
      <c r="H313" s="114"/>
      <c r="I313" s="120">
        <v>10.0</v>
      </c>
      <c r="J313" s="115">
        <v>13.0</v>
      </c>
      <c r="K313" s="115">
        <v>52.0</v>
      </c>
      <c r="L313" s="93"/>
      <c r="M313" s="134"/>
      <c r="N313" s="93"/>
      <c r="O313" s="56"/>
      <c r="P313" s="56"/>
      <c r="Q313" s="56"/>
      <c r="R313" s="56"/>
      <c r="S313" s="56"/>
      <c r="T313" s="56"/>
      <c r="U313" s="56"/>
      <c r="V313" s="56"/>
    </row>
    <row r="314" ht="18.75" customHeight="1">
      <c r="A314" s="90"/>
      <c r="B314" s="111" t="s">
        <v>1034</v>
      </c>
      <c r="C314" s="118" t="s">
        <v>523</v>
      </c>
      <c r="D314" s="52">
        <v>1927.8</v>
      </c>
      <c r="E314" s="52">
        <v>2082.0</v>
      </c>
      <c r="F314" s="110"/>
      <c r="G314" s="95">
        <f t="shared" si="5"/>
        <v>0.07998755058</v>
      </c>
      <c r="H314" s="114"/>
      <c r="I314" s="120"/>
      <c r="J314" s="115"/>
      <c r="K314" s="115"/>
      <c r="L314" s="93"/>
      <c r="M314" s="134"/>
      <c r="N314" s="93"/>
      <c r="O314" s="56"/>
      <c r="P314" s="56"/>
      <c r="Q314" s="56"/>
      <c r="R314" s="56"/>
      <c r="S314" s="56"/>
      <c r="T314" s="56"/>
      <c r="U314" s="56"/>
      <c r="V314" s="56"/>
    </row>
    <row r="315" ht="18.75" customHeight="1">
      <c r="A315" s="90">
        <v>15.0</v>
      </c>
      <c r="B315" s="111" t="s">
        <v>1035</v>
      </c>
      <c r="C315" s="118" t="s">
        <v>820</v>
      </c>
      <c r="D315" s="52">
        <v>1621.8</v>
      </c>
      <c r="E315" s="52">
        <v>1752.0</v>
      </c>
      <c r="F315" s="110"/>
      <c r="G315" s="95">
        <f t="shared" si="5"/>
        <v>0.08028116907</v>
      </c>
      <c r="H315" s="122"/>
      <c r="I315" s="115">
        <v>15.4</v>
      </c>
      <c r="J315" s="115">
        <v>6.0</v>
      </c>
      <c r="K315" s="115">
        <v>24.0</v>
      </c>
      <c r="L315" s="93"/>
      <c r="M315" s="93"/>
      <c r="N315" s="93"/>
      <c r="O315" s="56"/>
      <c r="P315" s="56"/>
      <c r="Q315" s="56"/>
      <c r="R315" s="56"/>
      <c r="S315" s="56"/>
      <c r="T315" s="56"/>
      <c r="U315" s="56"/>
      <c r="V315" s="56"/>
    </row>
    <row r="316" ht="18.75" customHeight="1">
      <c r="A316" s="90">
        <v>16.0</v>
      </c>
      <c r="B316" s="111" t="s">
        <v>1036</v>
      </c>
      <c r="C316" s="118" t="s">
        <v>719</v>
      </c>
      <c r="D316" s="52">
        <v>224.0</v>
      </c>
      <c r="E316" s="52">
        <v>242.0</v>
      </c>
      <c r="F316" s="110"/>
      <c r="G316" s="95">
        <f t="shared" si="5"/>
        <v>0.08035714286</v>
      </c>
      <c r="H316" s="122"/>
      <c r="I316" s="115">
        <v>2.1</v>
      </c>
      <c r="J316" s="115">
        <v>132.0</v>
      </c>
      <c r="K316" s="115">
        <v>264.0</v>
      </c>
      <c r="L316" s="93"/>
      <c r="M316" s="93"/>
      <c r="N316" s="93"/>
      <c r="O316" s="56"/>
      <c r="P316" s="56"/>
      <c r="Q316" s="56"/>
      <c r="R316" s="56"/>
      <c r="S316" s="56"/>
      <c r="T316" s="56"/>
      <c r="U316" s="56"/>
      <c r="V316" s="56"/>
    </row>
    <row r="317" ht="18.75" customHeight="1">
      <c r="A317" s="90">
        <v>17.0</v>
      </c>
      <c r="B317" s="111" t="s">
        <v>1037</v>
      </c>
      <c r="C317" s="118" t="s">
        <v>823</v>
      </c>
      <c r="D317" s="52">
        <v>252.4704</v>
      </c>
      <c r="E317" s="52">
        <v>274.0</v>
      </c>
      <c r="F317" s="110"/>
      <c r="G317" s="95">
        <f t="shared" si="5"/>
        <v>0.08527573925</v>
      </c>
      <c r="H317" s="122"/>
      <c r="I317" s="115">
        <v>2.38</v>
      </c>
      <c r="J317" s="115">
        <v>66.0</v>
      </c>
      <c r="K317" s="115">
        <v>198.0</v>
      </c>
      <c r="L317" s="93"/>
      <c r="M317" s="134"/>
      <c r="N317" s="93"/>
      <c r="O317" s="56"/>
      <c r="P317" s="56"/>
      <c r="Q317" s="56"/>
      <c r="R317" s="56"/>
      <c r="S317" s="56"/>
      <c r="T317" s="56"/>
      <c r="U317" s="56"/>
      <c r="V317" s="56"/>
    </row>
    <row r="318" ht="18.75" customHeight="1">
      <c r="A318" s="90">
        <v>18.0</v>
      </c>
      <c r="B318" s="111" t="s">
        <v>1038</v>
      </c>
      <c r="C318" s="118" t="s">
        <v>717</v>
      </c>
      <c r="D318" s="52">
        <v>224.0</v>
      </c>
      <c r="E318" s="52">
        <v>242.0</v>
      </c>
      <c r="F318" s="110"/>
      <c r="G318" s="95">
        <f t="shared" si="5"/>
        <v>0.08035714286</v>
      </c>
      <c r="H318" s="122"/>
      <c r="I318" s="115">
        <v>2.1</v>
      </c>
      <c r="J318" s="115">
        <v>132.0</v>
      </c>
      <c r="K318" s="115">
        <v>264.0</v>
      </c>
      <c r="L318" s="93"/>
      <c r="M318" s="93"/>
      <c r="N318" s="93"/>
      <c r="O318" s="56"/>
      <c r="P318" s="56"/>
      <c r="Q318" s="56"/>
      <c r="R318" s="56"/>
      <c r="S318" s="56"/>
      <c r="T318" s="56"/>
      <c r="U318" s="56"/>
      <c r="V318" s="56"/>
    </row>
    <row r="319" ht="18.75" customHeight="1">
      <c r="A319" s="90">
        <v>19.0</v>
      </c>
      <c r="B319" s="111" t="s">
        <v>1039</v>
      </c>
      <c r="C319" s="118" t="s">
        <v>723</v>
      </c>
      <c r="D319" s="52">
        <v>236.0</v>
      </c>
      <c r="E319" s="52">
        <v>256.0</v>
      </c>
      <c r="F319" s="110"/>
      <c r="G319" s="95">
        <f t="shared" si="5"/>
        <v>0.08474576271</v>
      </c>
      <c r="H319" s="122"/>
      <c r="I319" s="115">
        <v>2.2</v>
      </c>
      <c r="J319" s="115">
        <v>64.0</v>
      </c>
      <c r="K319" s="115">
        <v>256.0</v>
      </c>
      <c r="L319" s="93"/>
      <c r="M319" s="93"/>
      <c r="N319" s="93"/>
      <c r="O319" s="56"/>
      <c r="P319" s="56"/>
      <c r="Q319" s="56"/>
      <c r="R319" s="56"/>
      <c r="S319" s="56"/>
      <c r="T319" s="56"/>
      <c r="U319" s="56"/>
      <c r="V319" s="56"/>
    </row>
    <row r="320" ht="18.75" customHeight="1">
      <c r="A320" s="90">
        <v>20.0</v>
      </c>
      <c r="B320" s="111" t="s">
        <v>1040</v>
      </c>
      <c r="C320" s="118" t="s">
        <v>395</v>
      </c>
      <c r="D320" s="52">
        <v>216.4032</v>
      </c>
      <c r="E320" s="52">
        <v>234.0</v>
      </c>
      <c r="F320" s="110"/>
      <c r="G320" s="95">
        <f t="shared" si="5"/>
        <v>0.08131487889</v>
      </c>
      <c r="H320" s="122"/>
      <c r="I320" s="115">
        <v>2.04</v>
      </c>
      <c r="J320" s="115">
        <v>90.0</v>
      </c>
      <c r="K320" s="115">
        <v>270.0</v>
      </c>
      <c r="L320" s="93"/>
      <c r="M320" s="93"/>
      <c r="N320" s="93"/>
      <c r="O320" s="56"/>
      <c r="P320" s="56"/>
      <c r="Q320" s="56"/>
      <c r="R320" s="56"/>
      <c r="S320" s="56"/>
      <c r="T320" s="56"/>
      <c r="U320" s="56"/>
      <c r="V320" s="56"/>
    </row>
    <row r="321" ht="18.75" customHeight="1">
      <c r="A321" s="90">
        <v>21.0</v>
      </c>
      <c r="B321" s="111" t="s">
        <v>1041</v>
      </c>
      <c r="C321" s="118" t="s">
        <v>829</v>
      </c>
      <c r="D321" s="52">
        <v>472.0</v>
      </c>
      <c r="E321" s="52">
        <v>508.0</v>
      </c>
      <c r="F321" s="110"/>
      <c r="G321" s="95">
        <f t="shared" si="5"/>
        <v>0.07627118644</v>
      </c>
      <c r="H321" s="114"/>
      <c r="I321" s="115">
        <v>4.42</v>
      </c>
      <c r="J321" s="115">
        <v>30.0</v>
      </c>
      <c r="K321" s="115">
        <v>120.0</v>
      </c>
      <c r="L321" s="93"/>
      <c r="M321" s="93"/>
      <c r="N321" s="93"/>
      <c r="O321" s="56"/>
      <c r="P321" s="56"/>
      <c r="Q321" s="56"/>
      <c r="R321" s="56"/>
      <c r="S321" s="56"/>
      <c r="T321" s="56"/>
      <c r="U321" s="56"/>
      <c r="V321" s="56"/>
    </row>
    <row r="322" ht="18.75" customHeight="1">
      <c r="A322" s="90">
        <v>22.0</v>
      </c>
      <c r="B322" s="111" t="s">
        <v>1042</v>
      </c>
      <c r="C322" s="118" t="s">
        <v>663</v>
      </c>
      <c r="D322" s="52">
        <v>362.0</v>
      </c>
      <c r="E322" s="52">
        <v>392.0</v>
      </c>
      <c r="F322" s="110"/>
      <c r="G322" s="95">
        <f t="shared" si="5"/>
        <v>0.08287292818</v>
      </c>
      <c r="H322" s="122"/>
      <c r="I322" s="115">
        <v>3.4</v>
      </c>
      <c r="J322" s="115">
        <v>64.0</v>
      </c>
      <c r="K322" s="115">
        <v>256.0</v>
      </c>
      <c r="L322" s="93"/>
      <c r="M322" s="93"/>
      <c r="N322" s="93"/>
      <c r="O322" s="56"/>
      <c r="P322" s="56"/>
      <c r="Q322" s="56"/>
      <c r="R322" s="56"/>
      <c r="S322" s="56"/>
      <c r="T322" s="56"/>
      <c r="U322" s="56"/>
      <c r="V322" s="56"/>
    </row>
    <row r="323" ht="18.75" customHeight="1">
      <c r="A323" s="90">
        <v>23.0</v>
      </c>
      <c r="B323" s="111" t="s">
        <v>1043</v>
      </c>
      <c r="C323" s="118" t="s">
        <v>690</v>
      </c>
      <c r="D323" s="52">
        <v>372.0</v>
      </c>
      <c r="E323" s="52">
        <v>402.0</v>
      </c>
      <c r="F323" s="110"/>
      <c r="G323" s="95">
        <f t="shared" si="5"/>
        <v>0.08064516129</v>
      </c>
      <c r="H323" s="122"/>
      <c r="I323" s="109">
        <v>3.48</v>
      </c>
      <c r="J323" s="120">
        <v>64.0</v>
      </c>
      <c r="K323" s="120">
        <v>256.0</v>
      </c>
      <c r="L323" s="93"/>
      <c r="M323" s="93"/>
      <c r="N323" s="93"/>
      <c r="O323" s="56"/>
      <c r="P323" s="56"/>
      <c r="Q323" s="56"/>
      <c r="R323" s="56"/>
      <c r="S323" s="56"/>
      <c r="T323" s="56"/>
      <c r="U323" s="56"/>
      <c r="V323" s="56"/>
    </row>
    <row r="324" ht="18.75" customHeight="1">
      <c r="A324" s="90">
        <v>24.0</v>
      </c>
      <c r="B324" s="111" t="s">
        <v>1044</v>
      </c>
      <c r="C324" s="118" t="s">
        <v>710</v>
      </c>
      <c r="D324" s="52">
        <v>632.0</v>
      </c>
      <c r="E324" s="52">
        <v>684.0</v>
      </c>
      <c r="F324" s="110"/>
      <c r="G324" s="95">
        <f t="shared" si="5"/>
        <v>0.08227848101</v>
      </c>
      <c r="H324" s="114"/>
      <c r="I324" s="115">
        <v>5.94</v>
      </c>
      <c r="J324" s="115">
        <v>30.0</v>
      </c>
      <c r="K324" s="115">
        <v>120.0</v>
      </c>
      <c r="L324" s="93"/>
      <c r="M324" s="93"/>
      <c r="N324" s="93"/>
      <c r="O324" s="56"/>
      <c r="P324" s="56"/>
      <c r="Q324" s="56"/>
      <c r="R324" s="56"/>
      <c r="S324" s="56"/>
      <c r="T324" s="56"/>
      <c r="U324" s="56"/>
      <c r="V324" s="56"/>
    </row>
    <row r="325" ht="18.75" customHeight="1">
      <c r="A325" s="90">
        <v>25.0</v>
      </c>
      <c r="B325" s="111" t="s">
        <v>1045</v>
      </c>
      <c r="C325" s="118" t="s">
        <v>601</v>
      </c>
      <c r="D325" s="52">
        <v>668.0</v>
      </c>
      <c r="E325" s="52">
        <v>722.0</v>
      </c>
      <c r="F325" s="110"/>
      <c r="G325" s="95">
        <f t="shared" si="5"/>
        <v>0.08083832335</v>
      </c>
      <c r="H325" s="114"/>
      <c r="I325" s="115">
        <v>6.28</v>
      </c>
      <c r="J325" s="115">
        <v>30.0</v>
      </c>
      <c r="K325" s="115">
        <v>120.0</v>
      </c>
      <c r="L325" s="93"/>
      <c r="M325" s="134"/>
      <c r="N325" s="93"/>
      <c r="O325" s="56"/>
      <c r="P325" s="56"/>
      <c r="Q325" s="56"/>
      <c r="R325" s="56"/>
      <c r="S325" s="56"/>
      <c r="T325" s="56"/>
      <c r="U325" s="56"/>
      <c r="V325" s="56"/>
    </row>
    <row r="326" ht="18.75" customHeight="1">
      <c r="A326" s="90">
        <v>26.0</v>
      </c>
      <c r="B326" s="111" t="s">
        <v>1046</v>
      </c>
      <c r="C326" s="118" t="s">
        <v>731</v>
      </c>
      <c r="D326" s="125">
        <v>387.6</v>
      </c>
      <c r="E326" s="52">
        <v>418.0</v>
      </c>
      <c r="F326" s="110"/>
      <c r="G326" s="95">
        <f t="shared" si="5"/>
        <v>0.07843137255</v>
      </c>
      <c r="H326" s="122"/>
      <c r="I326" s="115">
        <v>3.64</v>
      </c>
      <c r="J326" s="115">
        <v>30.0</v>
      </c>
      <c r="K326" s="115">
        <v>120.0</v>
      </c>
      <c r="L326" s="93"/>
      <c r="M326" s="134"/>
      <c r="N326" s="93"/>
      <c r="O326" s="56"/>
      <c r="P326" s="56"/>
      <c r="Q326" s="56"/>
      <c r="R326" s="56"/>
      <c r="S326" s="56"/>
      <c r="T326" s="56"/>
      <c r="U326" s="56"/>
      <c r="V326" s="56"/>
    </row>
    <row r="327" ht="18.75" customHeight="1">
      <c r="A327" s="90">
        <v>27.0</v>
      </c>
      <c r="B327" s="123" t="s">
        <v>1047</v>
      </c>
      <c r="C327" s="124" t="s">
        <v>712</v>
      </c>
      <c r="D327" s="125">
        <v>1423.92</v>
      </c>
      <c r="E327" s="52">
        <v>1538.0</v>
      </c>
      <c r="F327" s="110"/>
      <c r="G327" s="95">
        <f t="shared" si="5"/>
        <v>0.0801168605</v>
      </c>
      <c r="H327" s="114"/>
      <c r="I327" s="120">
        <v>10.0</v>
      </c>
      <c r="J327" s="115">
        <v>14.0</v>
      </c>
      <c r="K327" s="115">
        <v>56.0</v>
      </c>
      <c r="L327" s="93"/>
      <c r="M327" s="93"/>
      <c r="N327" s="93"/>
      <c r="O327" s="56"/>
      <c r="P327" s="56"/>
      <c r="Q327" s="56"/>
      <c r="R327" s="56"/>
      <c r="S327" s="56"/>
      <c r="T327" s="56"/>
      <c r="U327" s="56"/>
      <c r="V327" s="56"/>
    </row>
    <row r="328" ht="18.75" customHeight="1">
      <c r="A328" s="90"/>
      <c r="B328" s="149"/>
      <c r="C328" s="150"/>
      <c r="D328" s="151"/>
      <c r="E328" s="109"/>
      <c r="F328" s="110"/>
      <c r="G328" s="95" t="str">
        <f t="shared" si="5"/>
        <v/>
      </c>
      <c r="H328" s="96"/>
      <c r="I328" s="93"/>
      <c r="J328" s="115"/>
      <c r="K328" s="115"/>
      <c r="L328" s="93"/>
      <c r="M328" s="93"/>
      <c r="N328" s="93"/>
      <c r="O328" s="56"/>
      <c r="P328" s="56"/>
      <c r="Q328" s="56"/>
      <c r="R328" s="56"/>
      <c r="S328" s="56"/>
      <c r="T328" s="56"/>
      <c r="U328" s="56"/>
      <c r="V328" s="56"/>
    </row>
    <row r="329" ht="18.75" customHeight="1">
      <c r="A329" s="90"/>
      <c r="B329" s="107" t="s">
        <v>1048</v>
      </c>
      <c r="C329" s="108"/>
      <c r="D329" s="109"/>
      <c r="E329" s="109"/>
      <c r="F329" s="110"/>
      <c r="G329" s="95" t="str">
        <f t="shared" si="5"/>
        <v/>
      </c>
      <c r="H329" s="96"/>
      <c r="I329" s="93"/>
      <c r="J329" s="115"/>
      <c r="K329" s="115"/>
      <c r="L329" s="93"/>
      <c r="M329" s="93"/>
      <c r="N329" s="93"/>
      <c r="O329" s="56"/>
      <c r="P329" s="56"/>
      <c r="Q329" s="56"/>
      <c r="R329" s="56"/>
      <c r="S329" s="56"/>
      <c r="T329" s="56"/>
      <c r="U329" s="56"/>
      <c r="V329" s="56"/>
    </row>
    <row r="330" ht="18.75" customHeight="1">
      <c r="A330" s="90">
        <v>1.0</v>
      </c>
      <c r="B330" s="111" t="s">
        <v>1049</v>
      </c>
      <c r="C330" s="112" t="s">
        <v>1050</v>
      </c>
      <c r="D330" s="52">
        <v>244.0</v>
      </c>
      <c r="E330" s="52">
        <v>264.0</v>
      </c>
      <c r="F330" s="110"/>
      <c r="G330" s="95">
        <f t="shared" si="5"/>
        <v>0.08196721311</v>
      </c>
      <c r="H330" s="114"/>
      <c r="I330" s="115">
        <v>2.28</v>
      </c>
      <c r="J330" s="115">
        <v>66.0</v>
      </c>
      <c r="K330" s="115">
        <v>198.0</v>
      </c>
      <c r="L330" s="93"/>
      <c r="M330" s="93"/>
      <c r="N330" s="93"/>
      <c r="O330" s="56"/>
      <c r="P330" s="56"/>
      <c r="Q330" s="56"/>
      <c r="R330" s="56"/>
      <c r="S330" s="56"/>
      <c r="T330" s="56"/>
      <c r="U330" s="56"/>
      <c r="V330" s="56"/>
    </row>
    <row r="331" ht="18.75" customHeight="1">
      <c r="A331" s="90"/>
      <c r="B331" s="111" t="s">
        <v>1051</v>
      </c>
      <c r="C331" s="112" t="s">
        <v>748</v>
      </c>
      <c r="D331" s="52">
        <v>256.0</v>
      </c>
      <c r="E331" s="52">
        <v>276.0</v>
      </c>
      <c r="F331" s="110"/>
      <c r="G331" s="95">
        <f t="shared" si="5"/>
        <v>0.078125</v>
      </c>
      <c r="H331" s="114"/>
      <c r="I331" s="115"/>
      <c r="J331" s="115"/>
      <c r="K331" s="115"/>
      <c r="L331" s="93"/>
      <c r="M331" s="93"/>
      <c r="N331" s="93"/>
      <c r="O331" s="56"/>
      <c r="P331" s="56"/>
      <c r="Q331" s="56"/>
      <c r="R331" s="56"/>
      <c r="S331" s="56"/>
      <c r="T331" s="56"/>
      <c r="U331" s="56"/>
      <c r="V331" s="56"/>
    </row>
    <row r="332" ht="18.75" customHeight="1">
      <c r="A332" s="90">
        <v>2.0</v>
      </c>
      <c r="B332" s="111" t="s">
        <v>1052</v>
      </c>
      <c r="C332" s="118" t="s">
        <v>333</v>
      </c>
      <c r="D332" s="52">
        <v>274.0</v>
      </c>
      <c r="E332" s="52">
        <v>296.0</v>
      </c>
      <c r="F332" s="110"/>
      <c r="G332" s="95">
        <f t="shared" si="5"/>
        <v>0.0802919708</v>
      </c>
      <c r="H332" s="114"/>
      <c r="I332" s="115">
        <v>2.58</v>
      </c>
      <c r="J332" s="115">
        <v>60.0</v>
      </c>
      <c r="K332" s="115">
        <v>180.0</v>
      </c>
      <c r="L332" s="93"/>
      <c r="M332" s="93"/>
      <c r="N332" s="93"/>
      <c r="O332" s="56"/>
      <c r="P332" s="56"/>
      <c r="Q332" s="56"/>
      <c r="R332" s="56"/>
      <c r="S332" s="56"/>
      <c r="T332" s="56"/>
      <c r="U332" s="56"/>
      <c r="V332" s="56"/>
    </row>
    <row r="333" ht="18.75" customHeight="1">
      <c r="A333" s="90">
        <v>3.0</v>
      </c>
      <c r="B333" s="111" t="s">
        <v>1053</v>
      </c>
      <c r="C333" s="118" t="s">
        <v>437</v>
      </c>
      <c r="D333" s="52">
        <v>283.56</v>
      </c>
      <c r="E333" s="52">
        <v>306.0</v>
      </c>
      <c r="F333" s="110"/>
      <c r="G333" s="95">
        <f t="shared" si="5"/>
        <v>0.07913669065</v>
      </c>
      <c r="H333" s="114"/>
      <c r="I333" s="115">
        <v>2.68</v>
      </c>
      <c r="J333" s="115">
        <v>46.0</v>
      </c>
      <c r="K333" s="115">
        <v>184.0</v>
      </c>
      <c r="L333" s="93"/>
      <c r="M333" s="93"/>
      <c r="N333" s="93"/>
      <c r="O333" s="56"/>
      <c r="P333" s="56"/>
      <c r="Q333" s="56"/>
      <c r="R333" s="56"/>
      <c r="S333" s="56"/>
      <c r="T333" s="56"/>
      <c r="U333" s="56"/>
      <c r="V333" s="56"/>
    </row>
    <row r="334" ht="18.75" customHeight="1">
      <c r="A334" s="90">
        <v>4.0</v>
      </c>
      <c r="B334" s="111" t="s">
        <v>1054</v>
      </c>
      <c r="C334" s="118" t="s">
        <v>1055</v>
      </c>
      <c r="D334" s="52">
        <v>332.0</v>
      </c>
      <c r="E334" s="52">
        <v>358.0</v>
      </c>
      <c r="F334" s="110"/>
      <c r="G334" s="95">
        <f t="shared" si="5"/>
        <v>0.07831325301</v>
      </c>
      <c r="H334" s="114"/>
      <c r="I334" s="115">
        <v>3.1</v>
      </c>
      <c r="J334" s="120">
        <v>60.0</v>
      </c>
      <c r="K334" s="115">
        <v>240.0</v>
      </c>
      <c r="L334" s="93"/>
      <c r="M334" s="93"/>
      <c r="N334" s="93"/>
      <c r="O334" s="56"/>
      <c r="P334" s="56"/>
      <c r="Q334" s="56"/>
      <c r="R334" s="56"/>
      <c r="S334" s="56"/>
      <c r="T334" s="56"/>
      <c r="U334" s="56"/>
      <c r="V334" s="56"/>
    </row>
    <row r="335" ht="18.75" customHeight="1">
      <c r="A335" s="90">
        <v>5.0</v>
      </c>
      <c r="B335" s="111" t="s">
        <v>1056</v>
      </c>
      <c r="C335" s="118" t="s">
        <v>803</v>
      </c>
      <c r="D335" s="52">
        <v>313.99679999999995</v>
      </c>
      <c r="E335" s="52">
        <v>338.0</v>
      </c>
      <c r="F335" s="110"/>
      <c r="G335" s="95">
        <f t="shared" si="5"/>
        <v>0.07644409115</v>
      </c>
      <c r="H335" s="114"/>
      <c r="I335" s="115">
        <v>2.96</v>
      </c>
      <c r="J335" s="115">
        <v>46.0</v>
      </c>
      <c r="K335" s="115">
        <v>184.0</v>
      </c>
      <c r="L335" s="93"/>
      <c r="M335" s="93"/>
      <c r="N335" s="93"/>
      <c r="O335" s="56"/>
      <c r="P335" s="56"/>
      <c r="Q335" s="56"/>
      <c r="R335" s="56"/>
      <c r="S335" s="56"/>
      <c r="T335" s="56"/>
      <c r="U335" s="56"/>
      <c r="V335" s="56"/>
    </row>
    <row r="336" ht="18.75" customHeight="1">
      <c r="A336" s="90">
        <v>6.0</v>
      </c>
      <c r="B336" s="111" t="s">
        <v>1057</v>
      </c>
      <c r="C336" s="118" t="s">
        <v>339</v>
      </c>
      <c r="D336" s="52">
        <v>328.0</v>
      </c>
      <c r="E336" s="52">
        <v>354.0</v>
      </c>
      <c r="F336" s="110"/>
      <c r="G336" s="95">
        <f t="shared" si="5"/>
        <v>0.07926829268</v>
      </c>
      <c r="H336" s="114"/>
      <c r="I336" s="115">
        <v>3.08</v>
      </c>
      <c r="J336" s="115">
        <v>46.0</v>
      </c>
      <c r="K336" s="115">
        <v>184.0</v>
      </c>
      <c r="L336" s="93"/>
      <c r="M336" s="93"/>
      <c r="N336" s="93"/>
      <c r="O336" s="56"/>
      <c r="P336" s="56"/>
      <c r="Q336" s="56"/>
      <c r="R336" s="56"/>
      <c r="S336" s="56"/>
      <c r="T336" s="56"/>
      <c r="U336" s="56"/>
      <c r="V336" s="56"/>
    </row>
    <row r="337" ht="18.75" customHeight="1">
      <c r="A337" s="90">
        <v>7.0</v>
      </c>
      <c r="B337" s="111" t="s">
        <v>1058</v>
      </c>
      <c r="C337" s="118" t="s">
        <v>363</v>
      </c>
      <c r="D337" s="52">
        <v>277.9296</v>
      </c>
      <c r="E337" s="52">
        <v>298.0</v>
      </c>
      <c r="F337" s="110"/>
      <c r="G337" s="95">
        <f t="shared" si="5"/>
        <v>0.07221397073</v>
      </c>
      <c r="H337" s="114"/>
      <c r="I337" s="115">
        <v>2.62</v>
      </c>
      <c r="J337" s="115">
        <v>66.0</v>
      </c>
      <c r="K337" s="115">
        <v>198.0</v>
      </c>
      <c r="L337" s="93"/>
      <c r="M337" s="93"/>
      <c r="N337" s="93"/>
      <c r="O337" s="56"/>
      <c r="P337" s="56"/>
      <c r="Q337" s="56"/>
      <c r="R337" s="56"/>
      <c r="S337" s="56"/>
      <c r="T337" s="56"/>
      <c r="U337" s="56"/>
      <c r="V337" s="56"/>
    </row>
    <row r="338" ht="18.75" customHeight="1">
      <c r="A338" s="90">
        <v>8.0</v>
      </c>
      <c r="B338" s="111" t="s">
        <v>1059</v>
      </c>
      <c r="C338" s="118" t="s">
        <v>808</v>
      </c>
      <c r="D338" s="52">
        <v>552.0</v>
      </c>
      <c r="E338" s="52">
        <v>596.0</v>
      </c>
      <c r="F338" s="110"/>
      <c r="G338" s="95">
        <f t="shared" si="5"/>
        <v>0.07971014493</v>
      </c>
      <c r="H338" s="114"/>
      <c r="I338" s="115">
        <v>5.16</v>
      </c>
      <c r="J338" s="115">
        <v>24.0</v>
      </c>
      <c r="K338" s="115">
        <v>96.0</v>
      </c>
      <c r="L338" s="93"/>
      <c r="M338" s="93"/>
      <c r="N338" s="93"/>
      <c r="O338" s="56"/>
      <c r="P338" s="56"/>
      <c r="Q338" s="56"/>
      <c r="R338" s="56"/>
      <c r="S338" s="56"/>
      <c r="T338" s="56"/>
      <c r="U338" s="56"/>
      <c r="V338" s="56"/>
    </row>
    <row r="339" ht="18.75" customHeight="1">
      <c r="A339" s="90">
        <v>9.0</v>
      </c>
      <c r="B339" s="111" t="s">
        <v>1060</v>
      </c>
      <c r="C339" s="118" t="s">
        <v>399</v>
      </c>
      <c r="D339" s="52">
        <v>352.0</v>
      </c>
      <c r="E339" s="52">
        <v>382.0</v>
      </c>
      <c r="F339" s="110"/>
      <c r="G339" s="95">
        <f t="shared" si="5"/>
        <v>0.08522727273</v>
      </c>
      <c r="H339" s="114"/>
      <c r="I339" s="115">
        <v>3.28</v>
      </c>
      <c r="J339" s="115">
        <v>66.0</v>
      </c>
      <c r="K339" s="115">
        <v>198.0</v>
      </c>
      <c r="L339" s="93"/>
      <c r="M339" s="93"/>
      <c r="N339" s="93"/>
      <c r="O339" s="56"/>
      <c r="P339" s="56"/>
      <c r="Q339" s="56"/>
      <c r="R339" s="56"/>
      <c r="S339" s="56"/>
      <c r="T339" s="56"/>
      <c r="U339" s="56"/>
      <c r="V339" s="56"/>
    </row>
    <row r="340" ht="18.75" customHeight="1">
      <c r="A340" s="90">
        <v>10.0</v>
      </c>
      <c r="B340" s="111" t="s">
        <v>1061</v>
      </c>
      <c r="C340" s="118" t="s">
        <v>756</v>
      </c>
      <c r="D340" s="52">
        <v>387.6</v>
      </c>
      <c r="E340" s="52">
        <v>418.0</v>
      </c>
      <c r="F340" s="110"/>
      <c r="G340" s="95">
        <f t="shared" si="5"/>
        <v>0.07843137255</v>
      </c>
      <c r="H340" s="114"/>
      <c r="I340" s="115">
        <v>3.64</v>
      </c>
      <c r="J340" s="115">
        <v>30.0</v>
      </c>
      <c r="K340" s="115">
        <v>120.0</v>
      </c>
      <c r="L340" s="93"/>
      <c r="M340" s="93"/>
      <c r="N340" s="93"/>
      <c r="O340" s="56"/>
      <c r="P340" s="56"/>
      <c r="Q340" s="56"/>
      <c r="R340" s="56"/>
      <c r="S340" s="56"/>
      <c r="T340" s="56"/>
      <c r="U340" s="56"/>
      <c r="V340" s="56"/>
    </row>
    <row r="341" ht="18.75" customHeight="1">
      <c r="A341" s="90">
        <v>11.0</v>
      </c>
      <c r="B341" s="111" t="s">
        <v>1062</v>
      </c>
      <c r="C341" s="118" t="s">
        <v>756</v>
      </c>
      <c r="D341" s="52">
        <v>397.8</v>
      </c>
      <c r="E341" s="52">
        <v>428.0</v>
      </c>
      <c r="F341" s="110"/>
      <c r="G341" s="95">
        <f t="shared" si="5"/>
        <v>0.07591754651</v>
      </c>
      <c r="H341" s="114"/>
      <c r="I341" s="115">
        <v>3.74</v>
      </c>
      <c r="J341" s="115">
        <v>30.0</v>
      </c>
      <c r="K341" s="115">
        <v>120.0</v>
      </c>
      <c r="L341" s="93"/>
      <c r="M341" s="93"/>
      <c r="N341" s="93"/>
      <c r="O341" s="56"/>
      <c r="P341" s="56"/>
      <c r="Q341" s="56"/>
      <c r="R341" s="56"/>
      <c r="S341" s="56"/>
      <c r="T341" s="56"/>
      <c r="U341" s="56"/>
      <c r="V341" s="56"/>
    </row>
    <row r="342" ht="18.75" customHeight="1">
      <c r="A342" s="90">
        <v>12.0</v>
      </c>
      <c r="B342" s="111" t="s">
        <v>1063</v>
      </c>
      <c r="C342" s="118" t="s">
        <v>419</v>
      </c>
      <c r="D342" s="52">
        <v>712.0</v>
      </c>
      <c r="E342" s="52">
        <v>768.0</v>
      </c>
      <c r="F342" s="110"/>
      <c r="G342" s="95">
        <f t="shared" si="5"/>
        <v>0.07865168539</v>
      </c>
      <c r="H342" s="114"/>
      <c r="I342" s="120">
        <v>5.0</v>
      </c>
      <c r="J342" s="115">
        <v>13.0</v>
      </c>
      <c r="K342" s="115">
        <v>52.0</v>
      </c>
      <c r="L342" s="93"/>
      <c r="M342" s="93"/>
      <c r="N342" s="93"/>
      <c r="O342" s="56"/>
      <c r="P342" s="56"/>
      <c r="Q342" s="56"/>
      <c r="R342" s="56"/>
      <c r="S342" s="56"/>
      <c r="T342" s="56"/>
      <c r="U342" s="56"/>
      <c r="V342" s="56"/>
    </row>
    <row r="343" ht="18.75" customHeight="1">
      <c r="A343" s="90">
        <v>13.0</v>
      </c>
      <c r="B343" s="111" t="s">
        <v>1064</v>
      </c>
      <c r="C343" s="118" t="s">
        <v>439</v>
      </c>
      <c r="D343" s="52">
        <v>634.3584</v>
      </c>
      <c r="E343" s="52">
        <v>686.0</v>
      </c>
      <c r="F343" s="110"/>
      <c r="G343" s="95">
        <f t="shared" si="5"/>
        <v>0.08140760807</v>
      </c>
      <c r="H343" s="114"/>
      <c r="I343" s="120">
        <v>5.0</v>
      </c>
      <c r="J343" s="115">
        <v>30.0</v>
      </c>
      <c r="K343" s="115">
        <v>120.0</v>
      </c>
      <c r="L343" s="93"/>
      <c r="M343" s="93"/>
      <c r="N343" s="93"/>
      <c r="O343" s="56"/>
      <c r="P343" s="56"/>
      <c r="Q343" s="56"/>
      <c r="R343" s="56"/>
      <c r="S343" s="56"/>
      <c r="T343" s="56"/>
      <c r="U343" s="56"/>
      <c r="V343" s="56"/>
    </row>
    <row r="344" ht="18.75" customHeight="1">
      <c r="A344" s="90" t="s">
        <v>1065</v>
      </c>
      <c r="B344" s="111" t="s">
        <v>1066</v>
      </c>
      <c r="C344" s="118" t="s">
        <v>462</v>
      </c>
      <c r="D344" s="52">
        <v>711.96</v>
      </c>
      <c r="E344" s="52">
        <v>768.0</v>
      </c>
      <c r="F344" s="110"/>
      <c r="G344" s="95">
        <f t="shared" si="5"/>
        <v>0.07871228721</v>
      </c>
      <c r="H344" s="114"/>
      <c r="I344" s="120">
        <v>5.0</v>
      </c>
      <c r="J344" s="115">
        <v>13.0</v>
      </c>
      <c r="K344" s="115">
        <v>52.0</v>
      </c>
      <c r="L344" s="93"/>
      <c r="M344" s="93"/>
      <c r="N344" s="93"/>
      <c r="O344" s="56"/>
      <c r="P344" s="56"/>
      <c r="Q344" s="56"/>
      <c r="R344" s="56"/>
      <c r="S344" s="56"/>
      <c r="T344" s="56"/>
      <c r="U344" s="56"/>
      <c r="V344" s="56"/>
    </row>
    <row r="345" ht="18.75" customHeight="1">
      <c r="A345" s="90">
        <v>15.0</v>
      </c>
      <c r="B345" s="111" t="s">
        <v>1067</v>
      </c>
      <c r="C345" s="118" t="s">
        <v>482</v>
      </c>
      <c r="D345" s="52">
        <v>1298.0</v>
      </c>
      <c r="E345" s="52">
        <v>1402.0</v>
      </c>
      <c r="F345" s="110"/>
      <c r="G345" s="95">
        <f t="shared" si="5"/>
        <v>0.08012326656</v>
      </c>
      <c r="H345" s="114"/>
      <c r="I345" s="120">
        <v>10.0</v>
      </c>
      <c r="J345" s="115">
        <v>13.0</v>
      </c>
      <c r="K345" s="115">
        <v>52.0</v>
      </c>
      <c r="L345" s="93"/>
      <c r="M345" s="93"/>
      <c r="N345" s="93"/>
      <c r="O345" s="56"/>
      <c r="P345" s="56"/>
      <c r="Q345" s="56"/>
      <c r="R345" s="56"/>
      <c r="S345" s="56"/>
      <c r="T345" s="56"/>
      <c r="U345" s="56"/>
      <c r="V345" s="56"/>
    </row>
    <row r="346" ht="18.75" customHeight="1">
      <c r="A346" s="90"/>
      <c r="B346" s="111" t="s">
        <v>1068</v>
      </c>
      <c r="C346" s="118" t="s">
        <v>523</v>
      </c>
      <c r="D346" s="52">
        <v>1998.0</v>
      </c>
      <c r="E346" s="52">
        <v>2158.0</v>
      </c>
      <c r="F346" s="110"/>
      <c r="G346" s="95">
        <f t="shared" si="5"/>
        <v>0.08008008008</v>
      </c>
      <c r="H346" s="114"/>
      <c r="I346" s="120"/>
      <c r="J346" s="115"/>
      <c r="K346" s="115"/>
      <c r="L346" s="93"/>
      <c r="M346" s="93"/>
      <c r="N346" s="93"/>
      <c r="O346" s="56"/>
      <c r="P346" s="56"/>
      <c r="Q346" s="56"/>
      <c r="R346" s="56"/>
      <c r="S346" s="56"/>
      <c r="T346" s="56"/>
      <c r="U346" s="56"/>
      <c r="V346" s="56"/>
    </row>
    <row r="347" ht="18.75" customHeight="1">
      <c r="A347" s="90">
        <v>16.0</v>
      </c>
      <c r="B347" s="111" t="s">
        <v>1069</v>
      </c>
      <c r="C347" s="118" t="s">
        <v>545</v>
      </c>
      <c r="D347" s="52">
        <v>1694.0</v>
      </c>
      <c r="E347" s="52">
        <v>1828.0</v>
      </c>
      <c r="F347" s="110"/>
      <c r="G347" s="95">
        <f t="shared" si="5"/>
        <v>0.07910271547</v>
      </c>
      <c r="H347" s="114"/>
      <c r="I347" s="120">
        <v>15.0</v>
      </c>
      <c r="J347" s="115">
        <v>6.0</v>
      </c>
      <c r="K347" s="115">
        <v>24.0</v>
      </c>
      <c r="L347" s="93"/>
      <c r="M347" s="93"/>
      <c r="N347" s="93"/>
      <c r="O347" s="56"/>
      <c r="P347" s="56"/>
      <c r="Q347" s="56"/>
      <c r="R347" s="56"/>
      <c r="S347" s="56"/>
      <c r="T347" s="56"/>
      <c r="U347" s="56"/>
      <c r="V347" s="56"/>
    </row>
    <row r="348" ht="18.75" customHeight="1">
      <c r="A348" s="90">
        <v>17.0</v>
      </c>
      <c r="B348" s="111" t="s">
        <v>1070</v>
      </c>
      <c r="C348" s="118" t="s">
        <v>719</v>
      </c>
      <c r="D348" s="52">
        <v>244.0</v>
      </c>
      <c r="E348" s="52">
        <v>264.0</v>
      </c>
      <c r="F348" s="110"/>
      <c r="G348" s="95">
        <f t="shared" si="5"/>
        <v>0.08196721311</v>
      </c>
      <c r="H348" s="122"/>
      <c r="I348" s="115">
        <v>2.28</v>
      </c>
      <c r="J348" s="115">
        <v>66.0</v>
      </c>
      <c r="K348" s="115">
        <v>264.0</v>
      </c>
      <c r="L348" s="93"/>
      <c r="M348" s="93"/>
      <c r="N348" s="93"/>
      <c r="O348" s="56"/>
      <c r="P348" s="56"/>
      <c r="Q348" s="56"/>
      <c r="R348" s="56"/>
      <c r="S348" s="56"/>
      <c r="T348" s="56"/>
      <c r="U348" s="56"/>
      <c r="V348" s="56"/>
    </row>
    <row r="349" ht="18.75" customHeight="1">
      <c r="A349" s="90">
        <v>18.0</v>
      </c>
      <c r="B349" s="111" t="s">
        <v>1071</v>
      </c>
      <c r="C349" s="118" t="s">
        <v>717</v>
      </c>
      <c r="D349" s="52">
        <v>252.4704</v>
      </c>
      <c r="E349" s="52">
        <v>272.0</v>
      </c>
      <c r="F349" s="110"/>
      <c r="G349" s="95">
        <f t="shared" si="5"/>
        <v>0.07735401853</v>
      </c>
      <c r="H349" s="122"/>
      <c r="I349" s="115">
        <v>2.38</v>
      </c>
      <c r="J349" s="115">
        <v>66.0</v>
      </c>
      <c r="K349" s="115">
        <v>264.0</v>
      </c>
      <c r="L349" s="93"/>
      <c r="M349" s="93"/>
      <c r="N349" s="93"/>
      <c r="O349" s="56"/>
      <c r="P349" s="56"/>
      <c r="Q349" s="56"/>
      <c r="R349" s="56"/>
      <c r="S349" s="56"/>
      <c r="T349" s="56"/>
      <c r="U349" s="56"/>
      <c r="V349" s="56"/>
    </row>
    <row r="350" ht="18.75" customHeight="1">
      <c r="A350" s="90">
        <v>19.0</v>
      </c>
      <c r="B350" s="111" t="s">
        <v>1072</v>
      </c>
      <c r="C350" s="118" t="s">
        <v>723</v>
      </c>
      <c r="D350" s="52">
        <v>264.0</v>
      </c>
      <c r="E350" s="52">
        <v>286.0</v>
      </c>
      <c r="F350" s="110"/>
      <c r="G350" s="95">
        <f t="shared" si="5"/>
        <v>0.08333333333</v>
      </c>
      <c r="H350" s="122"/>
      <c r="I350" s="115">
        <v>2.48</v>
      </c>
      <c r="J350" s="115">
        <v>64.0</v>
      </c>
      <c r="K350" s="115">
        <v>256.0</v>
      </c>
      <c r="L350" s="93"/>
      <c r="M350" s="93"/>
      <c r="N350" s="93"/>
      <c r="O350" s="56"/>
      <c r="P350" s="56"/>
      <c r="Q350" s="56"/>
      <c r="R350" s="56"/>
      <c r="S350" s="56"/>
      <c r="T350" s="56"/>
      <c r="U350" s="56"/>
      <c r="V350" s="56"/>
    </row>
    <row r="351" ht="18.75" customHeight="1">
      <c r="A351" s="90">
        <v>20.0</v>
      </c>
      <c r="B351" s="111" t="s">
        <v>1073</v>
      </c>
      <c r="C351" s="118" t="s">
        <v>395</v>
      </c>
      <c r="D351" s="52">
        <v>236.0</v>
      </c>
      <c r="E351" s="52">
        <v>256.0</v>
      </c>
      <c r="F351" s="110"/>
      <c r="G351" s="95">
        <f t="shared" si="5"/>
        <v>0.08474576271</v>
      </c>
      <c r="H351" s="122"/>
      <c r="I351" s="115">
        <v>2.2</v>
      </c>
      <c r="J351" s="115">
        <v>90.0</v>
      </c>
      <c r="K351" s="115">
        <v>180.0</v>
      </c>
      <c r="L351" s="93"/>
      <c r="M351" s="93"/>
      <c r="N351" s="93"/>
      <c r="O351" s="56"/>
      <c r="P351" s="56"/>
      <c r="Q351" s="56"/>
      <c r="R351" s="56"/>
      <c r="S351" s="56"/>
      <c r="T351" s="56"/>
      <c r="U351" s="56"/>
      <c r="V351" s="56"/>
    </row>
    <row r="352" ht="18.75" customHeight="1">
      <c r="A352" s="90">
        <v>21.0</v>
      </c>
      <c r="B352" s="111" t="s">
        <v>1074</v>
      </c>
      <c r="C352" s="118" t="s">
        <v>1075</v>
      </c>
      <c r="D352" s="52">
        <v>518.16</v>
      </c>
      <c r="E352" s="52">
        <v>558.0</v>
      </c>
      <c r="F352" s="110"/>
      <c r="G352" s="95">
        <f t="shared" si="5"/>
        <v>0.07688744789</v>
      </c>
      <c r="H352" s="114"/>
      <c r="I352" s="115">
        <v>4.88</v>
      </c>
      <c r="J352" s="115">
        <v>35.0</v>
      </c>
      <c r="K352" s="115">
        <v>140.0</v>
      </c>
      <c r="L352" s="93"/>
      <c r="M352" s="93"/>
      <c r="N352" s="93"/>
      <c r="O352" s="56"/>
      <c r="P352" s="56"/>
      <c r="Q352" s="56"/>
      <c r="R352" s="56"/>
      <c r="S352" s="56"/>
      <c r="T352" s="56"/>
      <c r="U352" s="56"/>
      <c r="V352" s="56"/>
    </row>
    <row r="353" ht="18.75" customHeight="1">
      <c r="A353" s="90">
        <v>22.0</v>
      </c>
      <c r="B353" s="111" t="s">
        <v>1076</v>
      </c>
      <c r="C353" s="118" t="s">
        <v>663</v>
      </c>
      <c r="D353" s="52">
        <v>391.68</v>
      </c>
      <c r="E353" s="52">
        <v>422.0</v>
      </c>
      <c r="F353" s="110"/>
      <c r="G353" s="95">
        <f t="shared" si="5"/>
        <v>0.07741013072</v>
      </c>
      <c r="H353" s="122"/>
      <c r="I353" s="115">
        <v>3.68</v>
      </c>
      <c r="J353" s="115">
        <v>64.0</v>
      </c>
      <c r="K353" s="115">
        <v>256.0</v>
      </c>
      <c r="L353" s="93"/>
      <c r="M353" s="93"/>
      <c r="N353" s="93"/>
      <c r="O353" s="56"/>
      <c r="P353" s="56"/>
      <c r="Q353" s="56"/>
      <c r="R353" s="56"/>
      <c r="S353" s="56"/>
      <c r="T353" s="56"/>
      <c r="U353" s="56"/>
      <c r="V353" s="56"/>
    </row>
    <row r="354" ht="18.75" customHeight="1">
      <c r="A354" s="90">
        <v>23.0</v>
      </c>
      <c r="B354" s="111" t="s">
        <v>850</v>
      </c>
      <c r="C354" s="118" t="s">
        <v>678</v>
      </c>
      <c r="D354" s="164">
        <v>1236.0</v>
      </c>
      <c r="E354" s="52">
        <v>1336.0</v>
      </c>
      <c r="F354" s="110"/>
      <c r="G354" s="95">
        <f t="shared" si="5"/>
        <v>0.08090614887</v>
      </c>
      <c r="H354" s="114"/>
      <c r="I354" s="120">
        <v>10.0</v>
      </c>
      <c r="J354" s="115">
        <v>64.0</v>
      </c>
      <c r="K354" s="115">
        <v>128.0</v>
      </c>
      <c r="L354" s="134"/>
      <c r="M354" s="93"/>
      <c r="N354" s="93"/>
      <c r="O354" s="56"/>
      <c r="P354" s="56"/>
      <c r="Q354" s="56"/>
      <c r="R354" s="56"/>
      <c r="S354" s="56"/>
      <c r="T354" s="56"/>
      <c r="U354" s="56"/>
      <c r="V354" s="56"/>
    </row>
    <row r="355" ht="18.75" customHeight="1">
      <c r="A355" s="90">
        <v>24.0</v>
      </c>
      <c r="B355" s="111" t="s">
        <v>852</v>
      </c>
      <c r="C355" s="118" t="s">
        <v>693</v>
      </c>
      <c r="D355" s="164">
        <v>1248.0</v>
      </c>
      <c r="E355" s="52">
        <v>1348.0</v>
      </c>
      <c r="F355" s="110"/>
      <c r="G355" s="95">
        <f t="shared" si="5"/>
        <v>0.08012820513</v>
      </c>
      <c r="H355" s="114"/>
      <c r="I355" s="120">
        <v>10.0</v>
      </c>
      <c r="J355" s="115">
        <v>64.0</v>
      </c>
      <c r="K355" s="115">
        <v>128.0</v>
      </c>
      <c r="L355" s="93"/>
      <c r="M355" s="93"/>
      <c r="N355" s="93"/>
      <c r="O355" s="56"/>
      <c r="P355" s="56"/>
      <c r="Q355" s="56"/>
      <c r="R355" s="56"/>
      <c r="S355" s="56"/>
      <c r="T355" s="56"/>
      <c r="U355" s="56"/>
      <c r="V355" s="56"/>
    </row>
    <row r="356" ht="18.75" customHeight="1">
      <c r="A356" s="90">
        <v>25.0</v>
      </c>
      <c r="B356" s="111" t="s">
        <v>1078</v>
      </c>
      <c r="C356" s="118" t="s">
        <v>710</v>
      </c>
      <c r="D356" s="52">
        <v>672.0</v>
      </c>
      <c r="E356" s="52">
        <v>726.0</v>
      </c>
      <c r="F356" s="110"/>
      <c r="G356" s="95">
        <f t="shared" si="5"/>
        <v>0.08035714286</v>
      </c>
      <c r="H356" s="114"/>
      <c r="I356" s="115">
        <v>6.3</v>
      </c>
      <c r="J356" s="115">
        <v>30.0</v>
      </c>
      <c r="K356" s="115">
        <v>120.0</v>
      </c>
      <c r="L356" s="93"/>
      <c r="M356" s="93"/>
      <c r="N356" s="93"/>
      <c r="O356" s="56"/>
      <c r="P356" s="56"/>
      <c r="Q356" s="56"/>
      <c r="R356" s="56"/>
      <c r="S356" s="56"/>
      <c r="T356" s="56"/>
      <c r="U356" s="56"/>
      <c r="V356" s="56"/>
    </row>
    <row r="357" ht="18.75" customHeight="1">
      <c r="A357" s="90">
        <v>26.0</v>
      </c>
      <c r="B357" s="111" t="s">
        <v>1079</v>
      </c>
      <c r="C357" s="118" t="s">
        <v>1081</v>
      </c>
      <c r="D357" s="52">
        <v>684.0</v>
      </c>
      <c r="E357" s="52">
        <v>738.0</v>
      </c>
      <c r="F357" s="110"/>
      <c r="G357" s="95">
        <f t="shared" si="5"/>
        <v>0.07894736842</v>
      </c>
      <c r="H357" s="114"/>
      <c r="I357" s="115">
        <v>6.44</v>
      </c>
      <c r="J357" s="115">
        <v>30.0</v>
      </c>
      <c r="K357" s="115">
        <v>120.0</v>
      </c>
      <c r="L357" s="93"/>
      <c r="M357" s="93"/>
      <c r="N357" s="93"/>
      <c r="O357" s="56"/>
      <c r="P357" s="56"/>
      <c r="Q357" s="56"/>
      <c r="R357" s="56"/>
      <c r="S357" s="56"/>
      <c r="T357" s="56"/>
      <c r="U357" s="56"/>
      <c r="V357" s="56"/>
    </row>
    <row r="358" ht="18.75" customHeight="1">
      <c r="A358" s="90">
        <v>27.0</v>
      </c>
      <c r="B358" s="111" t="s">
        <v>1082</v>
      </c>
      <c r="C358" s="118" t="s">
        <v>690</v>
      </c>
      <c r="D358" s="52">
        <v>392.0</v>
      </c>
      <c r="E358" s="52">
        <v>422.0</v>
      </c>
      <c r="F358" s="110"/>
      <c r="G358" s="95">
        <f t="shared" si="5"/>
        <v>0.07653061224</v>
      </c>
      <c r="H358" s="122"/>
      <c r="I358" s="115">
        <v>3.68</v>
      </c>
      <c r="J358" s="115">
        <v>64.0</v>
      </c>
      <c r="K358" s="115">
        <v>256.0</v>
      </c>
      <c r="L358" s="93"/>
      <c r="M358" s="93"/>
      <c r="N358" s="93"/>
      <c r="O358" s="56"/>
      <c r="P358" s="56"/>
      <c r="Q358" s="56"/>
      <c r="R358" s="56"/>
      <c r="S358" s="56"/>
      <c r="T358" s="56"/>
      <c r="U358" s="56"/>
      <c r="V358" s="56"/>
    </row>
    <row r="359" ht="18.75" customHeight="1">
      <c r="A359" s="90">
        <v>28.0</v>
      </c>
      <c r="B359" s="111" t="s">
        <v>1083</v>
      </c>
      <c r="C359" s="118" t="s">
        <v>731</v>
      </c>
      <c r="D359" s="52">
        <v>395.76</v>
      </c>
      <c r="E359" s="52">
        <v>428.0</v>
      </c>
      <c r="F359" s="110"/>
      <c r="G359" s="95">
        <f t="shared" si="5"/>
        <v>0.08146351324</v>
      </c>
      <c r="H359" s="122"/>
      <c r="I359" s="115">
        <v>3.72</v>
      </c>
      <c r="J359" s="115">
        <v>30.0</v>
      </c>
      <c r="K359" s="115">
        <v>120.0</v>
      </c>
      <c r="L359" s="93"/>
      <c r="M359" s="93"/>
      <c r="N359" s="93"/>
      <c r="O359" s="56"/>
      <c r="P359" s="56"/>
      <c r="Q359" s="56"/>
      <c r="R359" s="56"/>
      <c r="S359" s="56"/>
      <c r="T359" s="56"/>
      <c r="U359" s="56"/>
      <c r="V359" s="56"/>
    </row>
    <row r="360" ht="18.75" customHeight="1">
      <c r="A360" s="90">
        <v>29.0</v>
      </c>
      <c r="B360" s="123" t="s">
        <v>1086</v>
      </c>
      <c r="C360" s="124" t="s">
        <v>712</v>
      </c>
      <c r="D360" s="125">
        <v>1550.4</v>
      </c>
      <c r="E360" s="52">
        <v>1674.0</v>
      </c>
      <c r="F360" s="110"/>
      <c r="G360" s="95">
        <f t="shared" si="5"/>
        <v>0.07972136223</v>
      </c>
      <c r="H360" s="114"/>
      <c r="I360" s="120">
        <v>10.0</v>
      </c>
      <c r="J360" s="115">
        <v>14.0</v>
      </c>
      <c r="K360" s="115">
        <v>56.0</v>
      </c>
      <c r="L360" s="93"/>
      <c r="M360" s="93"/>
      <c r="N360" s="93"/>
      <c r="O360" s="56"/>
      <c r="P360" s="56"/>
      <c r="Q360" s="56"/>
      <c r="R360" s="56"/>
      <c r="S360" s="56"/>
      <c r="T360" s="56"/>
      <c r="U360" s="56"/>
      <c r="V360" s="56"/>
    </row>
    <row r="361" ht="18.75" customHeight="1">
      <c r="A361" s="90"/>
      <c r="B361" s="149"/>
      <c r="C361" s="150"/>
      <c r="D361" s="151"/>
      <c r="E361" s="109"/>
      <c r="F361" s="110"/>
      <c r="G361" s="95"/>
      <c r="H361" s="114"/>
      <c r="I361" s="120"/>
      <c r="J361" s="115"/>
      <c r="K361" s="115"/>
      <c r="L361" s="93"/>
      <c r="M361" s="93"/>
      <c r="N361" s="93"/>
      <c r="O361" s="56"/>
      <c r="P361" s="56"/>
      <c r="Q361" s="56"/>
      <c r="R361" s="56"/>
      <c r="S361" s="56"/>
      <c r="T361" s="56"/>
      <c r="U361" s="56"/>
      <c r="V361" s="56"/>
    </row>
    <row r="362" ht="18.75" customHeight="1">
      <c r="A362" s="90"/>
      <c r="B362" s="107" t="s">
        <v>1089</v>
      </c>
      <c r="C362" s="108"/>
      <c r="D362" s="109"/>
      <c r="E362" s="109"/>
      <c r="F362" s="110"/>
      <c r="G362" s="95"/>
      <c r="H362" s="114"/>
      <c r="I362" s="120"/>
      <c r="J362" s="115"/>
      <c r="K362" s="115"/>
      <c r="L362" s="93"/>
      <c r="M362" s="93"/>
      <c r="N362" s="93"/>
      <c r="O362" s="56"/>
      <c r="P362" s="56"/>
      <c r="Q362" s="56"/>
      <c r="R362" s="56"/>
      <c r="S362" s="56"/>
      <c r="T362" s="56"/>
      <c r="U362" s="56"/>
      <c r="V362" s="56"/>
    </row>
    <row r="363" ht="18.75" customHeight="1">
      <c r="A363" s="90"/>
      <c r="B363" s="111" t="s">
        <v>208</v>
      </c>
      <c r="C363" s="118" t="s">
        <v>951</v>
      </c>
      <c r="D363" s="52">
        <v>244.0</v>
      </c>
      <c r="E363" s="52">
        <v>264.0</v>
      </c>
      <c r="F363" s="110"/>
      <c r="G363" s="95">
        <f t="shared" ref="G363:G390" si="6">IFERROR(DIVIDE(MINUS(E363,D363),D363),)</f>
        <v>0.08196721311</v>
      </c>
      <c r="H363" s="114"/>
      <c r="I363" s="120"/>
      <c r="J363" s="120"/>
      <c r="K363" s="120"/>
      <c r="L363" s="93"/>
      <c r="M363" s="93"/>
      <c r="N363" s="93"/>
      <c r="O363" s="56"/>
      <c r="P363" s="56"/>
      <c r="Q363" s="56"/>
      <c r="R363" s="56"/>
      <c r="S363" s="56"/>
      <c r="T363" s="56"/>
      <c r="U363" s="56"/>
      <c r="V363" s="56"/>
    </row>
    <row r="364" ht="18.75" customHeight="1">
      <c r="A364" s="90"/>
      <c r="B364" s="111" t="s">
        <v>1092</v>
      </c>
      <c r="C364" s="118" t="s">
        <v>748</v>
      </c>
      <c r="D364" s="52">
        <v>256.0</v>
      </c>
      <c r="E364" s="52">
        <v>276.0</v>
      </c>
      <c r="F364" s="110"/>
      <c r="G364" s="95">
        <f t="shared" si="6"/>
        <v>0.078125</v>
      </c>
      <c r="H364" s="114"/>
      <c r="I364" s="120"/>
      <c r="J364" s="120"/>
      <c r="K364" s="120"/>
      <c r="L364" s="93"/>
      <c r="M364" s="93"/>
      <c r="N364" s="93"/>
      <c r="O364" s="56"/>
      <c r="P364" s="56"/>
      <c r="Q364" s="56"/>
      <c r="R364" s="56"/>
      <c r="S364" s="56"/>
      <c r="T364" s="56"/>
      <c r="U364" s="56"/>
      <c r="V364" s="56"/>
    </row>
    <row r="365" ht="18.75" customHeight="1">
      <c r="A365" s="90"/>
      <c r="B365" s="111" t="s">
        <v>1094</v>
      </c>
      <c r="C365" s="118" t="s">
        <v>798</v>
      </c>
      <c r="D365" s="52">
        <v>264.0</v>
      </c>
      <c r="E365" s="52">
        <v>286.0</v>
      </c>
      <c r="F365" s="110"/>
      <c r="G365" s="95">
        <f t="shared" si="6"/>
        <v>0.08333333333</v>
      </c>
      <c r="H365" s="114"/>
      <c r="I365" s="120"/>
      <c r="J365" s="120"/>
      <c r="K365" s="120"/>
      <c r="L365" s="93"/>
      <c r="M365" s="93"/>
      <c r="N365" s="93"/>
      <c r="O365" s="56"/>
      <c r="P365" s="56"/>
      <c r="Q365" s="56"/>
      <c r="R365" s="56"/>
      <c r="S365" s="56"/>
      <c r="T365" s="56"/>
      <c r="U365" s="56"/>
      <c r="V365" s="56"/>
    </row>
    <row r="366" ht="18.75" customHeight="1">
      <c r="A366" s="90"/>
      <c r="B366" s="111" t="s">
        <v>1096</v>
      </c>
      <c r="C366" s="118" t="s">
        <v>306</v>
      </c>
      <c r="D366" s="52">
        <v>273.6864</v>
      </c>
      <c r="E366" s="52">
        <v>296.0</v>
      </c>
      <c r="F366" s="110"/>
      <c r="G366" s="95">
        <f t="shared" si="6"/>
        <v>0.0815298093</v>
      </c>
      <c r="H366" s="114"/>
      <c r="I366" s="120"/>
      <c r="J366" s="120"/>
      <c r="K366" s="120"/>
      <c r="L366" s="93"/>
      <c r="M366" s="93"/>
      <c r="N366" s="93"/>
      <c r="O366" s="56"/>
      <c r="P366" s="56"/>
      <c r="Q366" s="56"/>
      <c r="R366" s="56"/>
      <c r="S366" s="56"/>
      <c r="T366" s="56"/>
      <c r="U366" s="56"/>
      <c r="V366" s="56"/>
    </row>
    <row r="367" ht="18.75" customHeight="1">
      <c r="A367" s="90"/>
      <c r="B367" s="111" t="s">
        <v>1098</v>
      </c>
      <c r="C367" s="118" t="s">
        <v>801</v>
      </c>
      <c r="D367" s="52">
        <v>313.99679999999995</v>
      </c>
      <c r="E367" s="52">
        <v>338.0</v>
      </c>
      <c r="F367" s="110"/>
      <c r="G367" s="95">
        <f t="shared" si="6"/>
        <v>0.07644409115</v>
      </c>
      <c r="H367" s="114"/>
      <c r="I367" s="120"/>
      <c r="J367" s="115"/>
      <c r="K367" s="115"/>
      <c r="L367" s="93"/>
      <c r="M367" s="93"/>
      <c r="N367" s="93"/>
      <c r="O367" s="56"/>
      <c r="P367" s="56"/>
      <c r="Q367" s="56"/>
      <c r="R367" s="56"/>
      <c r="S367" s="56"/>
      <c r="T367" s="56"/>
      <c r="U367" s="56"/>
      <c r="V367" s="56"/>
    </row>
    <row r="368" ht="18.75" customHeight="1">
      <c r="A368" s="90"/>
      <c r="B368" s="111" t="s">
        <v>1100</v>
      </c>
      <c r="C368" s="118" t="s">
        <v>803</v>
      </c>
      <c r="D368" s="52">
        <v>303.96</v>
      </c>
      <c r="E368" s="52">
        <v>328.0</v>
      </c>
      <c r="F368" s="110"/>
      <c r="G368" s="95">
        <f t="shared" si="6"/>
        <v>0.07908935386</v>
      </c>
      <c r="H368" s="114"/>
      <c r="I368" s="120"/>
      <c r="J368" s="115"/>
      <c r="K368" s="115"/>
      <c r="L368" s="93"/>
      <c r="M368" s="93"/>
      <c r="N368" s="93"/>
      <c r="O368" s="56"/>
      <c r="P368" s="56"/>
      <c r="Q368" s="56"/>
      <c r="R368" s="56"/>
      <c r="S368" s="56"/>
      <c r="T368" s="56"/>
      <c r="U368" s="56"/>
      <c r="V368" s="56"/>
    </row>
    <row r="369" ht="18.75" customHeight="1">
      <c r="A369" s="90"/>
      <c r="B369" s="111" t="s">
        <v>1102</v>
      </c>
      <c r="C369" s="118" t="s">
        <v>339</v>
      </c>
      <c r="D369" s="52">
        <v>313.99679999999995</v>
      </c>
      <c r="E369" s="52">
        <v>338.0</v>
      </c>
      <c r="F369" s="110"/>
      <c r="G369" s="95">
        <f t="shared" si="6"/>
        <v>0.07644409115</v>
      </c>
      <c r="H369" s="114"/>
      <c r="I369" s="120"/>
      <c r="J369" s="115"/>
      <c r="K369" s="115"/>
      <c r="L369" s="93"/>
      <c r="M369" s="93"/>
      <c r="N369" s="93"/>
      <c r="O369" s="56"/>
      <c r="P369" s="56"/>
      <c r="Q369" s="56"/>
      <c r="R369" s="56"/>
      <c r="S369" s="56"/>
      <c r="T369" s="56"/>
      <c r="U369" s="56"/>
      <c r="V369" s="56"/>
    </row>
    <row r="370" ht="18.75" customHeight="1">
      <c r="A370" s="90"/>
      <c r="B370" s="111" t="s">
        <v>1104</v>
      </c>
      <c r="C370" s="118" t="s">
        <v>901</v>
      </c>
      <c r="D370" s="52">
        <v>264.0</v>
      </c>
      <c r="E370" s="52">
        <v>286.0</v>
      </c>
      <c r="F370" s="110"/>
      <c r="G370" s="95">
        <f t="shared" si="6"/>
        <v>0.08333333333</v>
      </c>
      <c r="H370" s="114"/>
      <c r="I370" s="120"/>
      <c r="J370" s="115"/>
      <c r="K370" s="115"/>
      <c r="L370" s="93"/>
      <c r="M370" s="93"/>
      <c r="N370" s="93"/>
      <c r="O370" s="56"/>
      <c r="P370" s="56"/>
      <c r="Q370" s="56"/>
      <c r="R370" s="56"/>
      <c r="S370" s="56"/>
      <c r="T370" s="56"/>
      <c r="U370" s="56"/>
      <c r="V370" s="56"/>
    </row>
    <row r="371" ht="18.75" customHeight="1">
      <c r="A371" s="90"/>
      <c r="B371" s="111" t="s">
        <v>1105</v>
      </c>
      <c r="C371" s="118" t="s">
        <v>808</v>
      </c>
      <c r="D371" s="52">
        <v>526.1568</v>
      </c>
      <c r="E371" s="52">
        <v>568.0</v>
      </c>
      <c r="F371" s="110"/>
      <c r="G371" s="95">
        <f t="shared" si="6"/>
        <v>0.07952610325</v>
      </c>
      <c r="H371" s="114"/>
      <c r="I371" s="120"/>
      <c r="J371" s="115"/>
      <c r="K371" s="115"/>
      <c r="L371" s="93"/>
      <c r="M371" s="93"/>
      <c r="N371" s="93"/>
      <c r="O371" s="56"/>
      <c r="P371" s="56"/>
      <c r="Q371" s="56"/>
      <c r="R371" s="56"/>
      <c r="S371" s="56"/>
      <c r="T371" s="56"/>
      <c r="U371" s="56"/>
      <c r="V371" s="56"/>
    </row>
    <row r="372" ht="18.75" customHeight="1">
      <c r="A372" s="90"/>
      <c r="B372" s="111" t="s">
        <v>1107</v>
      </c>
      <c r="C372" s="118" t="s">
        <v>939</v>
      </c>
      <c r="D372" s="52">
        <v>332.0</v>
      </c>
      <c r="E372" s="52">
        <v>358.0</v>
      </c>
      <c r="F372" s="110"/>
      <c r="G372" s="95">
        <f t="shared" si="6"/>
        <v>0.07831325301</v>
      </c>
      <c r="H372" s="114"/>
      <c r="I372" s="120"/>
      <c r="J372" s="115"/>
      <c r="K372" s="115"/>
      <c r="L372" s="93"/>
      <c r="M372" s="93"/>
      <c r="N372" s="93"/>
      <c r="O372" s="56"/>
      <c r="P372" s="56"/>
      <c r="Q372" s="56"/>
      <c r="R372" s="56"/>
      <c r="S372" s="56"/>
      <c r="T372" s="56"/>
      <c r="U372" s="56"/>
      <c r="V372" s="56"/>
    </row>
    <row r="373" ht="18.75" customHeight="1">
      <c r="A373" s="90"/>
      <c r="B373" s="111" t="s">
        <v>1108</v>
      </c>
      <c r="C373" s="118" t="s">
        <v>941</v>
      </c>
      <c r="D373" s="52">
        <v>368.0</v>
      </c>
      <c r="E373" s="52">
        <v>398.0</v>
      </c>
      <c r="F373" s="110"/>
      <c r="G373" s="95">
        <f t="shared" si="6"/>
        <v>0.08152173913</v>
      </c>
      <c r="H373" s="114"/>
      <c r="I373" s="120"/>
      <c r="J373" s="115"/>
      <c r="K373" s="115"/>
      <c r="L373" s="93"/>
      <c r="M373" s="93"/>
      <c r="N373" s="93"/>
      <c r="O373" s="56"/>
      <c r="P373" s="56"/>
      <c r="Q373" s="56"/>
      <c r="R373" s="56"/>
      <c r="S373" s="56"/>
      <c r="T373" s="56"/>
      <c r="U373" s="56"/>
      <c r="V373" s="56"/>
    </row>
    <row r="374" ht="18.75" customHeight="1">
      <c r="A374" s="90"/>
      <c r="B374" s="111" t="s">
        <v>1111</v>
      </c>
      <c r="C374" s="118" t="s">
        <v>1112</v>
      </c>
      <c r="D374" s="52">
        <v>705.84</v>
      </c>
      <c r="E374" s="52">
        <v>762.0</v>
      </c>
      <c r="F374" s="110"/>
      <c r="G374" s="95">
        <f t="shared" si="6"/>
        <v>0.07956477389</v>
      </c>
      <c r="H374" s="114"/>
      <c r="I374" s="120"/>
      <c r="J374" s="115"/>
      <c r="K374" s="115"/>
      <c r="L374" s="93"/>
      <c r="M374" s="93"/>
      <c r="N374" s="93"/>
      <c r="O374" s="56"/>
      <c r="P374" s="56"/>
      <c r="Q374" s="56"/>
      <c r="R374" s="56"/>
      <c r="S374" s="56"/>
      <c r="T374" s="56"/>
      <c r="U374" s="56"/>
      <c r="V374" s="56"/>
    </row>
    <row r="375" ht="18.75" customHeight="1">
      <c r="A375" s="90"/>
      <c r="B375" s="111" t="s">
        <v>1113</v>
      </c>
      <c r="C375" s="118" t="s">
        <v>1114</v>
      </c>
      <c r="D375" s="52">
        <v>625.8720000000001</v>
      </c>
      <c r="E375" s="52">
        <v>676.0</v>
      </c>
      <c r="F375" s="110"/>
      <c r="G375" s="95">
        <f t="shared" si="6"/>
        <v>0.08009305417</v>
      </c>
      <c r="H375" s="114"/>
      <c r="I375" s="120"/>
      <c r="J375" s="115"/>
      <c r="K375" s="115"/>
      <c r="L375" s="93"/>
      <c r="M375" s="93"/>
      <c r="N375" s="93"/>
      <c r="O375" s="56"/>
      <c r="P375" s="56"/>
      <c r="Q375" s="56"/>
      <c r="R375" s="56"/>
      <c r="S375" s="56"/>
      <c r="T375" s="56"/>
      <c r="U375" s="56"/>
      <c r="V375" s="56"/>
    </row>
    <row r="376" ht="18.75" customHeight="1">
      <c r="A376" s="90"/>
      <c r="B376" s="111" t="s">
        <v>1117</v>
      </c>
      <c r="C376" s="118" t="s">
        <v>1118</v>
      </c>
      <c r="D376" s="52">
        <v>711.96</v>
      </c>
      <c r="E376" s="52">
        <v>768.0</v>
      </c>
      <c r="F376" s="110"/>
      <c r="G376" s="95">
        <f t="shared" si="6"/>
        <v>0.07871228721</v>
      </c>
      <c r="H376" s="114"/>
      <c r="I376" s="120"/>
      <c r="J376" s="115"/>
      <c r="K376" s="115"/>
      <c r="L376" s="93"/>
      <c r="M376" s="93"/>
      <c r="N376" s="93"/>
      <c r="O376" s="56"/>
      <c r="P376" s="56"/>
      <c r="Q376" s="56"/>
      <c r="R376" s="56"/>
      <c r="S376" s="56"/>
      <c r="T376" s="56"/>
      <c r="U376" s="56"/>
      <c r="V376" s="56"/>
    </row>
    <row r="377" ht="18.75" customHeight="1">
      <c r="A377" s="90"/>
      <c r="B377" s="111" t="s">
        <v>1119</v>
      </c>
      <c r="C377" s="118" t="s">
        <v>913</v>
      </c>
      <c r="D377" s="52">
        <v>1262.3519999999999</v>
      </c>
      <c r="E377" s="52">
        <v>1362.0</v>
      </c>
      <c r="F377" s="110"/>
      <c r="G377" s="95">
        <f t="shared" si="6"/>
        <v>0.07893836268</v>
      </c>
      <c r="H377" s="114"/>
      <c r="I377" s="120"/>
      <c r="J377" s="115"/>
      <c r="K377" s="115"/>
      <c r="L377" s="93"/>
      <c r="M377" s="93"/>
      <c r="N377" s="93"/>
      <c r="O377" s="56"/>
      <c r="P377" s="56"/>
      <c r="Q377" s="56"/>
      <c r="R377" s="56"/>
      <c r="S377" s="56"/>
      <c r="T377" s="56"/>
      <c r="U377" s="56"/>
      <c r="V377" s="56"/>
    </row>
    <row r="378" ht="18.75" customHeight="1">
      <c r="A378" s="90"/>
      <c r="B378" s="111" t="s">
        <v>1122</v>
      </c>
      <c r="C378" s="118" t="s">
        <v>523</v>
      </c>
      <c r="D378" s="52">
        <v>1994.0</v>
      </c>
      <c r="E378" s="52">
        <v>2154.0</v>
      </c>
      <c r="F378" s="110"/>
      <c r="G378" s="95">
        <f t="shared" si="6"/>
        <v>0.08024072217</v>
      </c>
      <c r="H378" s="114"/>
      <c r="I378" s="120"/>
      <c r="J378" s="115"/>
      <c r="K378" s="115"/>
      <c r="L378" s="93"/>
      <c r="M378" s="93"/>
      <c r="N378" s="93"/>
      <c r="O378" s="56"/>
      <c r="P378" s="56"/>
      <c r="Q378" s="56"/>
      <c r="R378" s="56"/>
      <c r="S378" s="56"/>
      <c r="T378" s="56"/>
      <c r="U378" s="56"/>
      <c r="V378" s="56"/>
    </row>
    <row r="379" ht="18.75" customHeight="1">
      <c r="A379" s="90"/>
      <c r="B379" s="111" t="s">
        <v>1123</v>
      </c>
      <c r="C379" s="118" t="s">
        <v>1124</v>
      </c>
      <c r="D379" s="52">
        <v>1688.0</v>
      </c>
      <c r="E379" s="52">
        <v>1822.0</v>
      </c>
      <c r="F379" s="110"/>
      <c r="G379" s="95">
        <f t="shared" si="6"/>
        <v>0.07938388626</v>
      </c>
      <c r="H379" s="114"/>
      <c r="I379" s="120"/>
      <c r="J379" s="115"/>
      <c r="K379" s="115"/>
      <c r="L379" s="93"/>
      <c r="M379" s="93"/>
      <c r="N379" s="93"/>
      <c r="O379" s="56"/>
      <c r="P379" s="56"/>
      <c r="Q379" s="56"/>
      <c r="R379" s="56"/>
      <c r="S379" s="56"/>
      <c r="T379" s="56"/>
      <c r="U379" s="56"/>
      <c r="V379" s="56"/>
    </row>
    <row r="380" ht="18.75" customHeight="1">
      <c r="A380" s="90"/>
      <c r="B380" s="111" t="s">
        <v>1127</v>
      </c>
      <c r="C380" s="118" t="s">
        <v>719</v>
      </c>
      <c r="D380" s="52">
        <v>234.0</v>
      </c>
      <c r="E380" s="52">
        <v>252.0</v>
      </c>
      <c r="F380" s="110"/>
      <c r="G380" s="95">
        <f t="shared" si="6"/>
        <v>0.07692307692</v>
      </c>
      <c r="H380" s="114"/>
      <c r="I380" s="120"/>
      <c r="J380" s="115"/>
      <c r="K380" s="115"/>
      <c r="L380" s="93"/>
      <c r="M380" s="93"/>
      <c r="N380" s="93"/>
      <c r="O380" s="56"/>
      <c r="P380" s="56"/>
      <c r="Q380" s="56"/>
      <c r="R380" s="56"/>
      <c r="S380" s="56"/>
      <c r="T380" s="56"/>
      <c r="U380" s="56"/>
      <c r="V380" s="56"/>
    </row>
    <row r="381" ht="18.75" customHeight="1">
      <c r="A381" s="90"/>
      <c r="B381" s="111" t="s">
        <v>1128</v>
      </c>
      <c r="C381" s="118" t="s">
        <v>717</v>
      </c>
      <c r="D381" s="52">
        <v>234.0</v>
      </c>
      <c r="E381" s="52">
        <v>252.0</v>
      </c>
      <c r="F381" s="110"/>
      <c r="G381" s="95">
        <f t="shared" si="6"/>
        <v>0.07692307692</v>
      </c>
      <c r="H381" s="114"/>
      <c r="I381" s="120"/>
      <c r="J381" s="115"/>
      <c r="K381" s="115"/>
      <c r="L381" s="93"/>
      <c r="M381" s="93"/>
      <c r="N381" s="93"/>
      <c r="O381" s="56"/>
      <c r="P381" s="56"/>
      <c r="Q381" s="56"/>
      <c r="R381" s="56"/>
      <c r="S381" s="56"/>
      <c r="T381" s="56"/>
      <c r="U381" s="56"/>
      <c r="V381" s="56"/>
    </row>
    <row r="382" ht="18.75" customHeight="1">
      <c r="A382" s="90"/>
      <c r="B382" s="111" t="s">
        <v>1130</v>
      </c>
      <c r="C382" s="118" t="s">
        <v>723</v>
      </c>
      <c r="D382" s="52">
        <v>244.0</v>
      </c>
      <c r="E382" s="52">
        <v>264.0</v>
      </c>
      <c r="F382" s="110"/>
      <c r="G382" s="95">
        <f t="shared" si="6"/>
        <v>0.08196721311</v>
      </c>
      <c r="H382" s="114"/>
      <c r="I382" s="120"/>
      <c r="J382" s="115"/>
      <c r="K382" s="115"/>
      <c r="L382" s="93"/>
      <c r="M382" s="93"/>
      <c r="N382" s="93"/>
      <c r="O382" s="56"/>
      <c r="P382" s="56"/>
      <c r="Q382" s="56"/>
      <c r="R382" s="56"/>
      <c r="S382" s="56"/>
      <c r="T382" s="56"/>
      <c r="U382" s="56"/>
      <c r="V382" s="56"/>
    </row>
    <row r="383" ht="18.75" customHeight="1">
      <c r="A383" s="90"/>
      <c r="B383" s="111" t="s">
        <v>1132</v>
      </c>
      <c r="C383" s="118" t="s">
        <v>978</v>
      </c>
      <c r="D383" s="52">
        <v>222.0</v>
      </c>
      <c r="E383" s="52">
        <v>242.0</v>
      </c>
      <c r="F383" s="110"/>
      <c r="G383" s="95">
        <f t="shared" si="6"/>
        <v>0.09009009009</v>
      </c>
      <c r="H383" s="114"/>
      <c r="I383" s="120"/>
      <c r="J383" s="115"/>
      <c r="K383" s="115"/>
      <c r="L383" s="93"/>
      <c r="M383" s="93"/>
      <c r="N383" s="93"/>
      <c r="O383" s="56"/>
      <c r="P383" s="56"/>
      <c r="Q383" s="56"/>
      <c r="R383" s="56"/>
      <c r="S383" s="56"/>
      <c r="T383" s="56"/>
      <c r="U383" s="56"/>
      <c r="V383" s="56"/>
    </row>
    <row r="384" ht="18.75" customHeight="1">
      <c r="A384" s="90"/>
      <c r="B384" s="111" t="s">
        <v>1133</v>
      </c>
      <c r="C384" s="118" t="s">
        <v>359</v>
      </c>
      <c r="D384" s="52">
        <v>491.64</v>
      </c>
      <c r="E384" s="52">
        <v>532.0</v>
      </c>
      <c r="F384" s="110"/>
      <c r="G384" s="95">
        <f t="shared" si="6"/>
        <v>0.08209258807</v>
      </c>
      <c r="H384" s="114"/>
      <c r="I384" s="120"/>
      <c r="J384" s="115"/>
      <c r="K384" s="115"/>
      <c r="L384" s="93"/>
      <c r="M384" s="93"/>
      <c r="N384" s="93"/>
      <c r="O384" s="56"/>
      <c r="P384" s="56"/>
      <c r="Q384" s="56"/>
      <c r="R384" s="56"/>
      <c r="S384" s="56"/>
      <c r="T384" s="56"/>
      <c r="U384" s="56"/>
      <c r="V384" s="56"/>
    </row>
    <row r="385" ht="18.75" customHeight="1">
      <c r="A385" s="90"/>
      <c r="B385" s="111" t="s">
        <v>1134</v>
      </c>
      <c r="C385" s="118" t="s">
        <v>928</v>
      </c>
      <c r="D385" s="52">
        <v>375.52320000000003</v>
      </c>
      <c r="E385" s="52">
        <v>406.0</v>
      </c>
      <c r="F385" s="110"/>
      <c r="G385" s="95">
        <f t="shared" si="6"/>
        <v>0.0811582347</v>
      </c>
      <c r="H385" s="114"/>
      <c r="I385" s="120"/>
      <c r="J385" s="115"/>
      <c r="K385" s="115"/>
      <c r="L385" s="93"/>
      <c r="M385" s="93"/>
      <c r="N385" s="93"/>
      <c r="O385" s="56"/>
      <c r="P385" s="56"/>
      <c r="Q385" s="56"/>
      <c r="R385" s="56"/>
      <c r="S385" s="56"/>
      <c r="T385" s="56"/>
      <c r="U385" s="56"/>
      <c r="V385" s="56"/>
    </row>
    <row r="386" ht="18.75" customHeight="1">
      <c r="A386" s="90"/>
      <c r="B386" s="111" t="s">
        <v>1135</v>
      </c>
      <c r="C386" s="118" t="s">
        <v>930</v>
      </c>
      <c r="D386" s="52">
        <v>385.56</v>
      </c>
      <c r="E386" s="52">
        <v>416.0</v>
      </c>
      <c r="F386" s="110"/>
      <c r="G386" s="95">
        <f t="shared" si="6"/>
        <v>0.07895009856</v>
      </c>
      <c r="H386" s="114"/>
      <c r="I386" s="120"/>
      <c r="J386" s="115"/>
      <c r="K386" s="115"/>
      <c r="L386" s="93"/>
      <c r="M386" s="93"/>
      <c r="N386" s="93"/>
      <c r="O386" s="56"/>
      <c r="P386" s="56"/>
      <c r="Q386" s="56"/>
      <c r="R386" s="56"/>
      <c r="S386" s="56"/>
      <c r="T386" s="56"/>
      <c r="U386" s="56"/>
      <c r="V386" s="56"/>
    </row>
    <row r="387" ht="18.75" customHeight="1">
      <c r="A387" s="90"/>
      <c r="B387" s="111" t="s">
        <v>1136</v>
      </c>
      <c r="C387" s="118" t="s">
        <v>1137</v>
      </c>
      <c r="D387" s="52">
        <v>646.0</v>
      </c>
      <c r="E387" s="52">
        <v>698.0</v>
      </c>
      <c r="F387" s="110"/>
      <c r="G387" s="95">
        <f t="shared" si="6"/>
        <v>0.08049535604</v>
      </c>
      <c r="H387" s="114"/>
      <c r="I387" s="120"/>
      <c r="J387" s="115"/>
      <c r="K387" s="115"/>
      <c r="L387" s="93"/>
      <c r="M387" s="93"/>
      <c r="N387" s="93"/>
      <c r="O387" s="56"/>
      <c r="P387" s="56"/>
      <c r="Q387" s="56"/>
      <c r="R387" s="56"/>
      <c r="S387" s="56"/>
      <c r="T387" s="56"/>
      <c r="U387" s="56"/>
      <c r="V387" s="56"/>
    </row>
    <row r="388" ht="18.75" customHeight="1">
      <c r="A388" s="90"/>
      <c r="B388" s="111" t="s">
        <v>1140</v>
      </c>
      <c r="C388" s="118" t="s">
        <v>1141</v>
      </c>
      <c r="D388" s="52">
        <v>688.0</v>
      </c>
      <c r="E388" s="52">
        <v>744.0</v>
      </c>
      <c r="F388" s="110"/>
      <c r="G388" s="95">
        <f t="shared" si="6"/>
        <v>0.08139534884</v>
      </c>
      <c r="H388" s="114"/>
      <c r="I388" s="120"/>
      <c r="J388" s="115"/>
      <c r="K388" s="115"/>
      <c r="L388" s="93"/>
      <c r="M388" s="93"/>
      <c r="N388" s="93"/>
      <c r="O388" s="56"/>
      <c r="P388" s="56"/>
      <c r="Q388" s="56"/>
      <c r="R388" s="56"/>
      <c r="S388" s="56"/>
      <c r="T388" s="56"/>
      <c r="U388" s="56"/>
      <c r="V388" s="56"/>
    </row>
    <row r="389" ht="18.75" customHeight="1">
      <c r="A389" s="90"/>
      <c r="B389" s="111" t="s">
        <v>1143</v>
      </c>
      <c r="C389" s="118" t="s">
        <v>731</v>
      </c>
      <c r="D389" s="52">
        <v>401.88</v>
      </c>
      <c r="E389" s="52">
        <v>434.0</v>
      </c>
      <c r="F389" s="110"/>
      <c r="G389" s="95">
        <f t="shared" si="6"/>
        <v>0.07992435553</v>
      </c>
      <c r="H389" s="114"/>
      <c r="I389" s="120"/>
      <c r="J389" s="115"/>
      <c r="K389" s="115"/>
      <c r="L389" s="93"/>
      <c r="M389" s="93"/>
      <c r="N389" s="93"/>
      <c r="O389" s="56"/>
      <c r="P389" s="56"/>
      <c r="Q389" s="56"/>
      <c r="R389" s="56"/>
      <c r="S389" s="56"/>
      <c r="T389" s="56"/>
      <c r="U389" s="56"/>
      <c r="V389" s="56"/>
    </row>
    <row r="390" ht="18.75" customHeight="1">
      <c r="A390" s="90"/>
      <c r="B390" s="111" t="s">
        <v>1144</v>
      </c>
      <c r="C390" s="118" t="s">
        <v>1145</v>
      </c>
      <c r="D390" s="52">
        <v>1502.0</v>
      </c>
      <c r="E390" s="52">
        <v>1622.0</v>
      </c>
      <c r="F390" s="110"/>
      <c r="G390" s="95">
        <f t="shared" si="6"/>
        <v>0.07989347537</v>
      </c>
      <c r="H390" s="114"/>
      <c r="I390" s="120"/>
      <c r="J390" s="115"/>
      <c r="K390" s="115"/>
      <c r="L390" s="93"/>
      <c r="M390" s="93"/>
      <c r="N390" s="93"/>
      <c r="O390" s="56"/>
      <c r="P390" s="56"/>
      <c r="Q390" s="56"/>
      <c r="R390" s="56"/>
      <c r="S390" s="56"/>
      <c r="T390" s="56"/>
      <c r="U390" s="56"/>
      <c r="V390" s="56"/>
    </row>
    <row r="391" ht="18.75" customHeight="1">
      <c r="A391" s="90"/>
      <c r="B391" s="149"/>
      <c r="C391" s="150"/>
      <c r="D391" s="151"/>
      <c r="E391" s="109"/>
      <c r="F391" s="110"/>
      <c r="G391" s="95"/>
      <c r="H391" s="96"/>
      <c r="I391" s="93"/>
      <c r="J391" s="115"/>
      <c r="K391" s="115"/>
      <c r="L391" s="93"/>
      <c r="M391" s="93"/>
      <c r="N391" s="93"/>
      <c r="O391" s="56"/>
      <c r="P391" s="56"/>
      <c r="Q391" s="56"/>
      <c r="R391" s="56"/>
      <c r="S391" s="56"/>
      <c r="T391" s="56"/>
      <c r="U391" s="56"/>
      <c r="V391" s="56"/>
    </row>
    <row r="392" ht="18.75" customHeight="1">
      <c r="A392" s="90"/>
      <c r="B392" s="107" t="s">
        <v>1149</v>
      </c>
      <c r="C392" s="108"/>
      <c r="D392" s="109"/>
      <c r="E392" s="109"/>
      <c r="F392" s="110"/>
      <c r="G392" s="95"/>
      <c r="H392" s="96"/>
      <c r="I392" s="93"/>
      <c r="J392" s="115"/>
      <c r="K392" s="115"/>
      <c r="L392" s="173"/>
      <c r="M392" s="93"/>
      <c r="N392" s="93"/>
      <c r="O392" s="56"/>
      <c r="P392" s="56"/>
      <c r="Q392" s="56"/>
      <c r="R392" s="56"/>
      <c r="S392" s="56"/>
      <c r="T392" s="56"/>
      <c r="U392" s="56"/>
      <c r="V392" s="56"/>
    </row>
    <row r="393" ht="18.75" customHeight="1">
      <c r="A393" s="90"/>
      <c r="B393" s="111" t="s">
        <v>1151</v>
      </c>
      <c r="C393" s="118" t="s">
        <v>1152</v>
      </c>
      <c r="D393" s="52">
        <v>122.0</v>
      </c>
      <c r="E393" s="52">
        <v>138.0</v>
      </c>
      <c r="F393" s="110"/>
      <c r="G393" s="95">
        <f t="shared" ref="G393:G395" si="7">IFERROR(DIVIDE(MINUS(E393,D393),D393),)</f>
        <v>0.131147541</v>
      </c>
      <c r="H393" s="96"/>
      <c r="I393" s="93"/>
      <c r="J393" s="115"/>
      <c r="K393" s="115"/>
      <c r="L393" s="174"/>
      <c r="M393" s="93"/>
      <c r="N393" s="93"/>
      <c r="O393" s="56"/>
      <c r="P393" s="56"/>
      <c r="Q393" s="56"/>
      <c r="R393" s="56"/>
      <c r="S393" s="56"/>
      <c r="T393" s="56"/>
      <c r="U393" s="56"/>
      <c r="V393" s="56"/>
    </row>
    <row r="394" ht="18.75" customHeight="1">
      <c r="A394" s="90"/>
      <c r="B394" s="111" t="s">
        <v>1155</v>
      </c>
      <c r="C394" s="118" t="s">
        <v>1156</v>
      </c>
      <c r="D394" s="52">
        <v>142.0</v>
      </c>
      <c r="E394" s="52">
        <v>158.0</v>
      </c>
      <c r="F394" s="110"/>
      <c r="G394" s="95">
        <f t="shared" si="7"/>
        <v>0.1126760563</v>
      </c>
      <c r="H394" s="96"/>
      <c r="I394" s="93"/>
      <c r="J394" s="115"/>
      <c r="K394" s="115"/>
      <c r="L394" s="174"/>
      <c r="M394" s="93"/>
      <c r="N394" s="93"/>
      <c r="O394" s="56"/>
      <c r="P394" s="56"/>
      <c r="Q394" s="56"/>
      <c r="R394" s="56"/>
      <c r="S394" s="56"/>
      <c r="T394" s="56"/>
      <c r="U394" s="56"/>
      <c r="V394" s="56"/>
    </row>
    <row r="395" ht="18.75" customHeight="1">
      <c r="A395" s="90"/>
      <c r="B395" s="111" t="s">
        <v>1158</v>
      </c>
      <c r="C395" s="118" t="s">
        <v>1160</v>
      </c>
      <c r="D395" s="52">
        <v>122.0</v>
      </c>
      <c r="E395" s="52">
        <v>138.0</v>
      </c>
      <c r="F395" s="110"/>
      <c r="G395" s="95">
        <f t="shared" si="7"/>
        <v>0.131147541</v>
      </c>
      <c r="H395" s="96"/>
      <c r="I395" s="93"/>
      <c r="J395" s="115"/>
      <c r="K395" s="115"/>
      <c r="L395" s="174"/>
      <c r="M395" s="93"/>
      <c r="N395" s="93"/>
      <c r="O395" s="56"/>
      <c r="P395" s="56"/>
      <c r="Q395" s="56"/>
      <c r="R395" s="56"/>
      <c r="S395" s="56"/>
      <c r="T395" s="56"/>
      <c r="U395" s="56"/>
      <c r="V395" s="56"/>
    </row>
    <row r="396" ht="18.75" customHeight="1">
      <c r="A396" s="90"/>
      <c r="B396" s="175"/>
      <c r="C396" s="138"/>
      <c r="D396" s="139"/>
      <c r="E396" s="139"/>
      <c r="F396" s="110"/>
      <c r="G396" s="95"/>
      <c r="H396" s="96"/>
      <c r="I396" s="93"/>
      <c r="J396" s="115"/>
      <c r="K396" s="115"/>
      <c r="L396" s="174"/>
      <c r="M396" s="93"/>
      <c r="N396" s="93"/>
      <c r="O396" s="56"/>
      <c r="P396" s="56"/>
      <c r="Q396" s="56"/>
      <c r="R396" s="56"/>
      <c r="S396" s="56"/>
      <c r="T396" s="56"/>
      <c r="U396" s="56"/>
      <c r="V396" s="56"/>
    </row>
    <row r="397" ht="18.75" customHeight="1">
      <c r="A397" s="90"/>
      <c r="B397" s="176" t="s">
        <v>1163</v>
      </c>
      <c r="C397" s="162"/>
      <c r="D397" s="109"/>
      <c r="E397" s="130"/>
      <c r="F397" s="110"/>
      <c r="G397" s="95"/>
      <c r="H397" s="96"/>
      <c r="I397" s="93"/>
      <c r="J397" s="115"/>
      <c r="K397" s="115"/>
      <c r="L397" s="174"/>
      <c r="M397" s="93"/>
      <c r="N397" s="93"/>
      <c r="O397" s="56"/>
      <c r="P397" s="56"/>
      <c r="Q397" s="56"/>
      <c r="R397" s="56"/>
      <c r="S397" s="56"/>
      <c r="T397" s="56"/>
      <c r="U397" s="56"/>
      <c r="V397" s="56"/>
    </row>
    <row r="398" ht="18.75" customHeight="1">
      <c r="A398" s="90"/>
      <c r="B398" s="177" t="s">
        <v>1165</v>
      </c>
      <c r="C398" s="118" t="s">
        <v>1152</v>
      </c>
      <c r="D398" s="52">
        <v>132.0</v>
      </c>
      <c r="E398" s="137">
        <v>148.0</v>
      </c>
      <c r="F398" s="110"/>
      <c r="G398" s="95">
        <f t="shared" ref="G398:G514" si="8">IFERROR(DIVIDE(MINUS(E398,D398),D398),)</f>
        <v>0.1212121212</v>
      </c>
      <c r="H398" s="96"/>
      <c r="I398" s="93"/>
      <c r="J398" s="115"/>
      <c r="K398" s="115"/>
      <c r="L398" s="173"/>
      <c r="M398" s="93"/>
      <c r="N398" s="93"/>
      <c r="O398" s="56"/>
      <c r="P398" s="56"/>
      <c r="Q398" s="56"/>
      <c r="R398" s="56"/>
      <c r="S398" s="56"/>
      <c r="T398" s="56"/>
      <c r="U398" s="56"/>
      <c r="V398" s="56"/>
    </row>
    <row r="399" ht="18.75" customHeight="1">
      <c r="A399" s="90"/>
      <c r="B399" s="111" t="s">
        <v>1168</v>
      </c>
      <c r="C399" s="118" t="s">
        <v>1156</v>
      </c>
      <c r="D399" s="52">
        <v>158.0</v>
      </c>
      <c r="E399" s="52">
        <v>178.0</v>
      </c>
      <c r="F399" s="110"/>
      <c r="G399" s="95">
        <f t="shared" si="8"/>
        <v>0.1265822785</v>
      </c>
      <c r="H399" s="96"/>
      <c r="I399" s="93"/>
      <c r="J399" s="115"/>
      <c r="K399" s="115"/>
      <c r="L399" s="174"/>
      <c r="M399" s="93"/>
      <c r="N399" s="93"/>
      <c r="O399" s="56"/>
      <c r="P399" s="56"/>
      <c r="Q399" s="56"/>
      <c r="R399" s="56"/>
      <c r="S399" s="56"/>
      <c r="T399" s="56"/>
      <c r="U399" s="56"/>
      <c r="V399" s="56"/>
    </row>
    <row r="400" ht="18.75" customHeight="1">
      <c r="A400" s="90"/>
      <c r="B400" s="111" t="s">
        <v>1171</v>
      </c>
      <c r="C400" s="118" t="s">
        <v>1160</v>
      </c>
      <c r="D400" s="52">
        <v>132.0</v>
      </c>
      <c r="E400" s="52">
        <v>148.0</v>
      </c>
      <c r="F400" s="110"/>
      <c r="G400" s="95">
        <f t="shared" si="8"/>
        <v>0.1212121212</v>
      </c>
      <c r="H400" s="96"/>
      <c r="I400" s="93"/>
      <c r="J400" s="115"/>
      <c r="K400" s="115"/>
      <c r="L400" s="174"/>
      <c r="M400" s="93"/>
      <c r="N400" s="93"/>
      <c r="O400" s="56"/>
      <c r="P400" s="56"/>
      <c r="Q400" s="56"/>
      <c r="R400" s="56"/>
      <c r="S400" s="56"/>
      <c r="T400" s="56"/>
      <c r="U400" s="56"/>
      <c r="V400" s="56"/>
    </row>
    <row r="401" ht="18.75" customHeight="1">
      <c r="A401" s="90"/>
      <c r="B401" s="149"/>
      <c r="C401" s="150"/>
      <c r="D401" s="151"/>
      <c r="E401" s="109"/>
      <c r="F401" s="110"/>
      <c r="G401" s="95" t="str">
        <f t="shared" si="8"/>
        <v/>
      </c>
      <c r="H401" s="96"/>
      <c r="I401" s="93"/>
      <c r="J401" s="115"/>
      <c r="K401" s="115"/>
      <c r="L401" s="174"/>
      <c r="M401" s="93"/>
      <c r="N401" s="93"/>
      <c r="O401" s="56"/>
      <c r="P401" s="56"/>
      <c r="Q401" s="56"/>
      <c r="R401" s="56"/>
      <c r="S401" s="56"/>
      <c r="T401" s="56"/>
      <c r="U401" s="56"/>
      <c r="V401" s="56"/>
    </row>
    <row r="402" ht="18.75" customHeight="1">
      <c r="A402" s="90"/>
      <c r="B402" s="107" t="s">
        <v>1172</v>
      </c>
      <c r="C402" s="108"/>
      <c r="D402" s="143"/>
      <c r="E402" s="109"/>
      <c r="F402" s="110"/>
      <c r="G402" s="95" t="str">
        <f t="shared" si="8"/>
        <v/>
      </c>
      <c r="H402" s="96"/>
      <c r="I402" s="93"/>
      <c r="J402" s="115"/>
      <c r="K402" s="115"/>
      <c r="L402" s="174"/>
      <c r="M402" s="93"/>
      <c r="N402" s="93"/>
      <c r="O402" s="56"/>
      <c r="P402" s="56"/>
      <c r="Q402" s="56"/>
      <c r="R402" s="56"/>
      <c r="S402" s="56"/>
      <c r="T402" s="56"/>
      <c r="U402" s="56"/>
      <c r="V402" s="56"/>
    </row>
    <row r="403" ht="18.75" customHeight="1">
      <c r="A403" s="90">
        <v>1.0</v>
      </c>
      <c r="B403" s="111">
        <v>120.0</v>
      </c>
      <c r="C403" s="118" t="s">
        <v>1173</v>
      </c>
      <c r="D403" s="52">
        <v>202.0</v>
      </c>
      <c r="E403" s="52">
        <v>210.0</v>
      </c>
      <c r="F403" s="110"/>
      <c r="G403" s="95">
        <f t="shared" si="8"/>
        <v>0.0396039604</v>
      </c>
      <c r="H403" s="114"/>
      <c r="I403" s="93"/>
      <c r="J403" s="115">
        <v>90.0</v>
      </c>
      <c r="K403" s="115">
        <v>270.0</v>
      </c>
      <c r="L403" s="174"/>
      <c r="M403" s="93"/>
      <c r="N403" s="93"/>
      <c r="O403" s="56"/>
      <c r="P403" s="56"/>
      <c r="Q403" s="56"/>
      <c r="R403" s="56"/>
      <c r="S403" s="56"/>
      <c r="T403" s="56"/>
      <c r="U403" s="56"/>
      <c r="V403" s="56"/>
    </row>
    <row r="404" ht="18.75" customHeight="1">
      <c r="A404" s="90">
        <v>2.0</v>
      </c>
      <c r="B404" s="111" t="s">
        <v>1176</v>
      </c>
      <c r="C404" s="118" t="s">
        <v>1177</v>
      </c>
      <c r="D404" s="52">
        <v>191.76</v>
      </c>
      <c r="E404" s="52">
        <v>198.0</v>
      </c>
      <c r="F404" s="110"/>
      <c r="G404" s="95">
        <f t="shared" si="8"/>
        <v>0.03254067584</v>
      </c>
      <c r="H404" s="114"/>
      <c r="I404" s="93"/>
      <c r="J404" s="115">
        <v>90.0</v>
      </c>
      <c r="K404" s="115">
        <v>270.0</v>
      </c>
      <c r="L404" s="126"/>
      <c r="M404" s="93"/>
      <c r="N404" s="93"/>
      <c r="O404" s="56"/>
      <c r="P404" s="56"/>
      <c r="Q404" s="56"/>
      <c r="R404" s="56"/>
      <c r="S404" s="56"/>
      <c r="T404" s="56"/>
      <c r="U404" s="56"/>
      <c r="V404" s="56"/>
    </row>
    <row r="405" ht="18.75" customHeight="1">
      <c r="A405" s="90">
        <v>7.0</v>
      </c>
      <c r="B405" s="155" t="s">
        <v>1179</v>
      </c>
      <c r="C405" s="118" t="s">
        <v>1180</v>
      </c>
      <c r="D405" s="52">
        <v>254.0</v>
      </c>
      <c r="E405" s="52">
        <v>268.0</v>
      </c>
      <c r="F405" s="110"/>
      <c r="G405" s="95">
        <f t="shared" si="8"/>
        <v>0.05511811024</v>
      </c>
      <c r="H405" s="114"/>
      <c r="I405" s="93"/>
      <c r="J405" s="115">
        <v>60.0</v>
      </c>
      <c r="K405" s="115">
        <v>240.0</v>
      </c>
      <c r="L405" s="126"/>
      <c r="M405" s="93"/>
      <c r="N405" s="93"/>
      <c r="O405" s="56"/>
      <c r="P405" s="56"/>
      <c r="Q405" s="56"/>
      <c r="R405" s="56"/>
      <c r="S405" s="56"/>
      <c r="T405" s="56"/>
      <c r="U405" s="56"/>
      <c r="V405" s="56"/>
    </row>
    <row r="406" ht="18.75" customHeight="1">
      <c r="A406" s="90">
        <v>3.0</v>
      </c>
      <c r="B406" s="111" t="s">
        <v>1182</v>
      </c>
      <c r="C406" s="118" t="s">
        <v>1183</v>
      </c>
      <c r="D406" s="52">
        <v>202.0</v>
      </c>
      <c r="E406" s="52">
        <v>218.0</v>
      </c>
      <c r="F406" s="110"/>
      <c r="G406" s="95">
        <f t="shared" si="8"/>
        <v>0.07920792079</v>
      </c>
      <c r="H406" s="114"/>
      <c r="I406" s="93"/>
      <c r="J406" s="115">
        <v>132.0</v>
      </c>
      <c r="K406" s="115">
        <v>264.0</v>
      </c>
      <c r="L406" s="126"/>
      <c r="M406" s="93"/>
      <c r="N406" s="93"/>
      <c r="O406" s="56"/>
      <c r="P406" s="56"/>
      <c r="Q406" s="56"/>
      <c r="R406" s="56"/>
      <c r="S406" s="56"/>
      <c r="T406" s="56"/>
      <c r="U406" s="56"/>
      <c r="V406" s="56"/>
    </row>
    <row r="407" ht="18.75" customHeight="1">
      <c r="A407" s="90">
        <v>4.0</v>
      </c>
      <c r="B407" s="175" t="s">
        <v>1185</v>
      </c>
      <c r="C407" s="118" t="s">
        <v>1186</v>
      </c>
      <c r="D407" s="52">
        <v>201.96</v>
      </c>
      <c r="E407" s="52">
        <v>218.0</v>
      </c>
      <c r="F407" s="110"/>
      <c r="G407" s="95">
        <f t="shared" si="8"/>
        <v>0.07942166766</v>
      </c>
      <c r="H407" s="114"/>
      <c r="I407" s="93"/>
      <c r="J407" s="115">
        <v>60.0</v>
      </c>
      <c r="K407" s="115">
        <v>240.0</v>
      </c>
      <c r="L407" s="126"/>
      <c r="M407" s="93"/>
      <c r="N407" s="93"/>
      <c r="O407" s="56"/>
      <c r="P407" s="56"/>
      <c r="Q407" s="56"/>
      <c r="R407" s="56"/>
      <c r="S407" s="56"/>
      <c r="T407" s="56"/>
      <c r="U407" s="56"/>
      <c r="V407" s="56"/>
    </row>
    <row r="408" ht="18.75" customHeight="1">
      <c r="A408" s="90">
        <v>5.0</v>
      </c>
      <c r="B408" s="111" t="s">
        <v>1188</v>
      </c>
      <c r="C408" s="118" t="s">
        <v>1189</v>
      </c>
      <c r="D408" s="52">
        <v>193.8</v>
      </c>
      <c r="E408" s="52">
        <v>208.0</v>
      </c>
      <c r="F408" s="110"/>
      <c r="G408" s="95">
        <f t="shared" si="8"/>
        <v>0.07327141383</v>
      </c>
      <c r="H408" s="122"/>
      <c r="I408" s="93"/>
      <c r="J408" s="115">
        <v>60.0</v>
      </c>
      <c r="K408" s="115">
        <v>240.0</v>
      </c>
      <c r="L408" s="126"/>
      <c r="M408" s="93"/>
      <c r="N408" s="93"/>
      <c r="O408" s="56"/>
      <c r="P408" s="56"/>
      <c r="Q408" s="56"/>
      <c r="R408" s="56"/>
      <c r="S408" s="56"/>
      <c r="T408" s="56"/>
      <c r="U408" s="56"/>
      <c r="V408" s="56"/>
    </row>
    <row r="409" ht="18.75" customHeight="1">
      <c r="A409" s="90">
        <v>6.0</v>
      </c>
      <c r="B409" s="111" t="s">
        <v>1191</v>
      </c>
      <c r="C409" s="118" t="s">
        <v>1192</v>
      </c>
      <c r="D409" s="52">
        <v>136.0</v>
      </c>
      <c r="E409" s="52">
        <v>148.0</v>
      </c>
      <c r="F409" s="110"/>
      <c r="G409" s="95">
        <f t="shared" si="8"/>
        <v>0.08823529412</v>
      </c>
      <c r="H409" s="122"/>
      <c r="I409" s="93"/>
      <c r="J409" s="115">
        <v>90.0</v>
      </c>
      <c r="K409" s="115">
        <v>360.0</v>
      </c>
      <c r="L409" s="93"/>
      <c r="M409" s="93"/>
      <c r="N409" s="93"/>
      <c r="O409" s="56"/>
      <c r="P409" s="56"/>
      <c r="Q409" s="56"/>
      <c r="R409" s="56"/>
      <c r="S409" s="56"/>
      <c r="T409" s="56"/>
      <c r="U409" s="56"/>
      <c r="V409" s="56"/>
    </row>
    <row r="410" ht="18.75" customHeight="1">
      <c r="A410" s="90">
        <v>7.0</v>
      </c>
      <c r="B410" s="111" t="s">
        <v>1194</v>
      </c>
      <c r="C410" s="118" t="s">
        <v>1195</v>
      </c>
      <c r="D410" s="52">
        <v>132.0</v>
      </c>
      <c r="E410" s="52">
        <v>144.0</v>
      </c>
      <c r="F410" s="110"/>
      <c r="G410" s="95">
        <f t="shared" si="8"/>
        <v>0.09090909091</v>
      </c>
      <c r="H410" s="122"/>
      <c r="I410" s="93"/>
      <c r="J410" s="115">
        <v>90.0</v>
      </c>
      <c r="K410" s="115">
        <v>360.0</v>
      </c>
      <c r="L410" s="93"/>
      <c r="M410" s="93"/>
      <c r="N410" s="93"/>
      <c r="O410" s="56"/>
      <c r="P410" s="56"/>
      <c r="Q410" s="56"/>
      <c r="R410" s="56"/>
      <c r="S410" s="56"/>
      <c r="T410" s="56"/>
      <c r="U410" s="56"/>
      <c r="V410" s="56"/>
    </row>
    <row r="411" ht="18.75" customHeight="1">
      <c r="A411" s="90">
        <v>8.0</v>
      </c>
      <c r="B411" s="111" t="s">
        <v>1196</v>
      </c>
      <c r="C411" s="118" t="s">
        <v>1197</v>
      </c>
      <c r="D411" s="52">
        <v>158.0</v>
      </c>
      <c r="E411" s="52">
        <v>172.0</v>
      </c>
      <c r="F411" s="110"/>
      <c r="G411" s="95">
        <f t="shared" si="8"/>
        <v>0.08860759494</v>
      </c>
      <c r="H411" s="122"/>
      <c r="I411" s="93"/>
      <c r="J411" s="115">
        <v>108.0</v>
      </c>
      <c r="K411" s="115">
        <v>324.0</v>
      </c>
      <c r="L411" s="93"/>
      <c r="M411" s="93"/>
      <c r="N411" s="93"/>
      <c r="O411" s="56"/>
      <c r="P411" s="56"/>
      <c r="Q411" s="56"/>
      <c r="R411" s="56"/>
      <c r="S411" s="56"/>
      <c r="T411" s="56"/>
      <c r="U411" s="56"/>
      <c r="V411" s="56"/>
    </row>
    <row r="412" ht="18.75" customHeight="1">
      <c r="A412" s="90">
        <v>9.0</v>
      </c>
      <c r="B412" s="111" t="s">
        <v>1198</v>
      </c>
      <c r="C412" s="118" t="s">
        <v>1199</v>
      </c>
      <c r="D412" s="52">
        <v>152.0</v>
      </c>
      <c r="E412" s="52">
        <v>164.0</v>
      </c>
      <c r="F412" s="110"/>
      <c r="G412" s="95">
        <f t="shared" si="8"/>
        <v>0.07894736842</v>
      </c>
      <c r="H412" s="122"/>
      <c r="I412" s="93"/>
      <c r="J412" s="115">
        <v>108.0</v>
      </c>
      <c r="K412" s="115">
        <v>324.0</v>
      </c>
      <c r="L412" s="93"/>
      <c r="M412" s="93"/>
      <c r="N412" s="93"/>
      <c r="O412" s="56"/>
      <c r="P412" s="56"/>
      <c r="Q412" s="56"/>
      <c r="R412" s="56"/>
      <c r="S412" s="56"/>
      <c r="T412" s="56"/>
      <c r="U412" s="56"/>
      <c r="V412" s="56"/>
    </row>
    <row r="413" ht="18.75" customHeight="1">
      <c r="A413" s="90">
        <v>10.0</v>
      </c>
      <c r="B413" s="111" t="s">
        <v>1200</v>
      </c>
      <c r="C413" s="118" t="s">
        <v>1201</v>
      </c>
      <c r="D413" s="52">
        <v>212.16</v>
      </c>
      <c r="E413" s="52">
        <v>228.0</v>
      </c>
      <c r="F413" s="110"/>
      <c r="G413" s="95">
        <f t="shared" si="8"/>
        <v>0.07466063348</v>
      </c>
      <c r="H413" s="122"/>
      <c r="I413" s="93"/>
      <c r="J413" s="115">
        <v>54.0</v>
      </c>
      <c r="K413" s="115">
        <v>216.0</v>
      </c>
      <c r="L413" s="93"/>
      <c r="M413" s="93"/>
      <c r="N413" s="93"/>
      <c r="O413" s="56"/>
      <c r="P413" s="56"/>
      <c r="Q413" s="56"/>
      <c r="R413" s="56"/>
      <c r="S413" s="56"/>
      <c r="T413" s="56"/>
      <c r="U413" s="56"/>
      <c r="V413" s="56"/>
    </row>
    <row r="414" ht="18.75" customHeight="1">
      <c r="A414" s="90">
        <v>11.0</v>
      </c>
      <c r="B414" s="111" t="s">
        <v>1204</v>
      </c>
      <c r="C414" s="118" t="s">
        <v>1205</v>
      </c>
      <c r="D414" s="52">
        <v>204.0</v>
      </c>
      <c r="E414" s="52">
        <v>222.0</v>
      </c>
      <c r="F414" s="110"/>
      <c r="G414" s="95">
        <f t="shared" si="8"/>
        <v>0.08823529412</v>
      </c>
      <c r="H414" s="122"/>
      <c r="I414" s="93"/>
      <c r="J414" s="115">
        <v>54.0</v>
      </c>
      <c r="K414" s="115">
        <v>216.0</v>
      </c>
      <c r="L414" s="93"/>
      <c r="M414" s="93"/>
      <c r="N414" s="93"/>
      <c r="O414" s="56"/>
      <c r="P414" s="56"/>
      <c r="Q414" s="56"/>
      <c r="R414" s="56"/>
      <c r="S414" s="56"/>
      <c r="T414" s="56"/>
      <c r="U414" s="56"/>
      <c r="V414" s="56"/>
    </row>
    <row r="415" ht="18.75" customHeight="1">
      <c r="A415" s="90">
        <v>12.0</v>
      </c>
      <c r="B415" s="111" t="s">
        <v>1206</v>
      </c>
      <c r="C415" s="118" t="s">
        <v>1207</v>
      </c>
      <c r="D415" s="52">
        <v>228.48</v>
      </c>
      <c r="E415" s="52">
        <v>248.0</v>
      </c>
      <c r="F415" s="110"/>
      <c r="G415" s="95">
        <f t="shared" si="8"/>
        <v>0.08543417367</v>
      </c>
      <c r="H415" s="122"/>
      <c r="I415" s="93"/>
      <c r="J415" s="115">
        <v>60.0</v>
      </c>
      <c r="K415" s="115">
        <v>240.0</v>
      </c>
      <c r="L415" s="93"/>
      <c r="M415" s="93"/>
      <c r="N415" s="93"/>
      <c r="O415" s="56"/>
      <c r="P415" s="56"/>
      <c r="Q415" s="56"/>
      <c r="R415" s="56"/>
      <c r="S415" s="56"/>
      <c r="T415" s="56"/>
      <c r="U415" s="56"/>
      <c r="V415" s="56"/>
    </row>
    <row r="416" ht="18.75" customHeight="1">
      <c r="A416" s="90">
        <v>13.0</v>
      </c>
      <c r="B416" s="111" t="s">
        <v>1210</v>
      </c>
      <c r="C416" s="118" t="s">
        <v>1211</v>
      </c>
      <c r="D416" s="52">
        <v>228.48</v>
      </c>
      <c r="E416" s="52">
        <v>248.0</v>
      </c>
      <c r="F416" s="110"/>
      <c r="G416" s="95">
        <f t="shared" si="8"/>
        <v>0.08543417367</v>
      </c>
      <c r="H416" s="122"/>
      <c r="I416" s="93"/>
      <c r="J416" s="115">
        <v>60.0</v>
      </c>
      <c r="K416" s="115">
        <v>240.0</v>
      </c>
      <c r="L416" s="93"/>
      <c r="M416" s="93"/>
      <c r="N416" s="93"/>
      <c r="O416" s="56"/>
      <c r="P416" s="56"/>
      <c r="Q416" s="56"/>
      <c r="R416" s="56"/>
      <c r="S416" s="56"/>
      <c r="T416" s="56"/>
      <c r="U416" s="56"/>
      <c r="V416" s="56"/>
    </row>
    <row r="417" ht="18.75" customHeight="1">
      <c r="A417" s="90">
        <v>14.0</v>
      </c>
      <c r="B417" s="123" t="s">
        <v>1212</v>
      </c>
      <c r="C417" s="118" t="s">
        <v>1213</v>
      </c>
      <c r="D417" s="52">
        <v>228.48</v>
      </c>
      <c r="E417" s="52">
        <v>248.0</v>
      </c>
      <c r="F417" s="110"/>
      <c r="G417" s="95">
        <f t="shared" si="8"/>
        <v>0.08543417367</v>
      </c>
      <c r="H417" s="122"/>
      <c r="I417" s="93"/>
      <c r="J417" s="115">
        <v>60.0</v>
      </c>
      <c r="K417" s="115">
        <v>180.0</v>
      </c>
      <c r="L417" s="93"/>
      <c r="M417" s="93"/>
      <c r="N417" s="93"/>
      <c r="O417" s="56"/>
      <c r="P417" s="56"/>
      <c r="Q417" s="56"/>
      <c r="R417" s="56"/>
      <c r="S417" s="56"/>
      <c r="T417" s="56"/>
      <c r="U417" s="56"/>
      <c r="V417" s="56"/>
    </row>
    <row r="418" ht="18.75" customHeight="1">
      <c r="A418" s="90"/>
      <c r="B418" s="175" t="s">
        <v>1216</v>
      </c>
      <c r="C418" s="118" t="s">
        <v>1217</v>
      </c>
      <c r="D418" s="52">
        <v>201.96</v>
      </c>
      <c r="E418" s="52">
        <v>218.0</v>
      </c>
      <c r="F418" s="110"/>
      <c r="G418" s="95">
        <f t="shared" si="8"/>
        <v>0.07942166766</v>
      </c>
      <c r="H418" s="122"/>
      <c r="I418" s="93"/>
      <c r="J418" s="115"/>
      <c r="K418" s="115"/>
      <c r="L418" s="93"/>
      <c r="M418" s="93"/>
      <c r="N418" s="93"/>
      <c r="O418" s="56"/>
      <c r="P418" s="56"/>
      <c r="Q418" s="56"/>
      <c r="R418" s="56"/>
      <c r="S418" s="56"/>
      <c r="T418" s="56"/>
      <c r="U418" s="56"/>
      <c r="V418" s="56"/>
    </row>
    <row r="419" ht="18.75" customHeight="1">
      <c r="A419" s="90"/>
      <c r="B419" s="175" t="s">
        <v>1218</v>
      </c>
      <c r="C419" s="118" t="s">
        <v>1219</v>
      </c>
      <c r="D419" s="52">
        <v>193.8</v>
      </c>
      <c r="E419" s="52">
        <v>208.0</v>
      </c>
      <c r="F419" s="110"/>
      <c r="G419" s="95">
        <f t="shared" si="8"/>
        <v>0.07327141383</v>
      </c>
      <c r="H419" s="122"/>
      <c r="I419" s="93"/>
      <c r="J419" s="115"/>
      <c r="K419" s="115"/>
      <c r="L419" s="93"/>
      <c r="M419" s="93"/>
      <c r="N419" s="93"/>
      <c r="O419" s="56"/>
      <c r="P419" s="56"/>
      <c r="Q419" s="56"/>
      <c r="R419" s="56"/>
      <c r="S419" s="56"/>
      <c r="T419" s="56"/>
      <c r="U419" s="56"/>
      <c r="V419" s="56"/>
    </row>
    <row r="420" ht="18.75" customHeight="1">
      <c r="A420" s="90"/>
      <c r="B420" s="175" t="s">
        <v>1222</v>
      </c>
      <c r="C420" s="118" t="s">
        <v>1217</v>
      </c>
      <c r="D420" s="52">
        <v>181.56</v>
      </c>
      <c r="E420" s="52">
        <v>196.0</v>
      </c>
      <c r="F420" s="110"/>
      <c r="G420" s="95">
        <f t="shared" si="8"/>
        <v>0.07953293677</v>
      </c>
      <c r="H420" s="122"/>
      <c r="I420" s="93"/>
      <c r="J420" s="115"/>
      <c r="K420" s="115"/>
      <c r="L420" s="93"/>
      <c r="M420" s="93"/>
      <c r="N420" s="93"/>
      <c r="O420" s="56"/>
      <c r="P420" s="56"/>
      <c r="Q420" s="56"/>
      <c r="R420" s="56"/>
      <c r="S420" s="56"/>
      <c r="T420" s="56"/>
      <c r="U420" s="56"/>
      <c r="V420" s="56"/>
    </row>
    <row r="421" ht="18.75" customHeight="1">
      <c r="A421" s="90"/>
      <c r="B421" s="175" t="s">
        <v>1224</v>
      </c>
      <c r="C421" s="118" t="s">
        <v>1219</v>
      </c>
      <c r="D421" s="52">
        <v>174.0</v>
      </c>
      <c r="E421" s="52">
        <v>188.0</v>
      </c>
      <c r="F421" s="110"/>
      <c r="G421" s="95">
        <f t="shared" si="8"/>
        <v>0.08045977011</v>
      </c>
      <c r="H421" s="122"/>
      <c r="I421" s="93"/>
      <c r="J421" s="115"/>
      <c r="K421" s="115"/>
      <c r="L421" s="93"/>
      <c r="M421" s="93"/>
      <c r="N421" s="93"/>
      <c r="O421" s="56"/>
      <c r="P421" s="56"/>
      <c r="Q421" s="56"/>
      <c r="R421" s="56"/>
      <c r="S421" s="56"/>
      <c r="T421" s="56"/>
      <c r="U421" s="56"/>
      <c r="V421" s="56"/>
    </row>
    <row r="422" ht="18.75" customHeight="1">
      <c r="A422" s="90"/>
      <c r="B422" s="149"/>
      <c r="C422" s="150"/>
      <c r="D422" s="151"/>
      <c r="E422" s="109"/>
      <c r="F422" s="110"/>
      <c r="G422" s="95" t="str">
        <f t="shared" si="8"/>
        <v/>
      </c>
      <c r="H422" s="96"/>
      <c r="I422" s="93"/>
      <c r="J422" s="115"/>
      <c r="K422" s="115"/>
      <c r="L422" s="93"/>
      <c r="M422" s="93"/>
      <c r="N422" s="93"/>
      <c r="O422" s="56"/>
      <c r="P422" s="56"/>
      <c r="Q422" s="56"/>
      <c r="R422" s="56"/>
      <c r="S422" s="56"/>
      <c r="T422" s="56"/>
      <c r="U422" s="56"/>
      <c r="V422" s="56"/>
    </row>
    <row r="423" ht="18.75" customHeight="1">
      <c r="A423" s="90"/>
      <c r="B423" s="107" t="s">
        <v>1227</v>
      </c>
      <c r="C423" s="108"/>
      <c r="D423" s="109"/>
      <c r="E423" s="109"/>
      <c r="F423" s="110"/>
      <c r="G423" s="95" t="str">
        <f t="shared" si="8"/>
        <v/>
      </c>
      <c r="H423" s="96"/>
      <c r="I423" s="93"/>
      <c r="J423" s="115"/>
      <c r="K423" s="115"/>
      <c r="L423" s="93"/>
      <c r="M423" s="93"/>
      <c r="N423" s="93"/>
      <c r="O423" s="56"/>
      <c r="P423" s="56"/>
      <c r="Q423" s="56"/>
      <c r="R423" s="56"/>
      <c r="S423" s="56"/>
      <c r="T423" s="56"/>
      <c r="U423" s="56"/>
      <c r="V423" s="56"/>
    </row>
    <row r="424" ht="18.75" customHeight="1">
      <c r="A424" s="90">
        <v>1.0</v>
      </c>
      <c r="B424" s="111">
        <v>136.0</v>
      </c>
      <c r="C424" s="112" t="s">
        <v>1229</v>
      </c>
      <c r="D424" s="52">
        <v>191.76</v>
      </c>
      <c r="E424" s="52">
        <v>208.0</v>
      </c>
      <c r="F424" s="110"/>
      <c r="G424" s="95">
        <f t="shared" si="8"/>
        <v>0.08468919483</v>
      </c>
      <c r="H424" s="122"/>
      <c r="I424" s="93"/>
      <c r="J424" s="115">
        <v>208.0</v>
      </c>
      <c r="K424" s="115">
        <v>416.0</v>
      </c>
      <c r="L424" s="93"/>
      <c r="M424" s="93"/>
      <c r="N424" s="93"/>
      <c r="O424" s="56"/>
      <c r="P424" s="56"/>
      <c r="Q424" s="56"/>
      <c r="R424" s="56"/>
      <c r="S424" s="56"/>
      <c r="T424" s="56"/>
      <c r="U424" s="56"/>
      <c r="V424" s="56"/>
    </row>
    <row r="425" ht="18.75" customHeight="1">
      <c r="A425" s="90"/>
      <c r="B425" s="111" t="s">
        <v>1232</v>
      </c>
      <c r="C425" s="112" t="s">
        <v>1233</v>
      </c>
      <c r="D425" s="52">
        <v>96.0</v>
      </c>
      <c r="E425" s="52">
        <v>104.0</v>
      </c>
      <c r="F425" s="110"/>
      <c r="G425" s="95">
        <f t="shared" si="8"/>
        <v>0.08333333333</v>
      </c>
      <c r="H425" s="122"/>
      <c r="I425" s="93"/>
      <c r="J425" s="115"/>
      <c r="K425" s="115"/>
      <c r="L425" s="93"/>
      <c r="M425" s="93"/>
      <c r="N425" s="93"/>
      <c r="O425" s="56"/>
      <c r="P425" s="56"/>
      <c r="Q425" s="56"/>
      <c r="R425" s="56"/>
      <c r="S425" s="56"/>
      <c r="T425" s="56"/>
      <c r="U425" s="56"/>
      <c r="V425" s="56"/>
    </row>
    <row r="426" ht="18.75" customHeight="1">
      <c r="A426" s="90">
        <v>2.0</v>
      </c>
      <c r="B426" s="111">
        <v>137.0</v>
      </c>
      <c r="C426" s="118" t="s">
        <v>1234</v>
      </c>
      <c r="D426" s="52">
        <v>34.0</v>
      </c>
      <c r="E426" s="52">
        <v>38.0</v>
      </c>
      <c r="F426" s="110"/>
      <c r="G426" s="95">
        <f t="shared" si="8"/>
        <v>0.1176470588</v>
      </c>
      <c r="H426" s="122"/>
      <c r="I426" s="93"/>
      <c r="J426" s="115">
        <v>1000.0</v>
      </c>
      <c r="K426" s="115">
        <v>1000.0</v>
      </c>
      <c r="L426" s="93"/>
      <c r="M426" s="93"/>
      <c r="N426" s="93"/>
      <c r="O426" s="56"/>
      <c r="P426" s="56"/>
      <c r="Q426" s="56"/>
      <c r="R426" s="56"/>
      <c r="S426" s="56"/>
      <c r="T426" s="56"/>
      <c r="U426" s="56"/>
      <c r="V426" s="56"/>
    </row>
    <row r="427" ht="18.75" customHeight="1">
      <c r="A427" s="90">
        <v>3.0</v>
      </c>
      <c r="B427" s="111">
        <v>138.0</v>
      </c>
      <c r="C427" s="118" t="s">
        <v>1237</v>
      </c>
      <c r="D427" s="52">
        <v>224.0</v>
      </c>
      <c r="E427" s="52">
        <v>242.0</v>
      </c>
      <c r="F427" s="110"/>
      <c r="G427" s="95">
        <f t="shared" si="8"/>
        <v>0.08035714286</v>
      </c>
      <c r="H427" s="122"/>
      <c r="I427" s="93"/>
      <c r="J427" s="115">
        <v>208.0</v>
      </c>
      <c r="K427" s="115">
        <v>416.0</v>
      </c>
      <c r="L427" s="93"/>
      <c r="M427" s="93"/>
      <c r="N427" s="93"/>
      <c r="O427" s="56"/>
      <c r="P427" s="56"/>
      <c r="Q427" s="56"/>
      <c r="R427" s="56"/>
      <c r="S427" s="56"/>
      <c r="T427" s="56"/>
      <c r="U427" s="56"/>
      <c r="V427" s="56"/>
    </row>
    <row r="428" ht="18.75" customHeight="1">
      <c r="A428" s="90">
        <v>4.0</v>
      </c>
      <c r="B428" s="111">
        <v>139.0</v>
      </c>
      <c r="C428" s="118" t="s">
        <v>1239</v>
      </c>
      <c r="D428" s="52">
        <v>167.60639999999998</v>
      </c>
      <c r="E428" s="52">
        <v>182.0</v>
      </c>
      <c r="F428" s="110"/>
      <c r="G428" s="95">
        <f t="shared" si="8"/>
        <v>0.08587738893</v>
      </c>
      <c r="H428" s="122"/>
      <c r="I428" s="93"/>
      <c r="J428" s="115">
        <v>320.0</v>
      </c>
      <c r="K428" s="115">
        <v>640.0</v>
      </c>
      <c r="L428" s="93"/>
      <c r="M428" s="93"/>
      <c r="N428" s="93"/>
      <c r="O428" s="56"/>
      <c r="P428" s="56"/>
      <c r="Q428" s="56"/>
      <c r="R428" s="56"/>
      <c r="S428" s="56"/>
      <c r="T428" s="56"/>
      <c r="U428" s="56"/>
      <c r="V428" s="56"/>
    </row>
    <row r="429" ht="18.75" customHeight="1">
      <c r="A429" s="90">
        <v>5.0</v>
      </c>
      <c r="B429" s="111" t="s">
        <v>1241</v>
      </c>
      <c r="C429" s="118" t="s">
        <v>1242</v>
      </c>
      <c r="D429" s="52">
        <v>187.68</v>
      </c>
      <c r="E429" s="52">
        <v>204.0</v>
      </c>
      <c r="F429" s="110"/>
      <c r="G429" s="95">
        <f t="shared" si="8"/>
        <v>0.08695652174</v>
      </c>
      <c r="H429" s="122"/>
      <c r="I429" s="93"/>
      <c r="J429" s="115">
        <v>180.0</v>
      </c>
      <c r="K429" s="115">
        <v>540.0</v>
      </c>
      <c r="L429" s="93"/>
      <c r="M429" s="93"/>
      <c r="N429" s="93"/>
      <c r="O429" s="56"/>
      <c r="P429" s="56"/>
      <c r="Q429" s="56"/>
      <c r="R429" s="56"/>
      <c r="S429" s="56"/>
      <c r="T429" s="56"/>
      <c r="U429" s="56"/>
      <c r="V429" s="56"/>
    </row>
    <row r="430" ht="18.75" customHeight="1">
      <c r="A430" s="90">
        <v>6.0</v>
      </c>
      <c r="B430" s="111">
        <v>1391.0</v>
      </c>
      <c r="C430" s="118" t="s">
        <v>1244</v>
      </c>
      <c r="D430" s="52">
        <v>176.0</v>
      </c>
      <c r="E430" s="52">
        <v>188.0</v>
      </c>
      <c r="F430" s="110"/>
      <c r="G430" s="95">
        <f t="shared" si="8"/>
        <v>0.06818181818</v>
      </c>
      <c r="H430" s="122"/>
      <c r="I430" s="93"/>
      <c r="J430" s="115">
        <v>192.0</v>
      </c>
      <c r="K430" s="115">
        <v>576.0</v>
      </c>
      <c r="L430" s="93"/>
      <c r="M430" s="93"/>
      <c r="N430" s="93"/>
      <c r="O430" s="56"/>
      <c r="P430" s="56"/>
      <c r="Q430" s="56"/>
      <c r="R430" s="56"/>
      <c r="S430" s="56"/>
      <c r="T430" s="56"/>
      <c r="U430" s="56"/>
      <c r="V430" s="56"/>
    </row>
    <row r="431" ht="18.75" customHeight="1">
      <c r="A431" s="90">
        <v>7.0</v>
      </c>
      <c r="B431" s="111" t="s">
        <v>1246</v>
      </c>
      <c r="C431" s="118" t="s">
        <v>1247</v>
      </c>
      <c r="D431" s="52">
        <v>195.84</v>
      </c>
      <c r="E431" s="52">
        <v>212.0</v>
      </c>
      <c r="F431" s="110"/>
      <c r="G431" s="95">
        <f t="shared" si="8"/>
        <v>0.08251633987</v>
      </c>
      <c r="H431" s="122"/>
      <c r="I431" s="93"/>
      <c r="J431" s="115">
        <v>180.0</v>
      </c>
      <c r="K431" s="115">
        <v>540.0</v>
      </c>
      <c r="L431" s="93"/>
      <c r="M431" s="93"/>
      <c r="N431" s="93"/>
      <c r="O431" s="56"/>
      <c r="P431" s="56"/>
      <c r="Q431" s="56"/>
      <c r="R431" s="56"/>
      <c r="S431" s="56"/>
      <c r="T431" s="56"/>
      <c r="U431" s="56"/>
      <c r="V431" s="56"/>
    </row>
    <row r="432" ht="18.75" customHeight="1">
      <c r="A432" s="90">
        <v>8.0</v>
      </c>
      <c r="B432" s="123">
        <v>140.0</v>
      </c>
      <c r="C432" s="124" t="s">
        <v>1249</v>
      </c>
      <c r="D432" s="125">
        <v>176.0</v>
      </c>
      <c r="E432" s="52">
        <v>188.0</v>
      </c>
      <c r="F432" s="110"/>
      <c r="G432" s="95">
        <f t="shared" si="8"/>
        <v>0.06818181818</v>
      </c>
      <c r="H432" s="122"/>
      <c r="I432" s="93"/>
      <c r="J432" s="115">
        <v>192.0</v>
      </c>
      <c r="K432" s="115">
        <v>576.0</v>
      </c>
      <c r="L432" s="93"/>
      <c r="M432" s="93"/>
      <c r="N432" s="93"/>
      <c r="O432" s="56"/>
      <c r="P432" s="56"/>
      <c r="Q432" s="56"/>
      <c r="R432" s="56"/>
      <c r="S432" s="56"/>
      <c r="T432" s="56"/>
      <c r="U432" s="56"/>
      <c r="V432" s="56"/>
    </row>
    <row r="433" ht="18.75" customHeight="1">
      <c r="A433" s="90"/>
      <c r="B433" s="149"/>
      <c r="C433" s="150"/>
      <c r="D433" s="151"/>
      <c r="E433" s="109"/>
      <c r="F433" s="110"/>
      <c r="G433" s="95" t="str">
        <f t="shared" si="8"/>
        <v/>
      </c>
      <c r="H433" s="96"/>
      <c r="I433" s="93"/>
      <c r="J433" s="115"/>
      <c r="K433" s="115"/>
      <c r="L433" s="93"/>
      <c r="M433" s="93"/>
      <c r="N433" s="93"/>
      <c r="O433" s="56"/>
      <c r="P433" s="56"/>
      <c r="Q433" s="56"/>
      <c r="R433" s="56"/>
      <c r="S433" s="56"/>
      <c r="T433" s="56"/>
      <c r="U433" s="56"/>
      <c r="V433" s="56"/>
    </row>
    <row r="434" ht="18.75" customHeight="1">
      <c r="A434" s="90"/>
      <c r="B434" s="179" t="s">
        <v>1252</v>
      </c>
      <c r="C434" s="180"/>
      <c r="D434" s="132"/>
      <c r="E434" s="109"/>
      <c r="F434" s="110"/>
      <c r="G434" s="95" t="str">
        <f t="shared" si="8"/>
        <v/>
      </c>
      <c r="H434" s="96"/>
      <c r="I434" s="93"/>
      <c r="J434" s="115"/>
      <c r="K434" s="115"/>
      <c r="L434" s="93"/>
      <c r="M434" s="93"/>
      <c r="N434" s="93"/>
      <c r="O434" s="56"/>
      <c r="P434" s="56"/>
      <c r="Q434" s="56"/>
      <c r="R434" s="56"/>
      <c r="S434" s="56"/>
      <c r="T434" s="56"/>
      <c r="U434" s="56"/>
      <c r="V434" s="56"/>
    </row>
    <row r="435" ht="18.75" customHeight="1">
      <c r="A435" s="90"/>
      <c r="B435" s="91"/>
      <c r="C435" s="129"/>
      <c r="D435" s="132"/>
      <c r="E435" s="109"/>
      <c r="F435" s="110"/>
      <c r="G435" s="95" t="str">
        <f t="shared" si="8"/>
        <v/>
      </c>
      <c r="H435" s="96"/>
      <c r="I435" s="93"/>
      <c r="J435" s="115"/>
      <c r="K435" s="115"/>
      <c r="L435" s="93"/>
      <c r="M435" s="93"/>
      <c r="N435" s="93"/>
      <c r="O435" s="56"/>
      <c r="P435" s="56"/>
      <c r="Q435" s="56"/>
      <c r="R435" s="56"/>
      <c r="S435" s="56"/>
      <c r="T435" s="56"/>
      <c r="U435" s="56"/>
      <c r="V435" s="56"/>
    </row>
    <row r="436" ht="18.75" customHeight="1">
      <c r="A436" s="90"/>
      <c r="B436" s="107" t="s">
        <v>1256</v>
      </c>
      <c r="C436" s="108"/>
      <c r="D436" s="109"/>
      <c r="E436" s="181"/>
      <c r="F436" s="110"/>
      <c r="G436" s="95" t="str">
        <f t="shared" si="8"/>
        <v/>
      </c>
      <c r="H436" s="146"/>
      <c r="I436" s="20"/>
      <c r="J436" s="115"/>
      <c r="K436" s="115"/>
      <c r="L436" s="93"/>
      <c r="M436" s="93"/>
      <c r="N436" s="93"/>
      <c r="O436" s="56"/>
      <c r="P436" s="56"/>
      <c r="Q436" s="56"/>
      <c r="R436" s="56"/>
      <c r="S436" s="56"/>
      <c r="T436" s="56"/>
      <c r="U436" s="56"/>
      <c r="V436" s="56"/>
    </row>
    <row r="437" ht="18.75" customHeight="1">
      <c r="A437" s="90">
        <v>1.0</v>
      </c>
      <c r="B437" s="111" t="s">
        <v>1259</v>
      </c>
      <c r="C437" s="177" t="s">
        <v>1260</v>
      </c>
      <c r="D437" s="52">
        <v>466.0</v>
      </c>
      <c r="E437" s="52">
        <v>504.0</v>
      </c>
      <c r="F437" s="110"/>
      <c r="G437" s="95">
        <f t="shared" si="8"/>
        <v>0.08154506438</v>
      </c>
      <c r="H437" s="114"/>
      <c r="I437" s="20"/>
      <c r="J437" s="115">
        <v>33.0</v>
      </c>
      <c r="K437" s="115">
        <v>132.0</v>
      </c>
      <c r="L437" s="93"/>
      <c r="M437" s="93"/>
      <c r="N437" s="93"/>
      <c r="O437" s="56"/>
      <c r="P437" s="56"/>
      <c r="Q437" s="56"/>
      <c r="R437" s="56"/>
      <c r="S437" s="56"/>
      <c r="T437" s="56"/>
      <c r="U437" s="56"/>
      <c r="V437" s="56"/>
    </row>
    <row r="438" ht="18.75" customHeight="1">
      <c r="A438" s="90">
        <v>2.0</v>
      </c>
      <c r="B438" s="111" t="s">
        <v>1261</v>
      </c>
      <c r="C438" s="118" t="s">
        <v>339</v>
      </c>
      <c r="D438" s="52">
        <v>572.0</v>
      </c>
      <c r="E438" s="52">
        <v>618.0</v>
      </c>
      <c r="F438" s="110"/>
      <c r="G438" s="95">
        <f t="shared" si="8"/>
        <v>0.08041958042</v>
      </c>
      <c r="H438" s="114"/>
      <c r="I438" s="20"/>
      <c r="J438" s="120">
        <v>33.0</v>
      </c>
      <c r="K438" s="120">
        <v>99.0</v>
      </c>
      <c r="L438" s="93"/>
      <c r="M438" s="93"/>
      <c r="N438" s="93"/>
      <c r="O438" s="56"/>
      <c r="P438" s="56"/>
      <c r="Q438" s="56"/>
      <c r="R438" s="56"/>
      <c r="S438" s="56"/>
      <c r="T438" s="56"/>
      <c r="U438" s="56"/>
      <c r="V438" s="56"/>
    </row>
    <row r="439" ht="18.75" customHeight="1">
      <c r="A439" s="90">
        <v>3.0</v>
      </c>
      <c r="B439" s="111" t="s">
        <v>1262</v>
      </c>
      <c r="C439" s="118" t="s">
        <v>363</v>
      </c>
      <c r="D439" s="52">
        <v>485.8464</v>
      </c>
      <c r="E439" s="52">
        <v>526.0</v>
      </c>
      <c r="F439" s="110"/>
      <c r="G439" s="95">
        <f t="shared" si="8"/>
        <v>0.08264669657</v>
      </c>
      <c r="H439" s="114"/>
      <c r="I439" s="20"/>
      <c r="J439" s="120">
        <v>33.0</v>
      </c>
      <c r="K439" s="120">
        <v>132.0</v>
      </c>
      <c r="L439" s="93"/>
      <c r="M439" s="93"/>
      <c r="N439" s="93"/>
      <c r="O439" s="56"/>
      <c r="P439" s="56"/>
      <c r="Q439" s="56"/>
      <c r="R439" s="56"/>
      <c r="S439" s="56"/>
      <c r="T439" s="56"/>
      <c r="U439" s="56"/>
      <c r="V439" s="56"/>
    </row>
    <row r="440" ht="18.75" customHeight="1">
      <c r="A440" s="90">
        <v>4.0</v>
      </c>
      <c r="B440" s="111" t="s">
        <v>1264</v>
      </c>
      <c r="C440" s="184" t="s">
        <v>382</v>
      </c>
      <c r="D440" s="52">
        <v>876.0</v>
      </c>
      <c r="E440" s="52">
        <v>946.0</v>
      </c>
      <c r="F440" s="110"/>
      <c r="G440" s="95">
        <f t="shared" si="8"/>
        <v>0.0799086758</v>
      </c>
      <c r="H440" s="114"/>
      <c r="I440" s="20"/>
      <c r="J440" s="115">
        <v>24.0</v>
      </c>
      <c r="K440" s="115">
        <v>48.0</v>
      </c>
      <c r="L440" s="93"/>
      <c r="M440" s="93"/>
      <c r="N440" s="93"/>
      <c r="O440" s="56"/>
      <c r="P440" s="56"/>
      <c r="Q440" s="56"/>
      <c r="R440" s="56"/>
      <c r="S440" s="56"/>
      <c r="T440" s="56"/>
      <c r="U440" s="56"/>
      <c r="V440" s="56"/>
    </row>
    <row r="441" ht="18.75" customHeight="1">
      <c r="A441" s="90">
        <v>5.0</v>
      </c>
      <c r="B441" s="111" t="s">
        <v>1265</v>
      </c>
      <c r="C441" s="184" t="s">
        <v>399</v>
      </c>
      <c r="D441" s="52">
        <v>628.32</v>
      </c>
      <c r="E441" s="52">
        <v>678.0</v>
      </c>
      <c r="F441" s="110"/>
      <c r="G441" s="95">
        <f t="shared" si="8"/>
        <v>0.07906799083</v>
      </c>
      <c r="H441" s="114"/>
      <c r="I441" s="20"/>
      <c r="J441" s="115">
        <v>30.0</v>
      </c>
      <c r="K441" s="115">
        <v>90.0</v>
      </c>
      <c r="L441" s="93"/>
      <c r="M441" s="93"/>
      <c r="N441" s="93"/>
      <c r="O441" s="56"/>
      <c r="P441" s="56"/>
      <c r="Q441" s="56"/>
      <c r="R441" s="56"/>
      <c r="S441" s="56"/>
      <c r="T441" s="56"/>
      <c r="U441" s="56"/>
      <c r="V441" s="56"/>
    </row>
    <row r="442" ht="18.75" customHeight="1">
      <c r="A442" s="90"/>
      <c r="B442" s="111" t="s">
        <v>1225</v>
      </c>
      <c r="C442" s="111" t="s">
        <v>696</v>
      </c>
      <c r="D442" s="52">
        <v>734.4</v>
      </c>
      <c r="E442" s="52">
        <v>794.0</v>
      </c>
      <c r="F442" s="110"/>
      <c r="G442" s="95">
        <f t="shared" si="8"/>
        <v>0.0811546841</v>
      </c>
      <c r="H442" s="114"/>
      <c r="I442" s="20"/>
      <c r="J442" s="115"/>
      <c r="K442" s="115"/>
      <c r="L442" s="93"/>
      <c r="M442" s="93"/>
      <c r="N442" s="93"/>
      <c r="O442" s="56"/>
      <c r="P442" s="56"/>
      <c r="Q442" s="56"/>
      <c r="R442" s="56"/>
      <c r="S442" s="56"/>
      <c r="T442" s="56"/>
      <c r="U442" s="56"/>
      <c r="V442" s="56"/>
    </row>
    <row r="443" ht="18.75" customHeight="1">
      <c r="A443" s="90">
        <v>6.0</v>
      </c>
      <c r="B443" s="111" t="s">
        <v>1266</v>
      </c>
      <c r="C443" s="184" t="s">
        <v>419</v>
      </c>
      <c r="D443" s="52">
        <v>941.9904</v>
      </c>
      <c r="E443" s="52">
        <v>1018.0</v>
      </c>
      <c r="F443" s="110"/>
      <c r="G443" s="95">
        <f t="shared" si="8"/>
        <v>0.08069041893</v>
      </c>
      <c r="H443" s="114"/>
      <c r="I443" s="20"/>
      <c r="J443" s="115">
        <v>13.0</v>
      </c>
      <c r="K443" s="115">
        <v>52.0</v>
      </c>
      <c r="L443" s="93"/>
      <c r="M443" s="93"/>
      <c r="N443" s="93"/>
      <c r="O443" s="56"/>
      <c r="P443" s="56"/>
      <c r="Q443" s="56"/>
      <c r="R443" s="56"/>
      <c r="S443" s="56"/>
      <c r="T443" s="56"/>
      <c r="U443" s="56"/>
      <c r="V443" s="56"/>
    </row>
    <row r="444" ht="18.75" customHeight="1">
      <c r="A444" s="90">
        <v>7.0</v>
      </c>
      <c r="B444" s="111" t="s">
        <v>1268</v>
      </c>
      <c r="C444" s="184" t="s">
        <v>1269</v>
      </c>
      <c r="D444" s="52">
        <v>898.0</v>
      </c>
      <c r="E444" s="52">
        <v>968.0</v>
      </c>
      <c r="F444" s="110"/>
      <c r="G444" s="95">
        <f t="shared" si="8"/>
        <v>0.07795100223</v>
      </c>
      <c r="H444" s="114"/>
      <c r="I444" s="20"/>
      <c r="J444" s="115">
        <v>30.0</v>
      </c>
      <c r="K444" s="115">
        <v>120.0</v>
      </c>
      <c r="L444" s="93"/>
      <c r="M444" s="93"/>
      <c r="N444" s="93"/>
      <c r="O444" s="56"/>
      <c r="P444" s="56"/>
      <c r="Q444" s="56"/>
      <c r="R444" s="56"/>
      <c r="S444" s="56"/>
      <c r="T444" s="56"/>
      <c r="U444" s="56"/>
      <c r="V444" s="56"/>
    </row>
    <row r="445" ht="18.75" customHeight="1">
      <c r="A445" s="90">
        <v>8.0</v>
      </c>
      <c r="B445" s="111" t="s">
        <v>1270</v>
      </c>
      <c r="C445" s="184" t="s">
        <v>1271</v>
      </c>
      <c r="D445" s="52">
        <v>941.9904</v>
      </c>
      <c r="E445" s="52">
        <v>1016.0</v>
      </c>
      <c r="F445" s="110"/>
      <c r="G445" s="95">
        <f t="shared" si="8"/>
        <v>0.07856725504</v>
      </c>
      <c r="H445" s="114"/>
      <c r="I445" s="20"/>
      <c r="J445" s="115">
        <v>13.0</v>
      </c>
      <c r="K445" s="115">
        <v>52.0</v>
      </c>
      <c r="L445" s="93"/>
      <c r="M445" s="93"/>
      <c r="N445" s="93"/>
      <c r="O445" s="56"/>
      <c r="P445" s="56"/>
      <c r="Q445" s="56"/>
      <c r="R445" s="56"/>
      <c r="S445" s="56"/>
      <c r="T445" s="56"/>
      <c r="U445" s="56"/>
      <c r="V445" s="56"/>
    </row>
    <row r="446" ht="18.75" customHeight="1">
      <c r="A446" s="90">
        <v>9.0</v>
      </c>
      <c r="B446" s="111" t="s">
        <v>1272</v>
      </c>
      <c r="C446" s="184" t="s">
        <v>482</v>
      </c>
      <c r="D446" s="52">
        <v>1898.0</v>
      </c>
      <c r="E446" s="52">
        <v>2048.0</v>
      </c>
      <c r="F446" s="110"/>
      <c r="G446" s="95">
        <f t="shared" si="8"/>
        <v>0.07903055848</v>
      </c>
      <c r="H446" s="114"/>
      <c r="I446" s="20"/>
      <c r="J446" s="115">
        <v>13.0</v>
      </c>
      <c r="K446" s="115">
        <v>52.0</v>
      </c>
      <c r="L446" s="93"/>
      <c r="M446" s="93"/>
      <c r="N446" s="93"/>
      <c r="O446" s="56"/>
      <c r="P446" s="56"/>
      <c r="Q446" s="56"/>
      <c r="R446" s="56"/>
      <c r="S446" s="56"/>
      <c r="T446" s="56"/>
      <c r="U446" s="56"/>
      <c r="V446" s="56"/>
    </row>
    <row r="447" ht="18.75" customHeight="1">
      <c r="A447" s="90">
        <v>10.0</v>
      </c>
      <c r="B447" s="111" t="s">
        <v>1274</v>
      </c>
      <c r="C447" s="184" t="s">
        <v>502</v>
      </c>
      <c r="D447" s="52">
        <v>1898.0</v>
      </c>
      <c r="E447" s="52">
        <v>2048.0</v>
      </c>
      <c r="F447" s="110"/>
      <c r="G447" s="95">
        <f t="shared" si="8"/>
        <v>0.07903055848</v>
      </c>
      <c r="H447" s="114"/>
      <c r="I447" s="20"/>
      <c r="J447" s="115">
        <v>13.0</v>
      </c>
      <c r="K447" s="115">
        <v>52.0</v>
      </c>
      <c r="L447" s="93"/>
      <c r="M447" s="93"/>
      <c r="N447" s="93"/>
      <c r="O447" s="56"/>
      <c r="P447" s="56"/>
      <c r="Q447" s="56"/>
      <c r="R447" s="56"/>
      <c r="S447" s="56"/>
      <c r="T447" s="56"/>
      <c r="U447" s="56"/>
      <c r="V447" s="56"/>
    </row>
    <row r="448" ht="18.75" customHeight="1">
      <c r="A448" s="90"/>
      <c r="B448" s="111" t="s">
        <v>1226</v>
      </c>
      <c r="C448" s="111" t="s">
        <v>523</v>
      </c>
      <c r="D448" s="52">
        <v>2622.0</v>
      </c>
      <c r="E448" s="52">
        <v>2832.0</v>
      </c>
      <c r="F448" s="110"/>
      <c r="G448" s="95">
        <f t="shared" si="8"/>
        <v>0.08009153318</v>
      </c>
      <c r="H448" s="114"/>
      <c r="I448" s="20"/>
      <c r="J448" s="115"/>
      <c r="K448" s="115"/>
      <c r="L448" s="93"/>
      <c r="M448" s="93"/>
      <c r="N448" s="93"/>
      <c r="O448" s="56"/>
      <c r="P448" s="56"/>
      <c r="Q448" s="56"/>
      <c r="R448" s="56"/>
      <c r="S448" s="56"/>
      <c r="T448" s="56"/>
      <c r="U448" s="56"/>
      <c r="V448" s="56"/>
    </row>
    <row r="449" ht="18.75" customHeight="1">
      <c r="A449" s="90">
        <v>11.0</v>
      </c>
      <c r="B449" s="111" t="s">
        <v>1275</v>
      </c>
      <c r="C449" s="184" t="s">
        <v>1276</v>
      </c>
      <c r="D449" s="52">
        <v>2314.0</v>
      </c>
      <c r="E449" s="52">
        <v>2498.0</v>
      </c>
      <c r="F449" s="110"/>
      <c r="G449" s="95">
        <f t="shared" si="8"/>
        <v>0.07951598963</v>
      </c>
      <c r="H449" s="114"/>
      <c r="I449" s="20"/>
      <c r="J449" s="115">
        <v>6.0</v>
      </c>
      <c r="K449" s="115">
        <v>24.0</v>
      </c>
      <c r="L449" s="93"/>
      <c r="M449" s="93"/>
      <c r="N449" s="93"/>
      <c r="O449" s="56"/>
      <c r="P449" s="56"/>
      <c r="Q449" s="56"/>
      <c r="R449" s="56"/>
      <c r="S449" s="56"/>
      <c r="T449" s="56"/>
      <c r="U449" s="56"/>
      <c r="V449" s="56"/>
    </row>
    <row r="450" ht="18.75" customHeight="1">
      <c r="A450" s="90">
        <v>12.0</v>
      </c>
      <c r="B450" s="111" t="s">
        <v>1277</v>
      </c>
      <c r="C450" s="184" t="s">
        <v>395</v>
      </c>
      <c r="D450" s="52">
        <v>446.0</v>
      </c>
      <c r="E450" s="52">
        <v>482.0</v>
      </c>
      <c r="F450" s="110"/>
      <c r="G450" s="95">
        <f t="shared" si="8"/>
        <v>0.08071748879</v>
      </c>
      <c r="H450" s="114"/>
      <c r="I450" s="20"/>
      <c r="J450" s="115">
        <v>66.0</v>
      </c>
      <c r="K450" s="115">
        <v>198.0</v>
      </c>
      <c r="L450" s="93"/>
      <c r="M450" s="93"/>
      <c r="N450" s="93"/>
      <c r="O450" s="56"/>
      <c r="P450" s="56"/>
      <c r="Q450" s="56"/>
      <c r="R450" s="56"/>
      <c r="S450" s="56"/>
      <c r="T450" s="56"/>
      <c r="U450" s="56"/>
      <c r="V450" s="56"/>
    </row>
    <row r="451" ht="18.75" customHeight="1">
      <c r="A451" s="90">
        <v>13.0</v>
      </c>
      <c r="B451" s="111" t="s">
        <v>1278</v>
      </c>
      <c r="C451" s="184" t="s">
        <v>359</v>
      </c>
      <c r="D451" s="52">
        <v>813.96</v>
      </c>
      <c r="E451" s="52">
        <v>878.0</v>
      </c>
      <c r="F451" s="110"/>
      <c r="G451" s="95">
        <f t="shared" si="8"/>
        <v>0.07867708487</v>
      </c>
      <c r="H451" s="114"/>
      <c r="I451" s="20"/>
      <c r="J451" s="115">
        <v>23.0</v>
      </c>
      <c r="K451" s="115">
        <v>92.0</v>
      </c>
      <c r="L451" s="93"/>
      <c r="M451" s="93"/>
      <c r="N451" s="93"/>
      <c r="O451" s="56"/>
      <c r="P451" s="56"/>
      <c r="Q451" s="56"/>
      <c r="R451" s="56"/>
      <c r="S451" s="56"/>
      <c r="T451" s="56"/>
      <c r="U451" s="56"/>
      <c r="V451" s="56"/>
    </row>
    <row r="452" ht="18.75" customHeight="1">
      <c r="A452" s="90">
        <v>14.0</v>
      </c>
      <c r="B452" s="111" t="s">
        <v>1279</v>
      </c>
      <c r="C452" s="184" t="s">
        <v>601</v>
      </c>
      <c r="D452" s="52">
        <v>794.0</v>
      </c>
      <c r="E452" s="52">
        <v>858.0</v>
      </c>
      <c r="F452" s="110"/>
      <c r="G452" s="95">
        <f t="shared" si="8"/>
        <v>0.08060453401</v>
      </c>
      <c r="H452" s="114"/>
      <c r="I452" s="20"/>
      <c r="J452" s="115">
        <v>30.0</v>
      </c>
      <c r="K452" s="115">
        <v>120.0</v>
      </c>
      <c r="L452" s="134"/>
      <c r="M452" s="93"/>
      <c r="N452" s="93"/>
      <c r="O452" s="56"/>
      <c r="P452" s="56"/>
      <c r="Q452" s="56"/>
      <c r="R452" s="56"/>
      <c r="S452" s="56"/>
      <c r="T452" s="56"/>
      <c r="U452" s="56"/>
      <c r="V452" s="56"/>
    </row>
    <row r="453" ht="18.75" customHeight="1">
      <c r="A453" s="90">
        <v>15.0</v>
      </c>
      <c r="B453" s="111" t="s">
        <v>853</v>
      </c>
      <c r="C453" s="118" t="s">
        <v>678</v>
      </c>
      <c r="D453" s="164">
        <v>1548.0</v>
      </c>
      <c r="E453" s="52">
        <v>1672.0</v>
      </c>
      <c r="F453" s="110"/>
      <c r="G453" s="95">
        <f t="shared" si="8"/>
        <v>0.08010335917</v>
      </c>
      <c r="H453" s="114"/>
      <c r="I453" s="20"/>
      <c r="J453" s="120">
        <v>64.0</v>
      </c>
      <c r="K453" s="120">
        <v>128.0</v>
      </c>
      <c r="L453" s="16"/>
      <c r="M453" s="93"/>
      <c r="N453" s="93"/>
      <c r="O453" s="56"/>
      <c r="P453" s="56"/>
      <c r="Q453" s="56"/>
      <c r="R453" s="56"/>
      <c r="S453" s="56"/>
      <c r="T453" s="56"/>
      <c r="U453" s="56"/>
      <c r="V453" s="56"/>
    </row>
    <row r="454" ht="18.75" customHeight="1">
      <c r="A454" s="90">
        <v>16.0</v>
      </c>
      <c r="B454" s="111" t="s">
        <v>854</v>
      </c>
      <c r="C454" s="118" t="s">
        <v>693</v>
      </c>
      <c r="D454" s="164">
        <v>1576.0</v>
      </c>
      <c r="E454" s="52">
        <v>1698.0</v>
      </c>
      <c r="F454" s="110"/>
      <c r="G454" s="95">
        <f t="shared" si="8"/>
        <v>0.07741116751</v>
      </c>
      <c r="H454" s="114"/>
      <c r="I454" s="20"/>
      <c r="J454" s="120">
        <v>64.0</v>
      </c>
      <c r="K454" s="120">
        <v>128.0</v>
      </c>
      <c r="L454" s="106"/>
      <c r="M454" s="93"/>
      <c r="N454" s="93"/>
      <c r="O454" s="56"/>
      <c r="P454" s="56"/>
      <c r="Q454" s="56"/>
      <c r="R454" s="56"/>
      <c r="S454" s="56"/>
      <c r="T454" s="56"/>
      <c r="U454" s="56"/>
      <c r="V454" s="56"/>
    </row>
    <row r="455" ht="18.75" customHeight="1">
      <c r="A455" s="90">
        <v>17.0</v>
      </c>
      <c r="B455" s="111" t="s">
        <v>1282</v>
      </c>
      <c r="C455" s="118" t="s">
        <v>712</v>
      </c>
      <c r="D455" s="52">
        <v>2264.4</v>
      </c>
      <c r="E455" s="52">
        <v>2446.0</v>
      </c>
      <c r="F455" s="110"/>
      <c r="G455" s="95">
        <f t="shared" si="8"/>
        <v>0.0801978449</v>
      </c>
      <c r="H455" s="114"/>
      <c r="I455" s="20"/>
      <c r="J455" s="115">
        <v>14.0</v>
      </c>
      <c r="K455" s="115">
        <v>56.0</v>
      </c>
      <c r="L455" s="106"/>
      <c r="M455" s="93"/>
      <c r="N455" s="93"/>
      <c r="O455" s="56"/>
      <c r="P455" s="56"/>
      <c r="Q455" s="56"/>
      <c r="R455" s="56"/>
      <c r="S455" s="56"/>
      <c r="T455" s="56"/>
      <c r="U455" s="56"/>
      <c r="V455" s="56"/>
    </row>
    <row r="456" ht="18.75" customHeight="1">
      <c r="A456" s="90"/>
      <c r="B456" s="185"/>
      <c r="C456" s="150"/>
      <c r="D456" s="151"/>
      <c r="E456" s="109"/>
      <c r="F456" s="110"/>
      <c r="G456" s="95" t="str">
        <f t="shared" si="8"/>
        <v/>
      </c>
      <c r="H456" s="96"/>
      <c r="I456" s="20"/>
      <c r="J456" s="115"/>
      <c r="K456" s="115"/>
      <c r="L456" s="93"/>
      <c r="M456" s="93"/>
      <c r="N456" s="93"/>
      <c r="O456" s="56"/>
      <c r="P456" s="56"/>
      <c r="Q456" s="56"/>
      <c r="R456" s="56"/>
      <c r="S456" s="56"/>
      <c r="T456" s="56"/>
      <c r="U456" s="56"/>
      <c r="V456" s="56"/>
    </row>
    <row r="457" ht="18.75" customHeight="1">
      <c r="A457" s="90"/>
      <c r="B457" s="107" t="s">
        <v>1283</v>
      </c>
      <c r="C457" s="108"/>
      <c r="D457" s="161"/>
      <c r="E457" s="181"/>
      <c r="F457" s="110"/>
      <c r="G457" s="95" t="str">
        <f t="shared" si="8"/>
        <v/>
      </c>
      <c r="H457" s="96"/>
      <c r="I457" s="20"/>
      <c r="J457" s="115"/>
      <c r="K457" s="115"/>
      <c r="L457" s="93"/>
      <c r="M457" s="93"/>
      <c r="N457" s="93"/>
      <c r="O457" s="56"/>
      <c r="P457" s="56"/>
      <c r="Q457" s="56"/>
      <c r="R457" s="56"/>
      <c r="S457" s="56"/>
      <c r="T457" s="56"/>
      <c r="U457" s="56"/>
      <c r="V457" s="56"/>
    </row>
    <row r="458" ht="18.75" customHeight="1">
      <c r="A458" s="90">
        <v>1.0</v>
      </c>
      <c r="B458" s="111" t="s">
        <v>1284</v>
      </c>
      <c r="C458" s="118" t="s">
        <v>773</v>
      </c>
      <c r="D458" s="52">
        <v>398.0</v>
      </c>
      <c r="E458" s="52">
        <v>432.0</v>
      </c>
      <c r="F458" s="110"/>
      <c r="G458" s="95">
        <f t="shared" si="8"/>
        <v>0.08542713568</v>
      </c>
      <c r="H458" s="114"/>
      <c r="I458" s="20"/>
      <c r="J458" s="115">
        <v>48.0</v>
      </c>
      <c r="K458" s="115">
        <v>192.0</v>
      </c>
      <c r="L458" s="93"/>
      <c r="M458" s="93"/>
      <c r="N458" s="93"/>
      <c r="O458" s="56"/>
      <c r="P458" s="56"/>
      <c r="Q458" s="56"/>
      <c r="R458" s="56"/>
      <c r="S458" s="56"/>
      <c r="T458" s="56"/>
      <c r="U458" s="56"/>
      <c r="V458" s="56"/>
    </row>
    <row r="459" ht="18.75" customHeight="1">
      <c r="A459" s="90"/>
      <c r="B459" s="111" t="s">
        <v>1285</v>
      </c>
      <c r="C459" s="118" t="s">
        <v>748</v>
      </c>
      <c r="D459" s="52">
        <v>436.0</v>
      </c>
      <c r="E459" s="52">
        <v>472.0</v>
      </c>
      <c r="F459" s="110"/>
      <c r="G459" s="95">
        <f t="shared" si="8"/>
        <v>0.08256880734</v>
      </c>
      <c r="H459" s="114"/>
      <c r="I459" s="20"/>
      <c r="J459" s="115">
        <v>33.0</v>
      </c>
      <c r="K459" s="115">
        <v>132.0</v>
      </c>
      <c r="L459" s="93"/>
      <c r="M459" s="93"/>
      <c r="N459" s="93"/>
      <c r="O459" s="56"/>
      <c r="P459" s="56"/>
      <c r="Q459" s="56"/>
      <c r="R459" s="56"/>
      <c r="S459" s="56"/>
      <c r="T459" s="56"/>
      <c r="U459" s="56"/>
      <c r="V459" s="56"/>
    </row>
    <row r="460" ht="18.75" customHeight="1">
      <c r="A460" s="90">
        <v>2.0</v>
      </c>
      <c r="B460" s="111" t="s">
        <v>1286</v>
      </c>
      <c r="C460" s="118" t="s">
        <v>306</v>
      </c>
      <c r="D460" s="52">
        <v>476.0</v>
      </c>
      <c r="E460" s="52">
        <v>514.0</v>
      </c>
      <c r="F460" s="110"/>
      <c r="G460" s="95">
        <f t="shared" si="8"/>
        <v>0.07983193277</v>
      </c>
      <c r="H460" s="114"/>
      <c r="I460" s="20"/>
      <c r="J460" s="115">
        <v>33.0</v>
      </c>
      <c r="K460" s="115">
        <v>132.0</v>
      </c>
      <c r="L460" s="93"/>
      <c r="M460" s="93"/>
      <c r="N460" s="93"/>
      <c r="O460" s="56"/>
      <c r="P460" s="56"/>
      <c r="Q460" s="56"/>
      <c r="R460" s="56"/>
      <c r="S460" s="56"/>
      <c r="T460" s="56"/>
      <c r="U460" s="56"/>
      <c r="V460" s="56"/>
    </row>
    <row r="461" ht="18.75" customHeight="1">
      <c r="A461" s="90">
        <v>3.0</v>
      </c>
      <c r="B461" s="111" t="s">
        <v>1288</v>
      </c>
      <c r="C461" s="118" t="s">
        <v>777</v>
      </c>
      <c r="D461" s="52">
        <v>493.68</v>
      </c>
      <c r="E461" s="52">
        <v>534.0</v>
      </c>
      <c r="F461" s="110"/>
      <c r="G461" s="95">
        <f t="shared" si="8"/>
        <v>0.08167233836</v>
      </c>
      <c r="H461" s="114"/>
      <c r="I461" s="20"/>
      <c r="J461" s="115">
        <v>60.0</v>
      </c>
      <c r="K461" s="115">
        <v>240.0</v>
      </c>
      <c r="L461" s="93"/>
      <c r="M461" s="93"/>
      <c r="N461" s="93"/>
      <c r="O461" s="56"/>
      <c r="P461" s="56"/>
      <c r="Q461" s="56"/>
      <c r="R461" s="56"/>
      <c r="S461" s="56"/>
      <c r="T461" s="56"/>
      <c r="U461" s="56"/>
      <c r="V461" s="56"/>
    </row>
    <row r="462" ht="18.75" customHeight="1">
      <c r="A462" s="90">
        <v>4.0</v>
      </c>
      <c r="B462" s="111" t="s">
        <v>1289</v>
      </c>
      <c r="C462" s="118" t="s">
        <v>382</v>
      </c>
      <c r="D462" s="52">
        <v>844.3968</v>
      </c>
      <c r="E462" s="52">
        <v>912.0</v>
      </c>
      <c r="F462" s="110"/>
      <c r="G462" s="95">
        <f t="shared" si="8"/>
        <v>0.08006093818</v>
      </c>
      <c r="H462" s="114"/>
      <c r="I462" s="20"/>
      <c r="J462" s="115">
        <v>30.0</v>
      </c>
      <c r="K462" s="115">
        <v>120.0</v>
      </c>
      <c r="L462" s="93"/>
      <c r="M462" s="93"/>
      <c r="N462" s="93"/>
      <c r="O462" s="56"/>
      <c r="P462" s="56"/>
      <c r="Q462" s="56"/>
      <c r="R462" s="56"/>
      <c r="S462" s="56"/>
      <c r="T462" s="56"/>
      <c r="U462" s="56"/>
      <c r="V462" s="56"/>
    </row>
    <row r="463" ht="18.75" customHeight="1">
      <c r="A463" s="90">
        <v>5.0</v>
      </c>
      <c r="B463" s="111" t="s">
        <v>1290</v>
      </c>
      <c r="C463" s="118" t="s">
        <v>399</v>
      </c>
      <c r="D463" s="52">
        <v>603.84</v>
      </c>
      <c r="E463" s="52">
        <v>652.0</v>
      </c>
      <c r="F463" s="110"/>
      <c r="G463" s="95">
        <f t="shared" si="8"/>
        <v>0.07975622682</v>
      </c>
      <c r="H463" s="114"/>
      <c r="I463" s="20"/>
      <c r="J463" s="115">
        <v>33.0</v>
      </c>
      <c r="K463" s="115">
        <v>132.0</v>
      </c>
      <c r="L463" s="93"/>
      <c r="M463" s="93"/>
      <c r="N463" s="93"/>
      <c r="O463" s="56"/>
      <c r="P463" s="56"/>
      <c r="Q463" s="56"/>
      <c r="R463" s="56"/>
      <c r="S463" s="56"/>
      <c r="T463" s="56"/>
      <c r="U463" s="56"/>
      <c r="V463" s="56"/>
    </row>
    <row r="464" ht="18.75" customHeight="1">
      <c r="A464" s="90">
        <v>6.0</v>
      </c>
      <c r="B464" s="111" t="s">
        <v>1292</v>
      </c>
      <c r="C464" s="118" t="s">
        <v>781</v>
      </c>
      <c r="D464" s="52">
        <v>603.84</v>
      </c>
      <c r="E464" s="52">
        <v>652.0</v>
      </c>
      <c r="F464" s="110"/>
      <c r="G464" s="95">
        <f t="shared" si="8"/>
        <v>0.07975622682</v>
      </c>
      <c r="H464" s="114"/>
      <c r="I464" s="20"/>
      <c r="J464" s="115">
        <v>33.0</v>
      </c>
      <c r="K464" s="115">
        <v>132.0</v>
      </c>
      <c r="L464" s="93"/>
      <c r="M464" s="93"/>
      <c r="N464" s="93"/>
      <c r="O464" s="56"/>
      <c r="P464" s="56"/>
      <c r="Q464" s="56"/>
      <c r="R464" s="56"/>
      <c r="S464" s="56"/>
      <c r="T464" s="56"/>
      <c r="U464" s="56"/>
      <c r="V464" s="56"/>
    </row>
    <row r="465" ht="18.75" customHeight="1">
      <c r="A465" s="90">
        <v>7.0</v>
      </c>
      <c r="B465" s="111" t="s">
        <v>1295</v>
      </c>
      <c r="C465" s="118" t="s">
        <v>1296</v>
      </c>
      <c r="D465" s="52">
        <v>892.0</v>
      </c>
      <c r="E465" s="52">
        <v>964.0</v>
      </c>
      <c r="F465" s="110"/>
      <c r="G465" s="95">
        <f t="shared" si="8"/>
        <v>0.08071748879</v>
      </c>
      <c r="H465" s="114"/>
      <c r="I465" s="20"/>
      <c r="J465" s="115">
        <v>13.0</v>
      </c>
      <c r="K465" s="115">
        <v>52.0</v>
      </c>
      <c r="L465" s="93"/>
      <c r="M465" s="93"/>
      <c r="N465" s="93"/>
      <c r="O465" s="56"/>
      <c r="P465" s="56"/>
      <c r="Q465" s="56"/>
      <c r="R465" s="56"/>
      <c r="S465" s="56"/>
      <c r="T465" s="56"/>
      <c r="U465" s="56"/>
      <c r="V465" s="56"/>
    </row>
    <row r="466" ht="18.75" customHeight="1">
      <c r="A466" s="90"/>
      <c r="B466" s="111" t="s">
        <v>1298</v>
      </c>
      <c r="C466" s="186" t="s">
        <v>1269</v>
      </c>
      <c r="D466" s="52">
        <v>912.288</v>
      </c>
      <c r="E466" s="52">
        <v>986.0</v>
      </c>
      <c r="F466" s="110"/>
      <c r="G466" s="95">
        <f t="shared" si="8"/>
        <v>0.08079904592</v>
      </c>
      <c r="H466" s="114"/>
      <c r="I466" s="20"/>
      <c r="J466" s="120">
        <v>30.0</v>
      </c>
      <c r="K466" s="120">
        <v>120.0</v>
      </c>
      <c r="L466" s="93"/>
      <c r="M466" s="93"/>
      <c r="N466" s="93"/>
      <c r="O466" s="56"/>
      <c r="P466" s="56"/>
      <c r="Q466" s="56"/>
      <c r="R466" s="56"/>
      <c r="S466" s="56"/>
      <c r="T466" s="56"/>
      <c r="U466" s="56"/>
      <c r="V466" s="56"/>
    </row>
    <row r="467" ht="18.75" customHeight="1">
      <c r="A467" s="90">
        <v>8.0</v>
      </c>
      <c r="B467" s="111" t="s">
        <v>1301</v>
      </c>
      <c r="C467" s="118" t="s">
        <v>1302</v>
      </c>
      <c r="D467" s="52">
        <v>912.288</v>
      </c>
      <c r="E467" s="52">
        <v>986.0</v>
      </c>
      <c r="F467" s="110"/>
      <c r="G467" s="95">
        <f t="shared" si="8"/>
        <v>0.08079904592</v>
      </c>
      <c r="H467" s="114"/>
      <c r="I467" s="20"/>
      <c r="J467" s="115">
        <v>13.0</v>
      </c>
      <c r="K467" s="115">
        <v>52.0</v>
      </c>
      <c r="L467" s="93"/>
      <c r="M467" s="93"/>
      <c r="N467" s="93"/>
      <c r="O467" s="56"/>
      <c r="P467" s="56"/>
      <c r="Q467" s="56"/>
      <c r="R467" s="56"/>
      <c r="S467" s="56"/>
      <c r="T467" s="56"/>
      <c r="U467" s="56"/>
      <c r="V467" s="56"/>
    </row>
    <row r="468" ht="18.75" customHeight="1">
      <c r="A468" s="90"/>
      <c r="B468" s="111" t="s">
        <v>1304</v>
      </c>
      <c r="C468" s="111" t="s">
        <v>523</v>
      </c>
      <c r="D468" s="52">
        <v>2598.0</v>
      </c>
      <c r="E468" s="52">
        <v>2798.0</v>
      </c>
      <c r="F468" s="110"/>
      <c r="G468" s="95">
        <f t="shared" si="8"/>
        <v>0.07698229407</v>
      </c>
      <c r="H468" s="114"/>
      <c r="I468" s="20"/>
      <c r="J468" s="115"/>
      <c r="K468" s="115"/>
      <c r="L468" s="93"/>
      <c r="M468" s="93"/>
      <c r="N468" s="93"/>
      <c r="O468" s="56"/>
      <c r="P468" s="56"/>
      <c r="Q468" s="56"/>
      <c r="R468" s="56"/>
      <c r="S468" s="56"/>
      <c r="T468" s="56"/>
      <c r="U468" s="56"/>
      <c r="V468" s="56"/>
    </row>
    <row r="469" ht="18.75" customHeight="1">
      <c r="A469" s="90">
        <v>9.0</v>
      </c>
      <c r="B469" s="111" t="s">
        <v>1307</v>
      </c>
      <c r="C469" s="118" t="s">
        <v>734</v>
      </c>
      <c r="D469" s="52">
        <v>2292.0</v>
      </c>
      <c r="E469" s="52">
        <v>2476.0</v>
      </c>
      <c r="F469" s="110"/>
      <c r="G469" s="95">
        <f t="shared" si="8"/>
        <v>0.08027923211</v>
      </c>
      <c r="H469" s="114"/>
      <c r="I469" s="20"/>
      <c r="J469" s="115">
        <v>6.0</v>
      </c>
      <c r="K469" s="115">
        <v>24.0</v>
      </c>
      <c r="L469" s="93"/>
      <c r="M469" s="93"/>
      <c r="N469" s="93"/>
      <c r="O469" s="56"/>
      <c r="P469" s="56"/>
      <c r="Q469" s="56"/>
      <c r="R469" s="56"/>
      <c r="S469" s="56"/>
      <c r="T469" s="56"/>
      <c r="U469" s="56"/>
      <c r="V469" s="56"/>
    </row>
    <row r="470" ht="18.75" customHeight="1">
      <c r="A470" s="90">
        <v>10.0</v>
      </c>
      <c r="B470" s="111" t="s">
        <v>1308</v>
      </c>
      <c r="C470" s="118" t="s">
        <v>395</v>
      </c>
      <c r="D470" s="52">
        <v>402.0</v>
      </c>
      <c r="E470" s="52">
        <v>434.0</v>
      </c>
      <c r="F470" s="110"/>
      <c r="G470" s="95">
        <f t="shared" si="8"/>
        <v>0.07960199005</v>
      </c>
      <c r="H470" s="114"/>
      <c r="I470" s="20"/>
      <c r="J470" s="115">
        <v>66.0</v>
      </c>
      <c r="K470" s="115">
        <v>264.0</v>
      </c>
      <c r="L470" s="93"/>
      <c r="M470" s="93"/>
      <c r="N470" s="93"/>
      <c r="O470" s="56"/>
      <c r="P470" s="56"/>
      <c r="Q470" s="56"/>
      <c r="R470" s="56"/>
      <c r="S470" s="56"/>
      <c r="T470" s="56"/>
      <c r="U470" s="56"/>
      <c r="V470" s="56"/>
    </row>
    <row r="471" ht="18.75" customHeight="1">
      <c r="A471" s="90">
        <v>11.0</v>
      </c>
      <c r="B471" s="111" t="s">
        <v>1311</v>
      </c>
      <c r="C471" s="118" t="s">
        <v>359</v>
      </c>
      <c r="D471" s="52">
        <v>794.0</v>
      </c>
      <c r="E471" s="52">
        <v>858.0</v>
      </c>
      <c r="F471" s="110"/>
      <c r="G471" s="95">
        <f t="shared" si="8"/>
        <v>0.08060453401</v>
      </c>
      <c r="H471" s="114"/>
      <c r="I471" s="20"/>
      <c r="J471" s="115">
        <v>23.0</v>
      </c>
      <c r="K471" s="115">
        <v>92.0</v>
      </c>
      <c r="L471" s="93"/>
      <c r="M471" s="93"/>
      <c r="N471" s="93"/>
      <c r="O471" s="56"/>
      <c r="P471" s="56"/>
      <c r="Q471" s="56"/>
      <c r="R471" s="56"/>
      <c r="S471" s="56"/>
      <c r="T471" s="56"/>
      <c r="U471" s="56"/>
      <c r="V471" s="56"/>
    </row>
    <row r="472" ht="18.75" customHeight="1">
      <c r="A472" s="90">
        <v>12.0</v>
      </c>
      <c r="B472" s="111" t="s">
        <v>1313</v>
      </c>
      <c r="C472" s="118" t="s">
        <v>710</v>
      </c>
      <c r="D472" s="52">
        <v>784.0</v>
      </c>
      <c r="E472" s="52">
        <v>848.0</v>
      </c>
      <c r="F472" s="110"/>
      <c r="G472" s="95">
        <f t="shared" si="8"/>
        <v>0.08163265306</v>
      </c>
      <c r="H472" s="114"/>
      <c r="I472" s="20"/>
      <c r="J472" s="115">
        <v>30.0</v>
      </c>
      <c r="K472" s="115">
        <v>120.0</v>
      </c>
      <c r="L472" s="93"/>
      <c r="M472" s="93"/>
      <c r="N472" s="93"/>
      <c r="O472" s="56"/>
      <c r="P472" s="56"/>
      <c r="Q472" s="56"/>
      <c r="R472" s="56"/>
      <c r="S472" s="56"/>
      <c r="T472" s="56"/>
      <c r="U472" s="56"/>
      <c r="V472" s="56"/>
    </row>
    <row r="473" ht="18.75" customHeight="1">
      <c r="A473" s="90">
        <v>13.0</v>
      </c>
      <c r="B473" s="111" t="s">
        <v>1314</v>
      </c>
      <c r="C473" s="118" t="s">
        <v>601</v>
      </c>
      <c r="D473" s="52">
        <v>948.3552</v>
      </c>
      <c r="E473" s="52">
        <v>1024.0</v>
      </c>
      <c r="F473" s="110"/>
      <c r="G473" s="95">
        <f t="shared" si="8"/>
        <v>0.07976420649</v>
      </c>
      <c r="H473" s="114"/>
      <c r="I473" s="20"/>
      <c r="J473" s="115">
        <v>30.0</v>
      </c>
      <c r="K473" s="115">
        <v>120.0</v>
      </c>
      <c r="L473" s="93"/>
      <c r="M473" s="93"/>
      <c r="N473" s="93"/>
      <c r="O473" s="56"/>
      <c r="P473" s="56"/>
      <c r="Q473" s="56"/>
      <c r="R473" s="56"/>
      <c r="S473" s="56"/>
      <c r="T473" s="56"/>
      <c r="U473" s="56"/>
      <c r="V473" s="56"/>
    </row>
    <row r="474" ht="18.75" customHeight="1">
      <c r="A474" s="90">
        <v>14.0</v>
      </c>
      <c r="B474" s="111" t="s">
        <v>1315</v>
      </c>
      <c r="C474" s="118" t="s">
        <v>712</v>
      </c>
      <c r="D474" s="52">
        <v>1878.0</v>
      </c>
      <c r="E474" s="52">
        <v>2028.0</v>
      </c>
      <c r="F474" s="110"/>
      <c r="G474" s="95">
        <f t="shared" si="8"/>
        <v>0.07987220447</v>
      </c>
      <c r="H474" s="114"/>
      <c r="I474" s="20"/>
      <c r="J474" s="115">
        <v>14.0</v>
      </c>
      <c r="K474" s="115">
        <v>56.0</v>
      </c>
      <c r="L474" s="106"/>
      <c r="M474" s="93"/>
      <c r="N474" s="93"/>
      <c r="O474" s="56"/>
      <c r="P474" s="56"/>
      <c r="Q474" s="56"/>
      <c r="R474" s="56"/>
      <c r="S474" s="56"/>
      <c r="T474" s="56"/>
      <c r="U474" s="56"/>
      <c r="V474" s="56"/>
    </row>
    <row r="475" ht="18.75" customHeight="1">
      <c r="A475" s="90">
        <v>15.0</v>
      </c>
      <c r="B475" s="123" t="s">
        <v>1316</v>
      </c>
      <c r="C475" s="124" t="s">
        <v>744</v>
      </c>
      <c r="D475" s="125">
        <v>2204.0</v>
      </c>
      <c r="E475" s="52">
        <v>2382.0</v>
      </c>
      <c r="F475" s="110"/>
      <c r="G475" s="95">
        <f t="shared" si="8"/>
        <v>0.08076225045</v>
      </c>
      <c r="H475" s="114"/>
      <c r="I475" s="20"/>
      <c r="J475" s="115">
        <v>14.0</v>
      </c>
      <c r="K475" s="115">
        <v>56.0</v>
      </c>
      <c r="L475" s="93"/>
      <c r="M475" s="93"/>
      <c r="N475" s="93"/>
      <c r="O475" s="56"/>
      <c r="P475" s="56"/>
      <c r="Q475" s="56"/>
      <c r="R475" s="56"/>
      <c r="S475" s="56"/>
      <c r="T475" s="56"/>
      <c r="U475" s="56"/>
      <c r="V475" s="56"/>
    </row>
    <row r="476" ht="18.75" customHeight="1">
      <c r="A476" s="90"/>
      <c r="B476" s="149"/>
      <c r="C476" s="150"/>
      <c r="D476" s="151"/>
      <c r="E476" s="109"/>
      <c r="F476" s="110"/>
      <c r="G476" s="95" t="str">
        <f t="shared" si="8"/>
        <v/>
      </c>
      <c r="H476" s="96"/>
      <c r="I476" s="20"/>
      <c r="J476" s="115"/>
      <c r="K476" s="115"/>
      <c r="L476" s="93"/>
      <c r="M476" s="93"/>
      <c r="N476" s="93"/>
      <c r="O476" s="56"/>
      <c r="P476" s="56"/>
      <c r="Q476" s="56"/>
      <c r="R476" s="56"/>
      <c r="S476" s="56"/>
      <c r="T476" s="56"/>
      <c r="U476" s="56"/>
      <c r="V476" s="56"/>
    </row>
    <row r="477" ht="18.75" customHeight="1">
      <c r="A477" s="90"/>
      <c r="B477" s="107" t="s">
        <v>1319</v>
      </c>
      <c r="C477" s="108"/>
      <c r="D477" s="109"/>
      <c r="E477" s="181"/>
      <c r="F477" s="110"/>
      <c r="G477" s="95" t="str">
        <f t="shared" si="8"/>
        <v/>
      </c>
      <c r="H477" s="96"/>
      <c r="I477" s="20"/>
      <c r="J477" s="115"/>
      <c r="K477" s="115"/>
      <c r="L477" s="93"/>
      <c r="M477" s="93"/>
      <c r="N477" s="93"/>
      <c r="O477" s="56"/>
      <c r="P477" s="56"/>
      <c r="Q477" s="56"/>
      <c r="R477" s="56"/>
      <c r="S477" s="56"/>
      <c r="T477" s="56"/>
      <c r="U477" s="56"/>
      <c r="V477" s="56"/>
    </row>
    <row r="478" ht="18.75" customHeight="1">
      <c r="A478" s="90">
        <v>1.0</v>
      </c>
      <c r="B478" s="111" t="s">
        <v>1321</v>
      </c>
      <c r="C478" s="118" t="s">
        <v>798</v>
      </c>
      <c r="D478" s="52">
        <v>242.0</v>
      </c>
      <c r="E478" s="52">
        <v>262.0</v>
      </c>
      <c r="F478" s="110"/>
      <c r="G478" s="95">
        <f t="shared" si="8"/>
        <v>0.0826446281</v>
      </c>
      <c r="H478" s="122"/>
      <c r="I478" s="20"/>
      <c r="J478" s="115">
        <v>108.0</v>
      </c>
      <c r="K478" s="115">
        <v>324.0</v>
      </c>
      <c r="L478" s="93"/>
      <c r="M478" s="93"/>
      <c r="N478" s="93"/>
      <c r="O478" s="56"/>
      <c r="P478" s="56"/>
      <c r="Q478" s="56"/>
      <c r="R478" s="56"/>
      <c r="S478" s="56"/>
      <c r="T478" s="56"/>
      <c r="U478" s="56"/>
      <c r="V478" s="56"/>
    </row>
    <row r="479" ht="18.75" customHeight="1">
      <c r="A479" s="90"/>
      <c r="B479" s="111" t="s">
        <v>1323</v>
      </c>
      <c r="C479" s="118" t="s">
        <v>748</v>
      </c>
      <c r="D479" s="52">
        <v>254.0</v>
      </c>
      <c r="E479" s="52">
        <v>274.0</v>
      </c>
      <c r="F479" s="110"/>
      <c r="G479" s="95">
        <f t="shared" si="8"/>
        <v>0.07874015748</v>
      </c>
      <c r="H479" s="122"/>
      <c r="I479" s="20"/>
      <c r="J479" s="115"/>
      <c r="K479" s="115"/>
      <c r="L479" s="93"/>
      <c r="M479" s="93"/>
      <c r="N479" s="93"/>
      <c r="O479" s="56"/>
      <c r="P479" s="56"/>
      <c r="Q479" s="56"/>
      <c r="R479" s="56"/>
      <c r="S479" s="56"/>
      <c r="T479" s="56"/>
      <c r="U479" s="56"/>
      <c r="V479" s="56"/>
    </row>
    <row r="480" ht="18.75" customHeight="1">
      <c r="A480" s="90">
        <v>2.0</v>
      </c>
      <c r="B480" s="111" t="s">
        <v>1326</v>
      </c>
      <c r="C480" s="118" t="s">
        <v>803</v>
      </c>
      <c r="D480" s="52">
        <v>334.0</v>
      </c>
      <c r="E480" s="52">
        <v>362.0</v>
      </c>
      <c r="F480" s="110"/>
      <c r="G480" s="95">
        <f t="shared" si="8"/>
        <v>0.08383233533</v>
      </c>
      <c r="H480" s="122"/>
      <c r="I480" s="20"/>
      <c r="J480" s="115">
        <v>54.0</v>
      </c>
      <c r="K480" s="115">
        <v>216.0</v>
      </c>
      <c r="L480" s="93"/>
      <c r="M480" s="93"/>
      <c r="N480" s="93"/>
      <c r="O480" s="56"/>
      <c r="P480" s="56"/>
      <c r="Q480" s="56"/>
      <c r="R480" s="56"/>
      <c r="S480" s="56"/>
      <c r="T480" s="56"/>
      <c r="U480" s="56"/>
      <c r="V480" s="56"/>
    </row>
    <row r="481" ht="18.75" customHeight="1">
      <c r="A481" s="90">
        <v>3.0</v>
      </c>
      <c r="B481" s="111" t="s">
        <v>1327</v>
      </c>
      <c r="C481" s="118" t="s">
        <v>363</v>
      </c>
      <c r="D481" s="52">
        <v>285.6</v>
      </c>
      <c r="E481" s="52">
        <v>308.0</v>
      </c>
      <c r="F481" s="110"/>
      <c r="G481" s="95">
        <f t="shared" si="8"/>
        <v>0.07843137255</v>
      </c>
      <c r="H481" s="122"/>
      <c r="I481" s="20"/>
      <c r="J481" s="115">
        <v>66.0</v>
      </c>
      <c r="K481" s="115">
        <v>198.0</v>
      </c>
      <c r="L481" s="93"/>
      <c r="M481" s="93"/>
      <c r="N481" s="93"/>
      <c r="O481" s="56"/>
      <c r="P481" s="56"/>
      <c r="Q481" s="56"/>
      <c r="R481" s="56"/>
      <c r="S481" s="56"/>
      <c r="T481" s="56"/>
      <c r="U481" s="56"/>
      <c r="V481" s="56"/>
    </row>
    <row r="482" ht="18.75" customHeight="1">
      <c r="A482" s="90">
        <v>4.0</v>
      </c>
      <c r="B482" s="111" t="s">
        <v>1330</v>
      </c>
      <c r="C482" s="118" t="s">
        <v>378</v>
      </c>
      <c r="D482" s="52">
        <v>517.6704</v>
      </c>
      <c r="E482" s="52">
        <v>558.0</v>
      </c>
      <c r="F482" s="110"/>
      <c r="G482" s="95">
        <f t="shared" si="8"/>
        <v>0.0779059417</v>
      </c>
      <c r="H482" s="122"/>
      <c r="I482" s="20"/>
      <c r="J482" s="115">
        <v>24.0</v>
      </c>
      <c r="K482" s="115">
        <v>96.0</v>
      </c>
      <c r="L482" s="93"/>
      <c r="M482" s="93"/>
      <c r="N482" s="93"/>
      <c r="O482" s="56"/>
      <c r="P482" s="56"/>
      <c r="Q482" s="56"/>
      <c r="R482" s="56"/>
      <c r="S482" s="56"/>
      <c r="T482" s="56"/>
      <c r="U482" s="56"/>
      <c r="V482" s="56"/>
    </row>
    <row r="483" ht="18.75" customHeight="1">
      <c r="A483" s="90">
        <v>5.0</v>
      </c>
      <c r="B483" s="111" t="s">
        <v>1331</v>
      </c>
      <c r="C483" s="118" t="s">
        <v>416</v>
      </c>
      <c r="D483" s="52">
        <v>332.0</v>
      </c>
      <c r="E483" s="52">
        <v>358.0</v>
      </c>
      <c r="F483" s="110"/>
      <c r="G483" s="95">
        <f t="shared" si="8"/>
        <v>0.07831325301</v>
      </c>
      <c r="H483" s="122"/>
      <c r="I483" s="20"/>
      <c r="J483" s="115">
        <v>30.0</v>
      </c>
      <c r="K483" s="115">
        <v>120.0</v>
      </c>
      <c r="L483" s="93"/>
      <c r="M483" s="93"/>
      <c r="N483" s="93"/>
      <c r="O483" s="56"/>
      <c r="P483" s="56"/>
      <c r="Q483" s="56"/>
      <c r="R483" s="56"/>
      <c r="S483" s="56"/>
      <c r="T483" s="56"/>
      <c r="U483" s="56"/>
      <c r="V483" s="56"/>
    </row>
    <row r="484" ht="18.75" customHeight="1">
      <c r="A484" s="90">
        <v>6.0</v>
      </c>
      <c r="B484" s="111" t="s">
        <v>1332</v>
      </c>
      <c r="C484" s="118" t="s">
        <v>419</v>
      </c>
      <c r="D484" s="52">
        <v>672.0</v>
      </c>
      <c r="E484" s="52">
        <v>726.0</v>
      </c>
      <c r="F484" s="110"/>
      <c r="G484" s="95">
        <f t="shared" si="8"/>
        <v>0.08035714286</v>
      </c>
      <c r="H484" s="122"/>
      <c r="I484" s="20"/>
      <c r="J484" s="115">
        <v>13.0</v>
      </c>
      <c r="K484" s="115">
        <v>52.0</v>
      </c>
      <c r="L484" s="93"/>
      <c r="M484" s="93"/>
      <c r="N484" s="93"/>
      <c r="O484" s="56"/>
      <c r="P484" s="56"/>
      <c r="Q484" s="56"/>
      <c r="R484" s="56"/>
      <c r="S484" s="56"/>
      <c r="T484" s="56"/>
      <c r="U484" s="56"/>
      <c r="V484" s="56"/>
    </row>
    <row r="485" ht="18.75" customHeight="1">
      <c r="A485" s="90">
        <v>7.0</v>
      </c>
      <c r="B485" s="111" t="s">
        <v>1334</v>
      </c>
      <c r="C485" s="118" t="s">
        <v>1335</v>
      </c>
      <c r="D485" s="52">
        <v>612.0</v>
      </c>
      <c r="E485" s="52">
        <v>662.0</v>
      </c>
      <c r="F485" s="110"/>
      <c r="G485" s="95">
        <f t="shared" si="8"/>
        <v>0.08169934641</v>
      </c>
      <c r="H485" s="122"/>
      <c r="I485" s="20"/>
      <c r="J485" s="115">
        <v>30.0</v>
      </c>
      <c r="K485" s="115">
        <v>120.0</v>
      </c>
      <c r="L485" s="93"/>
      <c r="M485" s="93"/>
      <c r="N485" s="93"/>
      <c r="O485" s="56"/>
      <c r="P485" s="56"/>
      <c r="Q485" s="56"/>
      <c r="R485" s="56"/>
      <c r="S485" s="56"/>
      <c r="T485" s="56"/>
      <c r="U485" s="56"/>
      <c r="V485" s="56"/>
    </row>
    <row r="486" ht="18.75" customHeight="1">
      <c r="A486" s="90">
        <v>8.0</v>
      </c>
      <c r="B486" s="111" t="s">
        <v>1337</v>
      </c>
      <c r="C486" s="118" t="s">
        <v>1302</v>
      </c>
      <c r="D486" s="52">
        <v>672.0</v>
      </c>
      <c r="E486" s="52">
        <v>726.0</v>
      </c>
      <c r="F486" s="110"/>
      <c r="G486" s="95">
        <f t="shared" si="8"/>
        <v>0.08035714286</v>
      </c>
      <c r="H486" s="122"/>
      <c r="I486" s="20"/>
      <c r="J486" s="115">
        <v>13.0</v>
      </c>
      <c r="K486" s="115">
        <v>52.0</v>
      </c>
      <c r="L486" s="93"/>
      <c r="M486" s="93"/>
      <c r="N486" s="93"/>
      <c r="O486" s="56"/>
      <c r="P486" s="56"/>
      <c r="Q486" s="56"/>
      <c r="R486" s="56"/>
      <c r="S486" s="56"/>
      <c r="T486" s="56"/>
      <c r="U486" s="56"/>
      <c r="V486" s="56"/>
    </row>
    <row r="487" ht="18.75" customHeight="1">
      <c r="A487" s="90">
        <v>9.0</v>
      </c>
      <c r="B487" s="111" t="s">
        <v>1339</v>
      </c>
      <c r="C487" s="118" t="s">
        <v>482</v>
      </c>
      <c r="D487" s="52">
        <v>1262.3519999999999</v>
      </c>
      <c r="E487" s="52">
        <v>1364.0</v>
      </c>
      <c r="F487" s="110"/>
      <c r="G487" s="95">
        <f t="shared" si="8"/>
        <v>0.08052270682</v>
      </c>
      <c r="H487" s="122"/>
      <c r="I487" s="20"/>
      <c r="J487" s="115">
        <v>13.0</v>
      </c>
      <c r="K487" s="115">
        <v>52.0</v>
      </c>
      <c r="L487" s="106"/>
      <c r="M487" s="93"/>
      <c r="N487" s="93"/>
      <c r="O487" s="56"/>
      <c r="P487" s="56"/>
      <c r="Q487" s="56"/>
      <c r="R487" s="56"/>
      <c r="S487" s="56"/>
      <c r="T487" s="56"/>
      <c r="U487" s="56"/>
      <c r="V487" s="56"/>
    </row>
    <row r="488" ht="18.75" customHeight="1">
      <c r="A488" s="90">
        <v>10.0</v>
      </c>
      <c r="B488" s="111" t="s">
        <v>1341</v>
      </c>
      <c r="C488" s="118" t="s">
        <v>502</v>
      </c>
      <c r="D488" s="52">
        <v>1164.0</v>
      </c>
      <c r="E488" s="52">
        <v>1258.0</v>
      </c>
      <c r="F488" s="110"/>
      <c r="G488" s="95">
        <f t="shared" si="8"/>
        <v>0.08075601375</v>
      </c>
      <c r="H488" s="122"/>
      <c r="I488" s="20"/>
      <c r="J488" s="115">
        <v>13.0</v>
      </c>
      <c r="K488" s="115">
        <v>52.0</v>
      </c>
      <c r="L488" s="106"/>
      <c r="M488" s="93"/>
      <c r="N488" s="93"/>
      <c r="O488" s="56"/>
      <c r="P488" s="56"/>
      <c r="Q488" s="56"/>
      <c r="R488" s="56"/>
      <c r="S488" s="56"/>
      <c r="T488" s="56"/>
      <c r="U488" s="56"/>
      <c r="V488" s="56"/>
    </row>
    <row r="489" ht="18.75" customHeight="1">
      <c r="A489" s="90">
        <v>11.0</v>
      </c>
      <c r="B489" s="111" t="s">
        <v>1343</v>
      </c>
      <c r="C489" s="118" t="s">
        <v>734</v>
      </c>
      <c r="D489" s="52">
        <v>1527.552</v>
      </c>
      <c r="E489" s="52">
        <v>1648.0</v>
      </c>
      <c r="F489" s="110"/>
      <c r="G489" s="95">
        <f t="shared" si="8"/>
        <v>0.07885034356</v>
      </c>
      <c r="H489" s="122"/>
      <c r="I489" s="20"/>
      <c r="J489" s="115">
        <v>6.0</v>
      </c>
      <c r="K489" s="115">
        <v>24.0</v>
      </c>
      <c r="L489" s="93"/>
      <c r="M489" s="93"/>
      <c r="N489" s="93"/>
      <c r="O489" s="56"/>
      <c r="P489" s="56"/>
      <c r="Q489" s="56"/>
      <c r="R489" s="56"/>
      <c r="S489" s="56"/>
      <c r="T489" s="56"/>
      <c r="U489" s="56"/>
      <c r="V489" s="56"/>
    </row>
    <row r="490" ht="18.75" customHeight="1">
      <c r="A490" s="90">
        <v>12.0</v>
      </c>
      <c r="B490" s="111" t="s">
        <v>1345</v>
      </c>
      <c r="C490" s="118" t="s">
        <v>395</v>
      </c>
      <c r="D490" s="52">
        <v>236.0</v>
      </c>
      <c r="E490" s="52">
        <v>256.0</v>
      </c>
      <c r="F490" s="110"/>
      <c r="G490" s="95">
        <f t="shared" si="8"/>
        <v>0.08474576271</v>
      </c>
      <c r="H490" s="122"/>
      <c r="I490" s="20"/>
      <c r="J490" s="115">
        <v>90.0</v>
      </c>
      <c r="K490" s="115">
        <v>270.0</v>
      </c>
      <c r="L490" s="93"/>
      <c r="M490" s="93"/>
      <c r="N490" s="93"/>
      <c r="O490" s="56"/>
      <c r="P490" s="56"/>
      <c r="Q490" s="56"/>
      <c r="R490" s="56"/>
      <c r="S490" s="56"/>
      <c r="T490" s="56"/>
      <c r="U490" s="56"/>
      <c r="V490" s="56"/>
    </row>
    <row r="491" ht="18.75" customHeight="1">
      <c r="A491" s="90">
        <v>13.0</v>
      </c>
      <c r="B491" s="111" t="s">
        <v>1347</v>
      </c>
      <c r="C491" s="118" t="s">
        <v>829</v>
      </c>
      <c r="D491" s="52">
        <v>505.92</v>
      </c>
      <c r="E491" s="52">
        <v>546.0</v>
      </c>
      <c r="F491" s="110"/>
      <c r="G491" s="95">
        <f t="shared" si="8"/>
        <v>0.07922201139</v>
      </c>
      <c r="H491" s="122"/>
      <c r="I491" s="20"/>
      <c r="J491" s="115">
        <v>30.0</v>
      </c>
      <c r="K491" s="115">
        <v>120.0</v>
      </c>
      <c r="L491" s="93"/>
      <c r="M491" s="93"/>
      <c r="N491" s="93"/>
      <c r="O491" s="56"/>
      <c r="P491" s="56"/>
      <c r="Q491" s="56"/>
      <c r="R491" s="56"/>
      <c r="S491" s="56"/>
      <c r="T491" s="56"/>
      <c r="U491" s="56"/>
      <c r="V491" s="56"/>
    </row>
    <row r="492" ht="18.75" customHeight="1">
      <c r="A492" s="90">
        <v>14.0</v>
      </c>
      <c r="B492" s="111" t="s">
        <v>1349</v>
      </c>
      <c r="C492" s="118" t="s">
        <v>1350</v>
      </c>
      <c r="D492" s="52">
        <v>607.92</v>
      </c>
      <c r="E492" s="52">
        <v>658.0</v>
      </c>
      <c r="F492" s="110"/>
      <c r="G492" s="95">
        <f t="shared" si="8"/>
        <v>0.08237926043</v>
      </c>
      <c r="H492" s="122"/>
      <c r="I492" s="20"/>
      <c r="J492" s="115">
        <v>30.0</v>
      </c>
      <c r="K492" s="115">
        <v>120.0</v>
      </c>
      <c r="L492" s="93"/>
      <c r="M492" s="93"/>
      <c r="N492" s="93"/>
      <c r="O492" s="56"/>
      <c r="P492" s="56"/>
      <c r="Q492" s="56"/>
      <c r="R492" s="56"/>
      <c r="S492" s="56"/>
      <c r="T492" s="56"/>
      <c r="U492" s="56"/>
      <c r="V492" s="56"/>
    </row>
    <row r="493" ht="18.75" customHeight="1">
      <c r="A493" s="90">
        <v>15.0</v>
      </c>
      <c r="B493" s="111" t="s">
        <v>1352</v>
      </c>
      <c r="C493" s="118" t="s">
        <v>731</v>
      </c>
      <c r="D493" s="52">
        <v>391.68</v>
      </c>
      <c r="E493" s="52">
        <v>424.0</v>
      </c>
      <c r="F493" s="110"/>
      <c r="G493" s="95">
        <f t="shared" si="8"/>
        <v>0.08251633987</v>
      </c>
      <c r="H493" s="122"/>
      <c r="I493" s="20"/>
      <c r="J493" s="115">
        <v>66.0</v>
      </c>
      <c r="K493" s="115">
        <v>198.0</v>
      </c>
      <c r="L493" s="93"/>
      <c r="M493" s="93"/>
      <c r="N493" s="93"/>
      <c r="O493" s="56"/>
      <c r="P493" s="56"/>
      <c r="Q493" s="56"/>
      <c r="R493" s="56"/>
      <c r="S493" s="56"/>
      <c r="T493" s="56"/>
      <c r="U493" s="56"/>
      <c r="V493" s="56"/>
    </row>
    <row r="494" ht="18.75" customHeight="1">
      <c r="A494" s="90"/>
      <c r="B494" s="126"/>
      <c r="C494" s="129"/>
      <c r="D494" s="151"/>
      <c r="E494" s="109"/>
      <c r="F494" s="110"/>
      <c r="G494" s="95" t="str">
        <f t="shared" si="8"/>
        <v/>
      </c>
      <c r="H494" s="96"/>
      <c r="I494" s="20"/>
      <c r="J494" s="115"/>
      <c r="K494" s="115"/>
      <c r="L494" s="93"/>
      <c r="M494" s="93"/>
      <c r="N494" s="93"/>
      <c r="O494" s="56"/>
      <c r="P494" s="56"/>
      <c r="Q494" s="56"/>
      <c r="R494" s="56"/>
      <c r="S494" s="56"/>
      <c r="T494" s="56"/>
      <c r="U494" s="56"/>
      <c r="V494" s="56"/>
    </row>
    <row r="495" ht="18.75" customHeight="1">
      <c r="A495" s="90"/>
      <c r="B495" s="107" t="s">
        <v>1354</v>
      </c>
      <c r="C495" s="108"/>
      <c r="D495" s="109"/>
      <c r="E495" s="181"/>
      <c r="F495" s="110"/>
      <c r="G495" s="95" t="str">
        <f t="shared" si="8"/>
        <v/>
      </c>
      <c r="H495" s="96"/>
      <c r="I495" s="20"/>
      <c r="J495" s="115"/>
      <c r="K495" s="115"/>
      <c r="L495" s="134"/>
      <c r="M495" s="93"/>
      <c r="N495" s="93"/>
      <c r="O495" s="56"/>
      <c r="P495" s="56"/>
      <c r="Q495" s="56"/>
      <c r="R495" s="56"/>
      <c r="S495" s="56"/>
      <c r="T495" s="56"/>
      <c r="U495" s="56"/>
      <c r="V495" s="56"/>
    </row>
    <row r="496" ht="18.75" customHeight="1">
      <c r="A496" s="90">
        <v>1.0</v>
      </c>
      <c r="B496" s="111" t="s">
        <v>1356</v>
      </c>
      <c r="C496" s="112" t="s">
        <v>798</v>
      </c>
      <c r="D496" s="52">
        <v>226.0</v>
      </c>
      <c r="E496" s="52">
        <v>244.0</v>
      </c>
      <c r="F496" s="189"/>
      <c r="G496" s="95">
        <f t="shared" si="8"/>
        <v>0.0796460177</v>
      </c>
      <c r="H496" s="114"/>
      <c r="I496" s="20"/>
      <c r="J496" s="115">
        <v>108.0</v>
      </c>
      <c r="K496" s="115">
        <v>324.0</v>
      </c>
      <c r="L496" s="120"/>
      <c r="M496" s="93"/>
      <c r="N496" s="93"/>
      <c r="O496" s="56"/>
      <c r="P496" s="56"/>
      <c r="Q496" s="56"/>
      <c r="R496" s="56"/>
      <c r="S496" s="56"/>
      <c r="T496" s="56"/>
      <c r="U496" s="56"/>
      <c r="V496" s="56"/>
    </row>
    <row r="497" ht="18.75" customHeight="1">
      <c r="A497" s="90"/>
      <c r="B497" s="111" t="s">
        <v>1353</v>
      </c>
      <c r="C497" s="118" t="s">
        <v>748</v>
      </c>
      <c r="D497" s="52">
        <v>238.0</v>
      </c>
      <c r="E497" s="52">
        <v>256.0</v>
      </c>
      <c r="F497" s="189"/>
      <c r="G497" s="95">
        <f t="shared" si="8"/>
        <v>0.0756302521</v>
      </c>
      <c r="H497" s="114"/>
      <c r="I497" s="20"/>
      <c r="J497" s="115"/>
      <c r="K497" s="115"/>
      <c r="L497" s="120"/>
      <c r="M497" s="93"/>
      <c r="N497" s="93"/>
      <c r="O497" s="56"/>
      <c r="P497" s="56"/>
      <c r="Q497" s="56"/>
      <c r="R497" s="56"/>
      <c r="S497" s="56"/>
      <c r="T497" s="56"/>
      <c r="U497" s="56"/>
      <c r="V497" s="56"/>
    </row>
    <row r="498" ht="18.75" customHeight="1">
      <c r="A498" s="90">
        <v>2.0</v>
      </c>
      <c r="B498" s="111" t="s">
        <v>1360</v>
      </c>
      <c r="C498" s="118" t="s">
        <v>803</v>
      </c>
      <c r="D498" s="52">
        <v>296.0</v>
      </c>
      <c r="E498" s="52">
        <v>322.0</v>
      </c>
      <c r="F498" s="189"/>
      <c r="G498" s="95">
        <f t="shared" si="8"/>
        <v>0.08783783784</v>
      </c>
      <c r="H498" s="114"/>
      <c r="I498" s="20"/>
      <c r="J498" s="115">
        <v>54.0</v>
      </c>
      <c r="K498" s="115">
        <v>216.0</v>
      </c>
      <c r="L498" s="120"/>
      <c r="M498" s="93"/>
      <c r="N498" s="93"/>
      <c r="O498" s="56"/>
      <c r="P498" s="56"/>
      <c r="Q498" s="56"/>
      <c r="R498" s="56"/>
      <c r="S498" s="56"/>
      <c r="T498" s="56"/>
      <c r="U498" s="56"/>
      <c r="V498" s="56"/>
    </row>
    <row r="499" ht="18.75" customHeight="1">
      <c r="A499" s="90"/>
      <c r="B499" s="111" t="s">
        <v>1362</v>
      </c>
      <c r="C499" s="118" t="s">
        <v>1363</v>
      </c>
      <c r="D499" s="52">
        <v>311.8752</v>
      </c>
      <c r="E499" s="52">
        <v>338.0</v>
      </c>
      <c r="F499" s="189"/>
      <c r="G499" s="95">
        <f t="shared" si="8"/>
        <v>0.08376684007</v>
      </c>
      <c r="H499" s="114"/>
      <c r="I499" s="20"/>
      <c r="J499" s="115">
        <v>46.0</v>
      </c>
      <c r="K499" s="115">
        <v>184.0</v>
      </c>
      <c r="L499" s="120"/>
      <c r="M499" s="93"/>
      <c r="N499" s="93"/>
      <c r="O499" s="56"/>
      <c r="P499" s="56"/>
      <c r="Q499" s="56"/>
      <c r="R499" s="56"/>
      <c r="S499" s="56"/>
      <c r="T499" s="56"/>
      <c r="U499" s="56"/>
      <c r="V499" s="56"/>
    </row>
    <row r="500" ht="18.75" customHeight="1">
      <c r="A500" s="90">
        <v>3.0</v>
      </c>
      <c r="B500" s="111" t="s">
        <v>1365</v>
      </c>
      <c r="C500" s="118" t="s">
        <v>363</v>
      </c>
      <c r="D500" s="52">
        <v>271.5648</v>
      </c>
      <c r="E500" s="52">
        <v>294.0</v>
      </c>
      <c r="F500" s="189"/>
      <c r="G500" s="95">
        <f t="shared" si="8"/>
        <v>0.0826145362</v>
      </c>
      <c r="H500" s="122"/>
      <c r="I500" s="20"/>
      <c r="J500" s="115">
        <v>66.0</v>
      </c>
      <c r="K500" s="115">
        <v>198.0</v>
      </c>
      <c r="L500" s="120"/>
      <c r="M500" s="93"/>
      <c r="N500" s="93"/>
      <c r="O500" s="56"/>
      <c r="P500" s="56"/>
      <c r="Q500" s="56"/>
      <c r="R500" s="56"/>
      <c r="S500" s="56"/>
      <c r="T500" s="56"/>
      <c r="U500" s="56"/>
      <c r="V500" s="56"/>
    </row>
    <row r="501" ht="18.75" customHeight="1">
      <c r="A501" s="90">
        <v>4.0</v>
      </c>
      <c r="B501" s="111" t="s">
        <v>1368</v>
      </c>
      <c r="C501" s="118" t="s">
        <v>378</v>
      </c>
      <c r="D501" s="52">
        <v>456.0</v>
      </c>
      <c r="E501" s="52">
        <v>492.0</v>
      </c>
      <c r="F501" s="189"/>
      <c r="G501" s="95">
        <f t="shared" si="8"/>
        <v>0.07894736842</v>
      </c>
      <c r="H501" s="122"/>
      <c r="I501" s="20"/>
      <c r="J501" s="115">
        <v>24.0</v>
      </c>
      <c r="K501" s="115">
        <v>96.0</v>
      </c>
      <c r="L501" s="120"/>
      <c r="M501" s="93"/>
      <c r="N501" s="93"/>
      <c r="O501" s="56"/>
      <c r="P501" s="56"/>
      <c r="Q501" s="56"/>
      <c r="R501" s="56"/>
      <c r="S501" s="56"/>
      <c r="T501" s="56"/>
      <c r="U501" s="56"/>
      <c r="V501" s="56"/>
    </row>
    <row r="502" ht="18.75" customHeight="1">
      <c r="A502" s="90">
        <v>5.0</v>
      </c>
      <c r="B502" s="111" t="s">
        <v>1369</v>
      </c>
      <c r="C502" s="118" t="s">
        <v>416</v>
      </c>
      <c r="D502" s="52">
        <v>313.99679999999995</v>
      </c>
      <c r="E502" s="52">
        <v>338.0</v>
      </c>
      <c r="F502" s="189"/>
      <c r="G502" s="95">
        <f t="shared" si="8"/>
        <v>0.07644409115</v>
      </c>
      <c r="H502" s="114"/>
      <c r="I502" s="20"/>
      <c r="J502" s="115">
        <v>30.0</v>
      </c>
      <c r="K502" s="115">
        <v>120.0</v>
      </c>
      <c r="L502" s="120"/>
      <c r="M502" s="93"/>
      <c r="N502" s="93"/>
      <c r="O502" s="56"/>
      <c r="P502" s="56"/>
      <c r="Q502" s="56"/>
      <c r="R502" s="56"/>
      <c r="S502" s="56"/>
      <c r="T502" s="56"/>
      <c r="U502" s="56"/>
      <c r="V502" s="56"/>
    </row>
    <row r="503" ht="18.75" customHeight="1">
      <c r="A503" s="90">
        <v>6.0</v>
      </c>
      <c r="B503" s="111" t="s">
        <v>1370</v>
      </c>
      <c r="C503" s="118" t="s">
        <v>419</v>
      </c>
      <c r="D503" s="52">
        <v>625.8720000000001</v>
      </c>
      <c r="E503" s="52">
        <v>676.0</v>
      </c>
      <c r="F503" s="189"/>
      <c r="G503" s="95">
        <f t="shared" si="8"/>
        <v>0.08009305417</v>
      </c>
      <c r="H503" s="114"/>
      <c r="I503" s="20"/>
      <c r="J503" s="115">
        <v>13.0</v>
      </c>
      <c r="K503" s="115">
        <v>52.0</v>
      </c>
      <c r="L503" s="120"/>
      <c r="M503" s="93"/>
      <c r="N503" s="93"/>
      <c r="O503" s="56"/>
      <c r="P503" s="56"/>
      <c r="Q503" s="56"/>
      <c r="R503" s="56"/>
      <c r="S503" s="56"/>
      <c r="T503" s="56"/>
      <c r="U503" s="56"/>
      <c r="V503" s="56"/>
    </row>
    <row r="504" ht="18.75" customHeight="1">
      <c r="A504" s="90">
        <v>7.0</v>
      </c>
      <c r="B504" s="111" t="s">
        <v>1372</v>
      </c>
      <c r="C504" s="118" t="s">
        <v>1335</v>
      </c>
      <c r="D504" s="52">
        <v>574.0</v>
      </c>
      <c r="E504" s="52">
        <v>622.0</v>
      </c>
      <c r="F504" s="189"/>
      <c r="G504" s="95">
        <f t="shared" si="8"/>
        <v>0.08362369338</v>
      </c>
      <c r="H504" s="114"/>
      <c r="I504" s="20"/>
      <c r="J504" s="115">
        <v>30.0</v>
      </c>
      <c r="K504" s="115">
        <v>120.0</v>
      </c>
      <c r="L504" s="120"/>
      <c r="M504" s="93"/>
      <c r="N504" s="93"/>
      <c r="O504" s="56"/>
      <c r="P504" s="56"/>
      <c r="Q504" s="56"/>
      <c r="R504" s="56"/>
      <c r="S504" s="56"/>
      <c r="T504" s="56"/>
      <c r="U504" s="56"/>
      <c r="V504" s="56"/>
    </row>
    <row r="505" ht="18.75" customHeight="1">
      <c r="A505" s="90">
        <v>8.0</v>
      </c>
      <c r="B505" s="111" t="s">
        <v>1375</v>
      </c>
      <c r="C505" s="118" t="s">
        <v>1376</v>
      </c>
      <c r="D505" s="52">
        <v>646.0</v>
      </c>
      <c r="E505" s="52">
        <v>698.0</v>
      </c>
      <c r="F505" s="189"/>
      <c r="G505" s="95">
        <f t="shared" si="8"/>
        <v>0.08049535604</v>
      </c>
      <c r="H505" s="114"/>
      <c r="I505" s="20"/>
      <c r="J505" s="115">
        <v>13.0</v>
      </c>
      <c r="K505" s="115">
        <v>52.0</v>
      </c>
      <c r="L505" s="120"/>
      <c r="M505" s="93"/>
      <c r="N505" s="93"/>
      <c r="O505" s="56"/>
      <c r="P505" s="56"/>
      <c r="Q505" s="56"/>
      <c r="R505" s="56"/>
      <c r="S505" s="56"/>
      <c r="T505" s="56"/>
      <c r="U505" s="56"/>
      <c r="V505" s="56"/>
    </row>
    <row r="506" ht="18.75" customHeight="1">
      <c r="A506" s="90"/>
      <c r="B506" s="111" t="s">
        <v>1378</v>
      </c>
      <c r="C506" s="118" t="s">
        <v>482</v>
      </c>
      <c r="D506" s="52">
        <v>1262.3519999999999</v>
      </c>
      <c r="E506" s="52">
        <v>1364.0</v>
      </c>
      <c r="F506" s="189"/>
      <c r="G506" s="95">
        <f t="shared" si="8"/>
        <v>0.08052270682</v>
      </c>
      <c r="H506" s="114"/>
      <c r="I506" s="20"/>
      <c r="J506" s="120">
        <v>13.0</v>
      </c>
      <c r="K506" s="120">
        <v>52.0</v>
      </c>
      <c r="L506" s="120"/>
      <c r="M506" s="93"/>
      <c r="N506" s="93"/>
      <c r="O506" s="56"/>
      <c r="P506" s="56"/>
      <c r="Q506" s="56"/>
      <c r="R506" s="56"/>
      <c r="S506" s="56"/>
      <c r="T506" s="56"/>
      <c r="U506" s="56"/>
      <c r="V506" s="56"/>
    </row>
    <row r="507" ht="18.75" customHeight="1">
      <c r="A507" s="90"/>
      <c r="B507" s="111" t="s">
        <v>1379</v>
      </c>
      <c r="C507" s="118" t="s">
        <v>502</v>
      </c>
      <c r="D507" s="52">
        <v>1208.0</v>
      </c>
      <c r="E507" s="52">
        <v>1306.0</v>
      </c>
      <c r="F507" s="189"/>
      <c r="G507" s="95">
        <f t="shared" si="8"/>
        <v>0.08112582781</v>
      </c>
      <c r="H507" s="114"/>
      <c r="I507" s="20"/>
      <c r="J507" s="120">
        <v>13.0</v>
      </c>
      <c r="K507" s="120">
        <v>52.0</v>
      </c>
      <c r="L507" s="120"/>
      <c r="M507" s="93"/>
      <c r="N507" s="93"/>
      <c r="O507" s="56"/>
      <c r="P507" s="56"/>
      <c r="Q507" s="56"/>
      <c r="R507" s="56"/>
      <c r="S507" s="56"/>
      <c r="T507" s="56"/>
      <c r="U507" s="56"/>
      <c r="V507" s="56"/>
    </row>
    <row r="508" ht="18.75" customHeight="1">
      <c r="A508" s="90"/>
      <c r="B508" s="111" t="s">
        <v>1280</v>
      </c>
      <c r="C508" s="111" t="s">
        <v>523</v>
      </c>
      <c r="D508" s="52">
        <v>1888.0</v>
      </c>
      <c r="E508" s="52">
        <v>2038.0</v>
      </c>
      <c r="F508" s="189"/>
      <c r="G508" s="95">
        <f t="shared" si="8"/>
        <v>0.07944915254</v>
      </c>
      <c r="H508" s="114"/>
      <c r="I508" s="20"/>
      <c r="J508" s="120"/>
      <c r="K508" s="120"/>
      <c r="L508" s="120"/>
      <c r="M508" s="93"/>
      <c r="N508" s="93"/>
      <c r="O508" s="56"/>
      <c r="P508" s="56"/>
      <c r="Q508" s="56"/>
      <c r="R508" s="56"/>
      <c r="S508" s="56"/>
      <c r="T508" s="56"/>
      <c r="U508" s="56"/>
      <c r="V508" s="56"/>
    </row>
    <row r="509" ht="18.75" customHeight="1">
      <c r="A509" s="90">
        <v>9.0</v>
      </c>
      <c r="B509" s="111" t="s">
        <v>1384</v>
      </c>
      <c r="C509" s="118" t="s">
        <v>820</v>
      </c>
      <c r="D509" s="52">
        <v>1582.0</v>
      </c>
      <c r="E509" s="52">
        <v>1708.0</v>
      </c>
      <c r="F509" s="194"/>
      <c r="G509" s="95">
        <f t="shared" si="8"/>
        <v>0.0796460177</v>
      </c>
      <c r="H509" s="114"/>
      <c r="I509" s="20"/>
      <c r="J509" s="115">
        <v>6.0</v>
      </c>
      <c r="K509" s="115">
        <v>24.0</v>
      </c>
      <c r="L509" s="120"/>
      <c r="M509" s="93"/>
      <c r="N509" s="93"/>
      <c r="O509" s="56"/>
      <c r="P509" s="56"/>
      <c r="Q509" s="56"/>
      <c r="R509" s="56"/>
      <c r="S509" s="56"/>
      <c r="T509" s="56"/>
      <c r="U509" s="56"/>
      <c r="V509" s="56"/>
    </row>
    <row r="510" ht="18.75" customHeight="1">
      <c r="A510" s="90">
        <v>10.0</v>
      </c>
      <c r="B510" s="111" t="s">
        <v>1387</v>
      </c>
      <c r="C510" s="118" t="s">
        <v>395</v>
      </c>
      <c r="D510" s="52">
        <v>236.0</v>
      </c>
      <c r="E510" s="52">
        <v>256.0</v>
      </c>
      <c r="F510" s="189"/>
      <c r="G510" s="95">
        <f t="shared" si="8"/>
        <v>0.08474576271</v>
      </c>
      <c r="H510" s="122"/>
      <c r="I510" s="20"/>
      <c r="J510" s="115">
        <v>90.0</v>
      </c>
      <c r="K510" s="115">
        <v>270.0</v>
      </c>
      <c r="L510" s="120"/>
      <c r="M510" s="93"/>
      <c r="N510" s="93"/>
      <c r="O510" s="56"/>
      <c r="P510" s="56"/>
      <c r="Q510" s="56"/>
      <c r="R510" s="56"/>
      <c r="S510" s="56"/>
      <c r="T510" s="56"/>
      <c r="U510" s="56"/>
      <c r="V510" s="56"/>
    </row>
    <row r="511" ht="18.75" customHeight="1">
      <c r="A511" s="90">
        <v>11.0</v>
      </c>
      <c r="B511" s="111" t="s">
        <v>1389</v>
      </c>
      <c r="C511" s="118" t="s">
        <v>829</v>
      </c>
      <c r="D511" s="52">
        <v>422.1984</v>
      </c>
      <c r="E511" s="52">
        <v>456.0</v>
      </c>
      <c r="F511" s="189"/>
      <c r="G511" s="95">
        <f t="shared" si="8"/>
        <v>0.08006093818</v>
      </c>
      <c r="H511" s="122"/>
      <c r="I511" s="20"/>
      <c r="J511" s="115">
        <v>30.0</v>
      </c>
      <c r="K511" s="115">
        <v>120.0</v>
      </c>
      <c r="L511" s="120"/>
      <c r="M511" s="93"/>
      <c r="N511" s="93"/>
      <c r="O511" s="56"/>
      <c r="P511" s="56"/>
      <c r="Q511" s="56"/>
      <c r="R511" s="56"/>
      <c r="S511" s="56"/>
      <c r="T511" s="56"/>
      <c r="U511" s="56"/>
      <c r="V511" s="56"/>
    </row>
    <row r="512" ht="18.75" customHeight="1">
      <c r="A512" s="90">
        <v>12.0</v>
      </c>
      <c r="B512" s="111" t="s">
        <v>1391</v>
      </c>
      <c r="C512" s="118" t="s">
        <v>1392</v>
      </c>
      <c r="D512" s="52">
        <v>594.048</v>
      </c>
      <c r="E512" s="52">
        <v>642.0</v>
      </c>
      <c r="F512" s="189"/>
      <c r="G512" s="95">
        <f t="shared" si="8"/>
        <v>0.08072074984</v>
      </c>
      <c r="H512" s="114"/>
      <c r="I512" s="20"/>
      <c r="J512" s="115">
        <v>30.0</v>
      </c>
      <c r="K512" s="115">
        <v>120.0</v>
      </c>
      <c r="L512" s="120"/>
      <c r="M512" s="93"/>
      <c r="N512" s="93"/>
      <c r="O512" s="56"/>
      <c r="P512" s="56"/>
      <c r="Q512" s="56"/>
      <c r="R512" s="56"/>
      <c r="S512" s="56"/>
      <c r="T512" s="56"/>
      <c r="U512" s="56"/>
      <c r="V512" s="56"/>
    </row>
    <row r="513" ht="18.75" customHeight="1">
      <c r="A513" s="90">
        <v>13.0</v>
      </c>
      <c r="B513" s="123" t="s">
        <v>1394</v>
      </c>
      <c r="C513" s="124" t="s">
        <v>1395</v>
      </c>
      <c r="D513" s="125">
        <v>362.0</v>
      </c>
      <c r="E513" s="52">
        <v>392.0</v>
      </c>
      <c r="F513" s="189"/>
      <c r="G513" s="95">
        <f t="shared" si="8"/>
        <v>0.08287292818</v>
      </c>
      <c r="H513" s="122"/>
      <c r="I513" s="20"/>
      <c r="J513" s="115">
        <v>66.0</v>
      </c>
      <c r="K513" s="115">
        <v>198.0</v>
      </c>
      <c r="L513" s="120"/>
      <c r="M513" s="93"/>
      <c r="N513" s="93"/>
      <c r="O513" s="56"/>
      <c r="P513" s="56"/>
      <c r="Q513" s="56"/>
      <c r="R513" s="56"/>
      <c r="S513" s="56"/>
      <c r="T513" s="56"/>
      <c r="U513" s="56"/>
      <c r="V513" s="56"/>
    </row>
    <row r="514" ht="18.75" customHeight="1">
      <c r="A514" s="90"/>
      <c r="B514" s="175"/>
      <c r="C514" s="150"/>
      <c r="D514" s="151"/>
      <c r="E514" s="109"/>
      <c r="F514" s="110"/>
      <c r="G514" s="95" t="str">
        <f t="shared" si="8"/>
        <v/>
      </c>
      <c r="H514" s="122"/>
      <c r="I514" s="20"/>
      <c r="J514" s="115"/>
      <c r="K514" s="115"/>
      <c r="L514" s="93"/>
      <c r="M514" s="93"/>
      <c r="N514" s="93"/>
      <c r="O514" s="56"/>
      <c r="P514" s="56"/>
      <c r="Q514" s="56"/>
      <c r="R514" s="56"/>
      <c r="S514" s="56"/>
      <c r="T514" s="56"/>
      <c r="U514" s="56"/>
      <c r="V514" s="56"/>
    </row>
    <row r="515" ht="18.75" customHeight="1">
      <c r="A515" s="90"/>
      <c r="B515" s="107" t="s">
        <v>1398</v>
      </c>
      <c r="C515" s="162"/>
      <c r="D515" s="109"/>
      <c r="E515" s="181"/>
      <c r="F515" s="110"/>
      <c r="G515" s="95" t="str">
        <f>IFERROR(DIVIDE(MINUS(E515,#REF!),#REF!),)</f>
        <v/>
      </c>
      <c r="H515" s="96"/>
      <c r="I515" s="20"/>
      <c r="J515" s="115"/>
      <c r="K515" s="115"/>
      <c r="L515" s="93"/>
      <c r="M515" s="93"/>
      <c r="N515" s="93"/>
      <c r="O515" s="56"/>
      <c r="P515" s="56"/>
      <c r="Q515" s="56"/>
      <c r="R515" s="56"/>
      <c r="S515" s="56"/>
      <c r="T515" s="56"/>
      <c r="U515" s="56"/>
      <c r="V515" s="56"/>
    </row>
    <row r="516" ht="18.75" customHeight="1">
      <c r="A516" s="90"/>
      <c r="B516" s="111" t="s">
        <v>1401</v>
      </c>
      <c r="C516" s="118" t="s">
        <v>798</v>
      </c>
      <c r="D516" s="52">
        <v>226.0</v>
      </c>
      <c r="E516" s="52">
        <v>244.0</v>
      </c>
      <c r="F516" s="110"/>
      <c r="G516" s="95">
        <f t="shared" ref="G516:G533" si="9">IFERROR(DIVIDE(MINUS(E516,D516),D516),)</f>
        <v>0.0796460177</v>
      </c>
      <c r="H516" s="122"/>
      <c r="I516" s="20"/>
      <c r="J516" s="120">
        <v>66.0</v>
      </c>
      <c r="K516" s="120">
        <v>198.0</v>
      </c>
      <c r="L516" s="93"/>
      <c r="M516" s="93"/>
      <c r="N516" s="93"/>
      <c r="O516" s="56"/>
      <c r="P516" s="56"/>
      <c r="Q516" s="56"/>
      <c r="R516" s="56"/>
      <c r="S516" s="56"/>
      <c r="T516" s="56"/>
      <c r="U516" s="56"/>
      <c r="V516" s="56"/>
    </row>
    <row r="517" ht="18.75" customHeight="1">
      <c r="A517" s="90"/>
      <c r="B517" s="111" t="s">
        <v>1382</v>
      </c>
      <c r="C517" s="118" t="s">
        <v>748</v>
      </c>
      <c r="D517" s="52">
        <v>238.0</v>
      </c>
      <c r="E517" s="52">
        <v>258.0</v>
      </c>
      <c r="F517" s="110"/>
      <c r="G517" s="95">
        <f t="shared" si="9"/>
        <v>0.08403361345</v>
      </c>
      <c r="H517" s="122"/>
      <c r="I517" s="20"/>
      <c r="J517" s="120"/>
      <c r="K517" s="120"/>
      <c r="L517" s="93"/>
      <c r="M517" s="93"/>
      <c r="N517" s="93"/>
      <c r="O517" s="56"/>
      <c r="P517" s="56"/>
      <c r="Q517" s="56"/>
      <c r="R517" s="56"/>
      <c r="S517" s="56"/>
      <c r="T517" s="56"/>
      <c r="U517" s="56"/>
      <c r="V517" s="56"/>
    </row>
    <row r="518" ht="18.75" customHeight="1">
      <c r="A518" s="90"/>
      <c r="B518" s="111" t="s">
        <v>1405</v>
      </c>
      <c r="C518" s="118" t="s">
        <v>803</v>
      </c>
      <c r="D518" s="52">
        <v>296.0</v>
      </c>
      <c r="E518" s="52">
        <v>318.0</v>
      </c>
      <c r="F518" s="110"/>
      <c r="G518" s="95">
        <f t="shared" si="9"/>
        <v>0.07432432432</v>
      </c>
      <c r="H518" s="122"/>
      <c r="I518" s="20"/>
      <c r="J518" s="120">
        <v>54.0</v>
      </c>
      <c r="K518" s="120">
        <v>216.0</v>
      </c>
      <c r="L518" s="93"/>
      <c r="M518" s="93"/>
      <c r="N518" s="93"/>
      <c r="O518" s="56"/>
      <c r="P518" s="56"/>
      <c r="Q518" s="56"/>
      <c r="R518" s="56"/>
      <c r="S518" s="56"/>
      <c r="T518" s="56"/>
      <c r="U518" s="56"/>
      <c r="V518" s="56"/>
    </row>
    <row r="519" ht="18.75" customHeight="1">
      <c r="A519" s="90"/>
      <c r="B519" s="111" t="s">
        <v>1407</v>
      </c>
      <c r="C519" s="118" t="s">
        <v>363</v>
      </c>
      <c r="D519" s="52">
        <v>271.5648</v>
      </c>
      <c r="E519" s="52">
        <v>294.0</v>
      </c>
      <c r="F519" s="110"/>
      <c r="G519" s="95">
        <f t="shared" si="9"/>
        <v>0.0826145362</v>
      </c>
      <c r="H519" s="122"/>
      <c r="I519" s="20"/>
      <c r="J519" s="120">
        <v>66.0</v>
      </c>
      <c r="K519" s="120">
        <v>198.0</v>
      </c>
      <c r="L519" s="93"/>
      <c r="M519" s="93"/>
      <c r="N519" s="93"/>
      <c r="O519" s="56"/>
      <c r="P519" s="56"/>
      <c r="Q519" s="56"/>
      <c r="R519" s="56"/>
      <c r="S519" s="56"/>
      <c r="T519" s="56"/>
      <c r="U519" s="56"/>
      <c r="V519" s="56"/>
    </row>
    <row r="520" ht="18.75" customHeight="1">
      <c r="A520" s="90"/>
      <c r="B520" s="111" t="s">
        <v>1409</v>
      </c>
      <c r="C520" s="118" t="s">
        <v>378</v>
      </c>
      <c r="D520" s="52">
        <v>456.0</v>
      </c>
      <c r="E520" s="52">
        <v>492.0</v>
      </c>
      <c r="F520" s="110"/>
      <c r="G520" s="95">
        <f t="shared" si="9"/>
        <v>0.07894736842</v>
      </c>
      <c r="H520" s="122"/>
      <c r="I520" s="20"/>
      <c r="J520" s="120">
        <v>24.0</v>
      </c>
      <c r="K520" s="120">
        <v>96.0</v>
      </c>
      <c r="L520" s="93"/>
      <c r="M520" s="93"/>
      <c r="N520" s="93"/>
      <c r="O520" s="56"/>
      <c r="P520" s="56"/>
      <c r="Q520" s="56"/>
      <c r="R520" s="56"/>
      <c r="S520" s="56"/>
      <c r="T520" s="56"/>
      <c r="U520" s="56"/>
      <c r="V520" s="56"/>
    </row>
    <row r="521" ht="18.75" customHeight="1">
      <c r="A521" s="90"/>
      <c r="B521" s="111" t="s">
        <v>1410</v>
      </c>
      <c r="C521" s="118" t="s">
        <v>416</v>
      </c>
      <c r="D521" s="52">
        <v>313.99679999999995</v>
      </c>
      <c r="E521" s="52">
        <v>338.0</v>
      </c>
      <c r="F521" s="110"/>
      <c r="G521" s="95">
        <f t="shared" si="9"/>
        <v>0.07644409115</v>
      </c>
      <c r="H521" s="122"/>
      <c r="I521" s="20"/>
      <c r="J521" s="120">
        <v>30.0</v>
      </c>
      <c r="K521" s="120">
        <v>120.0</v>
      </c>
      <c r="L521" s="93"/>
      <c r="M521" s="93"/>
      <c r="N521" s="93"/>
      <c r="O521" s="56"/>
      <c r="P521" s="56"/>
      <c r="Q521" s="56"/>
      <c r="R521" s="56"/>
      <c r="S521" s="56"/>
      <c r="T521" s="56"/>
      <c r="U521" s="56"/>
      <c r="V521" s="56"/>
    </row>
    <row r="522" ht="18.75" customHeight="1">
      <c r="A522" s="90"/>
      <c r="B522" s="111" t="s">
        <v>1412</v>
      </c>
      <c r="C522" s="118" t="s">
        <v>419</v>
      </c>
      <c r="D522" s="52">
        <v>625.8720000000001</v>
      </c>
      <c r="E522" s="52">
        <v>676.0</v>
      </c>
      <c r="F522" s="110"/>
      <c r="G522" s="95">
        <f t="shared" si="9"/>
        <v>0.08009305417</v>
      </c>
      <c r="H522" s="122"/>
      <c r="I522" s="20"/>
      <c r="J522" s="120">
        <v>13.0</v>
      </c>
      <c r="K522" s="120">
        <v>52.0</v>
      </c>
      <c r="L522" s="93"/>
      <c r="M522" s="93"/>
      <c r="N522" s="93"/>
      <c r="O522" s="56"/>
      <c r="P522" s="56"/>
      <c r="Q522" s="56"/>
      <c r="R522" s="56"/>
      <c r="S522" s="56"/>
      <c r="T522" s="56"/>
      <c r="U522" s="56"/>
      <c r="V522" s="56"/>
    </row>
    <row r="523" ht="18.75" customHeight="1">
      <c r="A523" s="90"/>
      <c r="B523" s="111" t="s">
        <v>1413</v>
      </c>
      <c r="C523" s="118" t="s">
        <v>1335</v>
      </c>
      <c r="D523" s="52">
        <v>574.0</v>
      </c>
      <c r="E523" s="52">
        <v>622.0</v>
      </c>
      <c r="F523" s="110"/>
      <c r="G523" s="95">
        <f t="shared" si="9"/>
        <v>0.08362369338</v>
      </c>
      <c r="H523" s="122"/>
      <c r="I523" s="20"/>
      <c r="J523" s="120">
        <v>30.0</v>
      </c>
      <c r="K523" s="120">
        <v>120.0</v>
      </c>
      <c r="L523" s="93"/>
      <c r="M523" s="93"/>
      <c r="N523" s="93"/>
      <c r="O523" s="56"/>
      <c r="P523" s="56"/>
      <c r="Q523" s="56"/>
      <c r="R523" s="56"/>
      <c r="S523" s="56"/>
      <c r="T523" s="56"/>
      <c r="U523" s="56"/>
      <c r="V523" s="56"/>
    </row>
    <row r="524" ht="18.75" customHeight="1">
      <c r="A524" s="90"/>
      <c r="B524" s="111" t="s">
        <v>1414</v>
      </c>
      <c r="C524" s="118" t="s">
        <v>1376</v>
      </c>
      <c r="D524" s="52">
        <v>646.0</v>
      </c>
      <c r="E524" s="52">
        <v>698.0</v>
      </c>
      <c r="F524" s="110"/>
      <c r="G524" s="95">
        <f t="shared" si="9"/>
        <v>0.08049535604</v>
      </c>
      <c r="H524" s="122"/>
      <c r="I524" s="20"/>
      <c r="J524" s="120">
        <v>13.0</v>
      </c>
      <c r="K524" s="120">
        <v>52.0</v>
      </c>
      <c r="L524" s="93"/>
      <c r="M524" s="93"/>
      <c r="N524" s="93"/>
      <c r="O524" s="56"/>
      <c r="P524" s="56"/>
      <c r="Q524" s="56"/>
      <c r="R524" s="56"/>
      <c r="S524" s="56"/>
      <c r="T524" s="56"/>
      <c r="U524" s="56"/>
      <c r="V524" s="56"/>
    </row>
    <row r="525" ht="18.75" customHeight="1">
      <c r="A525" s="90"/>
      <c r="B525" s="111" t="s">
        <v>1415</v>
      </c>
      <c r="C525" s="118" t="s">
        <v>482</v>
      </c>
      <c r="D525" s="52">
        <v>1262.3519999999999</v>
      </c>
      <c r="E525" s="52">
        <v>1364.0</v>
      </c>
      <c r="F525" s="110"/>
      <c r="G525" s="95">
        <f t="shared" si="9"/>
        <v>0.08052270682</v>
      </c>
      <c r="H525" s="122"/>
      <c r="I525" s="20"/>
      <c r="J525" s="120">
        <v>13.0</v>
      </c>
      <c r="K525" s="120">
        <v>52.0</v>
      </c>
      <c r="L525" s="93"/>
      <c r="M525" s="93"/>
      <c r="N525" s="93"/>
      <c r="O525" s="56"/>
      <c r="P525" s="56"/>
      <c r="Q525" s="56"/>
      <c r="R525" s="56"/>
      <c r="S525" s="56"/>
      <c r="T525" s="56"/>
      <c r="U525" s="56"/>
      <c r="V525" s="56"/>
    </row>
    <row r="526" ht="18.75" customHeight="1">
      <c r="A526" s="90"/>
      <c r="B526" s="111" t="s">
        <v>1416</v>
      </c>
      <c r="C526" s="118" t="s">
        <v>502</v>
      </c>
      <c r="D526" s="52">
        <v>1208.0</v>
      </c>
      <c r="E526" s="52">
        <v>1306.0</v>
      </c>
      <c r="F526" s="110"/>
      <c r="G526" s="95">
        <f t="shared" si="9"/>
        <v>0.08112582781</v>
      </c>
      <c r="H526" s="122"/>
      <c r="I526" s="20"/>
      <c r="J526" s="120">
        <v>13.0</v>
      </c>
      <c r="K526" s="120">
        <v>52.0</v>
      </c>
      <c r="L526" s="93"/>
      <c r="M526" s="93"/>
      <c r="N526" s="93"/>
      <c r="O526" s="56"/>
      <c r="P526" s="56"/>
      <c r="Q526" s="56"/>
      <c r="R526" s="56"/>
      <c r="S526" s="56"/>
      <c r="T526" s="56"/>
      <c r="U526" s="56"/>
      <c r="V526" s="56"/>
    </row>
    <row r="527" ht="18.75" customHeight="1">
      <c r="A527" s="90"/>
      <c r="B527" s="111" t="s">
        <v>1383</v>
      </c>
      <c r="C527" s="111" t="s">
        <v>523</v>
      </c>
      <c r="D527" s="52">
        <v>1888.0</v>
      </c>
      <c r="E527" s="52">
        <v>2038.0</v>
      </c>
      <c r="F527" s="110"/>
      <c r="G527" s="95">
        <f t="shared" si="9"/>
        <v>0.07944915254</v>
      </c>
      <c r="H527" s="122"/>
      <c r="I527" s="20"/>
      <c r="J527" s="120"/>
      <c r="K527" s="120"/>
      <c r="L527" s="93"/>
      <c r="M527" s="93"/>
      <c r="N527" s="93"/>
      <c r="O527" s="56"/>
      <c r="P527" s="56"/>
      <c r="Q527" s="56"/>
      <c r="R527" s="56"/>
      <c r="S527" s="56"/>
      <c r="T527" s="56"/>
      <c r="U527" s="56"/>
      <c r="V527" s="56"/>
    </row>
    <row r="528" ht="18.75" customHeight="1">
      <c r="A528" s="90"/>
      <c r="B528" s="111" t="s">
        <v>1418</v>
      </c>
      <c r="C528" s="118" t="s">
        <v>1419</v>
      </c>
      <c r="D528" s="52">
        <v>1582.0</v>
      </c>
      <c r="E528" s="52">
        <v>1708.0</v>
      </c>
      <c r="F528" s="110"/>
      <c r="G528" s="95">
        <f t="shared" si="9"/>
        <v>0.0796460177</v>
      </c>
      <c r="H528" s="122"/>
      <c r="I528" s="20"/>
      <c r="J528" s="120">
        <v>6.0</v>
      </c>
      <c r="K528" s="120">
        <v>24.0</v>
      </c>
      <c r="L528" s="93"/>
      <c r="M528" s="93"/>
      <c r="N528" s="93"/>
      <c r="O528" s="56"/>
      <c r="P528" s="56"/>
      <c r="Q528" s="56"/>
      <c r="R528" s="56"/>
      <c r="S528" s="56"/>
      <c r="T528" s="56"/>
      <c r="U528" s="56"/>
      <c r="V528" s="56"/>
    </row>
    <row r="529" ht="18.75" customHeight="1">
      <c r="A529" s="90"/>
      <c r="B529" s="111" t="s">
        <v>1420</v>
      </c>
      <c r="C529" s="118" t="s">
        <v>395</v>
      </c>
      <c r="D529" s="52">
        <v>236.0</v>
      </c>
      <c r="E529" s="52">
        <v>256.0</v>
      </c>
      <c r="F529" s="110"/>
      <c r="G529" s="95">
        <f t="shared" si="9"/>
        <v>0.08474576271</v>
      </c>
      <c r="H529" s="122"/>
      <c r="I529" s="20"/>
      <c r="J529" s="120">
        <v>90.0</v>
      </c>
      <c r="K529" s="120">
        <v>270.0</v>
      </c>
      <c r="L529" s="93"/>
      <c r="M529" s="93"/>
      <c r="N529" s="93"/>
      <c r="O529" s="56"/>
      <c r="P529" s="56"/>
      <c r="Q529" s="56"/>
      <c r="R529" s="56"/>
      <c r="S529" s="56"/>
      <c r="T529" s="56"/>
      <c r="U529" s="56"/>
      <c r="V529" s="56"/>
    </row>
    <row r="530" ht="18.75" customHeight="1">
      <c r="A530" s="90"/>
      <c r="B530" s="111" t="s">
        <v>1422</v>
      </c>
      <c r="C530" s="118" t="s">
        <v>829</v>
      </c>
      <c r="D530" s="52">
        <v>422.1984</v>
      </c>
      <c r="E530" s="52">
        <v>456.0</v>
      </c>
      <c r="F530" s="110"/>
      <c r="G530" s="95">
        <f t="shared" si="9"/>
        <v>0.08006093818</v>
      </c>
      <c r="H530" s="122"/>
      <c r="I530" s="20"/>
      <c r="J530" s="120">
        <v>35.0</v>
      </c>
      <c r="K530" s="120">
        <v>140.0</v>
      </c>
      <c r="L530" s="93"/>
      <c r="M530" s="93"/>
      <c r="N530" s="93"/>
      <c r="O530" s="56"/>
      <c r="P530" s="56"/>
      <c r="Q530" s="56"/>
      <c r="R530" s="56"/>
      <c r="S530" s="56"/>
      <c r="T530" s="56"/>
      <c r="U530" s="56"/>
      <c r="V530" s="56"/>
    </row>
    <row r="531" ht="18.75" customHeight="1">
      <c r="A531" s="90"/>
      <c r="B531" s="111" t="s">
        <v>1424</v>
      </c>
      <c r="C531" s="118" t="s">
        <v>1392</v>
      </c>
      <c r="D531" s="52">
        <v>594.048</v>
      </c>
      <c r="E531" s="52">
        <v>642.0</v>
      </c>
      <c r="F531" s="110"/>
      <c r="G531" s="95">
        <f t="shared" si="9"/>
        <v>0.08072074984</v>
      </c>
      <c r="H531" s="122"/>
      <c r="I531" s="20"/>
      <c r="J531" s="120">
        <v>30.0</v>
      </c>
      <c r="K531" s="120">
        <v>120.0</v>
      </c>
      <c r="L531" s="93"/>
      <c r="M531" s="93"/>
      <c r="N531" s="93"/>
      <c r="O531" s="56"/>
      <c r="P531" s="56"/>
      <c r="Q531" s="56"/>
      <c r="R531" s="56"/>
      <c r="S531" s="56"/>
      <c r="T531" s="56"/>
      <c r="U531" s="56"/>
      <c r="V531" s="56"/>
    </row>
    <row r="532" ht="18.75" customHeight="1">
      <c r="A532" s="90"/>
      <c r="B532" s="111" t="s">
        <v>1425</v>
      </c>
      <c r="C532" s="118" t="s">
        <v>1395</v>
      </c>
      <c r="D532" s="52">
        <v>362.0</v>
      </c>
      <c r="E532" s="52">
        <v>392.0</v>
      </c>
      <c r="F532" s="110"/>
      <c r="G532" s="95">
        <f t="shared" si="9"/>
        <v>0.08287292818</v>
      </c>
      <c r="H532" s="122"/>
      <c r="I532" s="20"/>
      <c r="J532" s="120">
        <v>66.0</v>
      </c>
      <c r="K532" s="120">
        <v>198.0</v>
      </c>
      <c r="L532" s="93"/>
      <c r="M532" s="93"/>
      <c r="N532" s="93"/>
      <c r="O532" s="56"/>
      <c r="P532" s="56"/>
      <c r="Q532" s="56"/>
      <c r="R532" s="56"/>
      <c r="S532" s="56"/>
      <c r="T532" s="56"/>
      <c r="U532" s="56"/>
      <c r="V532" s="56"/>
    </row>
    <row r="533" ht="18.75" customHeight="1">
      <c r="A533" s="90"/>
      <c r="B533" s="126"/>
      <c r="C533" s="129"/>
      <c r="D533" s="132"/>
      <c r="E533" s="109"/>
      <c r="F533" s="110"/>
      <c r="G533" s="95" t="str">
        <f t="shared" si="9"/>
        <v/>
      </c>
      <c r="H533" s="96"/>
      <c r="I533" s="20"/>
      <c r="J533" s="115"/>
      <c r="K533" s="115"/>
      <c r="L533" s="93"/>
      <c r="M533" s="93"/>
      <c r="N533" s="93"/>
      <c r="O533" s="56"/>
      <c r="P533" s="56"/>
      <c r="Q533" s="56"/>
      <c r="R533" s="56"/>
      <c r="S533" s="56"/>
      <c r="T533" s="56"/>
      <c r="U533" s="56"/>
      <c r="V533" s="56"/>
    </row>
    <row r="534" ht="18.75" customHeight="1">
      <c r="A534" s="90"/>
      <c r="B534" s="107" t="s">
        <v>1426</v>
      </c>
      <c r="C534" s="162"/>
      <c r="D534" s="109"/>
      <c r="E534" s="181"/>
      <c r="F534" s="110"/>
      <c r="G534" s="95" t="str">
        <f>IFERROR(DIVIDE(MINUS(E534,#REF!),#REF!),)</f>
        <v/>
      </c>
      <c r="H534" s="96"/>
      <c r="I534" s="20"/>
      <c r="J534" s="115"/>
      <c r="K534" s="115"/>
      <c r="L534" s="93"/>
      <c r="M534" s="93"/>
      <c r="N534" s="93"/>
      <c r="O534" s="56"/>
      <c r="P534" s="56"/>
      <c r="Q534" s="56"/>
      <c r="R534" s="56"/>
      <c r="S534" s="56"/>
      <c r="T534" s="56"/>
      <c r="U534" s="56"/>
      <c r="V534" s="56"/>
    </row>
    <row r="535" ht="18.75" customHeight="1">
      <c r="A535" s="90"/>
      <c r="B535" s="111" t="s">
        <v>1427</v>
      </c>
      <c r="C535" s="118" t="s">
        <v>798</v>
      </c>
      <c r="D535" s="52">
        <v>226.0</v>
      </c>
      <c r="E535" s="52">
        <v>244.0</v>
      </c>
      <c r="F535" s="110"/>
      <c r="G535" s="95">
        <f t="shared" ref="G535:G552" si="10">IFERROR(DIVIDE(MINUS(E535,D535),D535),)</f>
        <v>0.0796460177</v>
      </c>
      <c r="H535" s="122"/>
      <c r="I535" s="20"/>
      <c r="J535" s="120">
        <v>66.0</v>
      </c>
      <c r="K535" s="120">
        <v>198.0</v>
      </c>
      <c r="L535" s="93"/>
      <c r="M535" s="93"/>
      <c r="N535" s="93"/>
      <c r="O535" s="56"/>
      <c r="P535" s="56"/>
      <c r="Q535" s="56"/>
      <c r="R535" s="56"/>
      <c r="S535" s="56"/>
      <c r="T535" s="56"/>
      <c r="U535" s="56"/>
      <c r="V535" s="56"/>
    </row>
    <row r="536" ht="18.75" customHeight="1">
      <c r="A536" s="90"/>
      <c r="B536" s="111" t="s">
        <v>1388</v>
      </c>
      <c r="C536" s="118" t="s">
        <v>748</v>
      </c>
      <c r="D536" s="52">
        <v>238.0</v>
      </c>
      <c r="E536" s="52">
        <v>258.0</v>
      </c>
      <c r="F536" s="110"/>
      <c r="G536" s="95">
        <f t="shared" si="10"/>
        <v>0.08403361345</v>
      </c>
      <c r="H536" s="122"/>
      <c r="I536" s="20"/>
      <c r="J536" s="120"/>
      <c r="K536" s="120"/>
      <c r="L536" s="93"/>
      <c r="M536" s="93"/>
      <c r="N536" s="93"/>
      <c r="O536" s="56"/>
      <c r="P536" s="56"/>
      <c r="Q536" s="56"/>
      <c r="R536" s="56"/>
      <c r="S536" s="56"/>
      <c r="T536" s="56"/>
      <c r="U536" s="56"/>
      <c r="V536" s="56"/>
    </row>
    <row r="537" ht="18.75" customHeight="1">
      <c r="A537" s="90"/>
      <c r="B537" s="111" t="s">
        <v>1432</v>
      </c>
      <c r="C537" s="118" t="s">
        <v>803</v>
      </c>
      <c r="D537" s="52">
        <v>296.0</v>
      </c>
      <c r="E537" s="52">
        <v>318.0</v>
      </c>
      <c r="F537" s="110"/>
      <c r="G537" s="95">
        <f t="shared" si="10"/>
        <v>0.07432432432</v>
      </c>
      <c r="H537" s="122"/>
      <c r="I537" s="20"/>
      <c r="J537" s="120">
        <v>46.0</v>
      </c>
      <c r="K537" s="120">
        <v>184.0</v>
      </c>
      <c r="L537" s="93"/>
      <c r="M537" s="93"/>
      <c r="N537" s="93"/>
      <c r="O537" s="56"/>
      <c r="P537" s="56"/>
      <c r="Q537" s="56"/>
      <c r="R537" s="56"/>
      <c r="S537" s="56"/>
      <c r="T537" s="56"/>
      <c r="U537" s="56"/>
      <c r="V537" s="56"/>
    </row>
    <row r="538" ht="18.75" customHeight="1">
      <c r="A538" s="90"/>
      <c r="B538" s="111" t="s">
        <v>1433</v>
      </c>
      <c r="C538" s="118" t="s">
        <v>363</v>
      </c>
      <c r="D538" s="52">
        <v>271.5648</v>
      </c>
      <c r="E538" s="52">
        <v>294.0</v>
      </c>
      <c r="F538" s="110"/>
      <c r="G538" s="95">
        <f t="shared" si="10"/>
        <v>0.0826145362</v>
      </c>
      <c r="H538" s="122"/>
      <c r="I538" s="20"/>
      <c r="J538" s="120">
        <v>66.0</v>
      </c>
      <c r="K538" s="120">
        <v>198.0</v>
      </c>
      <c r="L538" s="93"/>
      <c r="M538" s="93"/>
      <c r="N538" s="93"/>
      <c r="O538" s="56"/>
      <c r="P538" s="56"/>
      <c r="Q538" s="56"/>
      <c r="R538" s="56"/>
      <c r="S538" s="56"/>
      <c r="T538" s="56"/>
      <c r="U538" s="56"/>
      <c r="V538" s="56"/>
    </row>
    <row r="539" ht="18.75" customHeight="1">
      <c r="A539" s="90"/>
      <c r="B539" s="111" t="s">
        <v>1434</v>
      </c>
      <c r="C539" s="118" t="s">
        <v>378</v>
      </c>
      <c r="D539" s="52">
        <v>456.0</v>
      </c>
      <c r="E539" s="52">
        <v>492.0</v>
      </c>
      <c r="F539" s="110"/>
      <c r="G539" s="95">
        <f t="shared" si="10"/>
        <v>0.07894736842</v>
      </c>
      <c r="H539" s="122"/>
      <c r="I539" s="20"/>
      <c r="J539" s="120">
        <v>24.0</v>
      </c>
      <c r="K539" s="120">
        <v>96.0</v>
      </c>
      <c r="L539" s="93"/>
      <c r="M539" s="93"/>
      <c r="N539" s="93"/>
      <c r="O539" s="56"/>
      <c r="P539" s="56"/>
      <c r="Q539" s="56"/>
      <c r="R539" s="56"/>
      <c r="S539" s="56"/>
      <c r="T539" s="56"/>
      <c r="U539" s="56"/>
      <c r="V539" s="56"/>
    </row>
    <row r="540" ht="18.75" customHeight="1">
      <c r="A540" s="90"/>
      <c r="B540" s="111" t="s">
        <v>1435</v>
      </c>
      <c r="C540" s="118" t="s">
        <v>416</v>
      </c>
      <c r="D540" s="52">
        <v>313.99679999999995</v>
      </c>
      <c r="E540" s="52">
        <v>338.0</v>
      </c>
      <c r="F540" s="110"/>
      <c r="G540" s="95">
        <f t="shared" si="10"/>
        <v>0.07644409115</v>
      </c>
      <c r="H540" s="122"/>
      <c r="I540" s="20"/>
      <c r="J540" s="120">
        <v>30.0</v>
      </c>
      <c r="K540" s="120">
        <v>120.0</v>
      </c>
      <c r="L540" s="93"/>
      <c r="M540" s="93"/>
      <c r="N540" s="93"/>
      <c r="O540" s="56"/>
      <c r="P540" s="56"/>
      <c r="Q540" s="56"/>
      <c r="R540" s="56"/>
      <c r="S540" s="56"/>
      <c r="T540" s="56"/>
      <c r="U540" s="56"/>
      <c r="V540" s="56"/>
    </row>
    <row r="541" ht="18.75" customHeight="1">
      <c r="A541" s="90"/>
      <c r="B541" s="111" t="s">
        <v>1436</v>
      </c>
      <c r="C541" s="118" t="s">
        <v>419</v>
      </c>
      <c r="D541" s="52">
        <v>625.8720000000001</v>
      </c>
      <c r="E541" s="52">
        <v>676.0</v>
      </c>
      <c r="F541" s="110"/>
      <c r="G541" s="95">
        <f t="shared" si="10"/>
        <v>0.08009305417</v>
      </c>
      <c r="H541" s="122"/>
      <c r="I541" s="20"/>
      <c r="J541" s="120">
        <v>13.0</v>
      </c>
      <c r="K541" s="120">
        <v>52.0</v>
      </c>
      <c r="L541" s="93"/>
      <c r="M541" s="93"/>
      <c r="N541" s="93"/>
      <c r="O541" s="56"/>
      <c r="P541" s="56"/>
      <c r="Q541" s="56"/>
      <c r="R541" s="56"/>
      <c r="S541" s="56"/>
      <c r="T541" s="56"/>
      <c r="U541" s="56"/>
      <c r="V541" s="56"/>
    </row>
    <row r="542" ht="18.75" customHeight="1">
      <c r="A542" s="90"/>
      <c r="B542" s="111" t="s">
        <v>1437</v>
      </c>
      <c r="C542" s="118" t="s">
        <v>1335</v>
      </c>
      <c r="D542" s="52">
        <v>574.0</v>
      </c>
      <c r="E542" s="52">
        <v>622.0</v>
      </c>
      <c r="F542" s="110"/>
      <c r="G542" s="95">
        <f t="shared" si="10"/>
        <v>0.08362369338</v>
      </c>
      <c r="H542" s="122"/>
      <c r="I542" s="20"/>
      <c r="J542" s="120">
        <v>30.0</v>
      </c>
      <c r="K542" s="120">
        <v>120.0</v>
      </c>
      <c r="L542" s="93"/>
      <c r="M542" s="93"/>
      <c r="N542" s="93"/>
      <c r="O542" s="56"/>
      <c r="P542" s="56"/>
      <c r="Q542" s="56"/>
      <c r="R542" s="56"/>
      <c r="S542" s="56"/>
      <c r="T542" s="56"/>
      <c r="U542" s="56"/>
      <c r="V542" s="56"/>
    </row>
    <row r="543" ht="18.75" customHeight="1">
      <c r="A543" s="90"/>
      <c r="B543" s="111" t="s">
        <v>1439</v>
      </c>
      <c r="C543" s="118" t="s">
        <v>1376</v>
      </c>
      <c r="D543" s="52">
        <v>646.0</v>
      </c>
      <c r="E543" s="52">
        <v>698.0</v>
      </c>
      <c r="F543" s="110"/>
      <c r="G543" s="95">
        <f t="shared" si="10"/>
        <v>0.08049535604</v>
      </c>
      <c r="H543" s="122"/>
      <c r="I543" s="20"/>
      <c r="J543" s="120">
        <v>13.0</v>
      </c>
      <c r="K543" s="120">
        <v>52.0</v>
      </c>
      <c r="L543" s="93"/>
      <c r="M543" s="93"/>
      <c r="N543" s="93"/>
      <c r="O543" s="56"/>
      <c r="P543" s="56"/>
      <c r="Q543" s="56"/>
      <c r="R543" s="56"/>
      <c r="S543" s="56"/>
      <c r="T543" s="56"/>
      <c r="U543" s="56"/>
      <c r="V543" s="56"/>
    </row>
    <row r="544" ht="18.75" customHeight="1">
      <c r="A544" s="90"/>
      <c r="B544" s="111" t="s">
        <v>1441</v>
      </c>
      <c r="C544" s="118" t="s">
        <v>482</v>
      </c>
      <c r="D544" s="52">
        <v>1262.3519999999999</v>
      </c>
      <c r="E544" s="52">
        <v>1364.0</v>
      </c>
      <c r="F544" s="110"/>
      <c r="G544" s="95">
        <f t="shared" si="10"/>
        <v>0.08052270682</v>
      </c>
      <c r="H544" s="122"/>
      <c r="I544" s="20"/>
      <c r="J544" s="120">
        <v>13.0</v>
      </c>
      <c r="K544" s="120">
        <v>52.0</v>
      </c>
      <c r="L544" s="93"/>
      <c r="M544" s="93"/>
      <c r="N544" s="93"/>
      <c r="O544" s="56"/>
      <c r="P544" s="56"/>
      <c r="Q544" s="56"/>
      <c r="R544" s="56"/>
      <c r="S544" s="56"/>
      <c r="T544" s="56"/>
      <c r="U544" s="56"/>
      <c r="V544" s="56"/>
    </row>
    <row r="545" ht="18.75" customHeight="1">
      <c r="A545" s="90"/>
      <c r="B545" s="111" t="s">
        <v>1443</v>
      </c>
      <c r="C545" s="118" t="s">
        <v>502</v>
      </c>
      <c r="D545" s="52">
        <v>1208.0</v>
      </c>
      <c r="E545" s="52">
        <v>1306.0</v>
      </c>
      <c r="F545" s="110"/>
      <c r="G545" s="95">
        <f t="shared" si="10"/>
        <v>0.08112582781</v>
      </c>
      <c r="H545" s="122"/>
      <c r="I545" s="20"/>
      <c r="J545" s="120">
        <v>13.0</v>
      </c>
      <c r="K545" s="120">
        <v>52.0</v>
      </c>
      <c r="L545" s="93"/>
      <c r="M545" s="93"/>
      <c r="N545" s="93"/>
      <c r="O545" s="56"/>
      <c r="P545" s="56"/>
      <c r="Q545" s="56"/>
      <c r="R545" s="56"/>
      <c r="S545" s="56"/>
      <c r="T545" s="56"/>
      <c r="U545" s="56"/>
      <c r="V545" s="56"/>
    </row>
    <row r="546" ht="18.75" customHeight="1">
      <c r="A546" s="90"/>
      <c r="B546" s="111" t="s">
        <v>1390</v>
      </c>
      <c r="C546" s="111" t="s">
        <v>523</v>
      </c>
      <c r="D546" s="52">
        <v>1888.0</v>
      </c>
      <c r="E546" s="52">
        <v>2038.0</v>
      </c>
      <c r="F546" s="110"/>
      <c r="G546" s="95">
        <f t="shared" si="10"/>
        <v>0.07944915254</v>
      </c>
      <c r="H546" s="122"/>
      <c r="I546" s="20"/>
      <c r="J546" s="120"/>
      <c r="K546" s="120"/>
      <c r="L546" s="93"/>
      <c r="M546" s="93"/>
      <c r="N546" s="93"/>
      <c r="O546" s="56"/>
      <c r="P546" s="56"/>
      <c r="Q546" s="56"/>
      <c r="R546" s="56"/>
      <c r="S546" s="56"/>
      <c r="T546" s="56"/>
      <c r="U546" s="56"/>
      <c r="V546" s="56"/>
    </row>
    <row r="547" ht="18.75" customHeight="1">
      <c r="A547" s="90"/>
      <c r="B547" s="111" t="s">
        <v>1447</v>
      </c>
      <c r="C547" s="118" t="s">
        <v>820</v>
      </c>
      <c r="D547" s="52">
        <v>1582.0</v>
      </c>
      <c r="E547" s="52">
        <v>1708.0</v>
      </c>
      <c r="F547" s="110"/>
      <c r="G547" s="95">
        <f t="shared" si="10"/>
        <v>0.0796460177</v>
      </c>
      <c r="H547" s="122"/>
      <c r="I547" s="20"/>
      <c r="J547" s="120">
        <v>6.0</v>
      </c>
      <c r="K547" s="120">
        <v>24.0</v>
      </c>
      <c r="L547" s="93"/>
      <c r="M547" s="93"/>
      <c r="N547" s="93"/>
      <c r="O547" s="56"/>
      <c r="P547" s="56"/>
      <c r="Q547" s="56"/>
      <c r="R547" s="56"/>
      <c r="S547" s="56"/>
      <c r="T547" s="56"/>
      <c r="U547" s="56"/>
      <c r="V547" s="56"/>
    </row>
    <row r="548" ht="18.75" customHeight="1">
      <c r="A548" s="90"/>
      <c r="B548" s="111" t="s">
        <v>1449</v>
      </c>
      <c r="C548" s="118" t="s">
        <v>395</v>
      </c>
      <c r="D548" s="52">
        <v>236.0</v>
      </c>
      <c r="E548" s="52">
        <v>256.0</v>
      </c>
      <c r="F548" s="110"/>
      <c r="G548" s="95">
        <f t="shared" si="10"/>
        <v>0.08474576271</v>
      </c>
      <c r="H548" s="122"/>
      <c r="I548" s="20"/>
      <c r="J548" s="120">
        <v>90.0</v>
      </c>
      <c r="K548" s="120">
        <v>270.0</v>
      </c>
      <c r="L548" s="93"/>
      <c r="M548" s="93"/>
      <c r="N548" s="93"/>
      <c r="O548" s="56"/>
      <c r="P548" s="56"/>
      <c r="Q548" s="56"/>
      <c r="R548" s="56"/>
      <c r="S548" s="56"/>
      <c r="T548" s="56"/>
      <c r="U548" s="56"/>
      <c r="V548" s="56"/>
    </row>
    <row r="549" ht="18.75" customHeight="1">
      <c r="A549" s="90"/>
      <c r="B549" s="111" t="s">
        <v>1451</v>
      </c>
      <c r="C549" s="118" t="s">
        <v>829</v>
      </c>
      <c r="D549" s="52">
        <v>422.1984</v>
      </c>
      <c r="E549" s="52">
        <v>456.0</v>
      </c>
      <c r="F549" s="110"/>
      <c r="G549" s="95">
        <f t="shared" si="10"/>
        <v>0.08006093818</v>
      </c>
      <c r="H549" s="122"/>
      <c r="I549" s="20"/>
      <c r="J549" s="120">
        <v>35.0</v>
      </c>
      <c r="K549" s="120">
        <v>140.0</v>
      </c>
      <c r="L549" s="93"/>
      <c r="M549" s="93"/>
      <c r="N549" s="93"/>
      <c r="O549" s="56"/>
      <c r="P549" s="56"/>
      <c r="Q549" s="56"/>
      <c r="R549" s="56"/>
      <c r="S549" s="56"/>
      <c r="T549" s="56"/>
      <c r="U549" s="56"/>
      <c r="V549" s="56"/>
    </row>
    <row r="550" ht="18.75" customHeight="1">
      <c r="A550" s="90"/>
      <c r="B550" s="111" t="s">
        <v>1454</v>
      </c>
      <c r="C550" s="118" t="s">
        <v>1392</v>
      </c>
      <c r="D550" s="52">
        <v>594.048</v>
      </c>
      <c r="E550" s="52">
        <v>642.0</v>
      </c>
      <c r="F550" s="110"/>
      <c r="G550" s="95">
        <f t="shared" si="10"/>
        <v>0.08072074984</v>
      </c>
      <c r="H550" s="122"/>
      <c r="I550" s="20"/>
      <c r="J550" s="120">
        <v>30.0</v>
      </c>
      <c r="K550" s="120">
        <v>120.0</v>
      </c>
      <c r="L550" s="93"/>
      <c r="M550" s="93"/>
      <c r="N550" s="93"/>
      <c r="O550" s="56"/>
      <c r="P550" s="56"/>
      <c r="Q550" s="56"/>
      <c r="R550" s="56"/>
      <c r="S550" s="56"/>
      <c r="T550" s="56"/>
      <c r="U550" s="56"/>
      <c r="V550" s="56"/>
    </row>
    <row r="551" ht="18.75" customHeight="1">
      <c r="A551" s="90"/>
      <c r="B551" s="111" t="s">
        <v>1456</v>
      </c>
      <c r="C551" s="118" t="s">
        <v>1395</v>
      </c>
      <c r="D551" s="52">
        <v>362.0</v>
      </c>
      <c r="E551" s="52">
        <v>392.0</v>
      </c>
      <c r="F551" s="110"/>
      <c r="G551" s="95">
        <f t="shared" si="10"/>
        <v>0.08287292818</v>
      </c>
      <c r="H551" s="122"/>
      <c r="I551" s="20"/>
      <c r="J551" s="120">
        <v>66.0</v>
      </c>
      <c r="K551" s="120">
        <v>198.0</v>
      </c>
      <c r="L551" s="93"/>
      <c r="M551" s="93"/>
      <c r="N551" s="93"/>
      <c r="O551" s="56"/>
      <c r="P551" s="56"/>
      <c r="Q551" s="56"/>
      <c r="R551" s="56"/>
      <c r="S551" s="56"/>
      <c r="T551" s="56"/>
      <c r="U551" s="56"/>
      <c r="V551" s="56"/>
    </row>
    <row r="552" ht="18.75" customHeight="1">
      <c r="A552" s="90"/>
      <c r="B552" s="126"/>
      <c r="C552" s="129"/>
      <c r="D552" s="132"/>
      <c r="E552" s="109"/>
      <c r="F552" s="110"/>
      <c r="G552" s="95" t="str">
        <f t="shared" si="10"/>
        <v/>
      </c>
      <c r="H552" s="96"/>
      <c r="I552" s="20"/>
      <c r="J552" s="115"/>
      <c r="K552" s="115"/>
      <c r="L552" s="93"/>
      <c r="M552" s="93"/>
      <c r="N552" s="93"/>
      <c r="O552" s="56"/>
      <c r="P552" s="56"/>
      <c r="Q552" s="56"/>
      <c r="R552" s="56"/>
      <c r="S552" s="56"/>
      <c r="T552" s="56"/>
      <c r="U552" s="56"/>
      <c r="V552" s="56"/>
    </row>
    <row r="553" ht="18.75" customHeight="1">
      <c r="A553" s="90"/>
      <c r="B553" s="195" t="s">
        <v>1460</v>
      </c>
      <c r="C553" s="203"/>
      <c r="D553" s="109"/>
      <c r="E553" s="181"/>
      <c r="F553" s="110"/>
      <c r="G553" s="95" t="str">
        <f>IFERROR(DIVIDE(MINUS(E553,#REF!),#REF!),)</f>
        <v/>
      </c>
      <c r="H553" s="96"/>
      <c r="I553" s="20"/>
      <c r="J553" s="115"/>
      <c r="K553" s="115"/>
      <c r="L553" s="93"/>
      <c r="M553" s="93"/>
      <c r="N553" s="93"/>
      <c r="O553" s="56"/>
      <c r="P553" s="56"/>
      <c r="Q553" s="56"/>
      <c r="R553" s="56"/>
      <c r="S553" s="56"/>
      <c r="T553" s="56"/>
      <c r="U553" s="56"/>
      <c r="V553" s="56"/>
    </row>
    <row r="554" ht="18.75" customHeight="1">
      <c r="A554" s="90"/>
      <c r="B554" s="111" t="s">
        <v>1464</v>
      </c>
      <c r="C554" s="118" t="s">
        <v>798</v>
      </c>
      <c r="D554" s="52">
        <v>226.0</v>
      </c>
      <c r="E554" s="52">
        <v>244.0</v>
      </c>
      <c r="F554" s="110"/>
      <c r="G554" s="95">
        <f t="shared" ref="G554:G792" si="11">IFERROR(DIVIDE(MINUS(E554,D554),D554),)</f>
        <v>0.0796460177</v>
      </c>
      <c r="H554" s="122"/>
      <c r="I554" s="20"/>
      <c r="J554" s="120">
        <v>66.0</v>
      </c>
      <c r="K554" s="120">
        <v>198.0</v>
      </c>
      <c r="L554" s="93"/>
      <c r="M554" s="93"/>
      <c r="N554" s="93"/>
      <c r="O554" s="56"/>
      <c r="P554" s="56"/>
      <c r="Q554" s="56"/>
      <c r="R554" s="56"/>
      <c r="S554" s="56"/>
      <c r="T554" s="56"/>
      <c r="U554" s="56"/>
      <c r="V554" s="56"/>
    </row>
    <row r="555" ht="18.75" customHeight="1">
      <c r="A555" s="90"/>
      <c r="B555" s="111" t="s">
        <v>1396</v>
      </c>
      <c r="C555" s="118" t="s">
        <v>748</v>
      </c>
      <c r="D555" s="52">
        <v>238.0</v>
      </c>
      <c r="E555" s="52">
        <v>258.0</v>
      </c>
      <c r="F555" s="110"/>
      <c r="G555" s="95">
        <f t="shared" si="11"/>
        <v>0.08403361345</v>
      </c>
      <c r="H555" s="122"/>
      <c r="I555" s="20"/>
      <c r="J555" s="120"/>
      <c r="K555" s="120"/>
      <c r="L555" s="93"/>
      <c r="M555" s="93"/>
      <c r="N555" s="93"/>
      <c r="O555" s="56"/>
      <c r="P555" s="56"/>
      <c r="Q555" s="56"/>
      <c r="R555" s="56"/>
      <c r="S555" s="56"/>
      <c r="T555" s="56"/>
      <c r="U555" s="56"/>
      <c r="V555" s="56"/>
    </row>
    <row r="556" ht="18.75" customHeight="1">
      <c r="A556" s="90"/>
      <c r="B556" s="111" t="s">
        <v>1468</v>
      </c>
      <c r="C556" s="118" t="s">
        <v>803</v>
      </c>
      <c r="D556" s="52">
        <v>296.0</v>
      </c>
      <c r="E556" s="52">
        <v>318.0</v>
      </c>
      <c r="F556" s="110"/>
      <c r="G556" s="95">
        <f t="shared" si="11"/>
        <v>0.07432432432</v>
      </c>
      <c r="H556" s="122"/>
      <c r="I556" s="20"/>
      <c r="J556" s="120">
        <v>54.0</v>
      </c>
      <c r="K556" s="120">
        <v>216.0</v>
      </c>
      <c r="L556" s="93"/>
      <c r="M556" s="93"/>
      <c r="N556" s="93"/>
      <c r="O556" s="56"/>
      <c r="P556" s="56"/>
      <c r="Q556" s="56"/>
      <c r="R556" s="56"/>
      <c r="S556" s="56"/>
      <c r="T556" s="56"/>
      <c r="U556" s="56"/>
      <c r="V556" s="56"/>
    </row>
    <row r="557" ht="18.75" customHeight="1">
      <c r="A557" s="90"/>
      <c r="B557" s="111" t="s">
        <v>1470</v>
      </c>
      <c r="C557" s="118" t="s">
        <v>363</v>
      </c>
      <c r="D557" s="52">
        <v>271.5648</v>
      </c>
      <c r="E557" s="52">
        <v>294.0</v>
      </c>
      <c r="F557" s="110"/>
      <c r="G557" s="95">
        <f t="shared" si="11"/>
        <v>0.0826145362</v>
      </c>
      <c r="H557" s="122"/>
      <c r="I557" s="20"/>
      <c r="J557" s="120">
        <v>66.0</v>
      </c>
      <c r="K557" s="120">
        <v>198.0</v>
      </c>
      <c r="L557" s="93"/>
      <c r="M557" s="93"/>
      <c r="N557" s="93"/>
      <c r="O557" s="56"/>
      <c r="P557" s="56"/>
      <c r="Q557" s="56"/>
      <c r="R557" s="56"/>
      <c r="S557" s="56"/>
      <c r="T557" s="56"/>
      <c r="U557" s="56"/>
      <c r="V557" s="56"/>
    </row>
    <row r="558" ht="18.75" customHeight="1">
      <c r="A558" s="90"/>
      <c r="B558" s="111" t="s">
        <v>1473</v>
      </c>
      <c r="C558" s="118" t="s">
        <v>378</v>
      </c>
      <c r="D558" s="52">
        <v>456.0</v>
      </c>
      <c r="E558" s="52">
        <v>492.0</v>
      </c>
      <c r="F558" s="110"/>
      <c r="G558" s="95">
        <f t="shared" si="11"/>
        <v>0.07894736842</v>
      </c>
      <c r="H558" s="122"/>
      <c r="I558" s="20"/>
      <c r="J558" s="120">
        <v>24.0</v>
      </c>
      <c r="K558" s="120">
        <v>96.0</v>
      </c>
      <c r="L558" s="93"/>
      <c r="M558" s="93"/>
      <c r="N558" s="93"/>
      <c r="O558" s="56"/>
      <c r="P558" s="56"/>
      <c r="Q558" s="56"/>
      <c r="R558" s="56"/>
      <c r="S558" s="56"/>
      <c r="T558" s="56"/>
      <c r="U558" s="56"/>
      <c r="V558" s="56"/>
    </row>
    <row r="559" ht="18.75" customHeight="1">
      <c r="A559" s="90"/>
      <c r="B559" s="111" t="s">
        <v>1475</v>
      </c>
      <c r="C559" s="118" t="s">
        <v>416</v>
      </c>
      <c r="D559" s="52">
        <v>313.99679999999995</v>
      </c>
      <c r="E559" s="52">
        <v>338.0</v>
      </c>
      <c r="F559" s="110"/>
      <c r="G559" s="95">
        <f t="shared" si="11"/>
        <v>0.07644409115</v>
      </c>
      <c r="H559" s="122"/>
      <c r="I559" s="20"/>
      <c r="J559" s="120">
        <v>30.0</v>
      </c>
      <c r="K559" s="120">
        <v>120.0</v>
      </c>
      <c r="L559" s="93"/>
      <c r="M559" s="93"/>
      <c r="N559" s="93"/>
      <c r="O559" s="56"/>
      <c r="P559" s="56"/>
      <c r="Q559" s="56"/>
      <c r="R559" s="56"/>
      <c r="S559" s="56"/>
      <c r="T559" s="56"/>
      <c r="U559" s="56"/>
      <c r="V559" s="56"/>
    </row>
    <row r="560" ht="18.75" customHeight="1">
      <c r="A560" s="90"/>
      <c r="B560" s="111" t="s">
        <v>1478</v>
      </c>
      <c r="C560" s="118" t="s">
        <v>419</v>
      </c>
      <c r="D560" s="52">
        <v>625.8720000000001</v>
      </c>
      <c r="E560" s="52">
        <v>676.0</v>
      </c>
      <c r="F560" s="110"/>
      <c r="G560" s="95">
        <f t="shared" si="11"/>
        <v>0.08009305417</v>
      </c>
      <c r="H560" s="122"/>
      <c r="I560" s="20"/>
      <c r="J560" s="120">
        <v>13.0</v>
      </c>
      <c r="K560" s="120">
        <v>52.0</v>
      </c>
      <c r="L560" s="93"/>
      <c r="M560" s="93"/>
      <c r="N560" s="93"/>
      <c r="O560" s="56"/>
      <c r="P560" s="56"/>
      <c r="Q560" s="56"/>
      <c r="R560" s="56"/>
      <c r="S560" s="56"/>
      <c r="T560" s="56"/>
      <c r="U560" s="56"/>
      <c r="V560" s="56"/>
    </row>
    <row r="561" ht="18.75" customHeight="1">
      <c r="A561" s="90"/>
      <c r="B561" s="111" t="s">
        <v>1480</v>
      </c>
      <c r="C561" s="118" t="s">
        <v>1335</v>
      </c>
      <c r="D561" s="52">
        <v>574.0</v>
      </c>
      <c r="E561" s="52">
        <v>622.0</v>
      </c>
      <c r="F561" s="110"/>
      <c r="G561" s="95">
        <f t="shared" si="11"/>
        <v>0.08362369338</v>
      </c>
      <c r="H561" s="122"/>
      <c r="I561" s="20"/>
      <c r="J561" s="120">
        <v>30.0</v>
      </c>
      <c r="K561" s="120">
        <v>120.0</v>
      </c>
      <c r="L561" s="93"/>
      <c r="M561" s="93"/>
      <c r="N561" s="93"/>
      <c r="O561" s="56"/>
      <c r="P561" s="56"/>
      <c r="Q561" s="56"/>
      <c r="R561" s="56"/>
      <c r="S561" s="56"/>
      <c r="T561" s="56"/>
      <c r="U561" s="56"/>
      <c r="V561" s="56"/>
    </row>
    <row r="562" ht="18.75" customHeight="1">
      <c r="A562" s="90"/>
      <c r="B562" s="111" t="s">
        <v>1482</v>
      </c>
      <c r="C562" s="118" t="s">
        <v>1376</v>
      </c>
      <c r="D562" s="52">
        <v>646.0</v>
      </c>
      <c r="E562" s="52">
        <v>698.0</v>
      </c>
      <c r="F562" s="110"/>
      <c r="G562" s="95">
        <f t="shared" si="11"/>
        <v>0.08049535604</v>
      </c>
      <c r="H562" s="122"/>
      <c r="I562" s="20"/>
      <c r="J562" s="120">
        <v>13.0</v>
      </c>
      <c r="K562" s="120">
        <v>52.0</v>
      </c>
      <c r="L562" s="93"/>
      <c r="M562" s="93"/>
      <c r="N562" s="93"/>
      <c r="O562" s="56"/>
      <c r="P562" s="56"/>
      <c r="Q562" s="56"/>
      <c r="R562" s="56"/>
      <c r="S562" s="56"/>
      <c r="T562" s="56"/>
      <c r="U562" s="56"/>
      <c r="V562" s="56"/>
    </row>
    <row r="563" ht="18.75" customHeight="1">
      <c r="A563" s="90"/>
      <c r="B563" s="111" t="s">
        <v>1484</v>
      </c>
      <c r="C563" s="118" t="s">
        <v>482</v>
      </c>
      <c r="D563" s="52">
        <v>1262.3519999999999</v>
      </c>
      <c r="E563" s="52">
        <v>1364.0</v>
      </c>
      <c r="F563" s="110"/>
      <c r="G563" s="95">
        <f t="shared" si="11"/>
        <v>0.08052270682</v>
      </c>
      <c r="H563" s="122"/>
      <c r="I563" s="20"/>
      <c r="J563" s="120">
        <v>13.0</v>
      </c>
      <c r="K563" s="120">
        <v>52.0</v>
      </c>
      <c r="L563" s="93"/>
      <c r="M563" s="93"/>
      <c r="N563" s="93"/>
      <c r="O563" s="56"/>
      <c r="P563" s="56"/>
      <c r="Q563" s="56"/>
      <c r="R563" s="56"/>
      <c r="S563" s="56"/>
      <c r="T563" s="56"/>
      <c r="U563" s="56"/>
      <c r="V563" s="56"/>
    </row>
    <row r="564" ht="18.75" customHeight="1">
      <c r="A564" s="90"/>
      <c r="B564" s="111" t="s">
        <v>1486</v>
      </c>
      <c r="C564" s="118" t="s">
        <v>502</v>
      </c>
      <c r="D564" s="52">
        <v>1208.0</v>
      </c>
      <c r="E564" s="52">
        <v>1306.0</v>
      </c>
      <c r="F564" s="110"/>
      <c r="G564" s="95">
        <f t="shared" si="11"/>
        <v>0.08112582781</v>
      </c>
      <c r="H564" s="122"/>
      <c r="I564" s="20"/>
      <c r="J564" s="120">
        <v>13.0</v>
      </c>
      <c r="K564" s="120">
        <v>52.0</v>
      </c>
      <c r="L564" s="93"/>
      <c r="M564" s="93"/>
      <c r="N564" s="93"/>
      <c r="O564" s="56"/>
      <c r="P564" s="56"/>
      <c r="Q564" s="56"/>
      <c r="R564" s="56"/>
      <c r="S564" s="56"/>
      <c r="T564" s="56"/>
      <c r="U564" s="56"/>
      <c r="V564" s="56"/>
    </row>
    <row r="565" ht="18.75" customHeight="1">
      <c r="A565" s="90"/>
      <c r="B565" s="111" t="s">
        <v>1397</v>
      </c>
      <c r="C565" s="111" t="s">
        <v>523</v>
      </c>
      <c r="D565" s="52">
        <v>1888.0</v>
      </c>
      <c r="E565" s="52">
        <v>2038.0</v>
      </c>
      <c r="F565" s="110"/>
      <c r="G565" s="95">
        <f t="shared" si="11"/>
        <v>0.07944915254</v>
      </c>
      <c r="H565" s="122"/>
      <c r="I565" s="20"/>
      <c r="J565" s="120"/>
      <c r="K565" s="120"/>
      <c r="L565" s="93"/>
      <c r="M565" s="93"/>
      <c r="N565" s="93"/>
      <c r="O565" s="56"/>
      <c r="P565" s="56"/>
      <c r="Q565" s="56"/>
      <c r="R565" s="56"/>
      <c r="S565" s="56"/>
      <c r="T565" s="56"/>
      <c r="U565" s="56"/>
      <c r="V565" s="56"/>
    </row>
    <row r="566" ht="18.75" customHeight="1">
      <c r="A566" s="90"/>
      <c r="B566" s="111" t="s">
        <v>1489</v>
      </c>
      <c r="C566" s="118" t="s">
        <v>820</v>
      </c>
      <c r="D566" s="52">
        <v>1582.0</v>
      </c>
      <c r="E566" s="52">
        <v>1708.0</v>
      </c>
      <c r="F566" s="110"/>
      <c r="G566" s="95">
        <f t="shared" si="11"/>
        <v>0.0796460177</v>
      </c>
      <c r="H566" s="122"/>
      <c r="I566" s="20"/>
      <c r="J566" s="120">
        <v>6.0</v>
      </c>
      <c r="K566" s="120">
        <v>24.0</v>
      </c>
      <c r="L566" s="93"/>
      <c r="M566" s="93"/>
      <c r="N566" s="93"/>
      <c r="O566" s="56"/>
      <c r="P566" s="56"/>
      <c r="Q566" s="56"/>
      <c r="R566" s="56"/>
      <c r="S566" s="56"/>
      <c r="T566" s="56"/>
      <c r="U566" s="56"/>
      <c r="V566" s="56"/>
    </row>
    <row r="567" ht="18.75" customHeight="1">
      <c r="A567" s="90"/>
      <c r="B567" s="111" t="s">
        <v>1491</v>
      </c>
      <c r="C567" s="118" t="s">
        <v>395</v>
      </c>
      <c r="D567" s="52">
        <v>236.0</v>
      </c>
      <c r="E567" s="52">
        <v>256.0</v>
      </c>
      <c r="F567" s="110"/>
      <c r="G567" s="95">
        <f t="shared" si="11"/>
        <v>0.08474576271</v>
      </c>
      <c r="H567" s="122"/>
      <c r="I567" s="20"/>
      <c r="J567" s="120">
        <v>90.0</v>
      </c>
      <c r="K567" s="120">
        <v>270.0</v>
      </c>
      <c r="L567" s="93"/>
      <c r="M567" s="93"/>
      <c r="N567" s="93"/>
      <c r="O567" s="56"/>
      <c r="P567" s="56"/>
      <c r="Q567" s="56"/>
      <c r="R567" s="56"/>
      <c r="S567" s="56"/>
      <c r="T567" s="56"/>
      <c r="U567" s="56"/>
      <c r="V567" s="56"/>
    </row>
    <row r="568" ht="18.75" customHeight="1">
      <c r="A568" s="90"/>
      <c r="B568" s="111" t="s">
        <v>1496</v>
      </c>
      <c r="C568" s="118" t="s">
        <v>829</v>
      </c>
      <c r="D568" s="52">
        <v>422.1984</v>
      </c>
      <c r="E568" s="52">
        <v>456.0</v>
      </c>
      <c r="F568" s="110"/>
      <c r="G568" s="95">
        <f t="shared" si="11"/>
        <v>0.08006093818</v>
      </c>
      <c r="H568" s="122"/>
      <c r="I568" s="20"/>
      <c r="J568" s="120">
        <v>30.0</v>
      </c>
      <c r="K568" s="120">
        <v>120.0</v>
      </c>
      <c r="L568" s="93"/>
      <c r="M568" s="93"/>
      <c r="N568" s="93"/>
      <c r="O568" s="56"/>
      <c r="P568" s="56"/>
      <c r="Q568" s="56"/>
      <c r="R568" s="56"/>
      <c r="S568" s="56"/>
      <c r="T568" s="56"/>
      <c r="U568" s="56"/>
      <c r="V568" s="56"/>
    </row>
    <row r="569" ht="18.75" customHeight="1">
      <c r="A569" s="90"/>
      <c r="B569" s="111" t="s">
        <v>1498</v>
      </c>
      <c r="C569" s="118" t="s">
        <v>1392</v>
      </c>
      <c r="D569" s="52">
        <v>594.048</v>
      </c>
      <c r="E569" s="52">
        <v>642.0</v>
      </c>
      <c r="F569" s="110"/>
      <c r="G569" s="95">
        <f t="shared" si="11"/>
        <v>0.08072074984</v>
      </c>
      <c r="H569" s="122"/>
      <c r="I569" s="20"/>
      <c r="J569" s="120">
        <v>30.0</v>
      </c>
      <c r="K569" s="120">
        <v>120.0</v>
      </c>
      <c r="L569" s="93"/>
      <c r="M569" s="93"/>
      <c r="N569" s="93"/>
      <c r="O569" s="56"/>
      <c r="P569" s="56"/>
      <c r="Q569" s="56"/>
      <c r="R569" s="56"/>
      <c r="S569" s="56"/>
      <c r="T569" s="56"/>
      <c r="U569" s="56"/>
      <c r="V569" s="56"/>
    </row>
    <row r="570" ht="18.75" customHeight="1">
      <c r="A570" s="90"/>
      <c r="B570" s="111" t="s">
        <v>1501</v>
      </c>
      <c r="C570" s="118" t="s">
        <v>1395</v>
      </c>
      <c r="D570" s="52">
        <v>362.0</v>
      </c>
      <c r="E570" s="52">
        <v>392.0</v>
      </c>
      <c r="F570" s="110"/>
      <c r="G570" s="95">
        <f t="shared" si="11"/>
        <v>0.08287292818</v>
      </c>
      <c r="H570" s="122"/>
      <c r="I570" s="20"/>
      <c r="J570" s="120">
        <v>66.0</v>
      </c>
      <c r="K570" s="120">
        <v>198.0</v>
      </c>
      <c r="L570" s="93"/>
      <c r="M570" s="93"/>
      <c r="N570" s="93"/>
      <c r="O570" s="56"/>
      <c r="P570" s="56"/>
      <c r="Q570" s="56"/>
      <c r="R570" s="56"/>
      <c r="S570" s="56"/>
      <c r="T570" s="56"/>
      <c r="U570" s="56"/>
      <c r="V570" s="56"/>
    </row>
    <row r="571" ht="18.75" customHeight="1">
      <c r="A571" s="90"/>
      <c r="B571" s="91"/>
      <c r="C571" s="129"/>
      <c r="D571" s="132"/>
      <c r="E571" s="109"/>
      <c r="F571" s="110"/>
      <c r="G571" s="95" t="str">
        <f t="shared" si="11"/>
        <v/>
      </c>
      <c r="H571" s="96"/>
      <c r="I571" s="20"/>
      <c r="J571" s="115"/>
      <c r="K571" s="115"/>
      <c r="L571" s="93"/>
      <c r="M571" s="93"/>
      <c r="N571" s="93"/>
      <c r="O571" s="56"/>
      <c r="P571" s="56"/>
      <c r="Q571" s="56"/>
      <c r="R571" s="56"/>
      <c r="S571" s="56"/>
      <c r="T571" s="56"/>
      <c r="U571" s="56"/>
      <c r="V571" s="56"/>
    </row>
    <row r="572" ht="18.75" customHeight="1">
      <c r="A572" s="90"/>
      <c r="B572" s="197" t="s">
        <v>1504</v>
      </c>
      <c r="C572" s="206"/>
      <c r="D572" s="109"/>
      <c r="E572" s="181"/>
      <c r="F572" s="110"/>
      <c r="G572" s="95" t="str">
        <f t="shared" si="11"/>
        <v/>
      </c>
      <c r="H572" s="96"/>
      <c r="I572" s="20"/>
      <c r="J572" s="115"/>
      <c r="K572" s="115"/>
      <c r="L572" s="93"/>
      <c r="M572" s="93"/>
      <c r="N572" s="93"/>
      <c r="O572" s="56"/>
      <c r="P572" s="56"/>
      <c r="Q572" s="56"/>
      <c r="R572" s="56"/>
      <c r="S572" s="56"/>
      <c r="T572" s="56"/>
      <c r="U572" s="56"/>
      <c r="V572" s="56"/>
    </row>
    <row r="573" ht="18.75" customHeight="1">
      <c r="A573" s="90"/>
      <c r="B573" s="207" t="s">
        <v>1508</v>
      </c>
      <c r="C573" s="208" t="s">
        <v>798</v>
      </c>
      <c r="D573" s="52">
        <v>226.0</v>
      </c>
      <c r="E573" s="52">
        <v>244.0</v>
      </c>
      <c r="F573" s="110"/>
      <c r="G573" s="95">
        <f t="shared" si="11"/>
        <v>0.0796460177</v>
      </c>
      <c r="H573" s="122"/>
      <c r="I573" s="20"/>
      <c r="J573" s="115">
        <v>108.0</v>
      </c>
      <c r="K573" s="115">
        <v>324.0</v>
      </c>
      <c r="L573" s="93"/>
      <c r="M573" s="93"/>
      <c r="N573" s="93"/>
      <c r="O573" s="56"/>
      <c r="P573" s="56"/>
      <c r="Q573" s="56"/>
      <c r="R573" s="56"/>
      <c r="S573" s="56"/>
      <c r="T573" s="56"/>
      <c r="U573" s="56"/>
      <c r="V573" s="56"/>
    </row>
    <row r="574" ht="18.75" customHeight="1">
      <c r="A574" s="90"/>
      <c r="B574" s="209" t="s">
        <v>1400</v>
      </c>
      <c r="C574" s="118" t="s">
        <v>748</v>
      </c>
      <c r="D574" s="52">
        <v>238.0</v>
      </c>
      <c r="E574" s="52">
        <v>256.0</v>
      </c>
      <c r="F574" s="110"/>
      <c r="G574" s="95">
        <f t="shared" si="11"/>
        <v>0.0756302521</v>
      </c>
      <c r="H574" s="122"/>
      <c r="I574" s="20"/>
      <c r="J574" s="115"/>
      <c r="K574" s="115"/>
      <c r="L574" s="93"/>
      <c r="M574" s="93"/>
      <c r="N574" s="93"/>
      <c r="O574" s="56"/>
      <c r="P574" s="56"/>
      <c r="Q574" s="56"/>
      <c r="R574" s="56"/>
      <c r="S574" s="56"/>
      <c r="T574" s="56"/>
      <c r="U574" s="56"/>
      <c r="V574" s="56"/>
    </row>
    <row r="575" ht="18.75" customHeight="1">
      <c r="A575" s="90"/>
      <c r="B575" s="210" t="s">
        <v>1513</v>
      </c>
      <c r="C575" s="208" t="s">
        <v>803</v>
      </c>
      <c r="D575" s="52">
        <v>296.0</v>
      </c>
      <c r="E575" s="52">
        <v>322.0</v>
      </c>
      <c r="F575" s="110"/>
      <c r="G575" s="95">
        <f t="shared" si="11"/>
        <v>0.08783783784</v>
      </c>
      <c r="H575" s="122"/>
      <c r="I575" s="20"/>
      <c r="J575" s="115">
        <v>54.0</v>
      </c>
      <c r="K575" s="115">
        <v>216.0</v>
      </c>
      <c r="L575" s="93"/>
      <c r="M575" s="93"/>
      <c r="N575" s="93"/>
      <c r="O575" s="56"/>
      <c r="P575" s="56"/>
      <c r="Q575" s="56"/>
      <c r="R575" s="56"/>
      <c r="S575" s="56"/>
      <c r="T575" s="56"/>
      <c r="U575" s="56"/>
      <c r="V575" s="56"/>
    </row>
    <row r="576" ht="18.75" customHeight="1">
      <c r="A576" s="90"/>
      <c r="B576" s="209" t="s">
        <v>1516</v>
      </c>
      <c r="C576" s="211" t="s">
        <v>1363</v>
      </c>
      <c r="D576" s="52">
        <v>311.8752</v>
      </c>
      <c r="E576" s="52">
        <v>338.0</v>
      </c>
      <c r="F576" s="110"/>
      <c r="G576" s="95">
        <f t="shared" si="11"/>
        <v>0.08376684007</v>
      </c>
      <c r="H576" s="122"/>
      <c r="I576" s="20"/>
      <c r="J576" s="115">
        <v>46.0</v>
      </c>
      <c r="K576" s="115">
        <v>184.0</v>
      </c>
      <c r="L576" s="93"/>
      <c r="M576" s="93"/>
      <c r="N576" s="93"/>
      <c r="O576" s="56"/>
      <c r="P576" s="56"/>
      <c r="Q576" s="56"/>
      <c r="R576" s="56"/>
      <c r="S576" s="56"/>
      <c r="T576" s="56"/>
      <c r="U576" s="56"/>
      <c r="V576" s="56"/>
    </row>
    <row r="577" ht="18.75" customHeight="1">
      <c r="A577" s="90"/>
      <c r="B577" s="210" t="s">
        <v>1519</v>
      </c>
      <c r="C577" s="208" t="s">
        <v>363</v>
      </c>
      <c r="D577" s="52">
        <v>271.5648</v>
      </c>
      <c r="E577" s="52">
        <v>294.0</v>
      </c>
      <c r="F577" s="110"/>
      <c r="G577" s="95">
        <f t="shared" si="11"/>
        <v>0.0826145362</v>
      </c>
      <c r="H577" s="122"/>
      <c r="I577" s="20"/>
      <c r="J577" s="115">
        <v>66.0</v>
      </c>
      <c r="K577" s="115">
        <v>264.0</v>
      </c>
      <c r="L577" s="93"/>
      <c r="M577" s="93"/>
      <c r="N577" s="93"/>
      <c r="O577" s="56"/>
      <c r="P577" s="56"/>
      <c r="Q577" s="56"/>
      <c r="R577" s="56"/>
      <c r="S577" s="56"/>
      <c r="T577" s="56"/>
      <c r="U577" s="56"/>
      <c r="V577" s="56"/>
    </row>
    <row r="578" ht="18.75" customHeight="1">
      <c r="A578" s="90"/>
      <c r="B578" s="210" t="s">
        <v>1522</v>
      </c>
      <c r="C578" s="208" t="s">
        <v>378</v>
      </c>
      <c r="D578" s="52">
        <v>456.0</v>
      </c>
      <c r="E578" s="52">
        <v>492.0</v>
      </c>
      <c r="F578" s="110"/>
      <c r="G578" s="95">
        <f t="shared" si="11"/>
        <v>0.07894736842</v>
      </c>
      <c r="H578" s="122"/>
      <c r="I578" s="20"/>
      <c r="J578" s="115">
        <v>24.0</v>
      </c>
      <c r="K578" s="115">
        <v>96.0</v>
      </c>
      <c r="L578" s="93"/>
      <c r="M578" s="93"/>
      <c r="N578" s="93"/>
      <c r="O578" s="56"/>
      <c r="P578" s="56"/>
      <c r="Q578" s="56"/>
      <c r="R578" s="56"/>
      <c r="S578" s="56"/>
      <c r="T578" s="56"/>
      <c r="U578" s="56"/>
      <c r="V578" s="56"/>
    </row>
    <row r="579" ht="18.75" customHeight="1">
      <c r="A579" s="90"/>
      <c r="B579" s="210" t="s">
        <v>1524</v>
      </c>
      <c r="C579" s="208" t="s">
        <v>416</v>
      </c>
      <c r="D579" s="52">
        <v>313.99679999999995</v>
      </c>
      <c r="E579" s="52">
        <v>338.0</v>
      </c>
      <c r="F579" s="110"/>
      <c r="G579" s="95">
        <f t="shared" si="11"/>
        <v>0.07644409115</v>
      </c>
      <c r="H579" s="122"/>
      <c r="I579" s="20"/>
      <c r="J579" s="115">
        <v>30.0</v>
      </c>
      <c r="K579" s="115">
        <v>120.0</v>
      </c>
      <c r="L579" s="93"/>
      <c r="M579" s="93"/>
      <c r="N579" s="93"/>
      <c r="O579" s="56"/>
      <c r="P579" s="56"/>
      <c r="Q579" s="56"/>
      <c r="R579" s="56"/>
      <c r="S579" s="56"/>
      <c r="T579" s="56"/>
      <c r="U579" s="56"/>
      <c r="V579" s="56"/>
    </row>
    <row r="580" ht="18.75" customHeight="1">
      <c r="A580" s="90"/>
      <c r="B580" s="210" t="s">
        <v>1527</v>
      </c>
      <c r="C580" s="208" t="s">
        <v>419</v>
      </c>
      <c r="D580" s="52">
        <v>625.8720000000001</v>
      </c>
      <c r="E580" s="52">
        <v>676.0</v>
      </c>
      <c r="F580" s="110"/>
      <c r="G580" s="95">
        <f t="shared" si="11"/>
        <v>0.08009305417</v>
      </c>
      <c r="H580" s="122"/>
      <c r="I580" s="20"/>
      <c r="J580" s="115">
        <v>13.0</v>
      </c>
      <c r="K580" s="115">
        <v>52.0</v>
      </c>
      <c r="L580" s="93"/>
      <c r="M580" s="93"/>
      <c r="N580" s="93"/>
      <c r="O580" s="56"/>
      <c r="P580" s="56"/>
      <c r="Q580" s="56"/>
      <c r="R580" s="56"/>
      <c r="S580" s="56"/>
      <c r="T580" s="56"/>
      <c r="U580" s="56"/>
      <c r="V580" s="56"/>
    </row>
    <row r="581" ht="18.75" customHeight="1">
      <c r="A581" s="90"/>
      <c r="B581" s="210" t="s">
        <v>1529</v>
      </c>
      <c r="C581" s="208" t="s">
        <v>1335</v>
      </c>
      <c r="D581" s="52">
        <v>574.0</v>
      </c>
      <c r="E581" s="52">
        <v>622.0</v>
      </c>
      <c r="F581" s="110"/>
      <c r="G581" s="95">
        <f t="shared" si="11"/>
        <v>0.08362369338</v>
      </c>
      <c r="H581" s="122"/>
      <c r="I581" s="20"/>
      <c r="J581" s="115">
        <v>30.0</v>
      </c>
      <c r="K581" s="115">
        <v>120.0</v>
      </c>
      <c r="L581" s="93"/>
      <c r="M581" s="93"/>
      <c r="N581" s="93"/>
      <c r="O581" s="56"/>
      <c r="P581" s="56"/>
      <c r="Q581" s="56"/>
      <c r="R581" s="56"/>
      <c r="S581" s="56"/>
      <c r="T581" s="56"/>
      <c r="U581" s="56"/>
      <c r="V581" s="56"/>
    </row>
    <row r="582" ht="18.75" customHeight="1">
      <c r="A582" s="90"/>
      <c r="B582" s="210" t="s">
        <v>1532</v>
      </c>
      <c r="C582" s="211" t="s">
        <v>1533</v>
      </c>
      <c r="D582" s="52">
        <v>646.0</v>
      </c>
      <c r="E582" s="52">
        <v>698.0</v>
      </c>
      <c r="F582" s="110"/>
      <c r="G582" s="95">
        <f t="shared" si="11"/>
        <v>0.08049535604</v>
      </c>
      <c r="H582" s="122"/>
      <c r="I582" s="20"/>
      <c r="J582" s="115">
        <v>13.0</v>
      </c>
      <c r="K582" s="115">
        <v>52.0</v>
      </c>
      <c r="L582" s="93"/>
      <c r="M582" s="93"/>
      <c r="N582" s="93"/>
      <c r="O582" s="56"/>
      <c r="P582" s="56"/>
      <c r="Q582" s="56"/>
      <c r="R582" s="56"/>
      <c r="S582" s="56"/>
      <c r="T582" s="56"/>
      <c r="U582" s="56"/>
      <c r="V582" s="56"/>
    </row>
    <row r="583" ht="18.75" customHeight="1">
      <c r="A583" s="90"/>
      <c r="B583" s="111" t="s">
        <v>1535</v>
      </c>
      <c r="C583" s="118" t="s">
        <v>482</v>
      </c>
      <c r="D583" s="52">
        <v>1262.3519999999999</v>
      </c>
      <c r="E583" s="52">
        <v>1364.0</v>
      </c>
      <c r="F583" s="110"/>
      <c r="G583" s="95">
        <f t="shared" si="11"/>
        <v>0.08052270682</v>
      </c>
      <c r="H583" s="122"/>
      <c r="I583" s="20"/>
      <c r="J583" s="115">
        <v>13.0</v>
      </c>
      <c r="K583" s="115">
        <v>52.0</v>
      </c>
      <c r="L583" s="93"/>
      <c r="M583" s="93"/>
      <c r="N583" s="93"/>
      <c r="O583" s="56"/>
      <c r="P583" s="56"/>
      <c r="Q583" s="56"/>
      <c r="R583" s="56"/>
      <c r="S583" s="56"/>
      <c r="T583" s="56"/>
      <c r="U583" s="56"/>
      <c r="V583" s="56"/>
    </row>
    <row r="584" ht="18.75" customHeight="1">
      <c r="A584" s="90"/>
      <c r="B584" s="111" t="s">
        <v>1538</v>
      </c>
      <c r="C584" s="118" t="s">
        <v>502</v>
      </c>
      <c r="D584" s="52">
        <v>1208.0</v>
      </c>
      <c r="E584" s="52">
        <v>1306.0</v>
      </c>
      <c r="F584" s="110"/>
      <c r="G584" s="95">
        <f t="shared" si="11"/>
        <v>0.08112582781</v>
      </c>
      <c r="H584" s="122"/>
      <c r="I584" s="20"/>
      <c r="J584" s="115">
        <v>13.0</v>
      </c>
      <c r="K584" s="115">
        <v>52.0</v>
      </c>
      <c r="L584" s="93"/>
      <c r="M584" s="93"/>
      <c r="N584" s="93"/>
      <c r="O584" s="56"/>
      <c r="P584" s="56"/>
      <c r="Q584" s="56"/>
      <c r="R584" s="56"/>
      <c r="S584" s="56"/>
      <c r="T584" s="56"/>
      <c r="U584" s="56"/>
      <c r="V584" s="56"/>
    </row>
    <row r="585" ht="18.75" customHeight="1">
      <c r="A585" s="90"/>
      <c r="B585" s="177" t="s">
        <v>1402</v>
      </c>
      <c r="C585" s="213" t="s">
        <v>523</v>
      </c>
      <c r="D585" s="52">
        <v>1888.0</v>
      </c>
      <c r="E585" s="52">
        <v>2038.0</v>
      </c>
      <c r="F585" s="110"/>
      <c r="G585" s="95">
        <f t="shared" si="11"/>
        <v>0.07944915254</v>
      </c>
      <c r="H585" s="122"/>
      <c r="I585" s="20"/>
      <c r="J585" s="115"/>
      <c r="K585" s="115"/>
      <c r="L585" s="93"/>
      <c r="M585" s="93"/>
      <c r="N585" s="93"/>
      <c r="O585" s="56"/>
      <c r="P585" s="56"/>
      <c r="Q585" s="56"/>
      <c r="R585" s="56"/>
      <c r="S585" s="56"/>
      <c r="T585" s="56"/>
      <c r="U585" s="56"/>
      <c r="V585" s="56"/>
    </row>
    <row r="586" ht="18.75" customHeight="1">
      <c r="A586" s="90"/>
      <c r="B586" s="210" t="s">
        <v>1540</v>
      </c>
      <c r="C586" s="208" t="s">
        <v>734</v>
      </c>
      <c r="D586" s="52">
        <v>1582.0</v>
      </c>
      <c r="E586" s="52">
        <v>1708.0</v>
      </c>
      <c r="F586" s="110"/>
      <c r="G586" s="95">
        <f t="shared" si="11"/>
        <v>0.0796460177</v>
      </c>
      <c r="H586" s="122"/>
      <c r="I586" s="20"/>
      <c r="J586" s="115">
        <v>6.0</v>
      </c>
      <c r="K586" s="115">
        <v>24.0</v>
      </c>
      <c r="L586" s="93"/>
      <c r="M586" s="93"/>
      <c r="N586" s="93"/>
      <c r="O586" s="56"/>
      <c r="P586" s="56"/>
      <c r="Q586" s="56"/>
      <c r="R586" s="56"/>
      <c r="S586" s="56"/>
      <c r="T586" s="56"/>
      <c r="U586" s="56"/>
      <c r="V586" s="56"/>
    </row>
    <row r="587" ht="18.75" customHeight="1">
      <c r="A587" s="90"/>
      <c r="B587" s="210" t="s">
        <v>1543</v>
      </c>
      <c r="C587" s="208" t="s">
        <v>395</v>
      </c>
      <c r="D587" s="52">
        <v>236.0</v>
      </c>
      <c r="E587" s="52">
        <v>256.0</v>
      </c>
      <c r="F587" s="110"/>
      <c r="G587" s="95">
        <f t="shared" si="11"/>
        <v>0.08474576271</v>
      </c>
      <c r="H587" s="122"/>
      <c r="I587" s="20"/>
      <c r="J587" s="115">
        <v>90.0</v>
      </c>
      <c r="K587" s="115">
        <v>270.0</v>
      </c>
      <c r="L587" s="93"/>
      <c r="M587" s="93"/>
      <c r="N587" s="93"/>
      <c r="O587" s="56"/>
      <c r="P587" s="56"/>
      <c r="Q587" s="56"/>
      <c r="R587" s="56"/>
      <c r="S587" s="56"/>
      <c r="T587" s="56"/>
      <c r="U587" s="56"/>
      <c r="V587" s="56"/>
    </row>
    <row r="588" ht="18.75" customHeight="1">
      <c r="A588" s="90"/>
      <c r="B588" s="210" t="s">
        <v>1545</v>
      </c>
      <c r="C588" s="208" t="s">
        <v>829</v>
      </c>
      <c r="D588" s="52">
        <v>422.1984</v>
      </c>
      <c r="E588" s="52">
        <v>456.0</v>
      </c>
      <c r="F588" s="110"/>
      <c r="G588" s="95">
        <f t="shared" si="11"/>
        <v>0.08006093818</v>
      </c>
      <c r="H588" s="122"/>
      <c r="I588" s="20"/>
      <c r="J588" s="115">
        <v>30.0</v>
      </c>
      <c r="K588" s="115">
        <v>120.0</v>
      </c>
      <c r="L588" s="93"/>
      <c r="M588" s="93"/>
      <c r="N588" s="93"/>
      <c r="O588" s="56"/>
      <c r="P588" s="56"/>
      <c r="Q588" s="56"/>
      <c r="R588" s="56"/>
      <c r="S588" s="56"/>
      <c r="T588" s="56"/>
      <c r="U588" s="56"/>
      <c r="V588" s="56"/>
    </row>
    <row r="589" ht="18.75" customHeight="1">
      <c r="A589" s="90"/>
      <c r="B589" s="209" t="s">
        <v>1548</v>
      </c>
      <c r="C589" s="208" t="s">
        <v>1350</v>
      </c>
      <c r="D589" s="52">
        <v>594.048</v>
      </c>
      <c r="E589" s="52">
        <v>642.0</v>
      </c>
      <c r="F589" s="110"/>
      <c r="G589" s="95">
        <f t="shared" si="11"/>
        <v>0.08072074984</v>
      </c>
      <c r="H589" s="122"/>
      <c r="I589" s="20"/>
      <c r="J589" s="115">
        <v>30.0</v>
      </c>
      <c r="K589" s="115">
        <v>120.0</v>
      </c>
      <c r="L589" s="93"/>
      <c r="M589" s="93"/>
      <c r="N589" s="93"/>
      <c r="O589" s="56"/>
      <c r="P589" s="56"/>
      <c r="Q589" s="56"/>
      <c r="R589" s="56"/>
      <c r="S589" s="56"/>
      <c r="T589" s="56"/>
      <c r="U589" s="56"/>
      <c r="V589" s="56"/>
    </row>
    <row r="590" ht="18.75" customHeight="1">
      <c r="A590" s="90"/>
      <c r="B590" s="210" t="s">
        <v>1550</v>
      </c>
      <c r="C590" s="208" t="s">
        <v>731</v>
      </c>
      <c r="D590" s="52">
        <v>362.0</v>
      </c>
      <c r="E590" s="52">
        <v>392.0</v>
      </c>
      <c r="F590" s="110"/>
      <c r="G590" s="95">
        <f t="shared" si="11"/>
        <v>0.08287292818</v>
      </c>
      <c r="H590" s="122"/>
      <c r="I590" s="20"/>
      <c r="J590" s="115">
        <v>66.0</v>
      </c>
      <c r="K590" s="115">
        <v>198.0</v>
      </c>
      <c r="L590" s="93"/>
      <c r="M590" s="93"/>
      <c r="N590" s="93"/>
      <c r="O590" s="56"/>
      <c r="P590" s="56"/>
      <c r="Q590" s="56"/>
      <c r="R590" s="56"/>
      <c r="S590" s="56"/>
      <c r="T590" s="56"/>
      <c r="U590" s="56"/>
      <c r="V590" s="56"/>
    </row>
    <row r="591" ht="18.75" customHeight="1">
      <c r="A591" s="90"/>
      <c r="B591" s="91"/>
      <c r="C591" s="129"/>
      <c r="D591" s="132"/>
      <c r="E591" s="109"/>
      <c r="F591" s="110"/>
      <c r="G591" s="95" t="str">
        <f t="shared" si="11"/>
        <v/>
      </c>
      <c r="H591" s="96"/>
      <c r="I591" s="20"/>
      <c r="J591" s="115"/>
      <c r="K591" s="115"/>
      <c r="L591" s="93"/>
      <c r="M591" s="93"/>
      <c r="N591" s="93"/>
      <c r="O591" s="56"/>
      <c r="P591" s="56"/>
      <c r="Q591" s="56"/>
      <c r="R591" s="56"/>
      <c r="S591" s="56"/>
      <c r="T591" s="56"/>
      <c r="U591" s="56"/>
      <c r="V591" s="56"/>
    </row>
    <row r="592" ht="18.75" customHeight="1">
      <c r="A592" s="90"/>
      <c r="B592" s="107" t="s">
        <v>1554</v>
      </c>
      <c r="C592" s="108"/>
      <c r="D592" s="109"/>
      <c r="E592" s="181"/>
      <c r="F592" s="110"/>
      <c r="G592" s="95" t="str">
        <f t="shared" si="11"/>
        <v/>
      </c>
      <c r="H592" s="96"/>
      <c r="I592" s="20"/>
      <c r="J592" s="115"/>
      <c r="K592" s="115"/>
      <c r="L592" s="93"/>
      <c r="M592" s="93"/>
      <c r="N592" s="93"/>
      <c r="O592" s="56"/>
      <c r="P592" s="56"/>
      <c r="Q592" s="56"/>
      <c r="R592" s="56"/>
      <c r="S592" s="56"/>
      <c r="T592" s="56"/>
      <c r="U592" s="56"/>
      <c r="V592" s="56"/>
    </row>
    <row r="593" ht="18.75" customHeight="1">
      <c r="A593" s="90">
        <v>1.0</v>
      </c>
      <c r="B593" s="111" t="s">
        <v>1556</v>
      </c>
      <c r="C593" s="118" t="s">
        <v>1050</v>
      </c>
      <c r="D593" s="52">
        <v>285.6</v>
      </c>
      <c r="E593" s="52">
        <v>308.0</v>
      </c>
      <c r="F593" s="110"/>
      <c r="G593" s="95">
        <f t="shared" si="11"/>
        <v>0.07843137255</v>
      </c>
      <c r="H593" s="122"/>
      <c r="I593" s="20"/>
      <c r="J593" s="115">
        <v>108.0</v>
      </c>
      <c r="K593" s="115">
        <v>324.0</v>
      </c>
      <c r="L593" s="93"/>
      <c r="M593" s="93"/>
      <c r="N593" s="93"/>
      <c r="O593" s="56"/>
      <c r="P593" s="56"/>
      <c r="Q593" s="56"/>
      <c r="R593" s="56"/>
      <c r="S593" s="56"/>
      <c r="T593" s="56"/>
      <c r="U593" s="56"/>
      <c r="V593" s="56"/>
    </row>
    <row r="594" ht="18.75" customHeight="1">
      <c r="A594" s="90"/>
      <c r="B594" s="111" t="s">
        <v>1404</v>
      </c>
      <c r="C594" s="118" t="s">
        <v>748</v>
      </c>
      <c r="D594" s="52">
        <v>297.84</v>
      </c>
      <c r="E594" s="52">
        <v>322.0</v>
      </c>
      <c r="F594" s="110"/>
      <c r="G594" s="95">
        <f t="shared" si="11"/>
        <v>0.08111737846</v>
      </c>
      <c r="H594" s="122"/>
      <c r="I594" s="20"/>
      <c r="J594" s="115"/>
      <c r="K594" s="115"/>
      <c r="L594" s="93"/>
      <c r="M594" s="93"/>
      <c r="N594" s="93"/>
      <c r="O594" s="56"/>
      <c r="P594" s="56"/>
      <c r="Q594" s="56"/>
      <c r="R594" s="56"/>
      <c r="S594" s="56"/>
      <c r="T594" s="56"/>
      <c r="U594" s="56"/>
      <c r="V594" s="56"/>
    </row>
    <row r="595" ht="18.75" customHeight="1">
      <c r="A595" s="90">
        <v>2.0</v>
      </c>
      <c r="B595" s="111" t="s">
        <v>1557</v>
      </c>
      <c r="C595" s="118" t="s">
        <v>798</v>
      </c>
      <c r="D595" s="52">
        <v>326.0</v>
      </c>
      <c r="E595" s="52">
        <v>352.0</v>
      </c>
      <c r="F595" s="110"/>
      <c r="G595" s="95">
        <f t="shared" si="11"/>
        <v>0.07975460123</v>
      </c>
      <c r="H595" s="122"/>
      <c r="I595" s="20"/>
      <c r="J595" s="115">
        <v>60.0</v>
      </c>
      <c r="K595" s="115">
        <v>240.0</v>
      </c>
      <c r="L595" s="93"/>
      <c r="M595" s="93"/>
      <c r="N595" s="93"/>
      <c r="O595" s="56"/>
      <c r="P595" s="56"/>
      <c r="Q595" s="56"/>
      <c r="R595" s="56"/>
      <c r="S595" s="56"/>
      <c r="T595" s="56"/>
      <c r="U595" s="56"/>
      <c r="V595" s="56"/>
    </row>
    <row r="596" ht="18.75" customHeight="1">
      <c r="A596" s="90">
        <v>3.0</v>
      </c>
      <c r="B596" s="111" t="s">
        <v>1559</v>
      </c>
      <c r="C596" s="118" t="s">
        <v>306</v>
      </c>
      <c r="D596" s="52">
        <v>342.0</v>
      </c>
      <c r="E596" s="52">
        <v>368.0</v>
      </c>
      <c r="F596" s="110"/>
      <c r="G596" s="95">
        <f t="shared" si="11"/>
        <v>0.07602339181</v>
      </c>
      <c r="H596" s="122"/>
      <c r="I596" s="20"/>
      <c r="J596" s="115">
        <v>60.0</v>
      </c>
      <c r="K596" s="115">
        <v>240.0</v>
      </c>
      <c r="L596" s="93"/>
      <c r="M596" s="93"/>
      <c r="N596" s="93"/>
      <c r="O596" s="56"/>
      <c r="P596" s="56"/>
      <c r="Q596" s="56"/>
      <c r="R596" s="56"/>
      <c r="S596" s="56"/>
      <c r="T596" s="56"/>
      <c r="U596" s="56"/>
      <c r="V596" s="56"/>
    </row>
    <row r="597" ht="18.75" customHeight="1">
      <c r="A597" s="90">
        <v>4.0</v>
      </c>
      <c r="B597" s="111" t="s">
        <v>1560</v>
      </c>
      <c r="C597" s="118" t="s">
        <v>801</v>
      </c>
      <c r="D597" s="52">
        <v>395.76</v>
      </c>
      <c r="E597" s="52">
        <v>428.0</v>
      </c>
      <c r="F597" s="110"/>
      <c r="G597" s="95">
        <f t="shared" si="11"/>
        <v>0.08146351324</v>
      </c>
      <c r="H597" s="122"/>
      <c r="I597" s="20"/>
      <c r="J597" s="115">
        <v>60.0</v>
      </c>
      <c r="K597" s="115">
        <v>240.0</v>
      </c>
      <c r="L597" s="93"/>
      <c r="M597" s="93"/>
      <c r="N597" s="93"/>
      <c r="O597" s="56"/>
      <c r="P597" s="56"/>
      <c r="Q597" s="56"/>
      <c r="R597" s="56"/>
      <c r="S597" s="56"/>
      <c r="T597" s="56"/>
      <c r="U597" s="56"/>
      <c r="V597" s="56"/>
    </row>
    <row r="598" ht="18.75" customHeight="1">
      <c r="A598" s="90">
        <v>5.0</v>
      </c>
      <c r="B598" s="111" t="s">
        <v>1562</v>
      </c>
      <c r="C598" s="118" t="s">
        <v>358</v>
      </c>
      <c r="D598" s="52">
        <v>382.0</v>
      </c>
      <c r="E598" s="52">
        <v>414.0</v>
      </c>
      <c r="F598" s="110"/>
      <c r="G598" s="95">
        <f t="shared" si="11"/>
        <v>0.08376963351</v>
      </c>
      <c r="H598" s="122"/>
      <c r="I598" s="20"/>
      <c r="J598" s="115">
        <v>60.0</v>
      </c>
      <c r="K598" s="115">
        <v>240.0</v>
      </c>
      <c r="L598" s="93"/>
      <c r="M598" s="93"/>
      <c r="N598" s="93"/>
      <c r="O598" s="56"/>
      <c r="P598" s="56"/>
      <c r="Q598" s="56"/>
      <c r="R598" s="56"/>
      <c r="S598" s="56"/>
      <c r="T598" s="56"/>
      <c r="U598" s="56"/>
      <c r="V598" s="56"/>
    </row>
    <row r="599" ht="18.75" customHeight="1">
      <c r="A599" s="90">
        <v>6.0</v>
      </c>
      <c r="B599" s="111" t="s">
        <v>1564</v>
      </c>
      <c r="C599" s="118" t="s">
        <v>520</v>
      </c>
      <c r="D599" s="52">
        <v>395.76</v>
      </c>
      <c r="E599" s="52">
        <v>428.0</v>
      </c>
      <c r="F599" s="110"/>
      <c r="G599" s="95">
        <f t="shared" si="11"/>
        <v>0.08146351324</v>
      </c>
      <c r="H599" s="122"/>
      <c r="I599" s="20"/>
      <c r="J599" s="115">
        <v>60.0</v>
      </c>
      <c r="K599" s="115">
        <v>240.0</v>
      </c>
      <c r="L599" s="93"/>
      <c r="M599" s="93"/>
      <c r="N599" s="93"/>
      <c r="O599" s="56"/>
      <c r="P599" s="56"/>
      <c r="Q599" s="56"/>
      <c r="R599" s="56"/>
      <c r="S599" s="56"/>
      <c r="T599" s="56"/>
      <c r="U599" s="56"/>
      <c r="V599" s="56"/>
    </row>
    <row r="600" ht="18.75" customHeight="1">
      <c r="A600" s="90">
        <v>7.0</v>
      </c>
      <c r="B600" s="111" t="s">
        <v>1566</v>
      </c>
      <c r="C600" s="118" t="s">
        <v>806</v>
      </c>
      <c r="D600" s="52">
        <v>328.0</v>
      </c>
      <c r="E600" s="52">
        <v>354.0</v>
      </c>
      <c r="F600" s="110"/>
      <c r="G600" s="95">
        <f t="shared" si="11"/>
        <v>0.07926829268</v>
      </c>
      <c r="H600" s="122"/>
      <c r="I600" s="20"/>
      <c r="J600" s="115">
        <v>66.0</v>
      </c>
      <c r="K600" s="115">
        <v>198.0</v>
      </c>
      <c r="L600" s="93"/>
      <c r="M600" s="93"/>
      <c r="N600" s="93"/>
      <c r="O600" s="56"/>
      <c r="P600" s="56"/>
      <c r="Q600" s="56"/>
      <c r="R600" s="56"/>
      <c r="S600" s="56"/>
      <c r="T600" s="56"/>
      <c r="U600" s="56"/>
      <c r="V600" s="56"/>
    </row>
    <row r="601" ht="18.75" customHeight="1">
      <c r="A601" s="90">
        <v>8.0</v>
      </c>
      <c r="B601" s="111" t="s">
        <v>1568</v>
      </c>
      <c r="C601" s="118" t="s">
        <v>808</v>
      </c>
      <c r="D601" s="52">
        <v>672.0</v>
      </c>
      <c r="E601" s="52">
        <v>726.0</v>
      </c>
      <c r="F601" s="110"/>
      <c r="G601" s="95">
        <f t="shared" si="11"/>
        <v>0.08035714286</v>
      </c>
      <c r="H601" s="122"/>
      <c r="I601" s="20"/>
      <c r="J601" s="115">
        <v>24.0</v>
      </c>
      <c r="K601" s="115">
        <v>96.0</v>
      </c>
      <c r="L601" s="93"/>
      <c r="M601" s="93"/>
      <c r="N601" s="93"/>
      <c r="O601" s="56"/>
      <c r="P601" s="56"/>
      <c r="Q601" s="56"/>
      <c r="R601" s="56"/>
      <c r="S601" s="56"/>
      <c r="T601" s="56"/>
      <c r="U601" s="56"/>
      <c r="V601" s="56"/>
    </row>
    <row r="602" ht="18.75" customHeight="1">
      <c r="A602" s="90">
        <v>9.0</v>
      </c>
      <c r="B602" s="111" t="s">
        <v>1570</v>
      </c>
      <c r="C602" s="118" t="s">
        <v>416</v>
      </c>
      <c r="D602" s="52">
        <v>403.92</v>
      </c>
      <c r="E602" s="52">
        <v>436.0</v>
      </c>
      <c r="F602" s="110"/>
      <c r="G602" s="95">
        <f t="shared" si="11"/>
        <v>0.07942166766</v>
      </c>
      <c r="H602" s="122"/>
      <c r="I602" s="20"/>
      <c r="J602" s="115">
        <v>60.0</v>
      </c>
      <c r="K602" s="115">
        <v>240.0</v>
      </c>
      <c r="L602" s="93"/>
      <c r="M602" s="93"/>
      <c r="N602" s="93"/>
      <c r="O602" s="56"/>
      <c r="P602" s="56"/>
      <c r="Q602" s="56"/>
      <c r="R602" s="56"/>
      <c r="S602" s="56"/>
      <c r="T602" s="56"/>
      <c r="U602" s="56"/>
      <c r="V602" s="56"/>
    </row>
    <row r="603" ht="18.75" customHeight="1">
      <c r="A603" s="90">
        <v>10.0</v>
      </c>
      <c r="B603" s="111" t="s">
        <v>1572</v>
      </c>
      <c r="C603" s="118" t="s">
        <v>1573</v>
      </c>
      <c r="D603" s="52">
        <v>786.0</v>
      </c>
      <c r="E603" s="52">
        <v>848.0</v>
      </c>
      <c r="F603" s="110"/>
      <c r="G603" s="95">
        <f t="shared" si="11"/>
        <v>0.07888040712</v>
      </c>
      <c r="H603" s="122"/>
      <c r="I603" s="20"/>
      <c r="J603" s="115">
        <v>13.0</v>
      </c>
      <c r="K603" s="115">
        <v>52.0</v>
      </c>
      <c r="L603" s="93"/>
      <c r="M603" s="93"/>
      <c r="N603" s="93"/>
      <c r="O603" s="56"/>
      <c r="P603" s="56"/>
      <c r="Q603" s="56"/>
      <c r="R603" s="56"/>
      <c r="S603" s="56"/>
      <c r="T603" s="56"/>
      <c r="U603" s="56"/>
      <c r="V603" s="56"/>
    </row>
    <row r="604" ht="18.75" customHeight="1">
      <c r="A604" s="90">
        <v>11.0</v>
      </c>
      <c r="B604" s="111" t="s">
        <v>1574</v>
      </c>
      <c r="C604" s="118" t="s">
        <v>1302</v>
      </c>
      <c r="D604" s="52">
        <v>806.208</v>
      </c>
      <c r="E604" s="52">
        <v>872.0</v>
      </c>
      <c r="F604" s="110"/>
      <c r="G604" s="95">
        <f t="shared" si="11"/>
        <v>0.08160673176</v>
      </c>
      <c r="H604" s="122"/>
      <c r="I604" s="20"/>
      <c r="J604" s="115">
        <v>13.0</v>
      </c>
      <c r="K604" s="115">
        <v>52.0</v>
      </c>
      <c r="L604" s="93"/>
      <c r="M604" s="93"/>
      <c r="N604" s="93"/>
      <c r="O604" s="56"/>
      <c r="P604" s="56"/>
      <c r="Q604" s="56"/>
      <c r="R604" s="56"/>
      <c r="S604" s="56"/>
      <c r="T604" s="56"/>
      <c r="U604" s="56"/>
      <c r="V604" s="56"/>
    </row>
    <row r="605" ht="18.75" customHeight="1">
      <c r="A605" s="90">
        <v>12.0</v>
      </c>
      <c r="B605" s="153" t="s">
        <v>1576</v>
      </c>
      <c r="C605" s="145" t="s">
        <v>1577</v>
      </c>
      <c r="D605" s="52">
        <v>1611.6</v>
      </c>
      <c r="E605" s="52">
        <v>1742.0</v>
      </c>
      <c r="F605" s="110"/>
      <c r="G605" s="95">
        <f t="shared" si="11"/>
        <v>0.08091337801</v>
      </c>
      <c r="H605" s="122"/>
      <c r="I605" s="20"/>
      <c r="J605" s="115">
        <v>13.0</v>
      </c>
      <c r="K605" s="115">
        <v>52.0</v>
      </c>
      <c r="L605" s="106"/>
      <c r="M605" s="93"/>
      <c r="N605" s="93"/>
      <c r="O605" s="56"/>
      <c r="P605" s="56"/>
      <c r="Q605" s="56"/>
      <c r="R605" s="56"/>
      <c r="S605" s="56"/>
      <c r="T605" s="56"/>
      <c r="U605" s="56"/>
      <c r="V605" s="56"/>
    </row>
    <row r="606" ht="18.75" customHeight="1">
      <c r="A606" s="90">
        <v>13.0</v>
      </c>
      <c r="B606" s="135" t="s">
        <v>1579</v>
      </c>
      <c r="C606" s="145" t="s">
        <v>1580</v>
      </c>
      <c r="D606" s="52">
        <v>1611.6</v>
      </c>
      <c r="E606" s="52">
        <v>1742.0</v>
      </c>
      <c r="F606" s="110"/>
      <c r="G606" s="95">
        <f t="shared" si="11"/>
        <v>0.08091337801</v>
      </c>
      <c r="H606" s="122"/>
      <c r="I606" s="20"/>
      <c r="J606" s="115">
        <v>13.0</v>
      </c>
      <c r="K606" s="115">
        <v>52.0</v>
      </c>
      <c r="L606" s="106"/>
      <c r="M606" s="93"/>
      <c r="N606" s="93"/>
      <c r="O606" s="56"/>
      <c r="P606" s="56"/>
      <c r="Q606" s="56"/>
      <c r="R606" s="56"/>
      <c r="S606" s="56"/>
      <c r="T606" s="56"/>
      <c r="U606" s="56"/>
      <c r="V606" s="56"/>
    </row>
    <row r="607" ht="18.75" customHeight="1">
      <c r="A607" s="90"/>
      <c r="B607" s="177" t="s">
        <v>1406</v>
      </c>
      <c r="C607" s="213" t="s">
        <v>523</v>
      </c>
      <c r="D607" s="52">
        <v>2233.8</v>
      </c>
      <c r="E607" s="52">
        <v>2414.0</v>
      </c>
      <c r="F607" s="110"/>
      <c r="G607" s="95">
        <f t="shared" si="11"/>
        <v>0.08066971081</v>
      </c>
      <c r="H607" s="122"/>
      <c r="I607" s="20"/>
      <c r="J607" s="115"/>
      <c r="K607" s="115"/>
      <c r="L607" s="106"/>
      <c r="M607" s="93"/>
      <c r="N607" s="93"/>
      <c r="O607" s="56"/>
      <c r="P607" s="56"/>
      <c r="Q607" s="56"/>
      <c r="R607" s="56"/>
      <c r="S607" s="56"/>
      <c r="T607" s="56"/>
      <c r="U607" s="56"/>
      <c r="V607" s="56"/>
    </row>
    <row r="608" ht="18.75" customHeight="1">
      <c r="A608" s="90">
        <v>14.0</v>
      </c>
      <c r="B608" s="153" t="s">
        <v>1584</v>
      </c>
      <c r="C608" s="145" t="s">
        <v>734</v>
      </c>
      <c r="D608" s="52">
        <v>1927.8</v>
      </c>
      <c r="E608" s="52">
        <v>2082.0</v>
      </c>
      <c r="F608" s="110"/>
      <c r="G608" s="95">
        <f t="shared" si="11"/>
        <v>0.07998755058</v>
      </c>
      <c r="H608" s="122"/>
      <c r="I608" s="20"/>
      <c r="J608" s="115">
        <v>6.0</v>
      </c>
      <c r="K608" s="115">
        <v>24.0</v>
      </c>
      <c r="L608" s="106"/>
      <c r="M608" s="93"/>
      <c r="N608" s="93"/>
      <c r="O608" s="56"/>
      <c r="P608" s="56"/>
      <c r="Q608" s="56"/>
      <c r="R608" s="56"/>
      <c r="S608" s="56"/>
      <c r="T608" s="56"/>
      <c r="U608" s="56"/>
      <c r="V608" s="56"/>
    </row>
    <row r="609" ht="18.75" customHeight="1">
      <c r="A609" s="90">
        <v>15.0</v>
      </c>
      <c r="B609" s="111" t="s">
        <v>1587</v>
      </c>
      <c r="C609" s="118" t="s">
        <v>719</v>
      </c>
      <c r="D609" s="52">
        <v>287.64</v>
      </c>
      <c r="E609" s="52">
        <v>312.0</v>
      </c>
      <c r="F609" s="110"/>
      <c r="G609" s="95">
        <f t="shared" si="11"/>
        <v>0.08468919483</v>
      </c>
      <c r="H609" s="122"/>
      <c r="I609" s="20"/>
      <c r="J609" s="115">
        <v>132.0</v>
      </c>
      <c r="K609" s="115">
        <v>264.0</v>
      </c>
      <c r="L609" s="93"/>
      <c r="M609" s="93"/>
      <c r="N609" s="93"/>
      <c r="O609" s="56"/>
      <c r="P609" s="56"/>
      <c r="Q609" s="56"/>
      <c r="R609" s="56"/>
      <c r="S609" s="56"/>
      <c r="T609" s="56"/>
      <c r="U609" s="56"/>
      <c r="V609" s="56"/>
    </row>
    <row r="610" ht="18.75" customHeight="1">
      <c r="A610" s="90">
        <v>16.0</v>
      </c>
      <c r="B610" s="111" t="s">
        <v>1590</v>
      </c>
      <c r="C610" s="118" t="s">
        <v>717</v>
      </c>
      <c r="D610" s="52">
        <v>287.64</v>
      </c>
      <c r="E610" s="52">
        <v>312.0</v>
      </c>
      <c r="F610" s="110"/>
      <c r="G610" s="95">
        <f t="shared" si="11"/>
        <v>0.08468919483</v>
      </c>
      <c r="H610" s="122"/>
      <c r="I610" s="20"/>
      <c r="J610" s="115">
        <v>132.0</v>
      </c>
      <c r="K610" s="115">
        <v>264.0</v>
      </c>
      <c r="L610" s="93"/>
      <c r="M610" s="93"/>
      <c r="N610" s="93"/>
      <c r="O610" s="56"/>
      <c r="P610" s="56"/>
      <c r="Q610" s="56"/>
      <c r="R610" s="56"/>
      <c r="S610" s="56"/>
      <c r="T610" s="56"/>
      <c r="U610" s="56"/>
      <c r="V610" s="56"/>
    </row>
    <row r="611" ht="18.75" customHeight="1">
      <c r="A611" s="90">
        <v>17.0</v>
      </c>
      <c r="B611" s="111" t="s">
        <v>1592</v>
      </c>
      <c r="C611" s="118" t="s">
        <v>723</v>
      </c>
      <c r="D611" s="52">
        <v>301.92</v>
      </c>
      <c r="E611" s="52">
        <v>326.0</v>
      </c>
      <c r="F611" s="110"/>
      <c r="G611" s="95">
        <f t="shared" si="11"/>
        <v>0.07975622682</v>
      </c>
      <c r="H611" s="122"/>
      <c r="I611" s="20"/>
      <c r="J611" s="115">
        <v>64.0</v>
      </c>
      <c r="K611" s="115">
        <v>256.0</v>
      </c>
      <c r="L611" s="93"/>
      <c r="M611" s="93"/>
      <c r="N611" s="93"/>
      <c r="O611" s="56"/>
      <c r="P611" s="56"/>
      <c r="Q611" s="56"/>
      <c r="R611" s="56"/>
      <c r="S611" s="56"/>
      <c r="T611" s="56"/>
      <c r="U611" s="56"/>
      <c r="V611" s="56"/>
    </row>
    <row r="612" ht="18.75" customHeight="1">
      <c r="A612" s="90">
        <v>18.0</v>
      </c>
      <c r="B612" s="111" t="s">
        <v>1595</v>
      </c>
      <c r="C612" s="118" t="s">
        <v>395</v>
      </c>
      <c r="D612" s="52">
        <v>281.52</v>
      </c>
      <c r="E612" s="52">
        <v>304.0</v>
      </c>
      <c r="F612" s="110"/>
      <c r="G612" s="95">
        <f t="shared" si="11"/>
        <v>0.07985223075</v>
      </c>
      <c r="H612" s="122"/>
      <c r="I612" s="20"/>
      <c r="J612" s="115">
        <v>132.0</v>
      </c>
      <c r="K612" s="115">
        <v>264.0</v>
      </c>
      <c r="L612" s="93"/>
      <c r="M612" s="93"/>
      <c r="N612" s="93"/>
      <c r="O612" s="56"/>
      <c r="P612" s="56"/>
      <c r="Q612" s="56"/>
      <c r="R612" s="56"/>
      <c r="S612" s="56"/>
      <c r="T612" s="56"/>
      <c r="U612" s="56"/>
      <c r="V612" s="56"/>
    </row>
    <row r="613" ht="18.75" customHeight="1">
      <c r="A613" s="90">
        <v>19.0</v>
      </c>
      <c r="B613" s="111" t="s">
        <v>1599</v>
      </c>
      <c r="C613" s="118" t="s">
        <v>359</v>
      </c>
      <c r="D613" s="52">
        <v>578.0</v>
      </c>
      <c r="E613" s="52">
        <v>624.0</v>
      </c>
      <c r="F613" s="110"/>
      <c r="G613" s="95">
        <f t="shared" si="11"/>
        <v>0.07958477509</v>
      </c>
      <c r="H613" s="122"/>
      <c r="I613" s="20"/>
      <c r="J613" s="115">
        <v>30.0</v>
      </c>
      <c r="K613" s="115">
        <v>120.0</v>
      </c>
      <c r="L613" s="93"/>
      <c r="M613" s="93"/>
      <c r="N613" s="93"/>
      <c r="O613" s="56"/>
      <c r="P613" s="56"/>
      <c r="Q613" s="56"/>
      <c r="R613" s="56"/>
      <c r="S613" s="56"/>
      <c r="T613" s="56"/>
      <c r="U613" s="56"/>
      <c r="V613" s="56"/>
    </row>
    <row r="614" ht="18.75" customHeight="1">
      <c r="A614" s="90">
        <v>20.0</v>
      </c>
      <c r="B614" s="111" t="s">
        <v>1601</v>
      </c>
      <c r="C614" s="118" t="s">
        <v>663</v>
      </c>
      <c r="D614" s="52">
        <v>472.0</v>
      </c>
      <c r="E614" s="52">
        <v>512.0</v>
      </c>
      <c r="F614" s="110"/>
      <c r="G614" s="95">
        <f t="shared" si="11"/>
        <v>0.08474576271</v>
      </c>
      <c r="H614" s="122"/>
      <c r="I614" s="20"/>
      <c r="J614" s="115">
        <v>64.0</v>
      </c>
      <c r="K614" s="115">
        <v>256.0</v>
      </c>
      <c r="L614" s="93"/>
      <c r="M614" s="93"/>
      <c r="N614" s="93"/>
      <c r="O614" s="56"/>
      <c r="P614" s="56"/>
      <c r="Q614" s="56"/>
      <c r="R614" s="56"/>
      <c r="S614" s="56"/>
      <c r="T614" s="56"/>
      <c r="U614" s="56"/>
      <c r="V614" s="56"/>
    </row>
    <row r="615" ht="18.75" customHeight="1">
      <c r="A615" s="90">
        <v>21.0</v>
      </c>
      <c r="B615" s="111" t="s">
        <v>1604</v>
      </c>
      <c r="C615" s="118" t="s">
        <v>690</v>
      </c>
      <c r="D615" s="52">
        <v>482.0</v>
      </c>
      <c r="E615" s="52">
        <v>522.0</v>
      </c>
      <c r="F615" s="110"/>
      <c r="G615" s="95">
        <f t="shared" si="11"/>
        <v>0.08298755187</v>
      </c>
      <c r="H615" s="122"/>
      <c r="I615" s="20"/>
      <c r="J615" s="120">
        <v>64.0</v>
      </c>
      <c r="K615" s="120">
        <v>256.0</v>
      </c>
      <c r="L615" s="93"/>
      <c r="M615" s="93"/>
      <c r="N615" s="93"/>
      <c r="O615" s="56"/>
      <c r="P615" s="56"/>
      <c r="Q615" s="56"/>
      <c r="R615" s="56"/>
      <c r="S615" s="56"/>
      <c r="T615" s="56"/>
      <c r="U615" s="56"/>
      <c r="V615" s="56"/>
    </row>
    <row r="616" ht="18.75" customHeight="1">
      <c r="A616" s="90">
        <v>22.0</v>
      </c>
      <c r="B616" s="111" t="s">
        <v>1606</v>
      </c>
      <c r="C616" s="118" t="s">
        <v>1350</v>
      </c>
      <c r="D616" s="52">
        <v>762.0</v>
      </c>
      <c r="E616" s="52">
        <v>824.0</v>
      </c>
      <c r="F616" s="110"/>
      <c r="G616" s="95">
        <f t="shared" si="11"/>
        <v>0.0813648294</v>
      </c>
      <c r="H616" s="122"/>
      <c r="I616" s="20"/>
      <c r="J616" s="115">
        <v>30.0</v>
      </c>
      <c r="K616" s="115">
        <v>120.0</v>
      </c>
      <c r="L616" s="93"/>
      <c r="M616" s="93"/>
      <c r="N616" s="93"/>
      <c r="O616" s="56"/>
      <c r="P616" s="56"/>
      <c r="Q616" s="56"/>
      <c r="R616" s="56"/>
      <c r="S616" s="56"/>
      <c r="T616" s="56"/>
      <c r="U616" s="56"/>
      <c r="V616" s="56"/>
    </row>
    <row r="617" ht="18.75" customHeight="1">
      <c r="A617" s="90">
        <v>23.0</v>
      </c>
      <c r="B617" s="111" t="s">
        <v>1607</v>
      </c>
      <c r="C617" s="118" t="s">
        <v>601</v>
      </c>
      <c r="D617" s="52">
        <v>806.208</v>
      </c>
      <c r="E617" s="52">
        <v>872.0</v>
      </c>
      <c r="F617" s="110"/>
      <c r="G617" s="95">
        <f t="shared" si="11"/>
        <v>0.08160673176</v>
      </c>
      <c r="H617" s="122"/>
      <c r="I617" s="20"/>
      <c r="J617" s="115">
        <v>30.0</v>
      </c>
      <c r="K617" s="115">
        <v>120.0</v>
      </c>
      <c r="L617" s="93"/>
      <c r="M617" s="93"/>
      <c r="N617" s="93"/>
      <c r="O617" s="56"/>
      <c r="P617" s="56"/>
      <c r="Q617" s="56"/>
      <c r="R617" s="56"/>
      <c r="S617" s="56"/>
      <c r="T617" s="56"/>
      <c r="U617" s="56"/>
      <c r="V617" s="56"/>
    </row>
    <row r="618" ht="18.75" customHeight="1">
      <c r="A618" s="90">
        <v>24.0</v>
      </c>
      <c r="B618" s="153" t="s">
        <v>1608</v>
      </c>
      <c r="C618" s="145" t="s">
        <v>1395</v>
      </c>
      <c r="D618" s="52">
        <v>497.76</v>
      </c>
      <c r="E618" s="52">
        <v>538.0</v>
      </c>
      <c r="F618" s="110"/>
      <c r="G618" s="95">
        <f t="shared" si="11"/>
        <v>0.08084217293</v>
      </c>
      <c r="H618" s="122"/>
      <c r="I618" s="20"/>
      <c r="J618" s="115">
        <v>66.0</v>
      </c>
      <c r="K618" s="115">
        <v>198.0</v>
      </c>
      <c r="L618" s="106"/>
      <c r="M618" s="93"/>
      <c r="N618" s="93"/>
      <c r="O618" s="56"/>
      <c r="P618" s="56"/>
      <c r="Q618" s="56"/>
      <c r="R618" s="56"/>
      <c r="S618" s="56"/>
      <c r="T618" s="56"/>
      <c r="U618" s="56"/>
      <c r="V618" s="56"/>
    </row>
    <row r="619" ht="18.75" customHeight="1">
      <c r="A619" s="90">
        <v>25.0</v>
      </c>
      <c r="B619" s="123" t="s">
        <v>1609</v>
      </c>
      <c r="C619" s="124" t="s">
        <v>712</v>
      </c>
      <c r="D619" s="125">
        <v>1862.0</v>
      </c>
      <c r="E619" s="52">
        <v>2012.0</v>
      </c>
      <c r="F619" s="110"/>
      <c r="G619" s="95">
        <f t="shared" si="11"/>
        <v>0.08055853921</v>
      </c>
      <c r="H619" s="122"/>
      <c r="I619" s="20"/>
      <c r="J619" s="115">
        <v>14.0</v>
      </c>
      <c r="K619" s="115">
        <v>56.0</v>
      </c>
      <c r="L619" s="93"/>
      <c r="M619" s="93"/>
      <c r="N619" s="93"/>
      <c r="O619" s="56"/>
      <c r="P619" s="56"/>
      <c r="Q619" s="56"/>
      <c r="R619" s="56"/>
      <c r="S619" s="56"/>
      <c r="T619" s="56"/>
      <c r="U619" s="56"/>
      <c r="V619" s="56"/>
    </row>
    <row r="620" ht="18.75" customHeight="1">
      <c r="A620" s="90"/>
      <c r="B620" s="149"/>
      <c r="C620" s="150"/>
      <c r="D620" s="151"/>
      <c r="E620" s="109"/>
      <c r="F620" s="110"/>
      <c r="G620" s="95" t="str">
        <f t="shared" si="11"/>
        <v/>
      </c>
      <c r="H620" s="96"/>
      <c r="I620" s="20"/>
      <c r="J620" s="115"/>
      <c r="K620" s="115"/>
      <c r="L620" s="93"/>
      <c r="M620" s="93"/>
      <c r="N620" s="93"/>
      <c r="O620" s="56"/>
      <c r="P620" s="56"/>
      <c r="Q620" s="56"/>
      <c r="R620" s="56"/>
      <c r="S620" s="56"/>
      <c r="T620" s="56"/>
      <c r="U620" s="56"/>
      <c r="V620" s="56"/>
    </row>
    <row r="621" ht="18.75" customHeight="1">
      <c r="A621" s="90"/>
      <c r="B621" s="107" t="s">
        <v>1610</v>
      </c>
      <c r="C621" s="108"/>
      <c r="D621" s="109"/>
      <c r="E621" s="181"/>
      <c r="F621" s="110"/>
      <c r="G621" s="95" t="str">
        <f t="shared" si="11"/>
        <v/>
      </c>
      <c r="H621" s="96"/>
      <c r="I621" s="20"/>
      <c r="J621" s="115"/>
      <c r="K621" s="115"/>
      <c r="L621" s="93"/>
      <c r="M621" s="93"/>
      <c r="N621" s="93"/>
      <c r="O621" s="56"/>
      <c r="P621" s="56"/>
      <c r="Q621" s="56"/>
      <c r="R621" s="56"/>
      <c r="S621" s="56"/>
      <c r="T621" s="56"/>
      <c r="U621" s="56"/>
      <c r="V621" s="56"/>
    </row>
    <row r="622" ht="18.75" customHeight="1">
      <c r="A622" s="90">
        <v>1.0</v>
      </c>
      <c r="B622" s="111">
        <v>1231.0</v>
      </c>
      <c r="C622" s="118" t="s">
        <v>1611</v>
      </c>
      <c r="D622" s="52">
        <v>311.8752</v>
      </c>
      <c r="E622" s="52">
        <v>338.0</v>
      </c>
      <c r="F622" s="110"/>
      <c r="G622" s="95">
        <f t="shared" si="11"/>
        <v>0.08376684007</v>
      </c>
      <c r="H622" s="122"/>
      <c r="I622" s="20"/>
      <c r="J622" s="115">
        <v>60.0</v>
      </c>
      <c r="K622" s="115">
        <v>180.0</v>
      </c>
      <c r="L622" s="93"/>
      <c r="M622" s="93"/>
      <c r="N622" s="93"/>
      <c r="O622" s="56"/>
      <c r="P622" s="56"/>
      <c r="Q622" s="56"/>
      <c r="R622" s="56"/>
      <c r="S622" s="56"/>
      <c r="T622" s="56"/>
      <c r="U622" s="56"/>
      <c r="V622" s="56"/>
    </row>
    <row r="623" ht="18.75" customHeight="1">
      <c r="A623" s="90">
        <v>2.0</v>
      </c>
      <c r="B623" s="111" t="s">
        <v>1612</v>
      </c>
      <c r="C623" s="118" t="s">
        <v>1613</v>
      </c>
      <c r="D623" s="52">
        <v>332.0</v>
      </c>
      <c r="E623" s="52">
        <v>358.0</v>
      </c>
      <c r="F623" s="110"/>
      <c r="G623" s="95">
        <f t="shared" si="11"/>
        <v>0.07831325301</v>
      </c>
      <c r="H623" s="122"/>
      <c r="I623" s="20"/>
      <c r="J623" s="115">
        <v>46.0</v>
      </c>
      <c r="K623" s="115">
        <v>184.0</v>
      </c>
      <c r="L623" s="93"/>
      <c r="M623" s="93"/>
      <c r="N623" s="93"/>
      <c r="O623" s="56"/>
      <c r="P623" s="56"/>
      <c r="Q623" s="56"/>
      <c r="R623" s="56"/>
      <c r="S623" s="56"/>
      <c r="T623" s="56"/>
      <c r="U623" s="56"/>
      <c r="V623" s="56"/>
    </row>
    <row r="624" ht="18.75" customHeight="1">
      <c r="A624" s="90">
        <v>3.0</v>
      </c>
      <c r="B624" s="111" t="s">
        <v>1614</v>
      </c>
      <c r="C624" s="118" t="s">
        <v>1615</v>
      </c>
      <c r="D624" s="52">
        <v>372.0</v>
      </c>
      <c r="E624" s="52">
        <v>402.0</v>
      </c>
      <c r="F624" s="110"/>
      <c r="G624" s="95">
        <f t="shared" si="11"/>
        <v>0.08064516129</v>
      </c>
      <c r="H624" s="122"/>
      <c r="I624" s="20"/>
      <c r="J624" s="115">
        <v>60.0</v>
      </c>
      <c r="K624" s="115">
        <v>180.0</v>
      </c>
      <c r="L624" s="93"/>
      <c r="M624" s="93"/>
      <c r="N624" s="93"/>
      <c r="O624" s="56"/>
      <c r="P624" s="56"/>
      <c r="Q624" s="56"/>
      <c r="R624" s="56"/>
      <c r="S624" s="56"/>
      <c r="T624" s="56"/>
      <c r="U624" s="56"/>
      <c r="V624" s="56"/>
    </row>
    <row r="625" ht="18.75" customHeight="1">
      <c r="A625" s="90">
        <v>4.0</v>
      </c>
      <c r="B625" s="111">
        <v>1241.0</v>
      </c>
      <c r="C625" s="118" t="s">
        <v>1616</v>
      </c>
      <c r="D625" s="52">
        <v>377.64480000000003</v>
      </c>
      <c r="E625" s="52">
        <v>408.0</v>
      </c>
      <c r="F625" s="110"/>
      <c r="G625" s="95">
        <f t="shared" si="11"/>
        <v>0.08038029386</v>
      </c>
      <c r="H625" s="122"/>
      <c r="I625" s="20"/>
      <c r="J625" s="115">
        <v>46.0</v>
      </c>
      <c r="K625" s="115">
        <v>184.0</v>
      </c>
      <c r="L625" s="93"/>
      <c r="M625" s="93"/>
      <c r="N625" s="93"/>
      <c r="O625" s="56"/>
      <c r="P625" s="56"/>
      <c r="Q625" s="56"/>
      <c r="R625" s="56"/>
      <c r="S625" s="56"/>
      <c r="T625" s="56"/>
      <c r="U625" s="56"/>
      <c r="V625" s="56"/>
    </row>
    <row r="626" ht="18.75" customHeight="1">
      <c r="A626" s="90">
        <v>5.0</v>
      </c>
      <c r="B626" s="111" t="s">
        <v>1617</v>
      </c>
      <c r="C626" s="118" t="s">
        <v>1618</v>
      </c>
      <c r="D626" s="52">
        <v>395.76</v>
      </c>
      <c r="E626" s="52">
        <v>428.0</v>
      </c>
      <c r="F626" s="110"/>
      <c r="G626" s="95">
        <f t="shared" si="11"/>
        <v>0.08146351324</v>
      </c>
      <c r="H626" s="122"/>
      <c r="I626" s="20"/>
      <c r="J626" s="115">
        <v>46.0</v>
      </c>
      <c r="K626" s="115">
        <v>184.0</v>
      </c>
      <c r="L626" s="93"/>
      <c r="M626" s="93"/>
      <c r="N626" s="93"/>
      <c r="O626" s="56"/>
      <c r="P626" s="56"/>
      <c r="Q626" s="56"/>
      <c r="R626" s="56"/>
      <c r="S626" s="56"/>
      <c r="T626" s="56"/>
      <c r="U626" s="56"/>
      <c r="V626" s="56"/>
    </row>
    <row r="627" ht="18.75" customHeight="1">
      <c r="A627" s="90">
        <v>6.0</v>
      </c>
      <c r="B627" s="111">
        <v>1291.0</v>
      </c>
      <c r="C627" s="118" t="s">
        <v>1619</v>
      </c>
      <c r="D627" s="52">
        <v>684.0</v>
      </c>
      <c r="E627" s="52">
        <v>738.0</v>
      </c>
      <c r="F627" s="110"/>
      <c r="G627" s="95">
        <f t="shared" si="11"/>
        <v>0.07894736842</v>
      </c>
      <c r="H627" s="122"/>
      <c r="I627" s="20"/>
      <c r="J627" s="115">
        <v>24.0</v>
      </c>
      <c r="K627" s="115">
        <v>96.0</v>
      </c>
      <c r="L627" s="93"/>
      <c r="M627" s="93"/>
      <c r="N627" s="93"/>
      <c r="O627" s="56"/>
      <c r="P627" s="56"/>
      <c r="Q627" s="56"/>
      <c r="R627" s="56"/>
      <c r="S627" s="56"/>
      <c r="T627" s="56"/>
      <c r="U627" s="56"/>
      <c r="V627" s="56"/>
    </row>
    <row r="628" ht="18.75" customHeight="1">
      <c r="A628" s="90">
        <v>7.0</v>
      </c>
      <c r="B628" s="111">
        <v>1311.0</v>
      </c>
      <c r="C628" s="118" t="s">
        <v>1620</v>
      </c>
      <c r="D628" s="52">
        <v>485.8464</v>
      </c>
      <c r="E628" s="52">
        <v>526.0</v>
      </c>
      <c r="F628" s="113"/>
      <c r="G628" s="95">
        <f t="shared" si="11"/>
        <v>0.08264669657</v>
      </c>
      <c r="H628" s="122"/>
      <c r="I628" s="20"/>
      <c r="J628" s="115">
        <v>30.0</v>
      </c>
      <c r="K628" s="115">
        <v>120.0</v>
      </c>
      <c r="L628" s="93"/>
      <c r="M628" s="93"/>
      <c r="N628" s="93"/>
      <c r="O628" s="56"/>
      <c r="P628" s="56"/>
      <c r="Q628" s="56"/>
      <c r="R628" s="56"/>
      <c r="S628" s="56"/>
      <c r="T628" s="56"/>
      <c r="U628" s="56"/>
      <c r="V628" s="56"/>
    </row>
    <row r="629" ht="18.75" customHeight="1">
      <c r="A629" s="90">
        <v>8.0</v>
      </c>
      <c r="B629" s="111" t="s">
        <v>1621</v>
      </c>
      <c r="C629" s="118" t="s">
        <v>1622</v>
      </c>
      <c r="D629" s="52">
        <v>476.0</v>
      </c>
      <c r="E629" s="52">
        <v>514.0</v>
      </c>
      <c r="F629" s="113"/>
      <c r="G629" s="95">
        <f t="shared" si="11"/>
        <v>0.07983193277</v>
      </c>
      <c r="H629" s="122"/>
      <c r="I629" s="20"/>
      <c r="J629" s="115">
        <v>30.0</v>
      </c>
      <c r="K629" s="115">
        <v>120.0</v>
      </c>
      <c r="L629" s="93"/>
      <c r="M629" s="93"/>
      <c r="N629" s="93"/>
      <c r="O629" s="56"/>
      <c r="P629" s="56"/>
      <c r="Q629" s="56"/>
      <c r="R629" s="56"/>
      <c r="S629" s="56"/>
      <c r="T629" s="56"/>
      <c r="U629" s="56"/>
      <c r="V629" s="56"/>
    </row>
    <row r="630" ht="18.75" customHeight="1">
      <c r="A630" s="90">
        <v>9.0</v>
      </c>
      <c r="B630" s="111">
        <v>1321.0</v>
      </c>
      <c r="C630" s="118" t="s">
        <v>1623</v>
      </c>
      <c r="D630" s="52">
        <v>806.208</v>
      </c>
      <c r="E630" s="52">
        <v>872.0</v>
      </c>
      <c r="F630" s="110"/>
      <c r="G630" s="95">
        <f t="shared" si="11"/>
        <v>0.08160673176</v>
      </c>
      <c r="H630" s="122"/>
      <c r="I630" s="20"/>
      <c r="J630" s="115">
        <v>13.0</v>
      </c>
      <c r="K630" s="115">
        <v>52.0</v>
      </c>
      <c r="L630" s="93"/>
      <c r="M630" s="93"/>
      <c r="N630" s="93"/>
      <c r="O630" s="56"/>
      <c r="P630" s="56"/>
      <c r="Q630" s="56"/>
      <c r="R630" s="56"/>
      <c r="S630" s="56"/>
      <c r="T630" s="56"/>
      <c r="U630" s="56"/>
      <c r="V630" s="56"/>
    </row>
    <row r="631" ht="18.75" customHeight="1">
      <c r="A631" s="90">
        <v>10.0</v>
      </c>
      <c r="B631" s="111">
        <v>1323.0</v>
      </c>
      <c r="C631" s="118" t="s">
        <v>1624</v>
      </c>
      <c r="D631" s="52">
        <v>806.208</v>
      </c>
      <c r="E631" s="52">
        <v>872.0</v>
      </c>
      <c r="F631" s="110"/>
      <c r="G631" s="95">
        <f t="shared" si="11"/>
        <v>0.08160673176</v>
      </c>
      <c r="H631" s="122"/>
      <c r="I631" s="20"/>
      <c r="J631" s="115">
        <v>30.0</v>
      </c>
      <c r="K631" s="115">
        <v>120.0</v>
      </c>
      <c r="L631" s="93"/>
      <c r="M631" s="93"/>
      <c r="N631" s="93"/>
      <c r="O631" s="56"/>
      <c r="P631" s="56"/>
      <c r="Q631" s="56"/>
      <c r="R631" s="56"/>
      <c r="S631" s="56"/>
      <c r="T631" s="56"/>
      <c r="U631" s="56"/>
      <c r="V631" s="56"/>
    </row>
    <row r="632" ht="18.75" customHeight="1">
      <c r="A632" s="90">
        <v>11.0</v>
      </c>
      <c r="B632" s="111">
        <v>1332.0</v>
      </c>
      <c r="C632" s="118" t="s">
        <v>1625</v>
      </c>
      <c r="D632" s="52">
        <v>828.24</v>
      </c>
      <c r="E632" s="52">
        <v>894.0</v>
      </c>
      <c r="F632" s="110"/>
      <c r="G632" s="95">
        <f t="shared" si="11"/>
        <v>0.07939727615</v>
      </c>
      <c r="H632" s="122"/>
      <c r="I632" s="20"/>
      <c r="J632" s="115">
        <v>13.0</v>
      </c>
      <c r="K632" s="115">
        <v>52.0</v>
      </c>
      <c r="L632" s="93"/>
      <c r="M632" s="93"/>
      <c r="N632" s="93"/>
      <c r="O632" s="56"/>
      <c r="P632" s="56"/>
      <c r="Q632" s="56"/>
      <c r="R632" s="56"/>
      <c r="S632" s="56"/>
      <c r="T632" s="56"/>
      <c r="U632" s="56"/>
      <c r="V632" s="56"/>
    </row>
    <row r="633" ht="18.75" customHeight="1">
      <c r="A633" s="90">
        <v>12.0</v>
      </c>
      <c r="B633" s="111">
        <v>1341.0</v>
      </c>
      <c r="C633" s="118" t="s">
        <v>1626</v>
      </c>
      <c r="D633" s="52">
        <v>1627.92</v>
      </c>
      <c r="E633" s="52">
        <v>1758.0</v>
      </c>
      <c r="F633" s="110"/>
      <c r="G633" s="95">
        <f t="shared" si="11"/>
        <v>0.07990564647</v>
      </c>
      <c r="H633" s="122"/>
      <c r="I633" s="20"/>
      <c r="J633" s="115">
        <v>13.0</v>
      </c>
      <c r="K633" s="115">
        <v>52.0</v>
      </c>
      <c r="L633" s="93"/>
      <c r="M633" s="93"/>
      <c r="N633" s="93"/>
      <c r="O633" s="56"/>
      <c r="P633" s="56"/>
      <c r="Q633" s="56"/>
      <c r="R633" s="56"/>
      <c r="S633" s="56"/>
      <c r="T633" s="56"/>
      <c r="U633" s="56"/>
      <c r="V633" s="56"/>
    </row>
    <row r="634" ht="18.75" customHeight="1">
      <c r="A634" s="90">
        <v>13.0</v>
      </c>
      <c r="B634" s="111">
        <v>1351.0</v>
      </c>
      <c r="C634" s="118" t="s">
        <v>1627</v>
      </c>
      <c r="D634" s="52">
        <v>1627.92</v>
      </c>
      <c r="E634" s="52">
        <v>1758.0</v>
      </c>
      <c r="F634" s="110"/>
      <c r="G634" s="95">
        <f t="shared" si="11"/>
        <v>0.07990564647</v>
      </c>
      <c r="H634" s="122"/>
      <c r="I634" s="20"/>
      <c r="J634" s="115">
        <v>13.0</v>
      </c>
      <c r="K634" s="115">
        <v>52.0</v>
      </c>
      <c r="L634" s="93"/>
      <c r="M634" s="93"/>
      <c r="N634" s="93"/>
      <c r="O634" s="56"/>
      <c r="P634" s="56"/>
      <c r="Q634" s="56"/>
      <c r="R634" s="56"/>
      <c r="S634" s="56"/>
      <c r="T634" s="56"/>
      <c r="U634" s="56"/>
      <c r="V634" s="56"/>
    </row>
    <row r="635" ht="18.75" customHeight="1">
      <c r="A635" s="90"/>
      <c r="B635" s="111">
        <v>1374.0</v>
      </c>
      <c r="C635" s="213" t="s">
        <v>523</v>
      </c>
      <c r="D635" s="52">
        <v>2239.92</v>
      </c>
      <c r="E635" s="52">
        <v>2418.0</v>
      </c>
      <c r="F635" s="110"/>
      <c r="G635" s="95">
        <f t="shared" si="11"/>
        <v>0.07950283939</v>
      </c>
      <c r="H635" s="122"/>
      <c r="I635" s="20"/>
      <c r="J635" s="115"/>
      <c r="K635" s="115"/>
      <c r="L635" s="93"/>
      <c r="M635" s="93"/>
      <c r="N635" s="93"/>
      <c r="O635" s="56"/>
      <c r="P635" s="56"/>
      <c r="Q635" s="56"/>
      <c r="R635" s="56"/>
      <c r="S635" s="56"/>
      <c r="T635" s="56"/>
      <c r="U635" s="56"/>
      <c r="V635" s="56"/>
    </row>
    <row r="636" ht="18.75" customHeight="1">
      <c r="A636" s="90">
        <v>14.0</v>
      </c>
      <c r="B636" s="111">
        <v>1375.0</v>
      </c>
      <c r="C636" s="118" t="s">
        <v>1628</v>
      </c>
      <c r="D636" s="52">
        <v>1933.92</v>
      </c>
      <c r="E636" s="52">
        <v>2088.0</v>
      </c>
      <c r="F636" s="110"/>
      <c r="G636" s="95">
        <f t="shared" si="11"/>
        <v>0.07967237528</v>
      </c>
      <c r="H636" s="122"/>
      <c r="I636" s="20"/>
      <c r="J636" s="115">
        <v>6.0</v>
      </c>
      <c r="K636" s="115">
        <v>24.0</v>
      </c>
      <c r="L636" s="93"/>
      <c r="M636" s="93"/>
      <c r="N636" s="93"/>
      <c r="O636" s="56"/>
      <c r="P636" s="56"/>
      <c r="Q636" s="56"/>
      <c r="R636" s="56"/>
      <c r="S636" s="56"/>
      <c r="T636" s="56"/>
      <c r="U636" s="56"/>
      <c r="V636" s="56"/>
    </row>
    <row r="637" ht="18.75" customHeight="1">
      <c r="A637" s="90">
        <v>15.0</v>
      </c>
      <c r="B637" s="111">
        <v>1411.0</v>
      </c>
      <c r="C637" s="118" t="s">
        <v>1629</v>
      </c>
      <c r="D637" s="52">
        <v>295.8</v>
      </c>
      <c r="E637" s="52">
        <v>318.0</v>
      </c>
      <c r="F637" s="110"/>
      <c r="G637" s="95">
        <f t="shared" si="11"/>
        <v>0.07505070994</v>
      </c>
      <c r="H637" s="122"/>
      <c r="I637" s="20"/>
      <c r="J637" s="115">
        <v>64.0</v>
      </c>
      <c r="K637" s="115">
        <v>256.0</v>
      </c>
      <c r="L637" s="93"/>
      <c r="M637" s="93"/>
      <c r="N637" s="93"/>
      <c r="O637" s="56"/>
      <c r="P637" s="56"/>
      <c r="Q637" s="56"/>
      <c r="R637" s="56"/>
      <c r="S637" s="56"/>
      <c r="T637" s="56"/>
      <c r="U637" s="56"/>
      <c r="V637" s="56"/>
    </row>
    <row r="638" ht="18.75" customHeight="1">
      <c r="A638" s="90">
        <v>16.0</v>
      </c>
      <c r="B638" s="111">
        <v>1421.0</v>
      </c>
      <c r="C638" s="118" t="s">
        <v>1630</v>
      </c>
      <c r="D638" s="52">
        <v>311.8752</v>
      </c>
      <c r="E638" s="52">
        <v>338.0</v>
      </c>
      <c r="F638" s="110"/>
      <c r="G638" s="95">
        <f t="shared" si="11"/>
        <v>0.08376684007</v>
      </c>
      <c r="H638" s="122"/>
      <c r="I638" s="20"/>
      <c r="J638" s="115">
        <v>64.0</v>
      </c>
      <c r="K638" s="115">
        <v>256.0</v>
      </c>
      <c r="L638" s="93"/>
      <c r="M638" s="93"/>
      <c r="N638" s="93"/>
      <c r="O638" s="56"/>
      <c r="P638" s="56"/>
      <c r="Q638" s="56"/>
      <c r="R638" s="56"/>
      <c r="S638" s="56"/>
      <c r="T638" s="56"/>
      <c r="U638" s="56"/>
      <c r="V638" s="56"/>
    </row>
    <row r="639" ht="18.75" customHeight="1">
      <c r="A639" s="90">
        <v>17.0</v>
      </c>
      <c r="B639" s="111">
        <v>1431.0</v>
      </c>
      <c r="C639" s="118" t="s">
        <v>1631</v>
      </c>
      <c r="D639" s="52">
        <v>328.0</v>
      </c>
      <c r="E639" s="52">
        <v>354.0</v>
      </c>
      <c r="F639" s="110"/>
      <c r="G639" s="95">
        <f t="shared" si="11"/>
        <v>0.07926829268</v>
      </c>
      <c r="H639" s="122"/>
      <c r="I639" s="20"/>
      <c r="J639" s="115">
        <v>64.0</v>
      </c>
      <c r="K639" s="115">
        <v>256.0</v>
      </c>
      <c r="L639" s="93"/>
      <c r="M639" s="93"/>
      <c r="N639" s="93"/>
      <c r="O639" s="56"/>
      <c r="P639" s="56"/>
      <c r="Q639" s="56"/>
      <c r="R639" s="56"/>
      <c r="S639" s="56"/>
      <c r="T639" s="56"/>
      <c r="U639" s="56"/>
      <c r="V639" s="56"/>
    </row>
    <row r="640" ht="18.75" customHeight="1">
      <c r="A640" s="90">
        <v>18.0</v>
      </c>
      <c r="B640" s="111">
        <v>1441.0</v>
      </c>
      <c r="C640" s="118" t="s">
        <v>1632</v>
      </c>
      <c r="D640" s="52">
        <v>293.76</v>
      </c>
      <c r="E640" s="52">
        <v>318.0</v>
      </c>
      <c r="F640" s="110"/>
      <c r="G640" s="95">
        <f t="shared" si="11"/>
        <v>0.08251633987</v>
      </c>
      <c r="H640" s="122"/>
      <c r="I640" s="20"/>
      <c r="J640" s="115">
        <v>90.0</v>
      </c>
      <c r="K640" s="115">
        <v>180.0</v>
      </c>
      <c r="L640" s="93"/>
      <c r="M640" s="93"/>
      <c r="N640" s="93"/>
      <c r="O640" s="56"/>
      <c r="P640" s="56"/>
      <c r="Q640" s="56"/>
      <c r="R640" s="56"/>
      <c r="S640" s="56"/>
      <c r="T640" s="56"/>
      <c r="U640" s="56"/>
      <c r="V640" s="56"/>
    </row>
    <row r="641" ht="18.75" customHeight="1">
      <c r="A641" s="90">
        <v>19.0</v>
      </c>
      <c r="B641" s="111">
        <v>1451.0</v>
      </c>
      <c r="C641" s="118" t="s">
        <v>1633</v>
      </c>
      <c r="D641" s="52">
        <v>594.048</v>
      </c>
      <c r="E641" s="52">
        <v>642.0</v>
      </c>
      <c r="F641" s="110"/>
      <c r="G641" s="95">
        <f t="shared" si="11"/>
        <v>0.08072074984</v>
      </c>
      <c r="H641" s="122"/>
      <c r="I641" s="20"/>
      <c r="J641" s="115">
        <v>35.0</v>
      </c>
      <c r="K641" s="115">
        <v>140.0</v>
      </c>
      <c r="L641" s="93"/>
      <c r="M641" s="93"/>
      <c r="N641" s="93"/>
      <c r="O641" s="56"/>
      <c r="P641" s="56"/>
      <c r="Q641" s="56"/>
      <c r="R641" s="56"/>
      <c r="S641" s="56"/>
      <c r="T641" s="56"/>
      <c r="U641" s="56"/>
      <c r="V641" s="56"/>
    </row>
    <row r="642" ht="18.75" customHeight="1">
      <c r="A642" s="90">
        <v>20.0</v>
      </c>
      <c r="B642" s="111">
        <v>1461.0</v>
      </c>
      <c r="C642" s="118" t="s">
        <v>1634</v>
      </c>
      <c r="D642" s="52">
        <v>491.64</v>
      </c>
      <c r="E642" s="52">
        <v>532.0</v>
      </c>
      <c r="F642" s="110"/>
      <c r="G642" s="95">
        <f t="shared" si="11"/>
        <v>0.08209258807</v>
      </c>
      <c r="H642" s="122"/>
      <c r="I642" s="20"/>
      <c r="J642" s="115">
        <v>64.0</v>
      </c>
      <c r="K642" s="115">
        <v>256.0</v>
      </c>
      <c r="L642" s="93"/>
      <c r="M642" s="93"/>
      <c r="N642" s="93"/>
      <c r="O642" s="56"/>
      <c r="P642" s="56"/>
      <c r="Q642" s="56"/>
      <c r="R642" s="56"/>
      <c r="S642" s="56"/>
      <c r="T642" s="56"/>
      <c r="U642" s="56"/>
      <c r="V642" s="56"/>
    </row>
    <row r="643" ht="18.75" customHeight="1">
      <c r="A643" s="90">
        <v>21.0</v>
      </c>
      <c r="B643" s="111">
        <v>1481.0</v>
      </c>
      <c r="C643" s="118" t="s">
        <v>1635</v>
      </c>
      <c r="D643" s="52">
        <v>505.92</v>
      </c>
      <c r="E643" s="52">
        <v>546.0</v>
      </c>
      <c r="F643" s="110"/>
      <c r="G643" s="95">
        <f t="shared" si="11"/>
        <v>0.07922201139</v>
      </c>
      <c r="H643" s="122"/>
      <c r="I643" s="20"/>
      <c r="J643" s="115">
        <v>64.0</v>
      </c>
      <c r="K643" s="115">
        <v>256.0</v>
      </c>
      <c r="L643" s="93"/>
      <c r="M643" s="93"/>
      <c r="N643" s="93"/>
      <c r="O643" s="56"/>
      <c r="P643" s="56"/>
      <c r="Q643" s="56"/>
      <c r="R643" s="56"/>
      <c r="S643" s="56"/>
      <c r="T643" s="56"/>
      <c r="U643" s="56"/>
      <c r="V643" s="56"/>
    </row>
    <row r="644" ht="18.75" customHeight="1">
      <c r="A644" s="90">
        <v>22.0</v>
      </c>
      <c r="B644" s="111">
        <v>1471.0</v>
      </c>
      <c r="C644" s="118" t="s">
        <v>1636</v>
      </c>
      <c r="D644" s="52">
        <v>786.0</v>
      </c>
      <c r="E644" s="52">
        <v>848.0</v>
      </c>
      <c r="F644" s="110"/>
      <c r="G644" s="95">
        <f t="shared" si="11"/>
        <v>0.07888040712</v>
      </c>
      <c r="H644" s="122"/>
      <c r="I644" s="20"/>
      <c r="J644" s="115">
        <v>30.0</v>
      </c>
      <c r="K644" s="115">
        <v>120.0</v>
      </c>
      <c r="L644" s="93"/>
      <c r="M644" s="93"/>
      <c r="N644" s="93"/>
      <c r="O644" s="56"/>
      <c r="P644" s="56"/>
      <c r="Q644" s="56"/>
      <c r="R644" s="56"/>
      <c r="S644" s="56"/>
      <c r="T644" s="56"/>
      <c r="U644" s="56"/>
      <c r="V644" s="56"/>
    </row>
    <row r="645" ht="18.75" customHeight="1">
      <c r="A645" s="90">
        <v>23.0</v>
      </c>
      <c r="B645" s="111" t="s">
        <v>1637</v>
      </c>
      <c r="C645" s="118" t="s">
        <v>1638</v>
      </c>
      <c r="D645" s="52">
        <v>828.24</v>
      </c>
      <c r="E645" s="52">
        <v>894.0</v>
      </c>
      <c r="F645" s="110"/>
      <c r="G645" s="95">
        <f t="shared" si="11"/>
        <v>0.07939727615</v>
      </c>
      <c r="H645" s="122"/>
      <c r="I645" s="20"/>
      <c r="J645" s="115">
        <v>30.0</v>
      </c>
      <c r="K645" s="115">
        <v>120.0</v>
      </c>
      <c r="L645" s="93"/>
      <c r="M645" s="93"/>
      <c r="N645" s="93"/>
      <c r="O645" s="56"/>
      <c r="P645" s="56"/>
      <c r="Q645" s="56"/>
      <c r="R645" s="56"/>
      <c r="S645" s="56"/>
      <c r="T645" s="56"/>
      <c r="U645" s="56"/>
      <c r="V645" s="56"/>
    </row>
    <row r="646" ht="18.75" customHeight="1">
      <c r="A646" s="90">
        <v>24.0</v>
      </c>
      <c r="B646" s="111">
        <v>1491.0</v>
      </c>
      <c r="C646" s="118" t="s">
        <v>1639</v>
      </c>
      <c r="D646" s="52">
        <v>517.6704</v>
      </c>
      <c r="E646" s="52">
        <v>560.0</v>
      </c>
      <c r="F646" s="110"/>
      <c r="G646" s="95">
        <f t="shared" si="11"/>
        <v>0.08176940385</v>
      </c>
      <c r="H646" s="122"/>
      <c r="I646" s="20"/>
      <c r="J646" s="115">
        <v>30.0</v>
      </c>
      <c r="K646" s="115">
        <v>120.0</v>
      </c>
      <c r="L646" s="93"/>
      <c r="M646" s="93"/>
      <c r="N646" s="93"/>
      <c r="O646" s="56"/>
      <c r="P646" s="56"/>
      <c r="Q646" s="56"/>
      <c r="R646" s="56"/>
      <c r="S646" s="56"/>
      <c r="T646" s="56"/>
      <c r="U646" s="56"/>
      <c r="V646" s="56"/>
    </row>
    <row r="647" ht="18.75" customHeight="1">
      <c r="A647" s="90">
        <v>25.0</v>
      </c>
      <c r="B647" s="123">
        <v>1501.0</v>
      </c>
      <c r="C647" s="124" t="s">
        <v>1640</v>
      </c>
      <c r="D647" s="125">
        <v>1958.2368</v>
      </c>
      <c r="E647" s="52">
        <v>2116.0</v>
      </c>
      <c r="F647" s="110"/>
      <c r="G647" s="95">
        <f t="shared" si="11"/>
        <v>0.0805639032</v>
      </c>
      <c r="H647" s="122"/>
      <c r="I647" s="20"/>
      <c r="J647" s="115">
        <v>14.0</v>
      </c>
      <c r="K647" s="115">
        <v>56.0</v>
      </c>
      <c r="L647" s="93"/>
      <c r="M647" s="93"/>
      <c r="N647" s="93"/>
      <c r="O647" s="56"/>
      <c r="P647" s="56"/>
      <c r="Q647" s="56"/>
      <c r="R647" s="56"/>
      <c r="S647" s="56"/>
      <c r="T647" s="56"/>
      <c r="U647" s="56"/>
      <c r="V647" s="56"/>
    </row>
    <row r="648" ht="18.75" customHeight="1">
      <c r="A648" s="90"/>
      <c r="B648" s="149"/>
      <c r="C648" s="150"/>
      <c r="D648" s="151"/>
      <c r="E648" s="109"/>
      <c r="F648" s="110"/>
      <c r="G648" s="95" t="str">
        <f t="shared" si="11"/>
        <v/>
      </c>
      <c r="H648" s="96"/>
      <c r="I648" s="93"/>
      <c r="J648" s="115"/>
      <c r="K648" s="115"/>
      <c r="L648" s="93"/>
      <c r="M648" s="93"/>
      <c r="N648" s="93"/>
      <c r="O648" s="56"/>
      <c r="P648" s="56"/>
      <c r="Q648" s="56"/>
      <c r="R648" s="56"/>
      <c r="S648" s="56"/>
      <c r="T648" s="56"/>
      <c r="U648" s="56"/>
      <c r="V648" s="56"/>
    </row>
    <row r="649" ht="18.75" customHeight="1">
      <c r="A649" s="90"/>
      <c r="B649" s="107" t="s">
        <v>1641</v>
      </c>
      <c r="C649" s="129"/>
      <c r="D649" s="143"/>
      <c r="E649" s="109"/>
      <c r="F649" s="110"/>
      <c r="G649" s="95" t="str">
        <f t="shared" si="11"/>
        <v/>
      </c>
      <c r="H649" s="96"/>
      <c r="I649" s="93"/>
      <c r="J649" s="115"/>
      <c r="K649" s="115"/>
      <c r="L649" s="93"/>
      <c r="M649" s="93"/>
      <c r="N649" s="93"/>
      <c r="O649" s="56"/>
      <c r="P649" s="56"/>
      <c r="Q649" s="56"/>
      <c r="R649" s="56"/>
      <c r="S649" s="56"/>
      <c r="T649" s="56"/>
      <c r="U649" s="56"/>
      <c r="V649" s="56"/>
    </row>
    <row r="650" ht="18.75" customHeight="1">
      <c r="A650" s="90">
        <v>1.0</v>
      </c>
      <c r="B650" s="111">
        <v>101.0</v>
      </c>
      <c r="C650" s="118" t="s">
        <v>1642</v>
      </c>
      <c r="D650" s="137">
        <v>112.2</v>
      </c>
      <c r="E650" s="52">
        <v>122.0</v>
      </c>
      <c r="F650" s="110"/>
      <c r="G650" s="95">
        <f t="shared" si="11"/>
        <v>0.08734402852</v>
      </c>
      <c r="H650" s="122"/>
      <c r="I650" s="93"/>
      <c r="J650" s="115">
        <v>108.0</v>
      </c>
      <c r="K650" s="115">
        <v>432.0</v>
      </c>
      <c r="L650" s="93"/>
      <c r="M650" s="93"/>
      <c r="N650" s="93"/>
      <c r="O650" s="56"/>
      <c r="P650" s="56"/>
      <c r="Q650" s="56"/>
      <c r="R650" s="56"/>
      <c r="S650" s="56"/>
      <c r="T650" s="56"/>
      <c r="U650" s="56"/>
      <c r="V650" s="56"/>
    </row>
    <row r="651" ht="18.75" customHeight="1">
      <c r="A651" s="90">
        <v>2.0</v>
      </c>
      <c r="B651" s="111">
        <v>102.0</v>
      </c>
      <c r="C651" s="118" t="s">
        <v>1643</v>
      </c>
      <c r="D651" s="52">
        <v>132.0</v>
      </c>
      <c r="E651" s="52">
        <v>144.0</v>
      </c>
      <c r="F651" s="110"/>
      <c r="G651" s="95">
        <f t="shared" si="11"/>
        <v>0.09090909091</v>
      </c>
      <c r="H651" s="122"/>
      <c r="I651" s="93"/>
      <c r="J651" s="115">
        <v>70.0</v>
      </c>
      <c r="K651" s="115">
        <v>280.0</v>
      </c>
      <c r="L651" s="93"/>
      <c r="M651" s="93"/>
      <c r="N651" s="93"/>
      <c r="O651" s="56"/>
      <c r="P651" s="56"/>
      <c r="Q651" s="56"/>
      <c r="R651" s="56"/>
      <c r="S651" s="56"/>
      <c r="T651" s="56"/>
      <c r="U651" s="56"/>
      <c r="V651" s="56"/>
    </row>
    <row r="652" ht="18.75" customHeight="1">
      <c r="A652" s="90">
        <v>3.0</v>
      </c>
      <c r="B652" s="111">
        <v>103.0</v>
      </c>
      <c r="C652" s="118" t="s">
        <v>1644</v>
      </c>
      <c r="D652" s="52">
        <v>112.2</v>
      </c>
      <c r="E652" s="52">
        <v>122.0</v>
      </c>
      <c r="F652" s="110"/>
      <c r="G652" s="95">
        <f t="shared" si="11"/>
        <v>0.08734402852</v>
      </c>
      <c r="H652" s="122"/>
      <c r="I652" s="93"/>
      <c r="J652" s="115">
        <v>108.0</v>
      </c>
      <c r="K652" s="115">
        <v>432.0</v>
      </c>
      <c r="L652" s="93"/>
      <c r="M652" s="93"/>
      <c r="N652" s="93"/>
      <c r="O652" s="56"/>
      <c r="P652" s="56"/>
      <c r="Q652" s="56"/>
      <c r="R652" s="56"/>
      <c r="S652" s="56"/>
      <c r="T652" s="56"/>
      <c r="U652" s="56"/>
      <c r="V652" s="56"/>
    </row>
    <row r="653" ht="18.75" customHeight="1">
      <c r="A653" s="90">
        <v>4.0</v>
      </c>
      <c r="B653" s="111">
        <v>104.0</v>
      </c>
      <c r="C653" s="118" t="s">
        <v>1645</v>
      </c>
      <c r="D653" s="52">
        <v>120.36</v>
      </c>
      <c r="E653" s="52">
        <v>130.0</v>
      </c>
      <c r="F653" s="110"/>
      <c r="G653" s="95">
        <f t="shared" si="11"/>
        <v>0.08009305417</v>
      </c>
      <c r="H653" s="122"/>
      <c r="I653" s="93"/>
      <c r="J653" s="115">
        <v>108.0</v>
      </c>
      <c r="K653" s="115">
        <v>432.0</v>
      </c>
      <c r="L653" s="93"/>
      <c r="M653" s="93"/>
      <c r="N653" s="93"/>
      <c r="O653" s="56"/>
      <c r="P653" s="56"/>
      <c r="Q653" s="56"/>
      <c r="R653" s="56"/>
      <c r="S653" s="56"/>
      <c r="T653" s="56"/>
      <c r="U653" s="56"/>
      <c r="V653" s="56"/>
    </row>
    <row r="654" ht="18.75" customHeight="1">
      <c r="A654" s="90">
        <v>5.0</v>
      </c>
      <c r="B654" s="111">
        <v>105.0</v>
      </c>
      <c r="C654" s="118" t="s">
        <v>1646</v>
      </c>
      <c r="D654" s="52">
        <v>598.0</v>
      </c>
      <c r="E654" s="52">
        <v>646.0</v>
      </c>
      <c r="F654" s="110"/>
      <c r="G654" s="95">
        <f t="shared" si="11"/>
        <v>0.08026755853</v>
      </c>
      <c r="H654" s="122"/>
      <c r="I654" s="93"/>
      <c r="J654" s="115">
        <v>32.0</v>
      </c>
      <c r="K654" s="115">
        <v>32.0</v>
      </c>
      <c r="L654" s="93"/>
      <c r="M654" s="93"/>
      <c r="N654" s="93"/>
      <c r="O654" s="56"/>
      <c r="P654" s="56"/>
      <c r="Q654" s="56"/>
      <c r="R654" s="56"/>
      <c r="S654" s="56"/>
      <c r="T654" s="56"/>
      <c r="U654" s="56"/>
      <c r="V654" s="56"/>
    </row>
    <row r="655" ht="18.75" customHeight="1">
      <c r="A655" s="90">
        <v>6.0</v>
      </c>
      <c r="B655" s="111">
        <v>106.0</v>
      </c>
      <c r="C655" s="118" t="s">
        <v>1647</v>
      </c>
      <c r="D655" s="52">
        <v>609.96</v>
      </c>
      <c r="E655" s="52">
        <v>660.0</v>
      </c>
      <c r="F655" s="110"/>
      <c r="G655" s="95">
        <f t="shared" si="11"/>
        <v>0.08203816644</v>
      </c>
      <c r="H655" s="122"/>
      <c r="I655" s="93"/>
      <c r="J655" s="115">
        <v>32.0</v>
      </c>
      <c r="K655" s="115">
        <v>32.0</v>
      </c>
      <c r="L655" s="93"/>
      <c r="M655" s="93"/>
      <c r="N655" s="93"/>
      <c r="O655" s="56"/>
      <c r="P655" s="56"/>
      <c r="Q655" s="56"/>
      <c r="R655" s="56"/>
      <c r="S655" s="56"/>
      <c r="T655" s="56"/>
      <c r="U655" s="56"/>
      <c r="V655" s="56"/>
    </row>
    <row r="656" ht="18.75" customHeight="1">
      <c r="A656" s="90">
        <v>7.0</v>
      </c>
      <c r="B656" s="111">
        <v>107.0</v>
      </c>
      <c r="C656" s="118" t="s">
        <v>1648</v>
      </c>
      <c r="D656" s="52">
        <v>387.6</v>
      </c>
      <c r="E656" s="52">
        <v>418.0</v>
      </c>
      <c r="F656" s="110"/>
      <c r="G656" s="95">
        <f t="shared" si="11"/>
        <v>0.07843137255</v>
      </c>
      <c r="H656" s="122"/>
      <c r="I656" s="93"/>
      <c r="J656" s="115">
        <v>15.0</v>
      </c>
      <c r="K656" s="115">
        <v>60.0</v>
      </c>
      <c r="L656" s="93"/>
      <c r="M656" s="93"/>
      <c r="N656" s="93"/>
      <c r="O656" s="56"/>
      <c r="P656" s="56"/>
      <c r="Q656" s="56"/>
      <c r="R656" s="56"/>
      <c r="S656" s="56"/>
      <c r="T656" s="56"/>
      <c r="U656" s="56"/>
      <c r="V656" s="56"/>
    </row>
    <row r="657" ht="18.75" customHeight="1">
      <c r="A657" s="90">
        <v>8.0</v>
      </c>
      <c r="B657" s="111">
        <v>110.0</v>
      </c>
      <c r="C657" s="118" t="s">
        <v>1649</v>
      </c>
      <c r="D657" s="52">
        <v>62.0</v>
      </c>
      <c r="E657" s="52">
        <v>68.0</v>
      </c>
      <c r="F657" s="110"/>
      <c r="G657" s="95">
        <f t="shared" si="11"/>
        <v>0.09677419355</v>
      </c>
      <c r="H657" s="122"/>
      <c r="I657" s="93"/>
      <c r="J657" s="115">
        <v>124.0</v>
      </c>
      <c r="K657" s="115">
        <v>496.0</v>
      </c>
      <c r="L657" s="93"/>
      <c r="M657" s="93"/>
      <c r="N657" s="93"/>
      <c r="O657" s="56"/>
      <c r="P657" s="56"/>
      <c r="Q657" s="56"/>
      <c r="R657" s="56"/>
      <c r="S657" s="56"/>
      <c r="T657" s="56"/>
      <c r="U657" s="56"/>
      <c r="V657" s="56"/>
    </row>
    <row r="658" ht="18.75" customHeight="1">
      <c r="A658" s="90">
        <v>9.0</v>
      </c>
      <c r="B658" s="111">
        <v>111.0</v>
      </c>
      <c r="C658" s="118" t="s">
        <v>1650</v>
      </c>
      <c r="D658" s="52">
        <v>64.0</v>
      </c>
      <c r="E658" s="52">
        <v>70.0</v>
      </c>
      <c r="F658" s="110"/>
      <c r="G658" s="95">
        <f t="shared" si="11"/>
        <v>0.09375</v>
      </c>
      <c r="H658" s="122"/>
      <c r="I658" s="93"/>
      <c r="J658" s="115">
        <v>330.0</v>
      </c>
      <c r="K658" s="115">
        <v>1320.0</v>
      </c>
      <c r="L658" s="93"/>
      <c r="M658" s="93"/>
      <c r="N658" s="93"/>
      <c r="O658" s="56"/>
      <c r="P658" s="56"/>
      <c r="Q658" s="56"/>
      <c r="R658" s="56"/>
      <c r="S658" s="56"/>
      <c r="T658" s="56"/>
      <c r="U658" s="56"/>
      <c r="V658" s="56"/>
    </row>
    <row r="659" ht="18.75" customHeight="1">
      <c r="A659" s="90">
        <v>10.0</v>
      </c>
      <c r="B659" s="111">
        <v>1111.0</v>
      </c>
      <c r="C659" s="118" t="s">
        <v>1651</v>
      </c>
      <c r="D659" s="52">
        <v>56.0</v>
      </c>
      <c r="E659" s="52">
        <v>58.0</v>
      </c>
      <c r="F659" s="110"/>
      <c r="G659" s="95">
        <f t="shared" si="11"/>
        <v>0.03571428571</v>
      </c>
      <c r="H659" s="122"/>
      <c r="I659" s="93"/>
      <c r="J659" s="115">
        <v>330.0</v>
      </c>
      <c r="K659" s="115">
        <v>1320.0</v>
      </c>
      <c r="L659" s="93"/>
      <c r="M659" s="93"/>
      <c r="N659" s="93"/>
      <c r="O659" s="56"/>
      <c r="P659" s="56"/>
      <c r="Q659" s="56"/>
      <c r="R659" s="56"/>
      <c r="S659" s="56"/>
      <c r="T659" s="56"/>
      <c r="U659" s="56"/>
      <c r="V659" s="56"/>
    </row>
    <row r="660" ht="18.75" customHeight="1">
      <c r="A660" s="90">
        <v>11.0</v>
      </c>
      <c r="B660" s="111">
        <v>112.0</v>
      </c>
      <c r="C660" s="118" t="s">
        <v>1652</v>
      </c>
      <c r="D660" s="52">
        <v>95.88</v>
      </c>
      <c r="E660" s="52">
        <v>104.0</v>
      </c>
      <c r="F660" s="110"/>
      <c r="G660" s="95">
        <f t="shared" si="11"/>
        <v>0.08468919483</v>
      </c>
      <c r="H660" s="122"/>
      <c r="I660" s="93"/>
      <c r="J660" s="115">
        <v>168.0</v>
      </c>
      <c r="K660" s="115">
        <v>672.0</v>
      </c>
      <c r="L660" s="93"/>
      <c r="M660" s="93"/>
      <c r="N660" s="93"/>
      <c r="O660" s="56"/>
      <c r="P660" s="56"/>
      <c r="Q660" s="56"/>
      <c r="R660" s="56"/>
      <c r="S660" s="56"/>
      <c r="T660" s="56"/>
      <c r="U660" s="56"/>
      <c r="V660" s="56"/>
    </row>
    <row r="661" ht="18.75" customHeight="1">
      <c r="A661" s="90">
        <v>12.0</v>
      </c>
      <c r="B661" s="111">
        <v>113.0</v>
      </c>
      <c r="C661" s="118" t="s">
        <v>1653</v>
      </c>
      <c r="D661" s="52">
        <v>95.88</v>
      </c>
      <c r="E661" s="52">
        <v>104.0</v>
      </c>
      <c r="F661" s="110"/>
      <c r="G661" s="95">
        <f t="shared" si="11"/>
        <v>0.08468919483</v>
      </c>
      <c r="H661" s="122"/>
      <c r="I661" s="93"/>
      <c r="J661" s="115">
        <v>168.0</v>
      </c>
      <c r="K661" s="115">
        <v>672.0</v>
      </c>
      <c r="L661" s="93"/>
      <c r="M661" s="93"/>
      <c r="N661" s="93"/>
      <c r="O661" s="56"/>
      <c r="P661" s="56"/>
      <c r="Q661" s="56"/>
      <c r="R661" s="56"/>
      <c r="S661" s="56"/>
      <c r="T661" s="56"/>
      <c r="U661" s="56"/>
      <c r="V661" s="56"/>
    </row>
    <row r="662" ht="18.75" customHeight="1">
      <c r="A662" s="90">
        <v>13.0</v>
      </c>
      <c r="B662" s="111">
        <v>114.0</v>
      </c>
      <c r="C662" s="118" t="s">
        <v>1654</v>
      </c>
      <c r="D662" s="52">
        <v>118.32</v>
      </c>
      <c r="E662" s="52">
        <v>128.0</v>
      </c>
      <c r="F662" s="110"/>
      <c r="G662" s="95">
        <f t="shared" si="11"/>
        <v>0.08181203516</v>
      </c>
      <c r="H662" s="122"/>
      <c r="I662" s="93"/>
      <c r="J662" s="115">
        <v>153.0</v>
      </c>
      <c r="K662" s="115">
        <v>612.0</v>
      </c>
      <c r="L662" s="93"/>
      <c r="M662" s="93"/>
      <c r="N662" s="93"/>
      <c r="O662" s="56"/>
      <c r="P662" s="56"/>
      <c r="Q662" s="56"/>
      <c r="R662" s="56"/>
      <c r="S662" s="56"/>
      <c r="T662" s="56"/>
      <c r="U662" s="56"/>
      <c r="V662" s="56"/>
    </row>
    <row r="663" ht="18.75" customHeight="1">
      <c r="A663" s="90">
        <v>14.0</v>
      </c>
      <c r="B663" s="111">
        <v>115.0</v>
      </c>
      <c r="C663" s="118" t="s">
        <v>1655</v>
      </c>
      <c r="D663" s="52">
        <v>178.0</v>
      </c>
      <c r="E663" s="52">
        <v>192.0</v>
      </c>
      <c r="F663" s="110"/>
      <c r="G663" s="95">
        <f t="shared" si="11"/>
        <v>0.07865168539</v>
      </c>
      <c r="H663" s="122"/>
      <c r="I663" s="93"/>
      <c r="J663" s="115">
        <v>51.0</v>
      </c>
      <c r="K663" s="115">
        <v>204.0</v>
      </c>
      <c r="L663" s="93"/>
      <c r="M663" s="93"/>
      <c r="N663" s="93"/>
      <c r="O663" s="56"/>
      <c r="P663" s="56"/>
      <c r="Q663" s="56"/>
      <c r="R663" s="56"/>
      <c r="S663" s="56"/>
      <c r="T663" s="56"/>
      <c r="U663" s="56"/>
      <c r="V663" s="56"/>
    </row>
    <row r="664" ht="18.75" customHeight="1">
      <c r="A664" s="90">
        <v>15.0</v>
      </c>
      <c r="B664" s="111">
        <v>116.0</v>
      </c>
      <c r="C664" s="118" t="s">
        <v>1656</v>
      </c>
      <c r="D664" s="52">
        <v>178.0</v>
      </c>
      <c r="E664" s="52">
        <v>192.0</v>
      </c>
      <c r="F664" s="110"/>
      <c r="G664" s="95">
        <f t="shared" si="11"/>
        <v>0.07865168539</v>
      </c>
      <c r="H664" s="122"/>
      <c r="I664" s="93"/>
      <c r="J664" s="115">
        <v>51.0</v>
      </c>
      <c r="K664" s="115">
        <v>204.0</v>
      </c>
      <c r="L664" s="93"/>
      <c r="M664" s="93"/>
      <c r="N664" s="93"/>
      <c r="O664" s="56"/>
      <c r="P664" s="56"/>
      <c r="Q664" s="56"/>
      <c r="R664" s="56"/>
      <c r="S664" s="56"/>
      <c r="T664" s="56"/>
      <c r="U664" s="56"/>
      <c r="V664" s="56"/>
    </row>
    <row r="665" ht="18.75" customHeight="1">
      <c r="A665" s="90">
        <v>16.0</v>
      </c>
      <c r="B665" s="111">
        <v>117.0</v>
      </c>
      <c r="C665" s="118" t="s">
        <v>1657</v>
      </c>
      <c r="D665" s="52">
        <v>102.0</v>
      </c>
      <c r="E665" s="52">
        <v>110.0</v>
      </c>
      <c r="F665" s="110"/>
      <c r="G665" s="95">
        <f t="shared" si="11"/>
        <v>0.07843137255</v>
      </c>
      <c r="H665" s="122"/>
      <c r="I665" s="93"/>
      <c r="J665" s="115">
        <v>64.0</v>
      </c>
      <c r="K665" s="115">
        <v>256.0</v>
      </c>
      <c r="L665" s="93"/>
      <c r="M665" s="93"/>
      <c r="N665" s="93"/>
      <c r="O665" s="56"/>
      <c r="P665" s="56"/>
      <c r="Q665" s="56"/>
      <c r="R665" s="56"/>
      <c r="S665" s="56"/>
      <c r="T665" s="56"/>
      <c r="U665" s="56"/>
      <c r="V665" s="56"/>
    </row>
    <row r="666" ht="18.75" customHeight="1">
      <c r="A666" s="90">
        <v>17.0</v>
      </c>
      <c r="B666" s="111">
        <v>118.0</v>
      </c>
      <c r="C666" s="118" t="s">
        <v>1658</v>
      </c>
      <c r="D666" s="52">
        <v>138.0</v>
      </c>
      <c r="E666" s="52">
        <v>148.0</v>
      </c>
      <c r="F666" s="110"/>
      <c r="G666" s="95">
        <f t="shared" si="11"/>
        <v>0.07246376812</v>
      </c>
      <c r="H666" s="122"/>
      <c r="I666" s="93"/>
      <c r="J666" s="115">
        <v>153.0</v>
      </c>
      <c r="K666" s="115">
        <v>612.0</v>
      </c>
      <c r="L666" s="93"/>
      <c r="M666" s="93"/>
      <c r="N666" s="93"/>
      <c r="O666" s="56"/>
      <c r="P666" s="56"/>
      <c r="Q666" s="56"/>
      <c r="R666" s="56"/>
      <c r="S666" s="56"/>
      <c r="T666" s="56"/>
      <c r="U666" s="56"/>
      <c r="V666" s="56"/>
    </row>
    <row r="667" ht="18.75" customHeight="1">
      <c r="A667" s="90">
        <v>18.0</v>
      </c>
      <c r="B667" s="111">
        <v>119.0</v>
      </c>
      <c r="C667" s="118" t="s">
        <v>1659</v>
      </c>
      <c r="D667" s="52">
        <v>254.0</v>
      </c>
      <c r="E667" s="52">
        <v>274.0</v>
      </c>
      <c r="F667" s="110"/>
      <c r="G667" s="95">
        <f t="shared" si="11"/>
        <v>0.07874015748</v>
      </c>
      <c r="H667" s="122"/>
      <c r="I667" s="93"/>
      <c r="J667" s="115">
        <v>23.0</v>
      </c>
      <c r="K667" s="115">
        <v>92.0</v>
      </c>
      <c r="L667" s="93"/>
      <c r="M667" s="93"/>
      <c r="N667" s="93"/>
      <c r="O667" s="56"/>
      <c r="P667" s="56"/>
      <c r="Q667" s="56"/>
      <c r="R667" s="56"/>
      <c r="S667" s="56"/>
      <c r="T667" s="56"/>
      <c r="U667" s="56"/>
      <c r="V667" s="56"/>
    </row>
    <row r="668" ht="18.75" customHeight="1">
      <c r="A668" s="90">
        <v>19.0</v>
      </c>
      <c r="B668" s="111" t="s">
        <v>1660</v>
      </c>
      <c r="C668" s="118" t="s">
        <v>1661</v>
      </c>
      <c r="D668" s="52">
        <v>254.0</v>
      </c>
      <c r="E668" s="52">
        <v>274.0</v>
      </c>
      <c r="F668" s="110"/>
      <c r="G668" s="95">
        <f t="shared" si="11"/>
        <v>0.07874015748</v>
      </c>
      <c r="H668" s="122"/>
      <c r="I668" s="93"/>
      <c r="J668" s="115">
        <v>23.0</v>
      </c>
      <c r="K668" s="115">
        <v>92.0</v>
      </c>
      <c r="L668" s="93"/>
      <c r="M668" s="93"/>
      <c r="N668" s="93"/>
      <c r="O668" s="56"/>
      <c r="P668" s="56"/>
      <c r="Q668" s="56"/>
      <c r="R668" s="56"/>
      <c r="S668" s="56"/>
      <c r="T668" s="56"/>
      <c r="U668" s="56"/>
      <c r="V668" s="56"/>
    </row>
    <row r="669" ht="18.75" customHeight="1">
      <c r="A669" s="90">
        <v>20.0</v>
      </c>
      <c r="B669" s="111">
        <v>1191.0</v>
      </c>
      <c r="C669" s="118" t="s">
        <v>1662</v>
      </c>
      <c r="D669" s="125">
        <v>254.0</v>
      </c>
      <c r="E669" s="52">
        <v>274.0</v>
      </c>
      <c r="F669" s="110"/>
      <c r="G669" s="95">
        <f t="shared" si="11"/>
        <v>0.07874015748</v>
      </c>
      <c r="H669" s="122"/>
      <c r="I669" s="93"/>
      <c r="J669" s="115">
        <v>29.0</v>
      </c>
      <c r="K669" s="115">
        <v>116.0</v>
      </c>
      <c r="L669" s="93"/>
      <c r="M669" s="93"/>
      <c r="N669" s="93"/>
      <c r="O669" s="56"/>
      <c r="P669" s="56"/>
      <c r="Q669" s="56"/>
      <c r="R669" s="56"/>
      <c r="S669" s="56"/>
      <c r="T669" s="56"/>
      <c r="U669" s="56"/>
      <c r="V669" s="56"/>
    </row>
    <row r="670" ht="18.75" customHeight="1">
      <c r="A670" s="90"/>
      <c r="B670" s="91"/>
      <c r="C670" s="129"/>
      <c r="D670" s="151"/>
      <c r="E670" s="109"/>
      <c r="F670" s="110"/>
      <c r="G670" s="95" t="str">
        <f t="shared" si="11"/>
        <v/>
      </c>
      <c r="H670" s="96"/>
      <c r="I670" s="93"/>
      <c r="J670" s="115"/>
      <c r="K670" s="115"/>
      <c r="L670" s="93"/>
      <c r="M670" s="93"/>
      <c r="N670" s="93"/>
      <c r="O670" s="56"/>
      <c r="P670" s="56"/>
      <c r="Q670" s="56"/>
      <c r="R670" s="56"/>
      <c r="S670" s="56"/>
      <c r="T670" s="56"/>
      <c r="U670" s="56"/>
      <c r="V670" s="56"/>
    </row>
    <row r="671" ht="18.75" customHeight="1">
      <c r="A671" s="90"/>
      <c r="B671" s="107" t="s">
        <v>1541</v>
      </c>
      <c r="C671" s="129"/>
      <c r="D671" s="109"/>
      <c r="E671" s="109"/>
      <c r="F671" s="110"/>
      <c r="G671" s="95" t="str">
        <f t="shared" si="11"/>
        <v/>
      </c>
      <c r="H671" s="96"/>
      <c r="I671" s="93"/>
      <c r="J671" s="115"/>
      <c r="K671" s="115"/>
      <c r="L671" s="93"/>
      <c r="M671" s="93"/>
      <c r="N671" s="93"/>
      <c r="O671" s="56"/>
      <c r="P671" s="56"/>
      <c r="Q671" s="56"/>
      <c r="R671" s="56"/>
      <c r="S671" s="56"/>
      <c r="T671" s="56"/>
      <c r="U671" s="56"/>
      <c r="V671" s="56"/>
    </row>
    <row r="672" ht="18.75" customHeight="1">
      <c r="A672" s="90">
        <v>1.0</v>
      </c>
      <c r="B672" s="111">
        <v>181.0</v>
      </c>
      <c r="C672" s="118" t="s">
        <v>1663</v>
      </c>
      <c r="D672" s="52">
        <v>218.0</v>
      </c>
      <c r="E672" s="52">
        <v>236.0</v>
      </c>
      <c r="F672" s="110"/>
      <c r="G672" s="95">
        <f t="shared" si="11"/>
        <v>0.08256880734</v>
      </c>
      <c r="H672" s="122"/>
      <c r="I672" s="115">
        <v>2.06</v>
      </c>
      <c r="J672" s="115">
        <v>108.0</v>
      </c>
      <c r="K672" s="115">
        <v>432.0</v>
      </c>
      <c r="L672" s="93"/>
      <c r="M672" s="93"/>
      <c r="N672" s="93"/>
      <c r="O672" s="56"/>
      <c r="P672" s="56"/>
      <c r="Q672" s="56"/>
      <c r="R672" s="56"/>
      <c r="S672" s="56"/>
      <c r="T672" s="56"/>
      <c r="U672" s="56"/>
      <c r="V672" s="56"/>
    </row>
    <row r="673" ht="18.75" customHeight="1">
      <c r="A673" s="90">
        <v>2.0</v>
      </c>
      <c r="B673" s="111">
        <v>1813.0</v>
      </c>
      <c r="C673" s="118" t="s">
        <v>1664</v>
      </c>
      <c r="D673" s="52">
        <v>291.72</v>
      </c>
      <c r="E673" s="52">
        <v>316.0</v>
      </c>
      <c r="F673" s="110"/>
      <c r="G673" s="95">
        <f t="shared" si="11"/>
        <v>0.083230495</v>
      </c>
      <c r="H673" s="122"/>
      <c r="I673" s="115">
        <v>2.74</v>
      </c>
      <c r="J673" s="115">
        <v>42.0</v>
      </c>
      <c r="K673" s="115">
        <v>168.0</v>
      </c>
      <c r="L673" s="93"/>
      <c r="M673" s="93"/>
      <c r="N673" s="93"/>
      <c r="O673" s="56"/>
      <c r="P673" s="56"/>
      <c r="Q673" s="56"/>
      <c r="R673" s="56"/>
      <c r="S673" s="56"/>
      <c r="T673" s="56"/>
      <c r="U673" s="56"/>
      <c r="V673" s="56"/>
    </row>
    <row r="674" ht="18.75" customHeight="1">
      <c r="A674" s="90">
        <v>3.0</v>
      </c>
      <c r="B674" s="111">
        <v>1816.0</v>
      </c>
      <c r="C674" s="118" t="s">
        <v>1665</v>
      </c>
      <c r="D674" s="52">
        <v>566.0</v>
      </c>
      <c r="E674" s="52">
        <v>612.0</v>
      </c>
      <c r="F674" s="110"/>
      <c r="G674" s="95">
        <f t="shared" si="11"/>
        <v>0.08127208481</v>
      </c>
      <c r="H674" s="122"/>
      <c r="I674" s="115">
        <v>5.3</v>
      </c>
      <c r="J674" s="115">
        <v>8.0</v>
      </c>
      <c r="K674" s="115">
        <v>32.0</v>
      </c>
      <c r="L674" s="93"/>
      <c r="M674" s="93"/>
      <c r="N674" s="93"/>
      <c r="O674" s="56"/>
      <c r="P674" s="56"/>
      <c r="Q674" s="56"/>
      <c r="R674" s="56"/>
      <c r="S674" s="56"/>
      <c r="T674" s="56"/>
      <c r="U674" s="56"/>
      <c r="V674" s="56"/>
    </row>
    <row r="675" ht="18.75" customHeight="1">
      <c r="A675" s="90">
        <v>4.0</v>
      </c>
      <c r="B675" s="111">
        <v>1811.0</v>
      </c>
      <c r="C675" s="118" t="s">
        <v>1666</v>
      </c>
      <c r="D675" s="52">
        <v>303.96</v>
      </c>
      <c r="E675" s="52">
        <v>328.0</v>
      </c>
      <c r="F675" s="110"/>
      <c r="G675" s="95">
        <f t="shared" si="11"/>
        <v>0.07908935386</v>
      </c>
      <c r="H675" s="122"/>
      <c r="I675" s="115">
        <v>2.88</v>
      </c>
      <c r="J675" s="115">
        <v>38.0</v>
      </c>
      <c r="K675" s="115">
        <v>152.0</v>
      </c>
      <c r="L675" s="93"/>
      <c r="M675" s="93"/>
      <c r="N675" s="93"/>
      <c r="O675" s="56"/>
      <c r="P675" s="56"/>
      <c r="Q675" s="56"/>
      <c r="R675" s="56"/>
      <c r="S675" s="56"/>
      <c r="T675" s="56"/>
      <c r="U675" s="56"/>
      <c r="V675" s="56"/>
    </row>
    <row r="676" ht="18.75" customHeight="1">
      <c r="A676" s="90">
        <v>5.0</v>
      </c>
      <c r="B676" s="111">
        <v>1814.0</v>
      </c>
      <c r="C676" s="118" t="s">
        <v>1667</v>
      </c>
      <c r="D676" s="52">
        <v>303.96</v>
      </c>
      <c r="E676" s="52">
        <v>328.0</v>
      </c>
      <c r="F676" s="110"/>
      <c r="G676" s="95">
        <f t="shared" si="11"/>
        <v>0.07908935386</v>
      </c>
      <c r="H676" s="122"/>
      <c r="I676" s="115">
        <v>2.88</v>
      </c>
      <c r="J676" s="115">
        <v>42.0</v>
      </c>
      <c r="K676" s="115">
        <v>168.0</v>
      </c>
      <c r="L676" s="93"/>
      <c r="M676" s="93"/>
      <c r="N676" s="93"/>
      <c r="O676" s="56"/>
      <c r="P676" s="56"/>
      <c r="Q676" s="56"/>
      <c r="R676" s="56"/>
      <c r="S676" s="56"/>
      <c r="T676" s="56"/>
      <c r="U676" s="56"/>
      <c r="V676" s="56"/>
    </row>
    <row r="677" ht="18.75" customHeight="1">
      <c r="A677" s="90">
        <v>6.0</v>
      </c>
      <c r="B677" s="111">
        <v>1815.0</v>
      </c>
      <c r="C677" s="118" t="s">
        <v>1668</v>
      </c>
      <c r="D677" s="52">
        <v>338.0</v>
      </c>
      <c r="E677" s="52">
        <v>366.0</v>
      </c>
      <c r="F677" s="110"/>
      <c r="G677" s="95">
        <f t="shared" si="11"/>
        <v>0.08284023669</v>
      </c>
      <c r="H677" s="122"/>
      <c r="I677" s="115">
        <v>3.16</v>
      </c>
      <c r="J677" s="115">
        <v>42.0</v>
      </c>
      <c r="K677" s="115">
        <v>168.0</v>
      </c>
      <c r="L677" s="93"/>
      <c r="M677" s="93"/>
      <c r="N677" s="93"/>
      <c r="O677" s="56"/>
      <c r="P677" s="56"/>
      <c r="Q677" s="56"/>
      <c r="R677" s="56"/>
      <c r="S677" s="56"/>
      <c r="T677" s="56"/>
      <c r="U677" s="56"/>
      <c r="V677" s="56"/>
    </row>
    <row r="678" ht="18.75" customHeight="1">
      <c r="A678" s="90">
        <v>7.0</v>
      </c>
      <c r="B678" s="111">
        <v>1817.0</v>
      </c>
      <c r="C678" s="118" t="s">
        <v>1669</v>
      </c>
      <c r="D678" s="52">
        <v>338.0</v>
      </c>
      <c r="E678" s="52">
        <v>366.0</v>
      </c>
      <c r="F678" s="110"/>
      <c r="G678" s="95">
        <f t="shared" si="11"/>
        <v>0.08284023669</v>
      </c>
      <c r="H678" s="122"/>
      <c r="I678" s="115">
        <v>3.16</v>
      </c>
      <c r="J678" s="115">
        <v>42.0</v>
      </c>
      <c r="K678" s="115">
        <v>168.0</v>
      </c>
      <c r="L678" s="93"/>
      <c r="M678" s="93"/>
      <c r="N678" s="93"/>
      <c r="O678" s="56"/>
      <c r="P678" s="56"/>
      <c r="Q678" s="56"/>
      <c r="R678" s="56"/>
      <c r="S678" s="56"/>
      <c r="T678" s="56"/>
      <c r="U678" s="56"/>
      <c r="V678" s="56"/>
    </row>
    <row r="679" ht="18.75" customHeight="1">
      <c r="A679" s="90">
        <v>8.0</v>
      </c>
      <c r="B679" s="111">
        <v>1821.0</v>
      </c>
      <c r="C679" s="118" t="s">
        <v>1670</v>
      </c>
      <c r="D679" s="52">
        <v>497.76</v>
      </c>
      <c r="E679" s="52">
        <v>538.0</v>
      </c>
      <c r="F679" s="110"/>
      <c r="G679" s="95">
        <f t="shared" si="11"/>
        <v>0.08084217293</v>
      </c>
      <c r="H679" s="122"/>
      <c r="I679" s="115">
        <v>4.7</v>
      </c>
      <c r="J679" s="115">
        <v>8.0</v>
      </c>
      <c r="K679" s="115">
        <v>32.0</v>
      </c>
      <c r="L679" s="93"/>
      <c r="M679" s="93"/>
      <c r="N679" s="93"/>
      <c r="O679" s="56"/>
      <c r="P679" s="56"/>
      <c r="Q679" s="56"/>
      <c r="R679" s="56"/>
      <c r="S679" s="56"/>
      <c r="T679" s="56"/>
      <c r="U679" s="56"/>
      <c r="V679" s="56"/>
    </row>
    <row r="680" ht="18.75" customHeight="1">
      <c r="A680" s="90">
        <v>9.0</v>
      </c>
      <c r="B680" s="111">
        <v>183.0</v>
      </c>
      <c r="C680" s="118" t="s">
        <v>1671</v>
      </c>
      <c r="D680" s="52">
        <v>507.96</v>
      </c>
      <c r="E680" s="52">
        <v>548.0</v>
      </c>
      <c r="F680" s="110"/>
      <c r="G680" s="95">
        <f t="shared" si="11"/>
        <v>0.07882510434</v>
      </c>
      <c r="H680" s="122"/>
      <c r="I680" s="115">
        <v>4.8</v>
      </c>
      <c r="J680" s="115">
        <v>14.0</v>
      </c>
      <c r="K680" s="115">
        <v>56.0</v>
      </c>
      <c r="L680" s="93"/>
      <c r="M680" s="93"/>
      <c r="N680" s="93"/>
      <c r="O680" s="56"/>
      <c r="P680" s="56"/>
      <c r="Q680" s="56"/>
      <c r="R680" s="56"/>
      <c r="S680" s="56"/>
      <c r="T680" s="56"/>
      <c r="U680" s="56"/>
      <c r="V680" s="56"/>
    </row>
    <row r="681" ht="18.75" customHeight="1">
      <c r="A681" s="90">
        <v>10.0</v>
      </c>
      <c r="B681" s="111">
        <v>1831.0</v>
      </c>
      <c r="C681" s="118" t="s">
        <v>1672</v>
      </c>
      <c r="D681" s="52">
        <v>436.0</v>
      </c>
      <c r="E681" s="52">
        <v>472.0</v>
      </c>
      <c r="F681" s="110"/>
      <c r="G681" s="95">
        <f t="shared" si="11"/>
        <v>0.08256880734</v>
      </c>
      <c r="H681" s="122"/>
      <c r="I681" s="115">
        <v>4.1</v>
      </c>
      <c r="J681" s="115">
        <v>14.0</v>
      </c>
      <c r="K681" s="115">
        <v>56.0</v>
      </c>
      <c r="L681" s="93"/>
      <c r="M681" s="93"/>
      <c r="N681" s="93"/>
      <c r="O681" s="56"/>
      <c r="P681" s="56"/>
      <c r="Q681" s="56"/>
      <c r="R681" s="56"/>
      <c r="S681" s="56"/>
      <c r="T681" s="56"/>
      <c r="U681" s="56"/>
      <c r="V681" s="56"/>
    </row>
    <row r="682" ht="18.75" customHeight="1">
      <c r="A682" s="90">
        <v>11.0</v>
      </c>
      <c r="B682" s="111">
        <v>184.0</v>
      </c>
      <c r="C682" s="118" t="s">
        <v>1673</v>
      </c>
      <c r="D682" s="52">
        <v>164.0</v>
      </c>
      <c r="E682" s="52">
        <v>178.0</v>
      </c>
      <c r="F682" s="110"/>
      <c r="G682" s="95">
        <f t="shared" si="11"/>
        <v>0.08536585366</v>
      </c>
      <c r="H682" s="122"/>
      <c r="I682" s="120"/>
      <c r="J682" s="115">
        <v>124.0</v>
      </c>
      <c r="K682" s="115">
        <v>496.0</v>
      </c>
      <c r="L682" s="93"/>
      <c r="M682" s="93"/>
      <c r="N682" s="93"/>
      <c r="O682" s="56"/>
      <c r="P682" s="56"/>
      <c r="Q682" s="56"/>
      <c r="R682" s="56"/>
      <c r="S682" s="56"/>
      <c r="T682" s="56"/>
      <c r="U682" s="56"/>
      <c r="V682" s="56"/>
    </row>
    <row r="683" ht="18.75" customHeight="1">
      <c r="A683" s="90">
        <v>12.0</v>
      </c>
      <c r="B683" s="111">
        <v>1841.0</v>
      </c>
      <c r="C683" s="118" t="s">
        <v>1674</v>
      </c>
      <c r="D683" s="52">
        <v>185.64</v>
      </c>
      <c r="E683" s="52">
        <v>198.0</v>
      </c>
      <c r="F683" s="110"/>
      <c r="G683" s="95">
        <f t="shared" si="11"/>
        <v>0.06658047835</v>
      </c>
      <c r="H683" s="122"/>
      <c r="I683" s="120"/>
      <c r="J683" s="115">
        <v>124.0</v>
      </c>
      <c r="K683" s="115">
        <v>496.0</v>
      </c>
      <c r="L683" s="93"/>
      <c r="M683" s="93"/>
      <c r="N683" s="93"/>
      <c r="O683" s="56"/>
      <c r="P683" s="56"/>
      <c r="Q683" s="56"/>
      <c r="R683" s="56"/>
      <c r="S683" s="56"/>
      <c r="T683" s="56"/>
      <c r="U683" s="56"/>
      <c r="V683" s="56"/>
    </row>
    <row r="684" ht="18.75" customHeight="1">
      <c r="A684" s="90">
        <v>13.0</v>
      </c>
      <c r="B684" s="111">
        <v>1842.0</v>
      </c>
      <c r="C684" s="118" t="s">
        <v>1675</v>
      </c>
      <c r="D684" s="52">
        <v>226.0</v>
      </c>
      <c r="E684" s="52">
        <v>244.0</v>
      </c>
      <c r="F684" s="110"/>
      <c r="G684" s="95">
        <f t="shared" si="11"/>
        <v>0.0796460177</v>
      </c>
      <c r="H684" s="122"/>
      <c r="I684" s="120"/>
      <c r="J684" s="115">
        <v>96.0</v>
      </c>
      <c r="K684" s="115">
        <v>384.0</v>
      </c>
      <c r="L684" s="93"/>
      <c r="M684" s="93"/>
      <c r="N684" s="93"/>
      <c r="O684" s="56"/>
      <c r="P684" s="56"/>
      <c r="Q684" s="56"/>
      <c r="R684" s="56"/>
      <c r="S684" s="56"/>
      <c r="T684" s="56"/>
      <c r="U684" s="56"/>
      <c r="V684" s="56"/>
    </row>
    <row r="685" ht="18.75" customHeight="1">
      <c r="A685" s="90">
        <v>14.0</v>
      </c>
      <c r="B685" s="111">
        <v>190.0</v>
      </c>
      <c r="C685" s="118" t="s">
        <v>1676</v>
      </c>
      <c r="D685" s="52">
        <v>442.0</v>
      </c>
      <c r="E685" s="52">
        <v>478.0</v>
      </c>
      <c r="F685" s="110"/>
      <c r="G685" s="95">
        <f t="shared" si="11"/>
        <v>0.0814479638</v>
      </c>
      <c r="H685" s="122"/>
      <c r="I685" s="120"/>
      <c r="J685" s="115">
        <v>28.0</v>
      </c>
      <c r="K685" s="115">
        <v>112.0</v>
      </c>
      <c r="L685" s="93"/>
      <c r="M685" s="93"/>
      <c r="N685" s="93"/>
      <c r="O685" s="56"/>
      <c r="P685" s="56"/>
      <c r="Q685" s="56"/>
      <c r="R685" s="56"/>
      <c r="S685" s="56"/>
      <c r="T685" s="56"/>
      <c r="U685" s="56"/>
      <c r="V685" s="56"/>
    </row>
    <row r="686" ht="18.75" customHeight="1">
      <c r="A686" s="90">
        <v>15.0</v>
      </c>
      <c r="B686" s="111">
        <v>191.0</v>
      </c>
      <c r="C686" s="118" t="s">
        <v>1677</v>
      </c>
      <c r="D686" s="52">
        <v>632.2368</v>
      </c>
      <c r="E686" s="52">
        <v>684.0</v>
      </c>
      <c r="F686" s="110"/>
      <c r="G686" s="95">
        <f t="shared" si="11"/>
        <v>0.08187312096</v>
      </c>
      <c r="H686" s="122"/>
      <c r="I686" s="120"/>
      <c r="J686" s="115">
        <v>45.0</v>
      </c>
      <c r="K686" s="115">
        <v>45.0</v>
      </c>
      <c r="L686" s="93"/>
      <c r="M686" s="93"/>
      <c r="N686" s="93"/>
      <c r="O686" s="56"/>
      <c r="P686" s="56"/>
      <c r="Q686" s="56"/>
      <c r="R686" s="56"/>
      <c r="S686" s="56"/>
      <c r="T686" s="56"/>
      <c r="U686" s="56"/>
      <c r="V686" s="56"/>
    </row>
    <row r="687" ht="18.75" customHeight="1">
      <c r="A687" s="90">
        <v>16.0</v>
      </c>
      <c r="B687" s="111">
        <v>192.0</v>
      </c>
      <c r="C687" s="118" t="s">
        <v>1678</v>
      </c>
      <c r="D687" s="52">
        <v>422.1984</v>
      </c>
      <c r="E687" s="52">
        <v>456.0</v>
      </c>
      <c r="F687" s="110"/>
      <c r="G687" s="95">
        <f t="shared" si="11"/>
        <v>0.08006093818</v>
      </c>
      <c r="H687" s="122"/>
      <c r="I687" s="120"/>
      <c r="J687" s="115">
        <v>27.0</v>
      </c>
      <c r="K687" s="115">
        <v>108.0</v>
      </c>
      <c r="L687" s="93"/>
      <c r="M687" s="93"/>
      <c r="N687" s="93"/>
      <c r="O687" s="56"/>
      <c r="P687" s="56"/>
      <c r="Q687" s="56"/>
      <c r="R687" s="56"/>
      <c r="S687" s="56"/>
      <c r="T687" s="56"/>
      <c r="U687" s="56"/>
      <c r="V687" s="56"/>
    </row>
    <row r="688" ht="18.75" customHeight="1">
      <c r="A688" s="90">
        <v>17.0</v>
      </c>
      <c r="B688" s="111">
        <v>194.0</v>
      </c>
      <c r="C688" s="118" t="s">
        <v>1679</v>
      </c>
      <c r="D688" s="52">
        <v>307.632</v>
      </c>
      <c r="E688" s="52">
        <v>332.0</v>
      </c>
      <c r="F688" s="110"/>
      <c r="G688" s="95">
        <f t="shared" si="11"/>
        <v>0.07921152546</v>
      </c>
      <c r="H688" s="122"/>
      <c r="I688" s="120"/>
      <c r="J688" s="115">
        <v>28.0</v>
      </c>
      <c r="K688" s="115">
        <v>112.0</v>
      </c>
      <c r="L688" s="115"/>
      <c r="M688" s="93"/>
      <c r="N688" s="93"/>
      <c r="O688" s="56"/>
      <c r="P688" s="56"/>
      <c r="Q688" s="56"/>
      <c r="R688" s="56"/>
      <c r="S688" s="56"/>
      <c r="T688" s="56"/>
      <c r="U688" s="56"/>
      <c r="V688" s="56"/>
    </row>
    <row r="689" ht="18.75" customHeight="1">
      <c r="A689" s="90">
        <v>18.0</v>
      </c>
      <c r="B689" s="111">
        <v>195.0</v>
      </c>
      <c r="C689" s="118" t="s">
        <v>1680</v>
      </c>
      <c r="D689" s="52">
        <v>198.0</v>
      </c>
      <c r="E689" s="52">
        <v>214.0</v>
      </c>
      <c r="F689" s="110"/>
      <c r="G689" s="95">
        <f t="shared" si="11"/>
        <v>0.08080808081</v>
      </c>
      <c r="H689" s="122"/>
      <c r="I689" s="120"/>
      <c r="J689" s="115">
        <v>38.0</v>
      </c>
      <c r="K689" s="115">
        <v>152.0</v>
      </c>
      <c r="L689" s="93"/>
      <c r="M689" s="93"/>
      <c r="N689" s="93"/>
      <c r="O689" s="56"/>
      <c r="P689" s="56"/>
      <c r="Q689" s="56"/>
      <c r="R689" s="56"/>
      <c r="S689" s="56"/>
      <c r="T689" s="56"/>
      <c r="U689" s="56"/>
      <c r="V689" s="56"/>
    </row>
    <row r="690" ht="18.75" customHeight="1">
      <c r="A690" s="90">
        <v>19.0</v>
      </c>
      <c r="B690" s="111">
        <v>1951.0</v>
      </c>
      <c r="C690" s="118" t="s">
        <v>1681</v>
      </c>
      <c r="D690" s="52">
        <v>195.84</v>
      </c>
      <c r="E690" s="52">
        <v>212.0</v>
      </c>
      <c r="F690" s="110"/>
      <c r="G690" s="95">
        <f t="shared" si="11"/>
        <v>0.08251633987</v>
      </c>
      <c r="H690" s="122"/>
      <c r="I690" s="120"/>
      <c r="J690" s="115">
        <v>52.0</v>
      </c>
      <c r="K690" s="115">
        <v>208.0</v>
      </c>
      <c r="L690" s="93"/>
      <c r="M690" s="93"/>
      <c r="N690" s="93"/>
      <c r="O690" s="56"/>
      <c r="P690" s="56"/>
      <c r="Q690" s="56"/>
      <c r="R690" s="56"/>
      <c r="S690" s="56"/>
      <c r="T690" s="56"/>
      <c r="U690" s="56"/>
      <c r="V690" s="56"/>
    </row>
    <row r="691" ht="18.75" customHeight="1">
      <c r="A691" s="90">
        <v>20.0</v>
      </c>
      <c r="B691" s="111">
        <v>196.0</v>
      </c>
      <c r="C691" s="118" t="s">
        <v>1682</v>
      </c>
      <c r="D691" s="52">
        <v>264.0</v>
      </c>
      <c r="E691" s="52">
        <v>286.0</v>
      </c>
      <c r="F691" s="110"/>
      <c r="G691" s="95">
        <f t="shared" si="11"/>
        <v>0.08333333333</v>
      </c>
      <c r="H691" s="122"/>
      <c r="I691" s="120"/>
      <c r="J691" s="115">
        <v>26.0</v>
      </c>
      <c r="K691" s="115">
        <v>104.0</v>
      </c>
      <c r="L691" s="93"/>
      <c r="M691" s="93"/>
      <c r="N691" s="93"/>
      <c r="O691" s="56"/>
      <c r="P691" s="56"/>
      <c r="Q691" s="56"/>
      <c r="R691" s="56"/>
      <c r="S691" s="56"/>
      <c r="T691" s="56"/>
      <c r="U691" s="56"/>
      <c r="V691" s="56"/>
    </row>
    <row r="692" ht="18.75" customHeight="1">
      <c r="A692" s="90">
        <v>21.0</v>
      </c>
      <c r="B692" s="111">
        <v>1961.0</v>
      </c>
      <c r="C692" s="118" t="s">
        <v>1683</v>
      </c>
      <c r="D692" s="52">
        <v>264.0</v>
      </c>
      <c r="E692" s="52">
        <v>286.0</v>
      </c>
      <c r="F692" s="110"/>
      <c r="G692" s="95">
        <f t="shared" si="11"/>
        <v>0.08333333333</v>
      </c>
      <c r="H692" s="122"/>
      <c r="I692" s="120"/>
      <c r="J692" s="115">
        <v>27.0</v>
      </c>
      <c r="K692" s="115">
        <v>108.0</v>
      </c>
      <c r="L692" s="93"/>
      <c r="M692" s="93"/>
      <c r="N692" s="93"/>
      <c r="O692" s="56"/>
      <c r="P692" s="56"/>
      <c r="Q692" s="56"/>
      <c r="R692" s="56"/>
      <c r="S692" s="56"/>
      <c r="T692" s="56"/>
      <c r="U692" s="56"/>
      <c r="V692" s="56"/>
    </row>
    <row r="693" ht="18.75" customHeight="1">
      <c r="A693" s="90">
        <v>22.0</v>
      </c>
      <c r="B693" s="111">
        <v>197.0</v>
      </c>
      <c r="C693" s="118" t="s">
        <v>1684</v>
      </c>
      <c r="D693" s="52">
        <v>226.0</v>
      </c>
      <c r="E693" s="52">
        <v>244.0</v>
      </c>
      <c r="F693" s="110"/>
      <c r="G693" s="95">
        <f t="shared" si="11"/>
        <v>0.0796460177</v>
      </c>
      <c r="H693" s="122"/>
      <c r="I693" s="120"/>
      <c r="J693" s="115">
        <v>32.0</v>
      </c>
      <c r="K693" s="115">
        <v>128.0</v>
      </c>
      <c r="L693" s="93"/>
      <c r="M693" s="93"/>
      <c r="N693" s="93"/>
      <c r="O693" s="56"/>
      <c r="P693" s="56"/>
      <c r="Q693" s="56"/>
      <c r="R693" s="56"/>
      <c r="S693" s="56"/>
      <c r="T693" s="56"/>
      <c r="U693" s="56"/>
      <c r="V693" s="56"/>
    </row>
    <row r="694" ht="18.75" customHeight="1">
      <c r="A694" s="90">
        <v>23.0</v>
      </c>
      <c r="B694" s="111">
        <v>198.0</v>
      </c>
      <c r="C694" s="118" t="s">
        <v>1685</v>
      </c>
      <c r="D694" s="52">
        <v>264.0</v>
      </c>
      <c r="E694" s="52">
        <v>286.0</v>
      </c>
      <c r="F694" s="110"/>
      <c r="G694" s="95">
        <f t="shared" si="11"/>
        <v>0.08333333333</v>
      </c>
      <c r="H694" s="122"/>
      <c r="I694" s="120"/>
      <c r="J694" s="115">
        <v>28.0</v>
      </c>
      <c r="K694" s="115">
        <v>112.0</v>
      </c>
      <c r="L694" s="93"/>
      <c r="M694" s="93"/>
      <c r="N694" s="93"/>
      <c r="O694" s="56"/>
      <c r="P694" s="56"/>
      <c r="Q694" s="56"/>
      <c r="R694" s="56"/>
      <c r="S694" s="56"/>
      <c r="T694" s="56"/>
      <c r="U694" s="56"/>
      <c r="V694" s="56"/>
    </row>
    <row r="695" ht="18.75" customHeight="1">
      <c r="A695" s="90">
        <v>24.0</v>
      </c>
      <c r="B695" s="111">
        <v>199.0</v>
      </c>
      <c r="C695" s="118" t="s">
        <v>1686</v>
      </c>
      <c r="D695" s="52">
        <v>436.0</v>
      </c>
      <c r="E695" s="52">
        <v>472.0</v>
      </c>
      <c r="F695" s="110"/>
      <c r="G695" s="95">
        <f t="shared" si="11"/>
        <v>0.08256880734</v>
      </c>
      <c r="H695" s="122"/>
      <c r="I695" s="120"/>
      <c r="J695" s="115">
        <v>50.0</v>
      </c>
      <c r="K695" s="115">
        <v>50.0</v>
      </c>
      <c r="L695" s="93"/>
      <c r="M695" s="93"/>
      <c r="N695" s="93"/>
      <c r="O695" s="56"/>
      <c r="P695" s="56"/>
      <c r="Q695" s="56"/>
      <c r="R695" s="56"/>
      <c r="S695" s="56"/>
      <c r="T695" s="56"/>
      <c r="U695" s="56"/>
      <c r="V695" s="56"/>
    </row>
    <row r="696" ht="18.75" customHeight="1">
      <c r="A696" s="90">
        <v>25.0</v>
      </c>
      <c r="B696" s="111">
        <v>200.0</v>
      </c>
      <c r="C696" s="118" t="s">
        <v>1687</v>
      </c>
      <c r="D696" s="52">
        <v>507.96</v>
      </c>
      <c r="E696" s="52">
        <v>548.0</v>
      </c>
      <c r="F696" s="110"/>
      <c r="G696" s="95">
        <f t="shared" si="11"/>
        <v>0.07882510434</v>
      </c>
      <c r="H696" s="122"/>
      <c r="I696" s="120"/>
      <c r="J696" s="115">
        <v>30.0</v>
      </c>
      <c r="K696" s="115">
        <v>30.0</v>
      </c>
      <c r="L696" s="93"/>
      <c r="M696" s="93"/>
      <c r="N696" s="93"/>
      <c r="O696" s="56"/>
      <c r="P696" s="56"/>
      <c r="Q696" s="56"/>
      <c r="R696" s="56"/>
      <c r="S696" s="56"/>
      <c r="T696" s="56"/>
      <c r="U696" s="56"/>
      <c r="V696" s="56"/>
    </row>
    <row r="697" ht="18.75" customHeight="1">
      <c r="A697" s="90">
        <v>26.0</v>
      </c>
      <c r="B697" s="111">
        <v>575.0</v>
      </c>
      <c r="C697" s="118" t="s">
        <v>1688</v>
      </c>
      <c r="D697" s="52">
        <v>167.60639999999998</v>
      </c>
      <c r="E697" s="52">
        <v>182.0</v>
      </c>
      <c r="F697" s="110"/>
      <c r="G697" s="95">
        <f t="shared" si="11"/>
        <v>0.08587738893</v>
      </c>
      <c r="H697" s="122"/>
      <c r="I697" s="120"/>
      <c r="J697" s="115">
        <v>70.0</v>
      </c>
      <c r="K697" s="115">
        <v>280.0</v>
      </c>
      <c r="L697" s="93"/>
      <c r="M697" s="93"/>
      <c r="N697" s="93"/>
      <c r="O697" s="56"/>
      <c r="P697" s="56"/>
      <c r="Q697" s="56"/>
      <c r="R697" s="56"/>
      <c r="S697" s="56"/>
      <c r="T697" s="56"/>
      <c r="U697" s="56"/>
      <c r="V697" s="56"/>
    </row>
    <row r="698" ht="18.75" customHeight="1">
      <c r="A698" s="90">
        <v>27.0</v>
      </c>
      <c r="B698" s="111">
        <v>552.0</v>
      </c>
      <c r="C698" s="118" t="s">
        <v>1689</v>
      </c>
      <c r="D698" s="52">
        <v>1266.0</v>
      </c>
      <c r="E698" s="52">
        <v>1368.0</v>
      </c>
      <c r="F698" s="110"/>
      <c r="G698" s="95">
        <f t="shared" si="11"/>
        <v>0.08056872038</v>
      </c>
      <c r="H698" s="122"/>
      <c r="I698" s="120"/>
      <c r="J698" s="115">
        <v>10.0</v>
      </c>
      <c r="K698" s="115">
        <v>10.0</v>
      </c>
      <c r="L698" s="93"/>
      <c r="M698" s="93"/>
      <c r="N698" s="93"/>
      <c r="O698" s="56"/>
      <c r="P698" s="56"/>
      <c r="Q698" s="56"/>
      <c r="R698" s="56"/>
      <c r="S698" s="56"/>
      <c r="T698" s="56"/>
      <c r="U698" s="56"/>
      <c r="V698" s="56"/>
    </row>
    <row r="699" ht="18.75" customHeight="1">
      <c r="A699" s="90">
        <v>28.0</v>
      </c>
      <c r="B699" s="111">
        <v>126.0</v>
      </c>
      <c r="C699" s="118" t="s">
        <v>1690</v>
      </c>
      <c r="D699" s="52">
        <v>14.28</v>
      </c>
      <c r="E699" s="52">
        <v>15.0</v>
      </c>
      <c r="F699" s="110"/>
      <c r="G699" s="95">
        <f t="shared" si="11"/>
        <v>0.05042016807</v>
      </c>
      <c r="H699" s="122"/>
      <c r="I699" s="120"/>
      <c r="J699" s="115">
        <v>1000.0</v>
      </c>
      <c r="K699" s="115">
        <v>2000.0</v>
      </c>
      <c r="L699" s="93"/>
      <c r="M699" s="93"/>
      <c r="N699" s="93"/>
      <c r="O699" s="56"/>
      <c r="P699" s="56"/>
      <c r="Q699" s="56"/>
      <c r="R699" s="56"/>
      <c r="S699" s="56"/>
      <c r="T699" s="56"/>
      <c r="U699" s="56"/>
      <c r="V699" s="56"/>
    </row>
    <row r="700" ht="18.75" customHeight="1">
      <c r="A700" s="90">
        <v>29.0</v>
      </c>
      <c r="B700" s="111" t="s">
        <v>1691</v>
      </c>
      <c r="C700" s="118" t="s">
        <v>1692</v>
      </c>
      <c r="D700" s="52">
        <v>16.32</v>
      </c>
      <c r="E700" s="52">
        <v>18.0</v>
      </c>
      <c r="F700" s="110"/>
      <c r="G700" s="95">
        <f t="shared" si="11"/>
        <v>0.1029411765</v>
      </c>
      <c r="H700" s="122"/>
      <c r="I700" s="120"/>
      <c r="J700" s="115">
        <v>1000.0</v>
      </c>
      <c r="K700" s="115">
        <v>2000.0</v>
      </c>
      <c r="L700" s="93"/>
      <c r="M700" s="93"/>
      <c r="N700" s="93"/>
      <c r="O700" s="56"/>
      <c r="P700" s="56"/>
      <c r="Q700" s="56"/>
      <c r="R700" s="56"/>
      <c r="S700" s="56"/>
      <c r="T700" s="56"/>
      <c r="U700" s="56"/>
      <c r="V700" s="56"/>
    </row>
    <row r="701" ht="18.75" customHeight="1">
      <c r="A701" s="90">
        <v>30.0</v>
      </c>
      <c r="B701" s="111" t="s">
        <v>1693</v>
      </c>
      <c r="C701" s="118" t="s">
        <v>1694</v>
      </c>
      <c r="D701" s="52">
        <v>632.2368</v>
      </c>
      <c r="E701" s="52">
        <v>684.0</v>
      </c>
      <c r="F701" s="110"/>
      <c r="G701" s="95">
        <f t="shared" si="11"/>
        <v>0.08187312096</v>
      </c>
      <c r="H701" s="122"/>
      <c r="I701" s="120"/>
      <c r="J701" s="120">
        <v>50.0</v>
      </c>
      <c r="K701" s="115"/>
      <c r="L701" s="93"/>
      <c r="M701" s="93"/>
      <c r="N701" s="93"/>
      <c r="O701" s="56"/>
      <c r="P701" s="56"/>
      <c r="Q701" s="56"/>
      <c r="R701" s="56"/>
      <c r="S701" s="56"/>
      <c r="T701" s="56"/>
      <c r="U701" s="56"/>
      <c r="V701" s="56"/>
    </row>
    <row r="702" ht="18.75" customHeight="1">
      <c r="A702" s="90">
        <v>31.0</v>
      </c>
      <c r="B702" s="111" t="s">
        <v>1695</v>
      </c>
      <c r="C702" s="118" t="s">
        <v>1696</v>
      </c>
      <c r="D702" s="125">
        <v>632.2368</v>
      </c>
      <c r="E702" s="52">
        <v>684.0</v>
      </c>
      <c r="F702" s="110"/>
      <c r="G702" s="95">
        <f t="shared" si="11"/>
        <v>0.08187312096</v>
      </c>
      <c r="H702" s="122"/>
      <c r="I702" s="120"/>
      <c r="J702" s="120">
        <v>50.0</v>
      </c>
      <c r="K702" s="115"/>
      <c r="L702" s="93"/>
      <c r="M702" s="93"/>
      <c r="N702" s="93"/>
      <c r="O702" s="56"/>
      <c r="P702" s="56"/>
      <c r="Q702" s="56"/>
      <c r="R702" s="56"/>
      <c r="S702" s="56"/>
      <c r="T702" s="56"/>
      <c r="U702" s="56"/>
      <c r="V702" s="56"/>
    </row>
    <row r="703" ht="18.75" customHeight="1">
      <c r="A703" s="90"/>
      <c r="B703" s="111">
        <v>1178.0</v>
      </c>
      <c r="C703" s="118" t="s">
        <v>1542</v>
      </c>
      <c r="D703" s="238">
        <v>418.2</v>
      </c>
      <c r="E703" s="52">
        <v>452.0</v>
      </c>
      <c r="F703" s="110"/>
      <c r="G703" s="95">
        <f t="shared" si="11"/>
        <v>0.08082257293</v>
      </c>
      <c r="H703" s="122"/>
      <c r="I703" s="120"/>
      <c r="J703" s="120"/>
      <c r="K703" s="115"/>
      <c r="L703" s="93"/>
      <c r="M703" s="93"/>
      <c r="N703" s="93"/>
      <c r="O703" s="56"/>
      <c r="P703" s="56"/>
      <c r="Q703" s="56"/>
      <c r="R703" s="56"/>
      <c r="S703" s="56"/>
      <c r="T703" s="56"/>
      <c r="U703" s="56"/>
      <c r="V703" s="56"/>
    </row>
    <row r="704" ht="18.75" customHeight="1">
      <c r="A704" s="90"/>
      <c r="B704" s="111">
        <v>1180.0</v>
      </c>
      <c r="C704" s="118" t="s">
        <v>1544</v>
      </c>
      <c r="D704" s="238">
        <v>387.6</v>
      </c>
      <c r="E704" s="52">
        <v>418.0</v>
      </c>
      <c r="F704" s="110"/>
      <c r="G704" s="95">
        <f t="shared" si="11"/>
        <v>0.07843137255</v>
      </c>
      <c r="H704" s="122"/>
      <c r="I704" s="120"/>
      <c r="J704" s="120"/>
      <c r="K704" s="115"/>
      <c r="L704" s="93"/>
      <c r="M704" s="93"/>
      <c r="N704" s="93"/>
      <c r="O704" s="56"/>
      <c r="P704" s="56"/>
      <c r="Q704" s="56"/>
      <c r="R704" s="56"/>
      <c r="S704" s="56"/>
      <c r="T704" s="56"/>
      <c r="U704" s="56"/>
      <c r="V704" s="56"/>
    </row>
    <row r="705" ht="18.75" customHeight="1">
      <c r="A705" s="90"/>
      <c r="B705" s="91"/>
      <c r="C705" s="129"/>
      <c r="D705" s="151"/>
      <c r="E705" s="109"/>
      <c r="F705" s="110"/>
      <c r="G705" s="95" t="str">
        <f t="shared" si="11"/>
        <v/>
      </c>
      <c r="H705" s="96"/>
      <c r="I705" s="93"/>
      <c r="J705" s="115"/>
      <c r="K705" s="115"/>
      <c r="L705" s="93"/>
      <c r="M705" s="93"/>
      <c r="N705" s="93"/>
      <c r="O705" s="56"/>
      <c r="P705" s="56"/>
      <c r="Q705" s="56"/>
      <c r="R705" s="56"/>
      <c r="S705" s="56"/>
      <c r="T705" s="56"/>
      <c r="U705" s="56"/>
      <c r="V705" s="56"/>
    </row>
    <row r="706" ht="18.75" customHeight="1">
      <c r="A706" s="90"/>
      <c r="B706" s="107" t="s">
        <v>1546</v>
      </c>
      <c r="C706" s="129"/>
      <c r="D706" s="109"/>
      <c r="E706" s="109"/>
      <c r="F706" s="110"/>
      <c r="G706" s="95" t="str">
        <f t="shared" si="11"/>
        <v/>
      </c>
      <c r="H706" s="96"/>
      <c r="I706" s="93"/>
      <c r="J706" s="115"/>
      <c r="K706" s="115"/>
      <c r="L706" s="93"/>
      <c r="M706" s="93"/>
      <c r="N706" s="93"/>
      <c r="O706" s="56"/>
      <c r="P706" s="56"/>
      <c r="Q706" s="56"/>
      <c r="R706" s="56"/>
      <c r="S706" s="56"/>
      <c r="T706" s="56"/>
      <c r="U706" s="56"/>
      <c r="V706" s="56"/>
    </row>
    <row r="707" ht="18.75" customHeight="1">
      <c r="A707" s="90"/>
      <c r="B707" s="111" t="s">
        <v>1697</v>
      </c>
      <c r="C707" s="118" t="s">
        <v>1698</v>
      </c>
      <c r="D707" s="52">
        <v>375.52320000000003</v>
      </c>
      <c r="E707" s="52">
        <v>406.0</v>
      </c>
      <c r="F707" s="110"/>
      <c r="G707" s="95">
        <f t="shared" si="11"/>
        <v>0.0811582347</v>
      </c>
      <c r="H707" s="122"/>
      <c r="I707" s="115">
        <v>3.54</v>
      </c>
      <c r="J707" s="115">
        <v>40.0</v>
      </c>
      <c r="K707" s="115">
        <v>160.0</v>
      </c>
      <c r="L707" s="134"/>
      <c r="M707" s="93"/>
      <c r="N707" s="93"/>
      <c r="O707" s="56"/>
      <c r="P707" s="56"/>
      <c r="Q707" s="56"/>
      <c r="R707" s="56"/>
      <c r="S707" s="56"/>
      <c r="T707" s="56"/>
      <c r="U707" s="56"/>
      <c r="V707" s="56"/>
    </row>
    <row r="708" ht="18.75" customHeight="1">
      <c r="A708" s="90"/>
      <c r="B708" s="111" t="s">
        <v>1699</v>
      </c>
      <c r="C708" s="118" t="s">
        <v>1700</v>
      </c>
      <c r="D708" s="52">
        <v>468.0</v>
      </c>
      <c r="E708" s="52">
        <v>506.0</v>
      </c>
      <c r="F708" s="110"/>
      <c r="G708" s="95">
        <f t="shared" si="11"/>
        <v>0.0811965812</v>
      </c>
      <c r="H708" s="122"/>
      <c r="I708" s="115">
        <v>4.4</v>
      </c>
      <c r="J708" s="115">
        <v>30.0</v>
      </c>
      <c r="K708" s="115">
        <v>120.0</v>
      </c>
      <c r="L708" s="134"/>
      <c r="M708" s="93"/>
      <c r="N708" s="93"/>
      <c r="O708" s="56"/>
      <c r="P708" s="56"/>
      <c r="Q708" s="56"/>
      <c r="R708" s="56"/>
      <c r="S708" s="56"/>
      <c r="T708" s="56"/>
      <c r="U708" s="56"/>
      <c r="V708" s="56"/>
    </row>
    <row r="709" ht="18.75" customHeight="1">
      <c r="A709" s="90"/>
      <c r="B709" s="111" t="s">
        <v>1701</v>
      </c>
      <c r="C709" s="118" t="s">
        <v>1702</v>
      </c>
      <c r="D709" s="52">
        <v>483.7248</v>
      </c>
      <c r="E709" s="52">
        <v>522.0</v>
      </c>
      <c r="F709" s="110"/>
      <c r="G709" s="95">
        <f t="shared" si="11"/>
        <v>0.07912598238</v>
      </c>
      <c r="H709" s="114"/>
      <c r="I709" s="115">
        <v>4.56</v>
      </c>
      <c r="J709" s="115">
        <v>30.0</v>
      </c>
      <c r="K709" s="115">
        <v>120.0</v>
      </c>
      <c r="L709" s="109"/>
      <c r="M709" s="93"/>
      <c r="N709" s="93"/>
      <c r="O709" s="56"/>
      <c r="P709" s="56"/>
      <c r="Q709" s="56"/>
      <c r="R709" s="56"/>
      <c r="S709" s="56"/>
      <c r="T709" s="56"/>
      <c r="U709" s="56"/>
      <c r="V709" s="56"/>
    </row>
    <row r="710" ht="18.75" customHeight="1">
      <c r="A710" s="90"/>
      <c r="B710" s="111" t="s">
        <v>1703</v>
      </c>
      <c r="C710" s="118" t="s">
        <v>1704</v>
      </c>
      <c r="D710" s="52">
        <v>517.6704</v>
      </c>
      <c r="E710" s="52">
        <v>558.0</v>
      </c>
      <c r="F710" s="110"/>
      <c r="G710" s="95">
        <f t="shared" si="11"/>
        <v>0.0779059417</v>
      </c>
      <c r="H710" s="114"/>
      <c r="I710" s="115">
        <v>4.88</v>
      </c>
      <c r="J710" s="115">
        <v>30.0</v>
      </c>
      <c r="K710" s="115">
        <v>120.0</v>
      </c>
      <c r="L710" s="134"/>
      <c r="M710" s="93"/>
      <c r="N710" s="93"/>
      <c r="O710" s="56"/>
      <c r="P710" s="56"/>
      <c r="Q710" s="56"/>
      <c r="R710" s="56"/>
      <c r="S710" s="56"/>
      <c r="T710" s="56"/>
      <c r="U710" s="56"/>
      <c r="V710" s="56"/>
    </row>
    <row r="711" ht="18.75" customHeight="1">
      <c r="A711" s="90"/>
      <c r="B711" s="111" t="s">
        <v>1705</v>
      </c>
      <c r="C711" s="118" t="s">
        <v>1706</v>
      </c>
      <c r="D711" s="52">
        <v>711.96</v>
      </c>
      <c r="E711" s="52">
        <v>768.0</v>
      </c>
      <c r="F711" s="110"/>
      <c r="G711" s="95">
        <f t="shared" si="11"/>
        <v>0.07871228721</v>
      </c>
      <c r="H711" s="114"/>
      <c r="I711" s="115">
        <v>6.72</v>
      </c>
      <c r="J711" s="115">
        <v>24.0</v>
      </c>
      <c r="K711" s="115">
        <v>48.0</v>
      </c>
      <c r="L711" s="109"/>
      <c r="M711" s="93"/>
      <c r="N711" s="93"/>
      <c r="O711" s="56"/>
      <c r="P711" s="56"/>
      <c r="Q711" s="56"/>
      <c r="R711" s="56"/>
      <c r="S711" s="56"/>
      <c r="T711" s="56"/>
      <c r="U711" s="56"/>
      <c r="V711" s="56"/>
    </row>
    <row r="712" ht="18.75" customHeight="1">
      <c r="A712" s="90"/>
      <c r="B712" s="111" t="s">
        <v>1707</v>
      </c>
      <c r="C712" s="118" t="s">
        <v>1708</v>
      </c>
      <c r="D712" s="52">
        <v>446.0</v>
      </c>
      <c r="E712" s="52">
        <v>482.0</v>
      </c>
      <c r="F712" s="110"/>
      <c r="G712" s="95">
        <f t="shared" si="11"/>
        <v>0.08071748879</v>
      </c>
      <c r="H712" s="122"/>
      <c r="I712" s="115">
        <v>4.2</v>
      </c>
      <c r="J712" s="115">
        <v>30.0</v>
      </c>
      <c r="K712" s="115">
        <v>120.0</v>
      </c>
      <c r="L712" s="109"/>
      <c r="M712" s="93"/>
      <c r="N712" s="93"/>
      <c r="O712" s="56"/>
      <c r="P712" s="56"/>
      <c r="Q712" s="56"/>
      <c r="R712" s="56"/>
      <c r="S712" s="56"/>
      <c r="T712" s="56"/>
      <c r="U712" s="56"/>
      <c r="V712" s="56"/>
    </row>
    <row r="713" ht="18.75" customHeight="1">
      <c r="A713" s="90"/>
      <c r="B713" s="111" t="s">
        <v>1709</v>
      </c>
      <c r="C713" s="118" t="s">
        <v>1710</v>
      </c>
      <c r="D713" s="52">
        <v>458.0</v>
      </c>
      <c r="E713" s="52">
        <v>496.0</v>
      </c>
      <c r="F713" s="110"/>
      <c r="G713" s="95">
        <f t="shared" si="11"/>
        <v>0.08296943231</v>
      </c>
      <c r="H713" s="122"/>
      <c r="I713" s="115">
        <v>4.34</v>
      </c>
      <c r="J713" s="115">
        <v>30.0</v>
      </c>
      <c r="K713" s="115">
        <v>120.0</v>
      </c>
      <c r="L713" s="109"/>
      <c r="M713" s="93"/>
      <c r="N713" s="93"/>
      <c r="O713" s="56"/>
      <c r="P713" s="56"/>
      <c r="Q713" s="56"/>
      <c r="R713" s="56"/>
      <c r="S713" s="56"/>
      <c r="T713" s="56"/>
      <c r="U713" s="56"/>
      <c r="V713" s="56"/>
    </row>
    <row r="714" ht="18.75" customHeight="1">
      <c r="A714" s="90"/>
      <c r="B714" s="111" t="s">
        <v>1711</v>
      </c>
      <c r="C714" s="118" t="s">
        <v>1712</v>
      </c>
      <c r="D714" s="52">
        <v>481.6032</v>
      </c>
      <c r="E714" s="52">
        <v>522.0</v>
      </c>
      <c r="F714" s="110"/>
      <c r="G714" s="95">
        <f t="shared" si="11"/>
        <v>0.08387984133</v>
      </c>
      <c r="H714" s="114"/>
      <c r="I714" s="115">
        <v>4.54</v>
      </c>
      <c r="J714" s="115">
        <v>30.0</v>
      </c>
      <c r="K714" s="115">
        <v>120.0</v>
      </c>
      <c r="L714" s="134"/>
      <c r="M714" s="93"/>
      <c r="N714" s="93"/>
      <c r="O714" s="56"/>
      <c r="P714" s="56"/>
      <c r="Q714" s="56"/>
      <c r="R714" s="56"/>
      <c r="S714" s="56"/>
      <c r="T714" s="56"/>
      <c r="U714" s="56"/>
      <c r="V714" s="56"/>
    </row>
    <row r="715" ht="18.75" customHeight="1">
      <c r="A715" s="90"/>
      <c r="B715" s="111" t="s">
        <v>1713</v>
      </c>
      <c r="C715" s="118" t="s">
        <v>1714</v>
      </c>
      <c r="D715" s="52">
        <v>481.6032</v>
      </c>
      <c r="E715" s="52">
        <v>522.0</v>
      </c>
      <c r="F715" s="110"/>
      <c r="G715" s="95">
        <f t="shared" si="11"/>
        <v>0.08387984133</v>
      </c>
      <c r="H715" s="114"/>
      <c r="I715" s="115">
        <v>4.54</v>
      </c>
      <c r="J715" s="115">
        <v>30.0</v>
      </c>
      <c r="K715" s="115">
        <v>120.0</v>
      </c>
      <c r="L715" s="134"/>
      <c r="M715" s="93"/>
      <c r="N715" s="93"/>
      <c r="O715" s="56"/>
      <c r="P715" s="56"/>
      <c r="Q715" s="56"/>
      <c r="R715" s="56"/>
      <c r="S715" s="56"/>
      <c r="T715" s="56"/>
      <c r="U715" s="56"/>
      <c r="V715" s="56"/>
    </row>
    <row r="716" ht="18.75" customHeight="1">
      <c r="A716" s="90"/>
      <c r="B716" s="111" t="s">
        <v>1715</v>
      </c>
      <c r="C716" s="118" t="s">
        <v>1716</v>
      </c>
      <c r="D716" s="125">
        <v>458.0</v>
      </c>
      <c r="E716" s="52">
        <v>496.0</v>
      </c>
      <c r="F716" s="110"/>
      <c r="G716" s="95">
        <f t="shared" si="11"/>
        <v>0.08296943231</v>
      </c>
      <c r="H716" s="122"/>
      <c r="I716" s="115">
        <v>4.34</v>
      </c>
      <c r="J716" s="115">
        <v>30.0</v>
      </c>
      <c r="K716" s="115">
        <v>120.0</v>
      </c>
      <c r="L716" s="109"/>
      <c r="M716" s="93"/>
      <c r="N716" s="93"/>
      <c r="O716" s="56"/>
      <c r="P716" s="56"/>
      <c r="Q716" s="56"/>
      <c r="R716" s="56"/>
      <c r="S716" s="56"/>
      <c r="T716" s="56"/>
      <c r="U716" s="56"/>
      <c r="V716" s="56"/>
    </row>
    <row r="717" ht="18.75" customHeight="1">
      <c r="A717" s="90"/>
      <c r="B717" s="111" t="s">
        <v>1717</v>
      </c>
      <c r="C717" s="118" t="s">
        <v>1547</v>
      </c>
      <c r="D717" s="238">
        <v>589.56</v>
      </c>
      <c r="E717" s="52">
        <v>638.0</v>
      </c>
      <c r="F717" s="239" t="s">
        <v>1718</v>
      </c>
      <c r="G717" s="95">
        <f t="shared" si="11"/>
        <v>0.08216296899</v>
      </c>
      <c r="H717" s="122"/>
      <c r="I717" s="115"/>
      <c r="J717" s="115"/>
      <c r="K717" s="115"/>
      <c r="L717" s="109"/>
      <c r="M717" s="134" t="s">
        <v>1719</v>
      </c>
      <c r="N717" s="93"/>
      <c r="O717" s="56"/>
      <c r="P717" s="56"/>
      <c r="Q717" s="56"/>
      <c r="R717" s="56"/>
      <c r="S717" s="56"/>
      <c r="T717" s="56"/>
      <c r="U717" s="56"/>
      <c r="V717" s="56"/>
    </row>
    <row r="718" ht="18.75" customHeight="1">
      <c r="A718" s="90"/>
      <c r="B718" s="111" t="s">
        <v>1720</v>
      </c>
      <c r="C718" s="118" t="s">
        <v>1549</v>
      </c>
      <c r="D718" s="238">
        <v>534.48</v>
      </c>
      <c r="E718" s="52">
        <v>578.0</v>
      </c>
      <c r="F718" s="239" t="s">
        <v>1718</v>
      </c>
      <c r="G718" s="95">
        <f t="shared" si="11"/>
        <v>0.08142493639</v>
      </c>
      <c r="H718" s="122"/>
      <c r="I718" s="115"/>
      <c r="J718" s="115"/>
      <c r="K718" s="115"/>
      <c r="L718" s="109"/>
      <c r="M718" s="134" t="s">
        <v>1721</v>
      </c>
      <c r="N718" s="93"/>
      <c r="O718" s="56"/>
      <c r="P718" s="56"/>
      <c r="Q718" s="56"/>
      <c r="R718" s="56"/>
      <c r="S718" s="56"/>
      <c r="T718" s="56"/>
      <c r="U718" s="56"/>
      <c r="V718" s="56"/>
    </row>
    <row r="719" ht="18.75" customHeight="1">
      <c r="A719" s="90"/>
      <c r="B719" s="111" t="s">
        <v>1722</v>
      </c>
      <c r="C719" s="118" t="s">
        <v>1723</v>
      </c>
      <c r="D719" s="238">
        <v>698.0</v>
      </c>
      <c r="E719" s="52">
        <v>746.0</v>
      </c>
      <c r="F719" s="110"/>
      <c r="G719" s="95">
        <f t="shared" si="11"/>
        <v>0.06876790831</v>
      </c>
      <c r="H719" s="122"/>
      <c r="I719" s="115"/>
      <c r="J719" s="115"/>
      <c r="K719" s="115"/>
      <c r="L719" s="109"/>
      <c r="M719" s="93"/>
      <c r="N719" s="93"/>
      <c r="O719" s="56"/>
      <c r="P719" s="56"/>
      <c r="Q719" s="56"/>
      <c r="R719" s="56"/>
      <c r="S719" s="56"/>
      <c r="T719" s="56"/>
      <c r="U719" s="56"/>
      <c r="V719" s="56"/>
    </row>
    <row r="720" ht="18.75" customHeight="1">
      <c r="A720" s="90"/>
      <c r="B720" s="91"/>
      <c r="C720" s="129"/>
      <c r="D720" s="151"/>
      <c r="E720" s="109"/>
      <c r="F720" s="110"/>
      <c r="G720" s="95" t="str">
        <f t="shared" si="11"/>
        <v/>
      </c>
      <c r="H720" s="96"/>
      <c r="I720" s="93"/>
      <c r="J720" s="115"/>
      <c r="K720" s="115"/>
      <c r="L720" s="93"/>
      <c r="M720" s="93"/>
      <c r="N720" s="93"/>
      <c r="O720" s="56"/>
      <c r="P720" s="56"/>
      <c r="Q720" s="56"/>
      <c r="R720" s="56"/>
      <c r="S720" s="56"/>
      <c r="T720" s="56"/>
      <c r="U720" s="56"/>
      <c r="V720" s="56"/>
    </row>
    <row r="721" ht="18.75" customHeight="1">
      <c r="A721" s="90"/>
      <c r="B721" s="107" t="s">
        <v>1724</v>
      </c>
      <c r="C721" s="129"/>
      <c r="D721" s="143"/>
      <c r="E721" s="109"/>
      <c r="F721" s="110"/>
      <c r="G721" s="95" t="str">
        <f t="shared" si="11"/>
        <v/>
      </c>
      <c r="H721" s="96"/>
      <c r="I721" s="93"/>
      <c r="J721" s="115"/>
      <c r="K721" s="115"/>
      <c r="L721" s="93"/>
      <c r="M721" s="93"/>
      <c r="N721" s="93"/>
      <c r="O721" s="56"/>
      <c r="P721" s="56"/>
      <c r="Q721" s="56"/>
      <c r="R721" s="56"/>
      <c r="S721" s="56"/>
      <c r="T721" s="56"/>
      <c r="U721" s="56"/>
      <c r="V721" s="56"/>
    </row>
    <row r="722" ht="18.75" customHeight="1">
      <c r="A722" s="90"/>
      <c r="B722" s="111">
        <v>571.0</v>
      </c>
      <c r="C722" s="118" t="s">
        <v>1725</v>
      </c>
      <c r="D722" s="137">
        <v>811.92</v>
      </c>
      <c r="E722" s="52">
        <v>878.0</v>
      </c>
      <c r="F722" s="240"/>
      <c r="G722" s="95">
        <f t="shared" si="11"/>
        <v>0.0813873288</v>
      </c>
      <c r="H722" s="122"/>
      <c r="I722" s="93"/>
      <c r="J722" s="115">
        <v>38.0</v>
      </c>
      <c r="K722" s="115">
        <v>152.0</v>
      </c>
      <c r="L722" s="93"/>
      <c r="M722" s="93"/>
      <c r="N722" s="93"/>
      <c r="O722" s="56"/>
      <c r="P722" s="56"/>
      <c r="Q722" s="56"/>
      <c r="R722" s="56"/>
      <c r="S722" s="56"/>
      <c r="T722" s="56"/>
      <c r="U722" s="56"/>
      <c r="V722" s="56"/>
    </row>
    <row r="723" ht="18.75" customHeight="1">
      <c r="A723" s="90"/>
      <c r="B723" s="123">
        <v>572.0</v>
      </c>
      <c r="C723" s="124" t="s">
        <v>1726</v>
      </c>
      <c r="D723" s="125">
        <v>811.92</v>
      </c>
      <c r="E723" s="52">
        <v>878.0</v>
      </c>
      <c r="F723" s="240"/>
      <c r="G723" s="95">
        <f t="shared" si="11"/>
        <v>0.0813873288</v>
      </c>
      <c r="H723" s="122"/>
      <c r="I723" s="93"/>
      <c r="J723" s="115">
        <v>38.0</v>
      </c>
      <c r="K723" s="115">
        <v>152.0</v>
      </c>
      <c r="L723" s="93"/>
      <c r="M723" s="93"/>
      <c r="N723" s="93"/>
      <c r="O723" s="56"/>
      <c r="P723" s="56"/>
      <c r="Q723" s="56"/>
      <c r="R723" s="56"/>
      <c r="S723" s="56"/>
      <c r="T723" s="56"/>
      <c r="U723" s="56"/>
      <c r="V723" s="56"/>
    </row>
    <row r="724" ht="18.75" customHeight="1">
      <c r="A724" s="90"/>
      <c r="B724" s="149"/>
      <c r="C724" s="150"/>
      <c r="D724" s="151"/>
      <c r="E724" s="109"/>
      <c r="F724" s="110"/>
      <c r="G724" s="95" t="str">
        <f t="shared" si="11"/>
        <v/>
      </c>
      <c r="H724" s="96"/>
      <c r="I724" s="93"/>
      <c r="J724" s="115"/>
      <c r="K724" s="115"/>
      <c r="L724" s="93"/>
      <c r="M724" s="93"/>
      <c r="N724" s="93"/>
      <c r="O724" s="56"/>
      <c r="P724" s="56"/>
      <c r="Q724" s="56"/>
      <c r="R724" s="56"/>
      <c r="S724" s="56"/>
      <c r="T724" s="56"/>
      <c r="U724" s="56"/>
      <c r="V724" s="56"/>
    </row>
    <row r="725" ht="18.75" customHeight="1">
      <c r="A725" s="90"/>
      <c r="B725" s="107" t="s">
        <v>1727</v>
      </c>
      <c r="C725" s="129"/>
      <c r="D725" s="132"/>
      <c r="E725" s="109"/>
      <c r="F725" s="110"/>
      <c r="G725" s="95" t="str">
        <f t="shared" si="11"/>
        <v/>
      </c>
      <c r="H725" s="96"/>
      <c r="I725" s="93"/>
      <c r="J725" s="115"/>
      <c r="K725" s="115"/>
      <c r="L725" s="93"/>
      <c r="M725" s="93"/>
      <c r="N725" s="93"/>
      <c r="O725" s="56"/>
      <c r="P725" s="56"/>
      <c r="Q725" s="56"/>
      <c r="R725" s="56"/>
      <c r="S725" s="56"/>
      <c r="T725" s="56"/>
      <c r="U725" s="56"/>
      <c r="V725" s="56"/>
    </row>
    <row r="726" ht="18.75" customHeight="1">
      <c r="A726" s="90"/>
      <c r="B726" s="111">
        <v>187.0</v>
      </c>
      <c r="C726" s="118" t="s">
        <v>1728</v>
      </c>
      <c r="D726" s="52">
        <v>582.0</v>
      </c>
      <c r="E726" s="52">
        <v>628.0</v>
      </c>
      <c r="F726" s="110"/>
      <c r="G726" s="95">
        <f t="shared" si="11"/>
        <v>0.07903780069</v>
      </c>
      <c r="H726" s="114"/>
      <c r="I726" s="120">
        <v>4.0</v>
      </c>
      <c r="J726" s="115">
        <v>22.0</v>
      </c>
      <c r="K726" s="115">
        <v>88.0</v>
      </c>
      <c r="L726" s="93"/>
      <c r="M726" s="93"/>
      <c r="N726" s="93"/>
      <c r="O726" s="56"/>
      <c r="P726" s="56"/>
      <c r="Q726" s="56"/>
      <c r="R726" s="56"/>
      <c r="S726" s="56"/>
      <c r="T726" s="56"/>
      <c r="U726" s="56"/>
      <c r="V726" s="56"/>
    </row>
    <row r="727" ht="18.75" customHeight="1">
      <c r="A727" s="90"/>
      <c r="B727" s="111">
        <v>1871.0</v>
      </c>
      <c r="C727" s="118" t="s">
        <v>1729</v>
      </c>
      <c r="D727" s="52">
        <v>598.0</v>
      </c>
      <c r="E727" s="52">
        <v>646.0</v>
      </c>
      <c r="F727" s="110"/>
      <c r="G727" s="95">
        <f t="shared" si="11"/>
        <v>0.08026755853</v>
      </c>
      <c r="H727" s="114"/>
      <c r="I727" s="120">
        <v>4.0</v>
      </c>
      <c r="J727" s="115">
        <v>22.0</v>
      </c>
      <c r="K727" s="115">
        <v>88.0</v>
      </c>
      <c r="L727" s="93"/>
      <c r="M727" s="93"/>
      <c r="N727" s="93"/>
      <c r="O727" s="56"/>
      <c r="P727" s="56"/>
      <c r="Q727" s="56"/>
      <c r="R727" s="56"/>
      <c r="S727" s="56"/>
      <c r="T727" s="56"/>
      <c r="U727" s="56"/>
      <c r="V727" s="56"/>
    </row>
    <row r="728" ht="18.75" customHeight="1">
      <c r="A728" s="90"/>
      <c r="B728" s="111">
        <v>188.0</v>
      </c>
      <c r="C728" s="118" t="s">
        <v>1730</v>
      </c>
      <c r="D728" s="52">
        <v>652.0</v>
      </c>
      <c r="E728" s="52">
        <v>704.0</v>
      </c>
      <c r="F728" s="110"/>
      <c r="G728" s="95">
        <f t="shared" si="11"/>
        <v>0.07975460123</v>
      </c>
      <c r="H728" s="114"/>
      <c r="I728" s="120">
        <v>4.0</v>
      </c>
      <c r="J728" s="115">
        <v>22.0</v>
      </c>
      <c r="K728" s="115">
        <v>88.0</v>
      </c>
      <c r="L728" s="93"/>
      <c r="M728" s="93"/>
      <c r="N728" s="93"/>
      <c r="O728" s="56"/>
      <c r="P728" s="56"/>
      <c r="Q728" s="56"/>
      <c r="R728" s="56"/>
      <c r="S728" s="56"/>
      <c r="T728" s="56"/>
      <c r="U728" s="56"/>
      <c r="V728" s="56"/>
    </row>
    <row r="729" ht="18.75" customHeight="1">
      <c r="A729" s="90"/>
      <c r="B729" s="111">
        <v>1881.0</v>
      </c>
      <c r="C729" s="118" t="s">
        <v>1730</v>
      </c>
      <c r="D729" s="52">
        <v>672.0</v>
      </c>
      <c r="E729" s="52">
        <v>726.0</v>
      </c>
      <c r="F729" s="110"/>
      <c r="G729" s="95">
        <f t="shared" si="11"/>
        <v>0.08035714286</v>
      </c>
      <c r="H729" s="114"/>
      <c r="I729" s="120">
        <v>4.0</v>
      </c>
      <c r="J729" s="115">
        <v>22.0</v>
      </c>
      <c r="K729" s="115">
        <v>88.0</v>
      </c>
      <c r="L729" s="93"/>
      <c r="M729" s="93"/>
      <c r="N729" s="93"/>
      <c r="O729" s="56"/>
      <c r="P729" s="56"/>
      <c r="Q729" s="56"/>
      <c r="R729" s="56"/>
      <c r="S729" s="56"/>
      <c r="T729" s="56"/>
      <c r="U729" s="56"/>
      <c r="V729" s="56"/>
    </row>
    <row r="730" ht="18.75" customHeight="1">
      <c r="A730" s="90"/>
      <c r="B730" s="111">
        <v>189.0</v>
      </c>
      <c r="C730" s="118" t="s">
        <v>1731</v>
      </c>
      <c r="D730" s="52">
        <v>356.0</v>
      </c>
      <c r="E730" s="52">
        <v>384.0</v>
      </c>
      <c r="F730" s="110"/>
      <c r="G730" s="95">
        <f t="shared" si="11"/>
        <v>0.07865168539</v>
      </c>
      <c r="H730" s="114"/>
      <c r="I730" s="120"/>
      <c r="J730" s="115">
        <v>55.0</v>
      </c>
      <c r="K730" s="115">
        <v>220.0</v>
      </c>
      <c r="L730" s="93"/>
      <c r="M730" s="93"/>
      <c r="N730" s="93"/>
      <c r="O730" s="56"/>
      <c r="P730" s="56"/>
      <c r="Q730" s="56"/>
      <c r="R730" s="56"/>
      <c r="S730" s="56"/>
      <c r="T730" s="56"/>
      <c r="U730" s="56"/>
      <c r="V730" s="56"/>
    </row>
    <row r="731" ht="18.75" customHeight="1">
      <c r="A731" s="90"/>
      <c r="B731" s="111">
        <v>1891.0</v>
      </c>
      <c r="C731" s="118" t="s">
        <v>1731</v>
      </c>
      <c r="D731" s="52">
        <v>376.0</v>
      </c>
      <c r="E731" s="52">
        <v>406.0</v>
      </c>
      <c r="F731" s="110"/>
      <c r="G731" s="95">
        <f t="shared" si="11"/>
        <v>0.07978723404</v>
      </c>
      <c r="H731" s="114"/>
      <c r="I731" s="120"/>
      <c r="J731" s="115">
        <v>48.0</v>
      </c>
      <c r="K731" s="115">
        <v>192.0</v>
      </c>
      <c r="L731" s="93"/>
      <c r="M731" s="93"/>
      <c r="N731" s="93"/>
      <c r="O731" s="56"/>
      <c r="P731" s="56"/>
      <c r="Q731" s="56"/>
      <c r="R731" s="56"/>
      <c r="S731" s="56"/>
      <c r="T731" s="56"/>
      <c r="U731" s="56"/>
      <c r="V731" s="56"/>
    </row>
    <row r="732" ht="18.75" customHeight="1">
      <c r="A732" s="90"/>
      <c r="B732" s="111">
        <v>521.0</v>
      </c>
      <c r="C732" s="118" t="s">
        <v>1732</v>
      </c>
      <c r="D732" s="52">
        <v>313.99679999999995</v>
      </c>
      <c r="E732" s="52">
        <v>338.0</v>
      </c>
      <c r="F732" s="110"/>
      <c r="G732" s="95">
        <f t="shared" si="11"/>
        <v>0.07644409115</v>
      </c>
      <c r="H732" s="114"/>
      <c r="I732" s="120"/>
      <c r="J732" s="115">
        <v>26.0</v>
      </c>
      <c r="K732" s="115">
        <v>104.0</v>
      </c>
      <c r="L732" s="93"/>
      <c r="M732" s="93"/>
      <c r="N732" s="93"/>
      <c r="O732" s="56"/>
      <c r="P732" s="56"/>
      <c r="Q732" s="56"/>
      <c r="R732" s="56"/>
      <c r="S732" s="56"/>
      <c r="T732" s="56"/>
      <c r="U732" s="56"/>
      <c r="V732" s="56"/>
    </row>
    <row r="733" ht="18.75" customHeight="1">
      <c r="A733" s="90"/>
      <c r="B733" s="111">
        <v>522.0</v>
      </c>
      <c r="C733" s="118" t="s">
        <v>1733</v>
      </c>
      <c r="D733" s="52">
        <v>350.0</v>
      </c>
      <c r="E733" s="52">
        <v>378.0</v>
      </c>
      <c r="F733" s="110"/>
      <c r="G733" s="95">
        <f t="shared" si="11"/>
        <v>0.08</v>
      </c>
      <c r="H733" s="114"/>
      <c r="I733" s="120"/>
      <c r="J733" s="115">
        <v>24.0</v>
      </c>
      <c r="K733" s="115">
        <v>96.0</v>
      </c>
      <c r="L733" s="93"/>
      <c r="M733" s="93"/>
      <c r="N733" s="93"/>
      <c r="O733" s="56"/>
      <c r="P733" s="56"/>
      <c r="Q733" s="56"/>
      <c r="R733" s="56"/>
      <c r="S733" s="56"/>
      <c r="T733" s="56"/>
      <c r="U733" s="56"/>
      <c r="V733" s="56"/>
    </row>
    <row r="734" ht="18.75" customHeight="1">
      <c r="A734" s="90"/>
      <c r="B734" s="111">
        <v>5211.0</v>
      </c>
      <c r="C734" s="118" t="s">
        <v>1734</v>
      </c>
      <c r="D734" s="52">
        <v>313.99679999999995</v>
      </c>
      <c r="E734" s="52">
        <v>338.0</v>
      </c>
      <c r="F734" s="110"/>
      <c r="G734" s="95">
        <f t="shared" si="11"/>
        <v>0.07644409115</v>
      </c>
      <c r="H734" s="114"/>
      <c r="I734" s="120"/>
      <c r="J734" s="115">
        <v>26.0</v>
      </c>
      <c r="K734" s="115">
        <v>104.0</v>
      </c>
      <c r="L734" s="93"/>
      <c r="M734" s="93"/>
      <c r="N734" s="93"/>
      <c r="O734" s="56"/>
      <c r="P734" s="56"/>
      <c r="Q734" s="56"/>
      <c r="R734" s="56"/>
      <c r="S734" s="56"/>
      <c r="T734" s="56"/>
      <c r="U734" s="56"/>
      <c r="V734" s="56"/>
    </row>
    <row r="735" ht="18.75" customHeight="1">
      <c r="A735" s="90"/>
      <c r="B735" s="111">
        <v>5221.0</v>
      </c>
      <c r="C735" s="118" t="s">
        <v>1735</v>
      </c>
      <c r="D735" s="52">
        <v>350.0</v>
      </c>
      <c r="E735" s="52">
        <v>378.0</v>
      </c>
      <c r="F735" s="110"/>
      <c r="G735" s="95">
        <f t="shared" si="11"/>
        <v>0.08</v>
      </c>
      <c r="H735" s="114"/>
      <c r="I735" s="120"/>
      <c r="J735" s="115">
        <v>24.0</v>
      </c>
      <c r="K735" s="115">
        <v>96.0</v>
      </c>
      <c r="L735" s="93"/>
      <c r="M735" s="93"/>
      <c r="N735" s="93"/>
      <c r="O735" s="56"/>
      <c r="P735" s="56"/>
      <c r="Q735" s="56"/>
      <c r="R735" s="56"/>
      <c r="S735" s="56"/>
      <c r="T735" s="56"/>
      <c r="U735" s="56"/>
      <c r="V735" s="56"/>
    </row>
    <row r="736" ht="18.75" customHeight="1">
      <c r="A736" s="90"/>
      <c r="B736" s="111" t="s">
        <v>1736</v>
      </c>
      <c r="C736" s="118" t="s">
        <v>1737</v>
      </c>
      <c r="D736" s="52">
        <v>578.0</v>
      </c>
      <c r="E736" s="52">
        <v>624.0</v>
      </c>
      <c r="F736" s="110"/>
      <c r="G736" s="95">
        <f t="shared" si="11"/>
        <v>0.07958477509</v>
      </c>
      <c r="H736" s="114"/>
      <c r="I736" s="120"/>
      <c r="J736" s="115">
        <v>22.0</v>
      </c>
      <c r="K736" s="115">
        <v>88.0</v>
      </c>
      <c r="L736" s="93"/>
      <c r="M736" s="93"/>
      <c r="N736" s="93"/>
      <c r="O736" s="56"/>
      <c r="P736" s="56"/>
      <c r="Q736" s="56"/>
      <c r="R736" s="56"/>
      <c r="S736" s="56"/>
      <c r="T736" s="56"/>
      <c r="U736" s="56"/>
      <c r="V736" s="56"/>
    </row>
    <row r="737" ht="18.75" customHeight="1">
      <c r="A737" s="90"/>
      <c r="B737" s="111" t="s">
        <v>1738</v>
      </c>
      <c r="C737" s="118" t="s">
        <v>1739</v>
      </c>
      <c r="D737" s="52">
        <v>676.0</v>
      </c>
      <c r="E737" s="52">
        <v>728.0</v>
      </c>
      <c r="F737" s="110"/>
      <c r="G737" s="95">
        <f t="shared" si="11"/>
        <v>0.07692307692</v>
      </c>
      <c r="H737" s="114"/>
      <c r="I737" s="120"/>
      <c r="J737" s="115">
        <v>22.0</v>
      </c>
      <c r="K737" s="115">
        <v>88.0</v>
      </c>
      <c r="L737" s="93"/>
      <c r="M737" s="93"/>
      <c r="N737" s="93"/>
      <c r="O737" s="56"/>
      <c r="P737" s="56"/>
      <c r="Q737" s="56"/>
      <c r="R737" s="56"/>
      <c r="S737" s="56"/>
      <c r="T737" s="56"/>
      <c r="U737" s="56"/>
      <c r="V737" s="56"/>
    </row>
    <row r="738" ht="18.75" customHeight="1">
      <c r="A738" s="90"/>
      <c r="B738" s="111">
        <v>180.0</v>
      </c>
      <c r="C738" s="118" t="s">
        <v>1731</v>
      </c>
      <c r="D738" s="52">
        <v>370.0</v>
      </c>
      <c r="E738" s="52">
        <v>398.0</v>
      </c>
      <c r="F738" s="110"/>
      <c r="G738" s="95">
        <f t="shared" si="11"/>
        <v>0.07567567568</v>
      </c>
      <c r="H738" s="114"/>
      <c r="I738" s="120"/>
      <c r="J738" s="115">
        <v>55.0</v>
      </c>
      <c r="K738" s="115">
        <v>220.0</v>
      </c>
      <c r="L738" s="93"/>
      <c r="M738" s="93"/>
      <c r="N738" s="93"/>
      <c r="O738" s="56"/>
      <c r="P738" s="56"/>
      <c r="Q738" s="56"/>
      <c r="R738" s="56"/>
      <c r="S738" s="56"/>
      <c r="T738" s="56"/>
      <c r="U738" s="56"/>
      <c r="V738" s="56"/>
    </row>
    <row r="739" ht="18.75" customHeight="1">
      <c r="A739" s="90"/>
      <c r="B739" s="111" t="s">
        <v>1740</v>
      </c>
      <c r="C739" s="118" t="s">
        <v>1741</v>
      </c>
      <c r="D739" s="52">
        <v>448.0</v>
      </c>
      <c r="E739" s="52">
        <v>484.0</v>
      </c>
      <c r="F739" s="113"/>
      <c r="G739" s="95">
        <f t="shared" si="11"/>
        <v>0.08035714286</v>
      </c>
      <c r="H739" s="114"/>
      <c r="I739" s="120"/>
      <c r="J739" s="115">
        <v>29.0</v>
      </c>
      <c r="K739" s="115">
        <v>116.0</v>
      </c>
      <c r="L739" s="93"/>
      <c r="M739" s="93"/>
      <c r="N739" s="93"/>
      <c r="O739" s="56"/>
      <c r="P739" s="56"/>
      <c r="Q739" s="56"/>
      <c r="R739" s="56"/>
      <c r="S739" s="56"/>
      <c r="T739" s="56"/>
      <c r="U739" s="56"/>
      <c r="V739" s="56"/>
    </row>
    <row r="740" ht="18.75" customHeight="1">
      <c r="A740" s="90"/>
      <c r="B740" s="111" t="s">
        <v>1742</v>
      </c>
      <c r="C740" s="118" t="s">
        <v>1743</v>
      </c>
      <c r="D740" s="52">
        <v>542.0</v>
      </c>
      <c r="E740" s="52">
        <v>586.0</v>
      </c>
      <c r="F740" s="113"/>
      <c r="G740" s="95">
        <f t="shared" si="11"/>
        <v>0.08118081181</v>
      </c>
      <c r="H740" s="114"/>
      <c r="I740" s="120"/>
      <c r="J740" s="115">
        <v>29.0</v>
      </c>
      <c r="K740" s="115">
        <v>116.0</v>
      </c>
      <c r="L740" s="93"/>
      <c r="M740" s="93"/>
      <c r="N740" s="93"/>
      <c r="O740" s="56"/>
      <c r="P740" s="56"/>
      <c r="Q740" s="56"/>
      <c r="R740" s="56"/>
      <c r="S740" s="56"/>
      <c r="T740" s="56"/>
      <c r="U740" s="56"/>
      <c r="V740" s="56"/>
    </row>
    <row r="741" ht="18.75" customHeight="1">
      <c r="A741" s="90"/>
      <c r="B741" s="111" t="s">
        <v>1744</v>
      </c>
      <c r="C741" s="118" t="s">
        <v>1745</v>
      </c>
      <c r="D741" s="52">
        <v>22.44</v>
      </c>
      <c r="E741" s="52">
        <v>24.0</v>
      </c>
      <c r="F741" s="109"/>
      <c r="G741" s="95">
        <f t="shared" si="11"/>
        <v>0.06951871658</v>
      </c>
      <c r="H741" s="122"/>
      <c r="I741" s="115"/>
      <c r="J741" s="115">
        <v>1000.0</v>
      </c>
      <c r="K741" s="115">
        <v>1000.0</v>
      </c>
      <c r="L741" s="93"/>
      <c r="M741" s="93"/>
      <c r="N741" s="93"/>
      <c r="O741" s="56"/>
      <c r="P741" s="56"/>
      <c r="Q741" s="56"/>
      <c r="R741" s="56"/>
      <c r="S741" s="56"/>
      <c r="T741" s="56"/>
      <c r="U741" s="56"/>
      <c r="V741" s="56"/>
    </row>
    <row r="742" ht="18.75" customHeight="1">
      <c r="A742" s="90"/>
      <c r="B742" s="123" t="s">
        <v>1746</v>
      </c>
      <c r="C742" s="124" t="s">
        <v>1747</v>
      </c>
      <c r="D742" s="125">
        <v>28.0</v>
      </c>
      <c r="E742" s="52">
        <v>30.0</v>
      </c>
      <c r="F742" s="109"/>
      <c r="G742" s="95">
        <f t="shared" si="11"/>
        <v>0.07142857143</v>
      </c>
      <c r="H742" s="122"/>
      <c r="I742" s="115"/>
      <c r="J742" s="115">
        <v>1000.0</v>
      </c>
      <c r="K742" s="115">
        <v>1000.0</v>
      </c>
      <c r="L742" s="93"/>
      <c r="M742" s="93"/>
      <c r="N742" s="93"/>
      <c r="O742" s="56"/>
      <c r="P742" s="56"/>
      <c r="Q742" s="56"/>
      <c r="R742" s="56"/>
      <c r="S742" s="56"/>
      <c r="T742" s="56"/>
      <c r="U742" s="56"/>
      <c r="V742" s="56"/>
    </row>
    <row r="743" ht="18.75" customHeight="1">
      <c r="A743" s="90"/>
      <c r="B743" s="149"/>
      <c r="C743" s="150"/>
      <c r="D743" s="151"/>
      <c r="E743" s="109"/>
      <c r="F743" s="110"/>
      <c r="G743" s="95" t="str">
        <f t="shared" si="11"/>
        <v/>
      </c>
      <c r="H743" s="96"/>
      <c r="I743" s="93"/>
      <c r="J743" s="115"/>
      <c r="K743" s="115"/>
      <c r="L743" s="93"/>
      <c r="M743" s="93"/>
      <c r="N743" s="93"/>
      <c r="O743" s="56"/>
      <c r="P743" s="56"/>
      <c r="Q743" s="56"/>
      <c r="R743" s="56"/>
      <c r="S743" s="56"/>
      <c r="T743" s="56"/>
      <c r="U743" s="56"/>
      <c r="V743" s="56"/>
    </row>
    <row r="744" ht="18.75" customHeight="1">
      <c r="A744" s="90"/>
      <c r="B744" s="107" t="s">
        <v>1748</v>
      </c>
      <c r="C744" s="108"/>
      <c r="D744" s="143"/>
      <c r="E744" s="109"/>
      <c r="F744" s="110"/>
      <c r="G744" s="95" t="str">
        <f t="shared" si="11"/>
        <v/>
      </c>
      <c r="H744" s="96"/>
      <c r="I744" s="93"/>
      <c r="J744" s="115"/>
      <c r="K744" s="115"/>
      <c r="L744" s="93"/>
      <c r="M744" s="93"/>
      <c r="N744" s="93"/>
      <c r="O744" s="56"/>
      <c r="P744" s="56"/>
      <c r="Q744" s="56"/>
      <c r="R744" s="56"/>
      <c r="S744" s="56"/>
      <c r="T744" s="56"/>
      <c r="U744" s="56"/>
      <c r="V744" s="56"/>
    </row>
    <row r="745" ht="18.75" customHeight="1">
      <c r="A745" s="90"/>
      <c r="B745" s="111">
        <v>201.0</v>
      </c>
      <c r="C745" s="118" t="s">
        <v>1749</v>
      </c>
      <c r="D745" s="52">
        <v>62.0</v>
      </c>
      <c r="E745" s="52">
        <v>68.0</v>
      </c>
      <c r="F745" s="110"/>
      <c r="G745" s="95">
        <f t="shared" si="11"/>
        <v>0.09677419355</v>
      </c>
      <c r="H745" s="122"/>
      <c r="I745" s="93"/>
      <c r="J745" s="115">
        <v>264.0</v>
      </c>
      <c r="K745" s="115">
        <v>1056.0</v>
      </c>
      <c r="L745" s="93"/>
      <c r="M745" s="93"/>
      <c r="N745" s="93"/>
      <c r="O745" s="56"/>
      <c r="P745" s="56"/>
      <c r="Q745" s="56"/>
      <c r="R745" s="56"/>
      <c r="S745" s="56"/>
      <c r="T745" s="56"/>
      <c r="U745" s="56"/>
      <c r="V745" s="56"/>
    </row>
    <row r="746" ht="18.75" customHeight="1">
      <c r="A746" s="90"/>
      <c r="B746" s="111">
        <v>202.0</v>
      </c>
      <c r="C746" s="118" t="s">
        <v>1750</v>
      </c>
      <c r="D746" s="52">
        <v>68.0</v>
      </c>
      <c r="E746" s="52">
        <v>74.0</v>
      </c>
      <c r="F746" s="110"/>
      <c r="G746" s="95">
        <f t="shared" si="11"/>
        <v>0.08823529412</v>
      </c>
      <c r="H746" s="122"/>
      <c r="I746" s="93"/>
      <c r="J746" s="115">
        <v>192.0</v>
      </c>
      <c r="K746" s="115">
        <v>768.0</v>
      </c>
      <c r="L746" s="93"/>
      <c r="M746" s="93"/>
      <c r="N746" s="93"/>
      <c r="O746" s="56"/>
      <c r="P746" s="56"/>
      <c r="Q746" s="56"/>
      <c r="R746" s="56"/>
      <c r="S746" s="56"/>
      <c r="T746" s="56"/>
      <c r="U746" s="56"/>
      <c r="V746" s="56"/>
    </row>
    <row r="747" ht="18.75" customHeight="1">
      <c r="A747" s="90"/>
      <c r="B747" s="111">
        <v>221.0</v>
      </c>
      <c r="C747" s="118" t="s">
        <v>1751</v>
      </c>
      <c r="D747" s="52">
        <v>94.0</v>
      </c>
      <c r="E747" s="52">
        <v>102.0</v>
      </c>
      <c r="F747" s="110"/>
      <c r="G747" s="95">
        <f t="shared" si="11"/>
        <v>0.08510638298</v>
      </c>
      <c r="H747" s="122"/>
      <c r="I747" s="93"/>
      <c r="J747" s="115">
        <v>600.0</v>
      </c>
      <c r="K747" s="115">
        <v>2400.0</v>
      </c>
      <c r="L747" s="93"/>
      <c r="M747" s="93"/>
      <c r="N747" s="93"/>
      <c r="O747" s="56"/>
      <c r="P747" s="56"/>
      <c r="Q747" s="56"/>
      <c r="R747" s="56"/>
      <c r="S747" s="56"/>
      <c r="T747" s="56"/>
      <c r="U747" s="56"/>
      <c r="V747" s="56"/>
    </row>
    <row r="748" ht="18.75" customHeight="1">
      <c r="A748" s="90"/>
      <c r="B748" s="111">
        <v>222.0</v>
      </c>
      <c r="C748" s="118" t="s">
        <v>1752</v>
      </c>
      <c r="D748" s="52">
        <v>122.0</v>
      </c>
      <c r="E748" s="52">
        <v>132.0</v>
      </c>
      <c r="F748" s="110"/>
      <c r="G748" s="95">
        <f t="shared" si="11"/>
        <v>0.08196721311</v>
      </c>
      <c r="H748" s="122"/>
      <c r="I748" s="93"/>
      <c r="J748" s="115">
        <v>416.0</v>
      </c>
      <c r="K748" s="115">
        <v>1664.0</v>
      </c>
      <c r="L748" s="93"/>
      <c r="M748" s="93"/>
      <c r="N748" s="93"/>
      <c r="O748" s="56"/>
      <c r="P748" s="56"/>
      <c r="Q748" s="56"/>
      <c r="R748" s="56"/>
      <c r="S748" s="56"/>
      <c r="T748" s="56"/>
      <c r="U748" s="56"/>
      <c r="V748" s="56"/>
    </row>
    <row r="749" ht="18.75" customHeight="1">
      <c r="A749" s="90"/>
      <c r="B749" s="111">
        <v>225.0</v>
      </c>
      <c r="C749" s="118" t="s">
        <v>1753</v>
      </c>
      <c r="D749" s="52">
        <v>94.0</v>
      </c>
      <c r="E749" s="52">
        <v>102.0</v>
      </c>
      <c r="F749" s="110"/>
      <c r="G749" s="95">
        <f t="shared" si="11"/>
        <v>0.08510638298</v>
      </c>
      <c r="H749" s="122"/>
      <c r="I749" s="93"/>
      <c r="J749" s="115">
        <v>600.0</v>
      </c>
      <c r="K749" s="115">
        <v>2400.0</v>
      </c>
      <c r="L749" s="93"/>
      <c r="M749" s="93"/>
      <c r="N749" s="93"/>
      <c r="O749" s="56"/>
      <c r="P749" s="56"/>
      <c r="Q749" s="56"/>
      <c r="R749" s="56"/>
      <c r="S749" s="56"/>
      <c r="T749" s="56"/>
      <c r="U749" s="56"/>
      <c r="V749" s="56"/>
    </row>
    <row r="750" ht="18.75" customHeight="1">
      <c r="A750" s="90"/>
      <c r="B750" s="111">
        <v>231.0</v>
      </c>
      <c r="C750" s="118" t="s">
        <v>1754</v>
      </c>
      <c r="D750" s="52">
        <v>97.59360000000001</v>
      </c>
      <c r="E750" s="52">
        <v>106.0</v>
      </c>
      <c r="F750" s="110"/>
      <c r="G750" s="95">
        <f t="shared" si="11"/>
        <v>0.08613679586</v>
      </c>
      <c r="H750" s="122"/>
      <c r="I750" s="93"/>
      <c r="J750" s="115">
        <v>248.0</v>
      </c>
      <c r="K750" s="115">
        <v>992.0</v>
      </c>
      <c r="L750" s="93"/>
      <c r="M750" s="93"/>
      <c r="N750" s="93"/>
      <c r="O750" s="56"/>
      <c r="P750" s="56"/>
      <c r="Q750" s="56"/>
      <c r="R750" s="56"/>
      <c r="S750" s="56"/>
      <c r="T750" s="56"/>
      <c r="U750" s="56"/>
      <c r="V750" s="56"/>
    </row>
    <row r="751" ht="18.75" customHeight="1">
      <c r="A751" s="90"/>
      <c r="B751" s="111">
        <v>232.0</v>
      </c>
      <c r="C751" s="118" t="s">
        <v>1755</v>
      </c>
      <c r="D751" s="52">
        <v>124.44</v>
      </c>
      <c r="E751" s="52">
        <v>134.0</v>
      </c>
      <c r="F751" s="110"/>
      <c r="G751" s="95">
        <f t="shared" si="11"/>
        <v>0.07682417229</v>
      </c>
      <c r="H751" s="122"/>
      <c r="I751" s="93"/>
      <c r="J751" s="115">
        <v>160.0</v>
      </c>
      <c r="K751" s="115">
        <v>640.0</v>
      </c>
      <c r="L751" s="93"/>
      <c r="M751" s="93"/>
      <c r="N751" s="93"/>
      <c r="O751" s="56"/>
      <c r="P751" s="56"/>
      <c r="Q751" s="56"/>
      <c r="R751" s="56"/>
      <c r="S751" s="56"/>
      <c r="T751" s="56"/>
      <c r="U751" s="56"/>
      <c r="V751" s="56"/>
    </row>
    <row r="752" ht="18.75" customHeight="1">
      <c r="A752" s="90"/>
      <c r="B752" s="123">
        <v>233.0</v>
      </c>
      <c r="C752" s="124" t="s">
        <v>1756</v>
      </c>
      <c r="D752" s="125">
        <v>156.0</v>
      </c>
      <c r="E752" s="52">
        <v>168.0</v>
      </c>
      <c r="F752" s="110"/>
      <c r="G752" s="95">
        <f t="shared" si="11"/>
        <v>0.07692307692</v>
      </c>
      <c r="H752" s="122"/>
      <c r="I752" s="93"/>
      <c r="J752" s="115">
        <v>112.0</v>
      </c>
      <c r="K752" s="115">
        <v>448.0</v>
      </c>
      <c r="L752" s="93"/>
      <c r="M752" s="93"/>
      <c r="N752" s="93"/>
      <c r="O752" s="56"/>
      <c r="P752" s="56"/>
      <c r="Q752" s="56"/>
      <c r="R752" s="56"/>
      <c r="S752" s="56"/>
      <c r="T752" s="56"/>
      <c r="U752" s="56"/>
      <c r="V752" s="56"/>
    </row>
    <row r="753" ht="18.75" customHeight="1">
      <c r="A753" s="90"/>
      <c r="B753" s="149"/>
      <c r="C753" s="150"/>
      <c r="D753" s="151"/>
      <c r="E753" s="109"/>
      <c r="F753" s="110"/>
      <c r="G753" s="95" t="str">
        <f t="shared" si="11"/>
        <v/>
      </c>
      <c r="H753" s="96"/>
      <c r="I753" s="93"/>
      <c r="J753" s="115"/>
      <c r="K753" s="115"/>
      <c r="L753" s="93"/>
      <c r="M753" s="93"/>
      <c r="N753" s="93"/>
      <c r="O753" s="56"/>
      <c r="P753" s="56"/>
      <c r="Q753" s="56"/>
      <c r="R753" s="56"/>
      <c r="S753" s="56"/>
      <c r="T753" s="56"/>
      <c r="U753" s="56"/>
      <c r="V753" s="56"/>
    </row>
    <row r="754" ht="18.75" customHeight="1">
      <c r="A754" s="90"/>
      <c r="B754" s="107" t="s">
        <v>1757</v>
      </c>
      <c r="C754" s="108"/>
      <c r="D754" s="143"/>
      <c r="E754" s="109"/>
      <c r="F754" s="110"/>
      <c r="G754" s="95" t="str">
        <f t="shared" si="11"/>
        <v/>
      </c>
      <c r="H754" s="96"/>
      <c r="I754" s="93"/>
      <c r="J754" s="115"/>
      <c r="K754" s="115"/>
      <c r="L754" s="93"/>
      <c r="M754" s="93"/>
      <c r="N754" s="93"/>
      <c r="O754" s="56"/>
      <c r="P754" s="56"/>
      <c r="Q754" s="56"/>
      <c r="R754" s="56"/>
      <c r="S754" s="56"/>
      <c r="T754" s="56"/>
      <c r="U754" s="56"/>
      <c r="V754" s="56"/>
    </row>
    <row r="755" ht="18.75" customHeight="1">
      <c r="A755" s="90"/>
      <c r="B755" s="111">
        <v>331.0</v>
      </c>
      <c r="C755" s="112" t="s">
        <v>1758</v>
      </c>
      <c r="D755" s="137">
        <v>81.6</v>
      </c>
      <c r="E755" s="52">
        <v>88.0</v>
      </c>
      <c r="F755" s="110"/>
      <c r="G755" s="95">
        <f t="shared" si="11"/>
        <v>0.07843137255</v>
      </c>
      <c r="H755" s="122"/>
      <c r="I755" s="93"/>
      <c r="J755" s="115">
        <v>312.0</v>
      </c>
      <c r="K755" s="115">
        <v>1248.0</v>
      </c>
      <c r="L755" s="93"/>
      <c r="M755" s="93"/>
      <c r="N755" s="93"/>
      <c r="O755" s="56"/>
      <c r="P755" s="56"/>
      <c r="Q755" s="56"/>
      <c r="R755" s="56"/>
      <c r="S755" s="56"/>
      <c r="T755" s="56"/>
      <c r="U755" s="56"/>
      <c r="V755" s="56"/>
    </row>
    <row r="756" ht="18.75" customHeight="1">
      <c r="A756" s="90"/>
      <c r="B756" s="111">
        <v>332.0</v>
      </c>
      <c r="C756" s="118" t="s">
        <v>1759</v>
      </c>
      <c r="D756" s="52">
        <v>112.4448</v>
      </c>
      <c r="E756" s="52">
        <v>122.0</v>
      </c>
      <c r="F756" s="110"/>
      <c r="G756" s="95">
        <f t="shared" si="11"/>
        <v>0.0849768064</v>
      </c>
      <c r="H756" s="122"/>
      <c r="I756" s="93"/>
      <c r="J756" s="115">
        <v>204.0</v>
      </c>
      <c r="K756" s="115">
        <v>816.0</v>
      </c>
      <c r="L756" s="93"/>
      <c r="M756" s="93"/>
      <c r="N756" s="93"/>
      <c r="O756" s="56"/>
      <c r="P756" s="56"/>
      <c r="Q756" s="56"/>
      <c r="R756" s="56"/>
      <c r="S756" s="56"/>
      <c r="T756" s="56"/>
      <c r="U756" s="56"/>
      <c r="V756" s="56"/>
    </row>
    <row r="757" ht="18.75" customHeight="1">
      <c r="A757" s="90"/>
      <c r="B757" s="111">
        <v>333.0</v>
      </c>
      <c r="C757" s="118" t="s">
        <v>1760</v>
      </c>
      <c r="D757" s="52">
        <v>152.0</v>
      </c>
      <c r="E757" s="52">
        <v>164.0</v>
      </c>
      <c r="F757" s="110"/>
      <c r="G757" s="95">
        <f t="shared" si="11"/>
        <v>0.07894736842</v>
      </c>
      <c r="H757" s="122"/>
      <c r="I757" s="93"/>
      <c r="J757" s="115">
        <v>84.0</v>
      </c>
      <c r="K757" s="115">
        <v>336.0</v>
      </c>
      <c r="L757" s="93"/>
      <c r="M757" s="93"/>
      <c r="N757" s="93"/>
      <c r="O757" s="56"/>
      <c r="P757" s="56"/>
      <c r="Q757" s="56"/>
      <c r="R757" s="56"/>
      <c r="S757" s="56"/>
      <c r="T757" s="56"/>
      <c r="U757" s="56"/>
      <c r="V757" s="56"/>
    </row>
    <row r="758" ht="18.75" customHeight="1">
      <c r="A758" s="90"/>
      <c r="B758" s="111">
        <v>334.0</v>
      </c>
      <c r="C758" s="118" t="s">
        <v>1761</v>
      </c>
      <c r="D758" s="52">
        <v>208.08</v>
      </c>
      <c r="E758" s="52">
        <v>226.0</v>
      </c>
      <c r="F758" s="110"/>
      <c r="G758" s="95">
        <f t="shared" si="11"/>
        <v>0.0861207228</v>
      </c>
      <c r="H758" s="122"/>
      <c r="I758" s="93"/>
      <c r="J758" s="115">
        <v>104.0</v>
      </c>
      <c r="K758" s="115">
        <v>416.0</v>
      </c>
      <c r="L758" s="93"/>
      <c r="M758" s="120"/>
      <c r="N758" s="120"/>
      <c r="O758" s="242"/>
      <c r="P758" s="242"/>
      <c r="Q758" s="242"/>
      <c r="R758" s="242"/>
      <c r="S758" s="242"/>
      <c r="T758" s="242"/>
      <c r="U758" s="242"/>
      <c r="V758" s="242"/>
    </row>
    <row r="759" ht="18.75" customHeight="1">
      <c r="A759" s="90"/>
      <c r="B759" s="111">
        <v>335.0</v>
      </c>
      <c r="C759" s="118" t="s">
        <v>1762</v>
      </c>
      <c r="D759" s="52">
        <v>272.0</v>
      </c>
      <c r="E759" s="52">
        <v>294.0</v>
      </c>
      <c r="F759" s="110"/>
      <c r="G759" s="95">
        <f t="shared" si="11"/>
        <v>0.08088235294</v>
      </c>
      <c r="H759" s="122"/>
      <c r="I759" s="93"/>
      <c r="J759" s="115">
        <v>64.0</v>
      </c>
      <c r="K759" s="115">
        <v>256.0</v>
      </c>
      <c r="L759" s="93"/>
      <c r="M759" s="243"/>
      <c r="N759" s="109"/>
      <c r="O759" s="109"/>
      <c r="P759" s="109"/>
      <c r="Q759" s="109"/>
      <c r="R759" s="109"/>
      <c r="S759" s="109"/>
      <c r="T759" s="109"/>
      <c r="U759" s="109"/>
      <c r="V759" s="109"/>
    </row>
    <row r="760" ht="18.75" customHeight="1">
      <c r="A760" s="90"/>
      <c r="B760" s="111">
        <v>336.0</v>
      </c>
      <c r="C760" s="118" t="s">
        <v>1763</v>
      </c>
      <c r="D760" s="52">
        <v>352.0</v>
      </c>
      <c r="E760" s="52">
        <v>382.0</v>
      </c>
      <c r="F760" s="110"/>
      <c r="G760" s="95">
        <f t="shared" si="11"/>
        <v>0.08522727273</v>
      </c>
      <c r="H760" s="122"/>
      <c r="I760" s="93"/>
      <c r="J760" s="115">
        <v>30.0</v>
      </c>
      <c r="K760" s="115">
        <v>120.0</v>
      </c>
      <c r="L760" s="93"/>
      <c r="M760" s="93"/>
      <c r="N760" s="93"/>
      <c r="O760" s="56"/>
      <c r="P760" s="56"/>
      <c r="Q760" s="56"/>
      <c r="R760" s="56"/>
      <c r="S760" s="56"/>
      <c r="T760" s="56"/>
      <c r="U760" s="56"/>
      <c r="V760" s="56"/>
    </row>
    <row r="761" ht="18.75" customHeight="1">
      <c r="A761" s="90"/>
      <c r="B761" s="111">
        <v>128.0</v>
      </c>
      <c r="C761" s="118" t="s">
        <v>1764</v>
      </c>
      <c r="D761" s="52">
        <v>61.5264</v>
      </c>
      <c r="E761" s="52">
        <v>66.0</v>
      </c>
      <c r="F761" s="110"/>
      <c r="G761" s="95">
        <f t="shared" si="11"/>
        <v>0.07271025121</v>
      </c>
      <c r="H761" s="122"/>
      <c r="I761" s="93"/>
      <c r="J761" s="115">
        <v>320.0</v>
      </c>
      <c r="K761" s="115">
        <v>1280.0</v>
      </c>
      <c r="L761" s="93"/>
      <c r="M761" s="93"/>
      <c r="N761" s="93"/>
      <c r="O761" s="56"/>
      <c r="P761" s="56"/>
      <c r="Q761" s="56"/>
      <c r="R761" s="56"/>
      <c r="S761" s="56"/>
      <c r="T761" s="56"/>
      <c r="U761" s="56"/>
      <c r="V761" s="56"/>
    </row>
    <row r="762" ht="18.75" customHeight="1">
      <c r="A762" s="90"/>
      <c r="B762" s="111">
        <v>337.0</v>
      </c>
      <c r="C762" s="118" t="s">
        <v>1765</v>
      </c>
      <c r="D762" s="52">
        <v>58.0</v>
      </c>
      <c r="E762" s="52">
        <v>62.0</v>
      </c>
      <c r="F762" s="110"/>
      <c r="G762" s="95">
        <f t="shared" si="11"/>
        <v>0.06896551724</v>
      </c>
      <c r="H762" s="122"/>
      <c r="I762" s="93"/>
      <c r="J762" s="115">
        <v>800.0</v>
      </c>
      <c r="K762" s="115">
        <v>3200.0</v>
      </c>
      <c r="L762" s="93"/>
      <c r="M762" s="93"/>
      <c r="N762" s="93"/>
      <c r="O762" s="56"/>
      <c r="P762" s="56"/>
      <c r="Q762" s="56"/>
      <c r="R762" s="56"/>
      <c r="S762" s="56"/>
      <c r="T762" s="56"/>
      <c r="U762" s="56"/>
      <c r="V762" s="56"/>
    </row>
    <row r="763" ht="18.75" customHeight="1">
      <c r="A763" s="90"/>
      <c r="B763" s="123" t="s">
        <v>1766</v>
      </c>
      <c r="C763" s="124" t="s">
        <v>1767</v>
      </c>
      <c r="D763" s="125">
        <v>9.4</v>
      </c>
      <c r="E763" s="244">
        <v>10.5</v>
      </c>
      <c r="F763" s="110"/>
      <c r="G763" s="95">
        <f t="shared" si="11"/>
        <v>0.1170212766</v>
      </c>
      <c r="H763" s="122"/>
      <c r="I763" s="93"/>
      <c r="J763" s="115">
        <v>550.0</v>
      </c>
      <c r="K763" s="115">
        <v>2200.0</v>
      </c>
      <c r="L763" s="93"/>
      <c r="M763" s="93"/>
      <c r="N763" s="93"/>
      <c r="O763" s="56"/>
      <c r="P763" s="56"/>
      <c r="Q763" s="56"/>
      <c r="R763" s="56"/>
      <c r="S763" s="56"/>
      <c r="T763" s="56"/>
      <c r="U763" s="56"/>
      <c r="V763" s="56"/>
    </row>
    <row r="764" ht="18.75" customHeight="1">
      <c r="A764" s="90"/>
      <c r="B764" s="149"/>
      <c r="C764" s="150"/>
      <c r="D764" s="151"/>
      <c r="E764" s="109"/>
      <c r="F764" s="110"/>
      <c r="G764" s="95" t="str">
        <f t="shared" si="11"/>
        <v/>
      </c>
      <c r="H764" s="96"/>
      <c r="I764" s="93"/>
      <c r="J764" s="115"/>
      <c r="K764" s="115"/>
      <c r="L764" s="93"/>
      <c r="M764" s="93"/>
      <c r="N764" s="93"/>
      <c r="O764" s="56"/>
      <c r="P764" s="56"/>
      <c r="Q764" s="56"/>
      <c r="R764" s="56"/>
      <c r="S764" s="56"/>
      <c r="T764" s="56"/>
      <c r="U764" s="56"/>
      <c r="V764" s="56"/>
    </row>
    <row r="765" ht="18.75" customHeight="1">
      <c r="A765" s="90"/>
      <c r="B765" s="107" t="s">
        <v>1768</v>
      </c>
      <c r="C765" s="129"/>
      <c r="D765" s="132"/>
      <c r="E765" s="109"/>
      <c r="F765" s="110"/>
      <c r="G765" s="95" t="str">
        <f t="shared" si="11"/>
        <v/>
      </c>
      <c r="H765" s="96"/>
      <c r="I765" s="93"/>
      <c r="J765" s="115"/>
      <c r="K765" s="115"/>
      <c r="L765" s="93"/>
      <c r="M765" s="93"/>
      <c r="N765" s="93"/>
      <c r="O765" s="56"/>
      <c r="P765" s="56"/>
      <c r="Q765" s="56"/>
      <c r="R765" s="56"/>
      <c r="S765" s="56"/>
      <c r="T765" s="56"/>
      <c r="U765" s="56"/>
      <c r="V765" s="56"/>
    </row>
    <row r="766" ht="18.75" customHeight="1">
      <c r="A766" s="90"/>
      <c r="B766" s="245" t="s">
        <v>1769</v>
      </c>
      <c r="C766" s="118" t="s">
        <v>1770</v>
      </c>
      <c r="D766" s="52">
        <v>1368.0</v>
      </c>
      <c r="E766" s="52">
        <v>1460.0</v>
      </c>
      <c r="F766" s="110"/>
      <c r="G766" s="95">
        <f t="shared" si="11"/>
        <v>0.06725146199</v>
      </c>
      <c r="H766" s="133"/>
      <c r="I766" s="134">
        <v>20.0</v>
      </c>
      <c r="J766" s="120">
        <v>24.0</v>
      </c>
      <c r="K766" s="134">
        <v>48.0</v>
      </c>
      <c r="L766" s="93"/>
      <c r="M766" s="93"/>
      <c r="N766" s="93"/>
      <c r="O766" s="56"/>
      <c r="P766" s="56"/>
      <c r="Q766" s="56"/>
      <c r="R766" s="56"/>
      <c r="S766" s="56"/>
      <c r="T766" s="56"/>
      <c r="U766" s="56"/>
      <c r="V766" s="56"/>
    </row>
    <row r="767" ht="18.75" customHeight="1">
      <c r="A767" s="90"/>
      <c r="B767" s="245" t="s">
        <v>1771</v>
      </c>
      <c r="C767" s="118" t="s">
        <v>1772</v>
      </c>
      <c r="D767" s="52">
        <v>1572.0</v>
      </c>
      <c r="E767" s="52">
        <v>1690.0</v>
      </c>
      <c r="F767" s="110"/>
      <c r="G767" s="95">
        <f t="shared" si="11"/>
        <v>0.07506361323</v>
      </c>
      <c r="H767" s="133"/>
      <c r="I767" s="134">
        <v>20.0</v>
      </c>
      <c r="J767" s="120">
        <v>24.0</v>
      </c>
      <c r="K767" s="134">
        <v>48.0</v>
      </c>
      <c r="L767" s="93"/>
      <c r="M767" s="93"/>
      <c r="N767" s="93"/>
      <c r="O767" s="56"/>
      <c r="P767" s="56"/>
      <c r="Q767" s="56"/>
      <c r="R767" s="56"/>
      <c r="S767" s="56"/>
      <c r="T767" s="56"/>
      <c r="U767" s="56"/>
      <c r="V767" s="56"/>
    </row>
    <row r="768" ht="18.75" customHeight="1">
      <c r="A768" s="90"/>
      <c r="B768" s="245" t="s">
        <v>1773</v>
      </c>
      <c r="C768" s="118" t="s">
        <v>1774</v>
      </c>
      <c r="D768" s="52">
        <v>1776.0</v>
      </c>
      <c r="E768" s="52">
        <v>1890.0</v>
      </c>
      <c r="F768" s="110"/>
      <c r="G768" s="95">
        <f t="shared" si="11"/>
        <v>0.06418918919</v>
      </c>
      <c r="H768" s="133"/>
      <c r="I768" s="134">
        <v>30.0</v>
      </c>
      <c r="J768" s="120">
        <v>6.0</v>
      </c>
      <c r="K768" s="134">
        <v>24.0</v>
      </c>
      <c r="L768" s="93"/>
      <c r="M768" s="93"/>
      <c r="N768" s="93"/>
      <c r="O768" s="56"/>
      <c r="P768" s="56"/>
      <c r="Q768" s="56"/>
      <c r="R768" s="56"/>
      <c r="S768" s="56"/>
      <c r="T768" s="56"/>
      <c r="U768" s="56"/>
      <c r="V768" s="56"/>
    </row>
    <row r="769" ht="18.75" customHeight="1">
      <c r="A769" s="90"/>
      <c r="B769" s="245" t="s">
        <v>1775</v>
      </c>
      <c r="C769" s="118" t="s">
        <v>1776</v>
      </c>
      <c r="D769" s="52">
        <v>1917.6</v>
      </c>
      <c r="E769" s="52">
        <v>2060.0</v>
      </c>
      <c r="F769" s="110"/>
      <c r="G769" s="95">
        <f t="shared" si="11"/>
        <v>0.07425949103</v>
      </c>
      <c r="H769" s="133"/>
      <c r="I769" s="134">
        <v>30.0</v>
      </c>
      <c r="J769" s="120">
        <v>6.0</v>
      </c>
      <c r="K769" s="134">
        <v>24.0</v>
      </c>
      <c r="L769" s="93"/>
      <c r="M769" s="93"/>
      <c r="N769" s="93"/>
      <c r="O769" s="56"/>
      <c r="P769" s="56"/>
      <c r="Q769" s="56"/>
      <c r="R769" s="56"/>
      <c r="S769" s="56"/>
      <c r="T769" s="56"/>
      <c r="U769" s="56"/>
      <c r="V769" s="56"/>
    </row>
    <row r="770" ht="18.75" customHeight="1">
      <c r="A770" s="90"/>
      <c r="B770" s="245" t="s">
        <v>1777</v>
      </c>
      <c r="C770" s="118" t="s">
        <v>1778</v>
      </c>
      <c r="D770" s="52">
        <v>2532.0</v>
      </c>
      <c r="E770" s="52">
        <v>2660.0</v>
      </c>
      <c r="F770" s="110"/>
      <c r="G770" s="95">
        <f t="shared" si="11"/>
        <v>0.05055292259</v>
      </c>
      <c r="H770" s="133"/>
      <c r="I770" s="134">
        <v>50.0</v>
      </c>
      <c r="J770" s="120">
        <v>4.0</v>
      </c>
      <c r="K770" s="134">
        <v>16.0</v>
      </c>
      <c r="L770" s="93"/>
      <c r="M770" s="93"/>
      <c r="N770" s="93"/>
      <c r="O770" s="56"/>
      <c r="P770" s="56"/>
      <c r="Q770" s="56"/>
      <c r="R770" s="56"/>
      <c r="S770" s="56"/>
      <c r="T770" s="56"/>
      <c r="U770" s="56"/>
      <c r="V770" s="56"/>
    </row>
    <row r="771" ht="18.75" customHeight="1">
      <c r="A771" s="90"/>
      <c r="B771" s="135" t="s">
        <v>1779</v>
      </c>
      <c r="C771" s="118" t="s">
        <v>1780</v>
      </c>
      <c r="D771" s="52">
        <v>3039.6</v>
      </c>
      <c r="E771" s="52">
        <v>3280.0</v>
      </c>
      <c r="F771" s="110"/>
      <c r="G771" s="95">
        <f t="shared" si="11"/>
        <v>0.07908935386</v>
      </c>
      <c r="H771" s="133"/>
      <c r="I771" s="134">
        <v>50.0</v>
      </c>
      <c r="J771" s="115">
        <v>4.0</v>
      </c>
      <c r="K771" s="115">
        <v>16.0</v>
      </c>
      <c r="L771" s="93"/>
      <c r="M771" s="93"/>
      <c r="N771" s="93"/>
      <c r="O771" s="56"/>
      <c r="P771" s="56"/>
      <c r="Q771" s="56"/>
      <c r="R771" s="56"/>
      <c r="S771" s="56"/>
      <c r="T771" s="56"/>
      <c r="U771" s="56"/>
      <c r="V771" s="56"/>
    </row>
    <row r="772" ht="18.75" customHeight="1">
      <c r="A772" s="90"/>
      <c r="B772" s="135" t="s">
        <v>1781</v>
      </c>
      <c r="C772" s="118" t="s">
        <v>1782</v>
      </c>
      <c r="D772" s="52">
        <v>1062.0</v>
      </c>
      <c r="E772" s="52">
        <v>1140.0</v>
      </c>
      <c r="F772" s="110"/>
      <c r="G772" s="95">
        <f t="shared" si="11"/>
        <v>0.07344632768</v>
      </c>
      <c r="H772" s="133"/>
      <c r="I772" s="93"/>
      <c r="J772" s="115">
        <v>24.0</v>
      </c>
      <c r="K772" s="115">
        <v>48.0</v>
      </c>
      <c r="L772" s="93"/>
      <c r="M772" s="93"/>
      <c r="N772" s="93"/>
      <c r="O772" s="56"/>
      <c r="P772" s="56"/>
      <c r="Q772" s="56"/>
      <c r="R772" s="56"/>
      <c r="S772" s="56"/>
      <c r="T772" s="56"/>
      <c r="U772" s="56"/>
      <c r="V772" s="56"/>
    </row>
    <row r="773" ht="18.75" customHeight="1">
      <c r="A773" s="90"/>
      <c r="B773" s="91"/>
      <c r="C773" s="129"/>
      <c r="D773" s="132"/>
      <c r="E773" s="109"/>
      <c r="F773" s="110"/>
      <c r="G773" s="95" t="str">
        <f t="shared" si="11"/>
        <v/>
      </c>
      <c r="H773" s="96"/>
      <c r="I773" s="93"/>
      <c r="J773" s="115"/>
      <c r="K773" s="115"/>
      <c r="L773" s="93"/>
      <c r="M773" s="93"/>
      <c r="N773" s="93"/>
      <c r="O773" s="56"/>
      <c r="P773" s="56"/>
      <c r="Q773" s="56"/>
      <c r="R773" s="56"/>
      <c r="S773" s="56"/>
      <c r="T773" s="56"/>
      <c r="U773" s="56"/>
      <c r="V773" s="56"/>
    </row>
    <row r="774" ht="18.75" customHeight="1">
      <c r="A774" s="90"/>
      <c r="B774" s="107" t="s">
        <v>1783</v>
      </c>
      <c r="C774" s="108"/>
      <c r="D774" s="109"/>
      <c r="E774" s="109"/>
      <c r="F774" s="110"/>
      <c r="G774" s="95" t="str">
        <f t="shared" si="11"/>
        <v/>
      </c>
      <c r="H774" s="96"/>
      <c r="I774" s="93"/>
      <c r="J774" s="115"/>
      <c r="K774" s="115"/>
      <c r="L774" s="93"/>
      <c r="M774" s="93"/>
      <c r="N774" s="93"/>
      <c r="O774" s="56"/>
      <c r="P774" s="56"/>
      <c r="Q774" s="56"/>
      <c r="R774" s="56"/>
      <c r="S774" s="56"/>
      <c r="T774" s="56"/>
      <c r="U774" s="56"/>
      <c r="V774" s="56"/>
    </row>
    <row r="775" ht="18.75" customHeight="1">
      <c r="A775" s="90"/>
      <c r="B775" s="111">
        <v>551.0</v>
      </c>
      <c r="C775" s="112" t="s">
        <v>1784</v>
      </c>
      <c r="D775" s="52">
        <v>3060.0</v>
      </c>
      <c r="E775" s="52">
        <v>3280.0</v>
      </c>
      <c r="F775" s="110"/>
      <c r="G775" s="95">
        <f t="shared" si="11"/>
        <v>0.07189542484</v>
      </c>
      <c r="H775" s="122"/>
      <c r="I775" s="93"/>
      <c r="J775" s="115">
        <v>6.0</v>
      </c>
      <c r="K775" s="115">
        <v>6.0</v>
      </c>
      <c r="L775" s="93"/>
      <c r="M775" s="93"/>
      <c r="N775" s="93"/>
      <c r="O775" s="56"/>
      <c r="P775" s="56"/>
      <c r="Q775" s="56"/>
      <c r="R775" s="56"/>
      <c r="S775" s="56"/>
      <c r="T775" s="56"/>
      <c r="U775" s="56"/>
      <c r="V775" s="56"/>
    </row>
    <row r="776" ht="18.75" customHeight="1">
      <c r="A776" s="90"/>
      <c r="B776" s="111" t="s">
        <v>1785</v>
      </c>
      <c r="C776" s="118" t="s">
        <v>1786</v>
      </c>
      <c r="D776" s="52">
        <v>2740.0</v>
      </c>
      <c r="E776" s="52">
        <v>2960.0</v>
      </c>
      <c r="F776" s="110"/>
      <c r="G776" s="95">
        <f t="shared" si="11"/>
        <v>0.0802919708</v>
      </c>
      <c r="H776" s="122"/>
      <c r="I776" s="93"/>
      <c r="J776" s="115">
        <v>6.0</v>
      </c>
      <c r="K776" s="115">
        <v>6.0</v>
      </c>
      <c r="L776" s="93"/>
      <c r="M776" s="93"/>
      <c r="N776" s="93"/>
      <c r="O776" s="56"/>
      <c r="P776" s="56"/>
      <c r="Q776" s="56"/>
      <c r="R776" s="56"/>
      <c r="S776" s="56"/>
      <c r="T776" s="56"/>
      <c r="U776" s="56"/>
      <c r="V776" s="56"/>
    </row>
    <row r="777" ht="18.75" customHeight="1">
      <c r="A777" s="90"/>
      <c r="B777" s="111">
        <v>553.0</v>
      </c>
      <c r="C777" s="118" t="s">
        <v>1787</v>
      </c>
      <c r="D777" s="52">
        <v>2310.0</v>
      </c>
      <c r="E777" s="52">
        <v>2490.0</v>
      </c>
      <c r="F777" s="110"/>
      <c r="G777" s="95">
        <f t="shared" si="11"/>
        <v>0.07792207792</v>
      </c>
      <c r="H777" s="122"/>
      <c r="I777" s="93"/>
      <c r="J777" s="115">
        <v>5.0</v>
      </c>
      <c r="K777" s="115">
        <v>5.0</v>
      </c>
      <c r="L777" s="93"/>
      <c r="M777" s="93"/>
      <c r="N777" s="93"/>
      <c r="O777" s="56"/>
      <c r="P777" s="56"/>
      <c r="Q777" s="56"/>
      <c r="R777" s="56"/>
      <c r="S777" s="56"/>
      <c r="T777" s="56"/>
      <c r="U777" s="56"/>
      <c r="V777" s="56"/>
    </row>
    <row r="778" ht="18.75" customHeight="1">
      <c r="A778" s="90"/>
      <c r="B778" s="111" t="s">
        <v>1788</v>
      </c>
      <c r="C778" s="118" t="s">
        <v>1789</v>
      </c>
      <c r="D778" s="52">
        <v>1670.0</v>
      </c>
      <c r="E778" s="52">
        <v>1790.0</v>
      </c>
      <c r="F778" s="110"/>
      <c r="G778" s="95">
        <f t="shared" si="11"/>
        <v>0.07185628743</v>
      </c>
      <c r="H778" s="122"/>
      <c r="I778" s="93"/>
      <c r="J778" s="115">
        <v>5.0</v>
      </c>
      <c r="K778" s="115">
        <v>5.0</v>
      </c>
      <c r="L778" s="93"/>
      <c r="M778" s="93"/>
      <c r="N778" s="93"/>
      <c r="O778" s="56"/>
      <c r="P778" s="56"/>
      <c r="Q778" s="56"/>
      <c r="R778" s="56"/>
      <c r="S778" s="56"/>
      <c r="T778" s="56"/>
      <c r="U778" s="56"/>
      <c r="V778" s="56"/>
    </row>
    <row r="779" ht="18.75" customHeight="1">
      <c r="A779" s="90"/>
      <c r="B779" s="111">
        <v>554.0</v>
      </c>
      <c r="C779" s="118" t="s">
        <v>1790</v>
      </c>
      <c r="D779" s="52">
        <v>3860.0</v>
      </c>
      <c r="E779" s="52">
        <v>4160.0</v>
      </c>
      <c r="F779" s="110"/>
      <c r="G779" s="95">
        <f t="shared" si="11"/>
        <v>0.07772020725</v>
      </c>
      <c r="H779" s="122"/>
      <c r="I779" s="93"/>
      <c r="J779" s="115">
        <v>4.0</v>
      </c>
      <c r="K779" s="115">
        <v>4.0</v>
      </c>
      <c r="L779" s="93"/>
      <c r="M779" s="93"/>
      <c r="N779" s="93"/>
      <c r="O779" s="56"/>
      <c r="P779" s="56"/>
      <c r="Q779" s="56"/>
      <c r="R779" s="56"/>
      <c r="S779" s="56"/>
      <c r="T779" s="56"/>
      <c r="U779" s="56"/>
      <c r="V779" s="56"/>
    </row>
    <row r="780" ht="18.75" customHeight="1">
      <c r="A780" s="90"/>
      <c r="B780" s="111">
        <v>555.0</v>
      </c>
      <c r="C780" s="118" t="s">
        <v>1791</v>
      </c>
      <c r="D780" s="52">
        <v>4670.0</v>
      </c>
      <c r="E780" s="52">
        <v>4980.0</v>
      </c>
      <c r="F780" s="110"/>
      <c r="G780" s="95">
        <f t="shared" si="11"/>
        <v>0.06638115632</v>
      </c>
      <c r="H780" s="122"/>
      <c r="I780" s="93"/>
      <c r="J780" s="115">
        <v>3.0</v>
      </c>
      <c r="K780" s="115">
        <v>3.0</v>
      </c>
      <c r="L780" s="93"/>
      <c r="M780" s="93"/>
      <c r="N780" s="93"/>
      <c r="O780" s="56"/>
      <c r="P780" s="56"/>
      <c r="Q780" s="56"/>
      <c r="R780" s="56"/>
      <c r="S780" s="56"/>
      <c r="T780" s="56"/>
      <c r="U780" s="56"/>
      <c r="V780" s="56"/>
    </row>
    <row r="781" ht="18.75" customHeight="1">
      <c r="A781" s="90"/>
      <c r="B781" s="111" t="s">
        <v>1792</v>
      </c>
      <c r="C781" s="118" t="s">
        <v>1793</v>
      </c>
      <c r="D781" s="52">
        <v>3920.0</v>
      </c>
      <c r="E781" s="52">
        <v>4240.0</v>
      </c>
      <c r="F781" s="110"/>
      <c r="G781" s="95">
        <f t="shared" si="11"/>
        <v>0.08163265306</v>
      </c>
      <c r="H781" s="122"/>
      <c r="I781" s="93"/>
      <c r="J781" s="115">
        <v>3.0</v>
      </c>
      <c r="K781" s="115">
        <v>3.0</v>
      </c>
      <c r="L781" s="93"/>
      <c r="M781" s="93"/>
      <c r="N781" s="93"/>
      <c r="O781" s="56"/>
      <c r="P781" s="56"/>
      <c r="Q781" s="56"/>
      <c r="R781" s="56"/>
      <c r="S781" s="56"/>
      <c r="T781" s="56"/>
      <c r="U781" s="56"/>
      <c r="V781" s="56"/>
    </row>
    <row r="782" ht="18.75" customHeight="1">
      <c r="A782" s="90"/>
      <c r="B782" s="111">
        <v>556.0</v>
      </c>
      <c r="C782" s="118" t="s">
        <v>1794</v>
      </c>
      <c r="D782" s="52">
        <v>3460.0</v>
      </c>
      <c r="E782" s="52">
        <v>3740.0</v>
      </c>
      <c r="F782" s="110"/>
      <c r="G782" s="95">
        <f t="shared" si="11"/>
        <v>0.08092485549</v>
      </c>
      <c r="H782" s="122"/>
      <c r="I782" s="93"/>
      <c r="J782" s="115">
        <v>4.0</v>
      </c>
      <c r="K782" s="115">
        <v>4.0</v>
      </c>
      <c r="L782" s="93"/>
      <c r="M782" s="93"/>
      <c r="N782" s="93"/>
      <c r="O782" s="56"/>
      <c r="P782" s="56"/>
      <c r="Q782" s="56"/>
      <c r="R782" s="56"/>
      <c r="S782" s="56"/>
      <c r="T782" s="56"/>
      <c r="U782" s="56"/>
      <c r="V782" s="56"/>
    </row>
    <row r="783" ht="18.75" customHeight="1">
      <c r="A783" s="90"/>
      <c r="B783" s="111">
        <v>557.0</v>
      </c>
      <c r="C783" s="118" t="s">
        <v>1795</v>
      </c>
      <c r="D783" s="52">
        <v>3360.0</v>
      </c>
      <c r="E783" s="52">
        <v>3620.0</v>
      </c>
      <c r="F783" s="110"/>
      <c r="G783" s="95">
        <f t="shared" si="11"/>
        <v>0.07738095238</v>
      </c>
      <c r="H783" s="122"/>
      <c r="I783" s="93"/>
      <c r="J783" s="115">
        <v>4.0</v>
      </c>
      <c r="K783" s="115">
        <v>4.0</v>
      </c>
      <c r="L783" s="93"/>
      <c r="M783" s="93"/>
      <c r="N783" s="93"/>
      <c r="O783" s="56"/>
      <c r="P783" s="56"/>
      <c r="Q783" s="56"/>
      <c r="R783" s="56"/>
      <c r="S783" s="56"/>
      <c r="T783" s="56"/>
      <c r="U783" s="56"/>
      <c r="V783" s="56"/>
    </row>
    <row r="784" ht="18.75" customHeight="1">
      <c r="A784" s="90"/>
      <c r="B784" s="111" t="s">
        <v>1796</v>
      </c>
      <c r="C784" s="118" t="s">
        <v>1797</v>
      </c>
      <c r="D784" s="52">
        <v>3049.8</v>
      </c>
      <c r="E784" s="52">
        <v>3280.0</v>
      </c>
      <c r="F784" s="110"/>
      <c r="G784" s="95">
        <f t="shared" si="11"/>
        <v>0.07548035937</v>
      </c>
      <c r="H784" s="122"/>
      <c r="I784" s="93"/>
      <c r="J784" s="115">
        <v>4.0</v>
      </c>
      <c r="K784" s="115">
        <v>4.0</v>
      </c>
      <c r="L784" s="93"/>
      <c r="M784" s="93"/>
      <c r="N784" s="93"/>
      <c r="O784" s="56"/>
      <c r="P784" s="56"/>
      <c r="Q784" s="56"/>
      <c r="R784" s="56"/>
      <c r="S784" s="56"/>
      <c r="T784" s="56"/>
      <c r="U784" s="56"/>
      <c r="V784" s="56"/>
    </row>
    <row r="785" ht="18.75" customHeight="1">
      <c r="A785" s="90"/>
      <c r="B785" s="111">
        <v>661.0</v>
      </c>
      <c r="C785" s="118" t="s">
        <v>1798</v>
      </c>
      <c r="D785" s="52">
        <v>1420.0</v>
      </c>
      <c r="E785" s="52">
        <v>1540.0</v>
      </c>
      <c r="F785" s="110"/>
      <c r="G785" s="95">
        <f t="shared" si="11"/>
        <v>0.08450704225</v>
      </c>
      <c r="H785" s="122"/>
      <c r="I785" s="93"/>
      <c r="J785" s="115">
        <v>4.0</v>
      </c>
      <c r="K785" s="115">
        <v>4.0</v>
      </c>
      <c r="L785" s="93"/>
      <c r="M785" s="93"/>
      <c r="N785" s="93"/>
      <c r="O785" s="56"/>
      <c r="P785" s="56"/>
      <c r="Q785" s="56"/>
      <c r="R785" s="56"/>
      <c r="S785" s="56"/>
      <c r="T785" s="56"/>
      <c r="U785" s="56"/>
      <c r="V785" s="56"/>
    </row>
    <row r="786" ht="18.75" customHeight="1">
      <c r="A786" s="90"/>
      <c r="B786" s="111">
        <v>662.0</v>
      </c>
      <c r="C786" s="118" t="s">
        <v>1799</v>
      </c>
      <c r="D786" s="52">
        <v>1140.0</v>
      </c>
      <c r="E786" s="52">
        <v>1230.0</v>
      </c>
      <c r="F786" s="110"/>
      <c r="G786" s="95">
        <f t="shared" si="11"/>
        <v>0.07894736842</v>
      </c>
      <c r="H786" s="122"/>
      <c r="I786" s="93"/>
      <c r="J786" s="115">
        <v>4.0</v>
      </c>
      <c r="K786" s="115">
        <v>4.0</v>
      </c>
      <c r="L786" s="93"/>
      <c r="M786" s="93"/>
      <c r="N786" s="93"/>
      <c r="O786" s="56"/>
      <c r="P786" s="56"/>
      <c r="Q786" s="56"/>
      <c r="R786" s="56"/>
      <c r="S786" s="56"/>
      <c r="T786" s="56"/>
      <c r="U786" s="56"/>
      <c r="V786" s="56"/>
    </row>
    <row r="787" ht="18.75" customHeight="1">
      <c r="A787" s="90"/>
      <c r="B787" s="111">
        <v>663.0</v>
      </c>
      <c r="C787" s="118" t="s">
        <v>1800</v>
      </c>
      <c r="D787" s="52">
        <v>830.0</v>
      </c>
      <c r="E787" s="52">
        <v>890.0</v>
      </c>
      <c r="F787" s="110"/>
      <c r="G787" s="95">
        <f t="shared" si="11"/>
        <v>0.07228915663</v>
      </c>
      <c r="H787" s="122"/>
      <c r="I787" s="93"/>
      <c r="J787" s="115">
        <v>8.0</v>
      </c>
      <c r="K787" s="115">
        <v>8.0</v>
      </c>
      <c r="L787" s="93"/>
      <c r="M787" s="93"/>
      <c r="N787" s="93"/>
      <c r="O787" s="56"/>
      <c r="P787" s="56"/>
      <c r="Q787" s="56"/>
      <c r="R787" s="56"/>
      <c r="S787" s="56"/>
      <c r="T787" s="56"/>
      <c r="U787" s="56"/>
      <c r="V787" s="56"/>
    </row>
    <row r="788" ht="18.75" customHeight="1">
      <c r="A788" s="90"/>
      <c r="B788" s="111" t="s">
        <v>1801</v>
      </c>
      <c r="C788" s="118" t="s">
        <v>1802</v>
      </c>
      <c r="D788" s="52">
        <v>1100.0</v>
      </c>
      <c r="E788" s="52">
        <v>1180.0</v>
      </c>
      <c r="F788" s="110"/>
      <c r="G788" s="95">
        <f t="shared" si="11"/>
        <v>0.07272727273</v>
      </c>
      <c r="H788" s="122"/>
      <c r="I788" s="93"/>
      <c r="J788" s="115">
        <v>8.0</v>
      </c>
      <c r="K788" s="115">
        <v>8.0</v>
      </c>
      <c r="L788" s="93"/>
      <c r="M788" s="93"/>
      <c r="N788" s="93"/>
      <c r="O788" s="56"/>
      <c r="P788" s="56"/>
      <c r="Q788" s="56"/>
      <c r="R788" s="56"/>
      <c r="S788" s="56"/>
      <c r="T788" s="56"/>
      <c r="U788" s="56"/>
      <c r="V788" s="56"/>
    </row>
    <row r="789" ht="18.75" customHeight="1">
      <c r="A789" s="90"/>
      <c r="B789" s="111">
        <v>665.0</v>
      </c>
      <c r="C789" s="118" t="s">
        <v>1803</v>
      </c>
      <c r="D789" s="52">
        <v>1560.0</v>
      </c>
      <c r="E789" s="52">
        <v>1680.0</v>
      </c>
      <c r="F789" s="110"/>
      <c r="G789" s="95">
        <f t="shared" si="11"/>
        <v>0.07692307692</v>
      </c>
      <c r="H789" s="122"/>
      <c r="I789" s="93"/>
      <c r="J789" s="115">
        <v>3.0</v>
      </c>
      <c r="K789" s="115">
        <v>3.0</v>
      </c>
      <c r="L789" s="93"/>
      <c r="M789" s="93"/>
      <c r="N789" s="93"/>
      <c r="O789" s="56"/>
      <c r="P789" s="56"/>
      <c r="Q789" s="56"/>
      <c r="R789" s="56"/>
      <c r="S789" s="56"/>
      <c r="T789" s="56"/>
      <c r="U789" s="56"/>
      <c r="V789" s="56"/>
    </row>
    <row r="790" ht="18.75" customHeight="1">
      <c r="A790" s="90"/>
      <c r="B790" s="111">
        <v>666.0</v>
      </c>
      <c r="C790" s="118" t="s">
        <v>1804</v>
      </c>
      <c r="D790" s="52">
        <v>1850.0</v>
      </c>
      <c r="E790" s="52">
        <v>1980.0</v>
      </c>
      <c r="F790" s="110"/>
      <c r="G790" s="95">
        <f t="shared" si="11"/>
        <v>0.07027027027</v>
      </c>
      <c r="H790" s="122"/>
      <c r="I790" s="93"/>
      <c r="J790" s="115">
        <v>3.0</v>
      </c>
      <c r="K790" s="115">
        <v>3.0</v>
      </c>
      <c r="L790" s="93"/>
      <c r="M790" s="93"/>
      <c r="N790" s="93"/>
      <c r="O790" s="56"/>
      <c r="P790" s="56"/>
      <c r="Q790" s="56"/>
      <c r="R790" s="56"/>
      <c r="S790" s="56"/>
      <c r="T790" s="56"/>
      <c r="U790" s="56"/>
      <c r="V790" s="56"/>
    </row>
    <row r="791" ht="18.75" customHeight="1">
      <c r="A791" s="90"/>
      <c r="B791" s="123">
        <v>667.0</v>
      </c>
      <c r="C791" s="124" t="s">
        <v>1805</v>
      </c>
      <c r="D791" s="125">
        <v>2110.0</v>
      </c>
      <c r="E791" s="52">
        <v>2270.0</v>
      </c>
      <c r="F791" s="110"/>
      <c r="G791" s="95">
        <f t="shared" si="11"/>
        <v>0.07582938389</v>
      </c>
      <c r="H791" s="122"/>
      <c r="I791" s="93"/>
      <c r="J791" s="115">
        <v>6.0</v>
      </c>
      <c r="K791" s="115">
        <v>6.0</v>
      </c>
      <c r="L791" s="93"/>
      <c r="M791" s="93"/>
      <c r="N791" s="93"/>
      <c r="O791" s="56"/>
      <c r="P791" s="56"/>
      <c r="Q791" s="56"/>
      <c r="R791" s="56"/>
      <c r="S791" s="56"/>
      <c r="T791" s="56"/>
      <c r="U791" s="56"/>
      <c r="V791" s="56"/>
    </row>
    <row r="792" ht="18.75" customHeight="1">
      <c r="A792" s="90"/>
      <c r="B792" s="111" t="s">
        <v>1536</v>
      </c>
      <c r="C792" s="118" t="s">
        <v>1537</v>
      </c>
      <c r="D792" s="238">
        <v>1920.0</v>
      </c>
      <c r="E792" s="52">
        <v>2080.0</v>
      </c>
      <c r="F792" s="110"/>
      <c r="G792" s="95">
        <f t="shared" si="11"/>
        <v>0.08333333333</v>
      </c>
      <c r="H792" s="122"/>
      <c r="I792" s="93"/>
      <c r="J792" s="115"/>
      <c r="K792" s="115"/>
      <c r="L792" s="93"/>
      <c r="M792" s="93"/>
      <c r="N792" s="93"/>
      <c r="O792" s="56"/>
      <c r="P792" s="56"/>
      <c r="Q792" s="56"/>
      <c r="R792" s="56"/>
      <c r="S792" s="56"/>
      <c r="T792" s="56"/>
      <c r="U792" s="56"/>
      <c r="V792" s="56"/>
    </row>
    <row r="793" ht="18.75" customHeight="1">
      <c r="A793" s="90"/>
      <c r="B793" s="175"/>
      <c r="C793" s="246"/>
      <c r="D793" s="247"/>
      <c r="E793" s="109"/>
      <c r="F793" s="110"/>
      <c r="G793" s="95"/>
      <c r="H793" s="122"/>
      <c r="I793" s="93"/>
      <c r="J793" s="115"/>
      <c r="K793" s="115"/>
      <c r="L793" s="93"/>
      <c r="M793" s="93"/>
      <c r="N793" s="93"/>
      <c r="O793" s="56"/>
      <c r="P793" s="56"/>
      <c r="Q793" s="56"/>
      <c r="R793" s="56"/>
      <c r="S793" s="56"/>
      <c r="T793" s="56"/>
      <c r="U793" s="56"/>
      <c r="V793" s="56"/>
    </row>
    <row r="794" ht="18.75" customHeight="1">
      <c r="A794" s="90"/>
      <c r="B794" s="107" t="s">
        <v>1528</v>
      </c>
      <c r="C794" s="108"/>
      <c r="D794" s="109"/>
      <c r="E794" s="110"/>
      <c r="F794" s="110"/>
      <c r="G794" s="95" t="str">
        <f t="shared" ref="G794:G858" si="12">IFERROR(DIVIDE(MINUS(E794,D794),D794),)</f>
        <v/>
      </c>
      <c r="H794" s="96"/>
      <c r="I794" s="93"/>
      <c r="J794" s="115"/>
      <c r="K794" s="115"/>
      <c r="L794" s="109"/>
      <c r="M794" s="93"/>
      <c r="N794" s="93"/>
      <c r="O794" s="56"/>
      <c r="P794" s="56"/>
      <c r="Q794" s="56"/>
      <c r="R794" s="56"/>
      <c r="S794" s="56"/>
      <c r="T794" s="56"/>
      <c r="U794" s="56"/>
      <c r="V794" s="56"/>
    </row>
    <row r="795" ht="18.75" customHeight="1">
      <c r="A795" s="90"/>
      <c r="B795" s="111" t="s">
        <v>1806</v>
      </c>
      <c r="C795" s="118" t="s">
        <v>1807</v>
      </c>
      <c r="D795" s="139">
        <v>303.96</v>
      </c>
      <c r="E795" s="52">
        <v>316.0</v>
      </c>
      <c r="F795" s="110"/>
      <c r="G795" s="95">
        <f t="shared" si="12"/>
        <v>0.03961047506</v>
      </c>
      <c r="H795" s="114"/>
      <c r="I795" s="115">
        <v>2.88</v>
      </c>
      <c r="J795" s="115">
        <v>100.0</v>
      </c>
      <c r="K795" s="115">
        <v>100.0</v>
      </c>
      <c r="L795" s="109"/>
      <c r="M795" s="93"/>
      <c r="N795" s="93"/>
      <c r="O795" s="56"/>
      <c r="P795" s="56"/>
      <c r="Q795" s="56"/>
      <c r="R795" s="56"/>
      <c r="S795" s="56"/>
      <c r="T795" s="56"/>
      <c r="U795" s="56"/>
      <c r="V795" s="56"/>
    </row>
    <row r="796" ht="18.75" customHeight="1">
      <c r="A796" s="90"/>
      <c r="B796" s="111">
        <v>151.0</v>
      </c>
      <c r="C796" s="118" t="s">
        <v>1808</v>
      </c>
      <c r="D796" s="52">
        <v>318.24</v>
      </c>
      <c r="E796" s="52">
        <v>336.0</v>
      </c>
      <c r="F796" s="110"/>
      <c r="G796" s="95">
        <f t="shared" si="12"/>
        <v>0.05580693816</v>
      </c>
      <c r="H796" s="114"/>
      <c r="I796" s="115">
        <v>2.98</v>
      </c>
      <c r="J796" s="115">
        <v>70.0</v>
      </c>
      <c r="K796" s="115">
        <v>70.0</v>
      </c>
      <c r="L796" s="109"/>
      <c r="M796" s="248">
        <f t="shared" ref="M796:M802" si="13">IFERROR(N796-E796,"")/E796</f>
        <v>0.09523809524</v>
      </c>
      <c r="N796" s="132">
        <f>E803+E809+E815</f>
        <v>368</v>
      </c>
      <c r="O796" s="56"/>
      <c r="P796" s="56"/>
      <c r="Q796" s="56"/>
      <c r="R796" s="56"/>
      <c r="S796" s="56"/>
      <c r="T796" s="56"/>
      <c r="U796" s="56"/>
      <c r="V796" s="56"/>
    </row>
    <row r="797" ht="18.75" customHeight="1">
      <c r="A797" s="90"/>
      <c r="B797" s="111">
        <v>152.0</v>
      </c>
      <c r="C797" s="118" t="s">
        <v>1809</v>
      </c>
      <c r="D797" s="52">
        <v>476.0</v>
      </c>
      <c r="E797" s="52">
        <v>496.0</v>
      </c>
      <c r="F797" s="110"/>
      <c r="G797" s="95">
        <f t="shared" si="12"/>
        <v>0.04201680672</v>
      </c>
      <c r="H797" s="114"/>
      <c r="I797" s="120">
        <v>4.0</v>
      </c>
      <c r="J797" s="115">
        <v>66.0</v>
      </c>
      <c r="K797" s="115">
        <v>66.0</v>
      </c>
      <c r="L797" s="109"/>
      <c r="M797" s="248">
        <f t="shared" si="13"/>
        <v>0.04435483871</v>
      </c>
      <c r="N797" s="132">
        <f>E804+E810+E815</f>
        <v>518</v>
      </c>
      <c r="O797" s="56"/>
      <c r="P797" s="56"/>
      <c r="Q797" s="56"/>
      <c r="R797" s="56"/>
      <c r="S797" s="56"/>
      <c r="T797" s="56"/>
      <c r="U797" s="56"/>
      <c r="V797" s="56"/>
    </row>
    <row r="798" ht="18.75" customHeight="1">
      <c r="A798" s="90"/>
      <c r="B798" s="111" t="s">
        <v>1530</v>
      </c>
      <c r="C798" s="118" t="s">
        <v>1531</v>
      </c>
      <c r="D798" s="52">
        <v>668.1</v>
      </c>
      <c r="E798" s="52">
        <v>668.0</v>
      </c>
      <c r="F798" s="110"/>
      <c r="G798" s="95">
        <f t="shared" si="12"/>
        <v>-0.0001496781919</v>
      </c>
      <c r="H798" s="114"/>
      <c r="I798" s="115"/>
      <c r="J798" s="115">
        <v>60.0</v>
      </c>
      <c r="K798" s="115">
        <v>60.0</v>
      </c>
      <c r="L798" s="109"/>
      <c r="M798" s="248">
        <f t="shared" si="13"/>
        <v>0.01796407186</v>
      </c>
      <c r="N798" s="132">
        <f>E805+E810+E815</f>
        <v>680</v>
      </c>
      <c r="O798" s="56"/>
      <c r="P798" s="56"/>
      <c r="Q798" s="56"/>
      <c r="R798" s="56"/>
      <c r="S798" s="56"/>
      <c r="T798" s="56"/>
      <c r="U798" s="56"/>
      <c r="V798" s="56"/>
    </row>
    <row r="799" ht="18.75" customHeight="1">
      <c r="A799" s="90"/>
      <c r="B799" s="111">
        <v>153.0</v>
      </c>
      <c r="C799" s="118" t="s">
        <v>1810</v>
      </c>
      <c r="D799" s="52">
        <v>806.208</v>
      </c>
      <c r="E799" s="52">
        <v>846.0</v>
      </c>
      <c r="F799" s="110"/>
      <c r="G799" s="95">
        <f t="shared" si="12"/>
        <v>0.04935698976</v>
      </c>
      <c r="H799" s="114"/>
      <c r="I799" s="115">
        <v>7.6</v>
      </c>
      <c r="J799" s="115">
        <v>75.0</v>
      </c>
      <c r="K799" s="115">
        <v>75.0</v>
      </c>
      <c r="L799" s="109"/>
      <c r="M799" s="248">
        <f t="shared" si="13"/>
        <v>0.1607565012</v>
      </c>
      <c r="N799" s="132">
        <f>E805+E811+E817</f>
        <v>982</v>
      </c>
      <c r="O799" s="56"/>
      <c r="P799" s="56"/>
      <c r="Q799" s="56"/>
      <c r="R799" s="56"/>
      <c r="S799" s="56"/>
      <c r="T799" s="56"/>
      <c r="U799" s="56"/>
      <c r="V799" s="56"/>
    </row>
    <row r="800" ht="18.75" customHeight="1">
      <c r="A800" s="90"/>
      <c r="B800" s="111">
        <v>154.0</v>
      </c>
      <c r="C800" s="118" t="s">
        <v>1811</v>
      </c>
      <c r="D800" s="52">
        <v>980.0</v>
      </c>
      <c r="E800" s="52">
        <v>1040.0</v>
      </c>
      <c r="F800" s="110"/>
      <c r="G800" s="95">
        <f t="shared" si="12"/>
        <v>0.0612244898</v>
      </c>
      <c r="H800" s="114"/>
      <c r="I800" s="120">
        <v>10.0</v>
      </c>
      <c r="J800" s="115">
        <v>75.0</v>
      </c>
      <c r="K800" s="115">
        <v>75.0</v>
      </c>
      <c r="L800" s="109"/>
      <c r="M800" s="248">
        <f t="shared" si="13"/>
        <v>0.1326923077</v>
      </c>
      <c r="N800" s="132">
        <f t="shared" ref="N800:N802" si="14">E806+E812+E817</f>
        <v>1178</v>
      </c>
      <c r="O800" s="56"/>
      <c r="P800" s="56"/>
      <c r="Q800" s="56"/>
      <c r="R800" s="56"/>
      <c r="S800" s="56"/>
      <c r="T800" s="56"/>
      <c r="U800" s="56"/>
      <c r="V800" s="56"/>
    </row>
    <row r="801" ht="18.75" customHeight="1">
      <c r="A801" s="90"/>
      <c r="B801" s="111">
        <v>155.0</v>
      </c>
      <c r="C801" s="118" t="s">
        <v>1812</v>
      </c>
      <c r="D801" s="52">
        <v>1448.4</v>
      </c>
      <c r="E801" s="52">
        <v>1540.0</v>
      </c>
      <c r="F801" s="110"/>
      <c r="G801" s="95">
        <f t="shared" si="12"/>
        <v>0.06324219829</v>
      </c>
      <c r="H801" s="122"/>
      <c r="I801" s="120">
        <v>12.0</v>
      </c>
      <c r="J801" s="115">
        <v>50.0</v>
      </c>
      <c r="K801" s="115">
        <v>50.0</v>
      </c>
      <c r="L801" s="109"/>
      <c r="M801" s="248">
        <f t="shared" si="13"/>
        <v>0.04155844156</v>
      </c>
      <c r="N801" s="132">
        <f t="shared" si="14"/>
        <v>1604</v>
      </c>
      <c r="O801" s="56"/>
      <c r="P801" s="56"/>
      <c r="Q801" s="56"/>
      <c r="R801" s="56"/>
      <c r="S801" s="56"/>
      <c r="T801" s="56"/>
      <c r="U801" s="56"/>
      <c r="V801" s="56"/>
    </row>
    <row r="802" ht="18.75" customHeight="1">
      <c r="A802" s="90"/>
      <c r="B802" s="111">
        <v>156.0</v>
      </c>
      <c r="C802" s="118" t="s">
        <v>1813</v>
      </c>
      <c r="D802" s="52">
        <v>2110.0</v>
      </c>
      <c r="E802" s="52">
        <v>2260.0</v>
      </c>
      <c r="F802" s="110"/>
      <c r="G802" s="95">
        <f t="shared" si="12"/>
        <v>0.07109004739</v>
      </c>
      <c r="H802" s="122"/>
      <c r="I802" s="115">
        <v>19.8</v>
      </c>
      <c r="J802" s="115">
        <v>25.0</v>
      </c>
      <c r="K802" s="115">
        <v>25.0</v>
      </c>
      <c r="L802" s="109"/>
      <c r="M802" s="248">
        <f t="shared" si="13"/>
        <v>0.07787610619</v>
      </c>
      <c r="N802" s="132">
        <f t="shared" si="14"/>
        <v>2436</v>
      </c>
      <c r="O802" s="56"/>
      <c r="P802" s="56"/>
      <c r="Q802" s="56"/>
      <c r="R802" s="56"/>
      <c r="S802" s="56"/>
      <c r="T802" s="56"/>
      <c r="U802" s="56"/>
      <c r="V802" s="56"/>
    </row>
    <row r="803" ht="18.75" customHeight="1">
      <c r="A803" s="90"/>
      <c r="B803" s="111">
        <v>161.0</v>
      </c>
      <c r="C803" s="118" t="s">
        <v>1814</v>
      </c>
      <c r="D803" s="52">
        <v>195.84</v>
      </c>
      <c r="E803" s="52">
        <v>196.0</v>
      </c>
      <c r="F803" s="110"/>
      <c r="G803" s="95">
        <f t="shared" si="12"/>
        <v>0.0008169934641</v>
      </c>
      <c r="H803" s="122"/>
      <c r="I803" s="120"/>
      <c r="J803" s="115">
        <v>121.0</v>
      </c>
      <c r="K803" s="115">
        <v>484.0</v>
      </c>
      <c r="L803" s="134"/>
      <c r="M803" s="93"/>
      <c r="N803" s="93"/>
      <c r="O803" s="56"/>
      <c r="P803" s="56"/>
      <c r="Q803" s="56"/>
      <c r="R803" s="56"/>
      <c r="S803" s="56"/>
      <c r="T803" s="56"/>
      <c r="U803" s="56"/>
      <c r="V803" s="56"/>
    </row>
    <row r="804" ht="18.75" customHeight="1">
      <c r="A804" s="90"/>
      <c r="B804" s="111">
        <v>162.0</v>
      </c>
      <c r="C804" s="118" t="s">
        <v>1815</v>
      </c>
      <c r="D804" s="52">
        <v>297.84</v>
      </c>
      <c r="E804" s="52">
        <v>322.0</v>
      </c>
      <c r="F804" s="110"/>
      <c r="G804" s="95">
        <f t="shared" si="12"/>
        <v>0.08111737846</v>
      </c>
      <c r="H804" s="122"/>
      <c r="I804" s="120"/>
      <c r="J804" s="115">
        <v>78.0</v>
      </c>
      <c r="K804" s="115">
        <v>312.0</v>
      </c>
      <c r="L804" s="134"/>
      <c r="M804" s="93"/>
      <c r="N804" s="93"/>
      <c r="O804" s="56"/>
      <c r="P804" s="56"/>
      <c r="Q804" s="56"/>
      <c r="R804" s="56"/>
      <c r="S804" s="56"/>
      <c r="T804" s="56"/>
      <c r="U804" s="56"/>
      <c r="V804" s="56"/>
    </row>
    <row r="805" ht="18.75" customHeight="1">
      <c r="A805" s="90"/>
      <c r="B805" s="111">
        <v>163.0</v>
      </c>
      <c r="C805" s="118" t="s">
        <v>1816</v>
      </c>
      <c r="D805" s="52">
        <v>448.0</v>
      </c>
      <c r="E805" s="52">
        <v>484.0</v>
      </c>
      <c r="F805" s="110"/>
      <c r="G805" s="95">
        <f t="shared" si="12"/>
        <v>0.08035714286</v>
      </c>
      <c r="H805" s="122"/>
      <c r="I805" s="120"/>
      <c r="J805" s="115">
        <v>47.0</v>
      </c>
      <c r="K805" s="115">
        <v>188.0</v>
      </c>
      <c r="L805" s="134"/>
      <c r="M805" s="93"/>
      <c r="N805" s="93"/>
      <c r="O805" s="56"/>
      <c r="P805" s="56"/>
      <c r="Q805" s="56"/>
      <c r="R805" s="56"/>
      <c r="S805" s="56"/>
      <c r="T805" s="56"/>
      <c r="U805" s="56"/>
      <c r="V805" s="56"/>
    </row>
    <row r="806" ht="18.75" customHeight="1">
      <c r="A806" s="90"/>
      <c r="B806" s="111">
        <v>164.0</v>
      </c>
      <c r="C806" s="118" t="s">
        <v>1817</v>
      </c>
      <c r="D806" s="52">
        <v>594.048</v>
      </c>
      <c r="E806" s="52">
        <v>642.0</v>
      </c>
      <c r="F806" s="110"/>
      <c r="G806" s="95">
        <f t="shared" si="12"/>
        <v>0.08072074984</v>
      </c>
      <c r="H806" s="122"/>
      <c r="I806" s="120"/>
      <c r="J806" s="115">
        <v>30.0</v>
      </c>
      <c r="K806" s="115">
        <v>120.0</v>
      </c>
      <c r="L806" s="134"/>
      <c r="M806" s="93"/>
      <c r="N806" s="93"/>
      <c r="O806" s="56"/>
      <c r="P806" s="56"/>
      <c r="Q806" s="56"/>
      <c r="R806" s="56"/>
      <c r="S806" s="56"/>
      <c r="T806" s="56"/>
      <c r="U806" s="56"/>
      <c r="V806" s="56"/>
    </row>
    <row r="807" ht="18.75" customHeight="1">
      <c r="A807" s="90"/>
      <c r="B807" s="111">
        <v>165.0</v>
      </c>
      <c r="C807" s="118" t="s">
        <v>1818</v>
      </c>
      <c r="D807" s="52">
        <v>828.24</v>
      </c>
      <c r="E807" s="52">
        <v>894.0</v>
      </c>
      <c r="F807" s="110"/>
      <c r="G807" s="95">
        <f t="shared" si="12"/>
        <v>0.07939727615</v>
      </c>
      <c r="H807" s="122"/>
      <c r="I807" s="120"/>
      <c r="J807" s="115">
        <v>30.0</v>
      </c>
      <c r="K807" s="115">
        <v>120.0</v>
      </c>
      <c r="L807" s="134"/>
      <c r="M807" s="93"/>
      <c r="N807" s="93"/>
      <c r="O807" s="56"/>
      <c r="P807" s="56"/>
      <c r="Q807" s="56"/>
      <c r="R807" s="56"/>
      <c r="S807" s="56"/>
      <c r="T807" s="56"/>
      <c r="U807" s="56"/>
      <c r="V807" s="56"/>
    </row>
    <row r="808" ht="18.75" customHeight="1">
      <c r="A808" s="90"/>
      <c r="B808" s="111">
        <v>166.0</v>
      </c>
      <c r="C808" s="118" t="s">
        <v>1819</v>
      </c>
      <c r="D808" s="52">
        <v>1213.5552</v>
      </c>
      <c r="E808" s="52">
        <v>1312.0</v>
      </c>
      <c r="F808" s="110"/>
      <c r="G808" s="95">
        <f t="shared" si="12"/>
        <v>0.08112099062</v>
      </c>
      <c r="H808" s="122"/>
      <c r="I808" s="120"/>
      <c r="J808" s="115">
        <v>17.0</v>
      </c>
      <c r="K808" s="115">
        <v>68.0</v>
      </c>
      <c r="L808" s="93"/>
      <c r="M808" s="93"/>
      <c r="N808" s="93"/>
      <c r="O808" s="56"/>
      <c r="P808" s="56"/>
      <c r="Q808" s="56"/>
      <c r="R808" s="56"/>
      <c r="S808" s="56"/>
      <c r="T808" s="56"/>
      <c r="U808" s="56"/>
      <c r="V808" s="56"/>
    </row>
    <row r="809" ht="18.75" customHeight="1">
      <c r="A809" s="90"/>
      <c r="B809" s="111">
        <v>167.0</v>
      </c>
      <c r="C809" s="118" t="s">
        <v>1820</v>
      </c>
      <c r="D809" s="52">
        <v>81.6</v>
      </c>
      <c r="E809" s="52">
        <v>88.0</v>
      </c>
      <c r="F809" s="110"/>
      <c r="G809" s="95">
        <f t="shared" si="12"/>
        <v>0.07843137255</v>
      </c>
      <c r="H809" s="122"/>
      <c r="I809" s="120"/>
      <c r="J809" s="115">
        <v>1000.0</v>
      </c>
      <c r="K809" s="115">
        <v>1000.0</v>
      </c>
      <c r="L809" s="134"/>
      <c r="M809" s="93"/>
      <c r="N809" s="93"/>
      <c r="O809" s="56"/>
      <c r="P809" s="56"/>
      <c r="Q809" s="56"/>
      <c r="R809" s="56"/>
      <c r="S809" s="56"/>
      <c r="T809" s="56"/>
      <c r="U809" s="56"/>
      <c r="V809" s="56"/>
    </row>
    <row r="810" ht="18.75" customHeight="1">
      <c r="A810" s="90"/>
      <c r="B810" s="111">
        <v>168.0</v>
      </c>
      <c r="C810" s="118" t="s">
        <v>1821</v>
      </c>
      <c r="D810" s="52">
        <v>103.9584</v>
      </c>
      <c r="E810" s="52">
        <v>112.0</v>
      </c>
      <c r="F810" s="110"/>
      <c r="G810" s="95">
        <f t="shared" si="12"/>
        <v>0.07735401853</v>
      </c>
      <c r="H810" s="122"/>
      <c r="I810" s="120"/>
      <c r="J810" s="115">
        <v>1000.0</v>
      </c>
      <c r="K810" s="115">
        <v>1000.0</v>
      </c>
      <c r="L810" s="134"/>
      <c r="M810" s="93"/>
      <c r="N810" s="93"/>
      <c r="O810" s="56"/>
      <c r="P810" s="56"/>
      <c r="Q810" s="56"/>
      <c r="R810" s="56"/>
      <c r="S810" s="56"/>
      <c r="T810" s="56"/>
      <c r="U810" s="56"/>
      <c r="V810" s="56"/>
    </row>
    <row r="811" ht="18.75" customHeight="1">
      <c r="A811" s="90"/>
      <c r="B811" s="111">
        <v>169.0</v>
      </c>
      <c r="C811" s="118" t="s">
        <v>1822</v>
      </c>
      <c r="D811" s="52">
        <v>246.0</v>
      </c>
      <c r="E811" s="52">
        <v>266.0</v>
      </c>
      <c r="F811" s="110"/>
      <c r="G811" s="95">
        <f t="shared" si="12"/>
        <v>0.08130081301</v>
      </c>
      <c r="H811" s="122"/>
      <c r="I811" s="120"/>
      <c r="J811" s="115">
        <v>400.0</v>
      </c>
      <c r="K811" s="115">
        <v>400.0</v>
      </c>
      <c r="L811" s="134"/>
      <c r="M811" s="93"/>
      <c r="N811" s="93"/>
      <c r="O811" s="56"/>
      <c r="P811" s="56"/>
      <c r="Q811" s="56"/>
      <c r="R811" s="56"/>
      <c r="S811" s="56"/>
      <c r="T811" s="56"/>
      <c r="U811" s="56"/>
      <c r="V811" s="56"/>
    </row>
    <row r="812" ht="18.75" customHeight="1">
      <c r="A812" s="90"/>
      <c r="B812" s="111">
        <v>170.0</v>
      </c>
      <c r="C812" s="118" t="s">
        <v>1823</v>
      </c>
      <c r="D812" s="52">
        <v>281.52</v>
      </c>
      <c r="E812" s="52">
        <v>304.0</v>
      </c>
      <c r="F812" s="110"/>
      <c r="G812" s="95">
        <f t="shared" si="12"/>
        <v>0.07985223075</v>
      </c>
      <c r="H812" s="122"/>
      <c r="I812" s="120"/>
      <c r="J812" s="115">
        <v>200.0</v>
      </c>
      <c r="K812" s="115">
        <v>200.0</v>
      </c>
      <c r="L812" s="134"/>
      <c r="M812" s="93"/>
      <c r="N812" s="93"/>
      <c r="O812" s="56"/>
      <c r="P812" s="56"/>
      <c r="Q812" s="56"/>
      <c r="R812" s="56"/>
      <c r="S812" s="56"/>
      <c r="T812" s="56"/>
      <c r="U812" s="56"/>
      <c r="V812" s="56"/>
    </row>
    <row r="813" ht="18.75" customHeight="1">
      <c r="A813" s="90"/>
      <c r="B813" s="111">
        <v>171.0</v>
      </c>
      <c r="C813" s="118" t="s">
        <v>1824</v>
      </c>
      <c r="D813" s="52">
        <v>340.0</v>
      </c>
      <c r="E813" s="52">
        <v>368.0</v>
      </c>
      <c r="F813" s="110"/>
      <c r="G813" s="95">
        <f t="shared" si="12"/>
        <v>0.08235294118</v>
      </c>
      <c r="H813" s="122"/>
      <c r="I813" s="120"/>
      <c r="J813" s="115">
        <v>200.0</v>
      </c>
      <c r="K813" s="115">
        <v>200.0</v>
      </c>
      <c r="L813" s="134"/>
      <c r="M813" s="93"/>
      <c r="N813" s="93"/>
      <c r="O813" s="56"/>
      <c r="P813" s="56"/>
      <c r="Q813" s="56"/>
      <c r="R813" s="56"/>
      <c r="S813" s="56"/>
      <c r="T813" s="56"/>
      <c r="U813" s="56"/>
      <c r="V813" s="56"/>
    </row>
    <row r="814" ht="18.75" customHeight="1">
      <c r="A814" s="90"/>
      <c r="B814" s="111">
        <v>172.0</v>
      </c>
      <c r="C814" s="118" t="s">
        <v>1825</v>
      </c>
      <c r="D814" s="52">
        <v>572.0</v>
      </c>
      <c r="E814" s="52">
        <v>618.0</v>
      </c>
      <c r="F814" s="110"/>
      <c r="G814" s="95">
        <f t="shared" si="12"/>
        <v>0.08041958042</v>
      </c>
      <c r="H814" s="122"/>
      <c r="I814" s="120"/>
      <c r="J814" s="115">
        <v>150.0</v>
      </c>
      <c r="K814" s="115">
        <v>150.0</v>
      </c>
      <c r="L814" s="93"/>
      <c r="M814" s="93"/>
      <c r="N814" s="93"/>
      <c r="O814" s="56"/>
      <c r="P814" s="56"/>
      <c r="Q814" s="56"/>
      <c r="R814" s="56"/>
      <c r="S814" s="56"/>
      <c r="T814" s="56"/>
      <c r="U814" s="56"/>
      <c r="V814" s="56"/>
    </row>
    <row r="815" ht="18.75" customHeight="1">
      <c r="A815" s="90"/>
      <c r="B815" s="111">
        <v>173.0</v>
      </c>
      <c r="C815" s="118" t="s">
        <v>1826</v>
      </c>
      <c r="D815" s="52">
        <v>77.52</v>
      </c>
      <c r="E815" s="52">
        <v>84.0</v>
      </c>
      <c r="F815" s="110"/>
      <c r="G815" s="95">
        <f t="shared" si="12"/>
        <v>0.08359133127</v>
      </c>
      <c r="H815" s="122"/>
      <c r="I815" s="120"/>
      <c r="J815" s="115">
        <v>300.0</v>
      </c>
      <c r="K815" s="115">
        <v>300.0</v>
      </c>
      <c r="L815" s="93"/>
      <c r="M815" s="93"/>
      <c r="N815" s="93"/>
      <c r="O815" s="56"/>
      <c r="P815" s="56"/>
      <c r="Q815" s="56"/>
      <c r="R815" s="56"/>
      <c r="S815" s="56"/>
      <c r="T815" s="56"/>
      <c r="U815" s="56"/>
      <c r="V815" s="56"/>
    </row>
    <row r="816" ht="18.75" customHeight="1">
      <c r="A816" s="90"/>
      <c r="B816" s="111">
        <v>174.0</v>
      </c>
      <c r="C816" s="118" t="s">
        <v>1827</v>
      </c>
      <c r="D816" s="52">
        <v>110.16</v>
      </c>
      <c r="E816" s="52">
        <v>118.0</v>
      </c>
      <c r="F816" s="110"/>
      <c r="G816" s="95">
        <f t="shared" si="12"/>
        <v>0.07116920842</v>
      </c>
      <c r="H816" s="122"/>
      <c r="I816" s="120"/>
      <c r="J816" s="115">
        <v>225.0</v>
      </c>
      <c r="K816" s="115">
        <v>225.0</v>
      </c>
      <c r="L816" s="93"/>
      <c r="M816" s="93"/>
      <c r="N816" s="93"/>
      <c r="O816" s="56"/>
      <c r="P816" s="56"/>
      <c r="Q816" s="56"/>
      <c r="R816" s="56"/>
      <c r="S816" s="56"/>
      <c r="T816" s="56"/>
      <c r="U816" s="56"/>
      <c r="V816" s="56"/>
    </row>
    <row r="817" ht="18.75" customHeight="1">
      <c r="A817" s="90"/>
      <c r="B817" s="111">
        <v>175.0</v>
      </c>
      <c r="C817" s="118" t="s">
        <v>1828</v>
      </c>
      <c r="D817" s="52">
        <v>214.2</v>
      </c>
      <c r="E817" s="52">
        <v>232.0</v>
      </c>
      <c r="F817" s="110"/>
      <c r="G817" s="95">
        <f t="shared" si="12"/>
        <v>0.08309990663</v>
      </c>
      <c r="H817" s="122"/>
      <c r="I817" s="120"/>
      <c r="J817" s="115">
        <v>75.0</v>
      </c>
      <c r="K817" s="115">
        <v>75.0</v>
      </c>
      <c r="L817" s="93"/>
      <c r="M817" s="93"/>
      <c r="N817" s="93"/>
      <c r="O817" s="56"/>
      <c r="P817" s="56"/>
      <c r="Q817" s="56"/>
      <c r="R817" s="56"/>
      <c r="S817" s="56"/>
      <c r="T817" s="56"/>
      <c r="U817" s="56"/>
      <c r="V817" s="56"/>
    </row>
    <row r="818" ht="18.75" customHeight="1">
      <c r="A818" s="90"/>
      <c r="B818" s="111">
        <v>177.0</v>
      </c>
      <c r="C818" s="118" t="s">
        <v>1829</v>
      </c>
      <c r="D818" s="52">
        <v>316.2</v>
      </c>
      <c r="E818" s="52">
        <v>342.0</v>
      </c>
      <c r="F818" s="110"/>
      <c r="G818" s="95">
        <f t="shared" si="12"/>
        <v>0.08159392789</v>
      </c>
      <c r="H818" s="122"/>
      <c r="I818" s="120"/>
      <c r="J818" s="115">
        <v>50.0</v>
      </c>
      <c r="K818" s="115">
        <v>50.0</v>
      </c>
      <c r="L818" s="93"/>
      <c r="M818" s="93"/>
      <c r="N818" s="93"/>
      <c r="O818" s="56"/>
      <c r="P818" s="56"/>
      <c r="Q818" s="56"/>
      <c r="R818" s="56"/>
      <c r="S818" s="56"/>
      <c r="T818" s="56"/>
      <c r="U818" s="56"/>
      <c r="V818" s="56"/>
    </row>
    <row r="819" ht="18.75" customHeight="1">
      <c r="A819" s="90"/>
      <c r="B819" s="123">
        <v>178.0</v>
      </c>
      <c r="C819" s="124" t="s">
        <v>1830</v>
      </c>
      <c r="D819" s="125">
        <v>468.0</v>
      </c>
      <c r="E819" s="52">
        <v>506.0</v>
      </c>
      <c r="F819" s="110"/>
      <c r="G819" s="95">
        <f t="shared" si="12"/>
        <v>0.0811965812</v>
      </c>
      <c r="H819" s="122"/>
      <c r="I819" s="120"/>
      <c r="J819" s="115">
        <v>25.0</v>
      </c>
      <c r="K819" s="115">
        <v>25.0</v>
      </c>
      <c r="L819" s="134"/>
      <c r="M819" s="93"/>
      <c r="N819" s="93"/>
      <c r="O819" s="56"/>
      <c r="P819" s="56"/>
      <c r="Q819" s="56"/>
      <c r="R819" s="56"/>
      <c r="S819" s="56"/>
      <c r="T819" s="56"/>
      <c r="U819" s="56"/>
      <c r="V819" s="56"/>
    </row>
    <row r="820" ht="18.75" customHeight="1">
      <c r="A820" s="90"/>
      <c r="B820" s="175"/>
      <c r="C820" s="138"/>
      <c r="D820" s="151"/>
      <c r="E820" s="109"/>
      <c r="F820" s="110"/>
      <c r="G820" s="95" t="str">
        <f t="shared" si="12"/>
        <v/>
      </c>
      <c r="H820" s="96"/>
      <c r="I820" s="93"/>
      <c r="J820" s="115"/>
      <c r="K820" s="115"/>
      <c r="L820" s="93"/>
      <c r="M820" s="93"/>
      <c r="N820" s="93"/>
      <c r="O820" s="56"/>
      <c r="P820" s="56"/>
      <c r="Q820" s="56"/>
      <c r="R820" s="56"/>
      <c r="S820" s="56"/>
      <c r="T820" s="56"/>
      <c r="U820" s="56"/>
      <c r="V820" s="56"/>
    </row>
    <row r="821" ht="18.75" customHeight="1">
      <c r="A821" s="90"/>
      <c r="B821" s="107" t="s">
        <v>1831</v>
      </c>
      <c r="C821" s="162"/>
      <c r="D821" s="130"/>
      <c r="E821" s="109"/>
      <c r="F821" s="110" t="s">
        <v>1832</v>
      </c>
      <c r="G821" s="95" t="str">
        <f t="shared" si="12"/>
        <v/>
      </c>
      <c r="H821" s="140"/>
      <c r="I821" s="109"/>
      <c r="J821" s="115"/>
      <c r="K821" s="115"/>
      <c r="L821" s="93"/>
      <c r="M821" s="93"/>
      <c r="N821" s="93"/>
      <c r="O821" s="56"/>
      <c r="P821" s="56"/>
      <c r="Q821" s="56"/>
      <c r="R821" s="56"/>
      <c r="S821" s="56"/>
      <c r="T821" s="56"/>
      <c r="U821" s="56"/>
      <c r="V821" s="56"/>
    </row>
    <row r="822" ht="18.75" customHeight="1">
      <c r="A822" s="90"/>
      <c r="B822" s="111" t="s">
        <v>1833</v>
      </c>
      <c r="C822" s="118" t="s">
        <v>1808</v>
      </c>
      <c r="D822" s="52">
        <v>1448.4</v>
      </c>
      <c r="E822" s="52">
        <v>1588.0</v>
      </c>
      <c r="F822" s="110">
        <v>452.2</v>
      </c>
      <c r="G822" s="95">
        <f t="shared" si="12"/>
        <v>0.09638221486</v>
      </c>
      <c r="H822" s="122"/>
      <c r="I822" s="120">
        <v>10.0</v>
      </c>
      <c r="J822" s="115">
        <v>30.0</v>
      </c>
      <c r="K822" s="115"/>
      <c r="L822" s="93"/>
      <c r="M822" s="249"/>
      <c r="N822" s="93"/>
      <c r="O822" s="56"/>
      <c r="P822" s="56"/>
      <c r="Q822" s="56"/>
      <c r="R822" s="56"/>
      <c r="S822" s="56"/>
      <c r="T822" s="56"/>
      <c r="U822" s="56"/>
      <c r="V822" s="56"/>
    </row>
    <row r="823" ht="18.75" customHeight="1">
      <c r="A823" s="90"/>
      <c r="B823" s="111" t="s">
        <v>1834</v>
      </c>
      <c r="C823" s="118" t="s">
        <v>1809</v>
      </c>
      <c r="D823" s="52">
        <v>1898.0</v>
      </c>
      <c r="E823" s="52">
        <v>2188.0</v>
      </c>
      <c r="F823" s="110">
        <v>626.95</v>
      </c>
      <c r="G823" s="95">
        <f t="shared" si="12"/>
        <v>0.1527924131</v>
      </c>
      <c r="H823" s="122"/>
      <c r="I823" s="120">
        <v>15.0</v>
      </c>
      <c r="J823" s="115">
        <v>30.0</v>
      </c>
      <c r="K823" s="115"/>
      <c r="L823" s="93"/>
      <c r="M823" s="249"/>
      <c r="N823" s="93"/>
      <c r="O823" s="56"/>
      <c r="P823" s="56"/>
      <c r="Q823" s="56"/>
      <c r="R823" s="56"/>
      <c r="S823" s="56"/>
      <c r="T823" s="56"/>
      <c r="U823" s="56"/>
      <c r="V823" s="56"/>
    </row>
    <row r="824" ht="18.75" customHeight="1">
      <c r="A824" s="90"/>
      <c r="B824" s="111" t="s">
        <v>1835</v>
      </c>
      <c r="C824" s="118" t="s">
        <v>1810</v>
      </c>
      <c r="D824" s="52">
        <v>2796.0</v>
      </c>
      <c r="E824" s="52">
        <v>3688.0</v>
      </c>
      <c r="F824" s="110">
        <v>1045.17</v>
      </c>
      <c r="G824" s="95">
        <f t="shared" si="12"/>
        <v>0.3190271817</v>
      </c>
      <c r="H824" s="122"/>
      <c r="I824" s="120">
        <v>20.0</v>
      </c>
      <c r="J824" s="115">
        <v>10.0</v>
      </c>
      <c r="K824" s="115"/>
      <c r="L824" s="93"/>
      <c r="M824" s="249"/>
      <c r="N824" s="93"/>
      <c r="O824" s="56"/>
      <c r="P824" s="56"/>
      <c r="Q824" s="56"/>
      <c r="R824" s="56"/>
      <c r="S824" s="56"/>
      <c r="T824" s="56"/>
      <c r="U824" s="56"/>
      <c r="V824" s="56"/>
    </row>
    <row r="825" ht="18.75" customHeight="1">
      <c r="A825" s="90"/>
      <c r="B825" s="111" t="s">
        <v>1836</v>
      </c>
      <c r="C825" s="118" t="s">
        <v>1812</v>
      </c>
      <c r="D825" s="52">
        <v>5222.4</v>
      </c>
      <c r="E825" s="52">
        <v>5438.0</v>
      </c>
      <c r="F825" s="110">
        <v>1481.23</v>
      </c>
      <c r="G825" s="95">
        <f t="shared" si="12"/>
        <v>0.04128370098</v>
      </c>
      <c r="H825" s="122"/>
      <c r="I825" s="120">
        <v>20.0</v>
      </c>
      <c r="J825" s="115">
        <v>10.0</v>
      </c>
      <c r="K825" s="115"/>
      <c r="L825" s="93"/>
      <c r="M825" s="249"/>
      <c r="N825" s="93"/>
      <c r="O825" s="56"/>
      <c r="P825" s="56"/>
      <c r="Q825" s="56"/>
      <c r="R825" s="56"/>
      <c r="S825" s="56"/>
      <c r="T825" s="56"/>
      <c r="U825" s="56"/>
      <c r="V825" s="56"/>
    </row>
    <row r="826" ht="18.75" customHeight="1">
      <c r="A826" s="90"/>
      <c r="B826" s="111" t="s">
        <v>1837</v>
      </c>
      <c r="C826" s="118" t="s">
        <v>1838</v>
      </c>
      <c r="D826" s="52">
        <v>1296.0</v>
      </c>
      <c r="E826" s="52">
        <v>1348.0</v>
      </c>
      <c r="F826" s="110"/>
      <c r="G826" s="95">
        <f t="shared" si="12"/>
        <v>0.04012345679</v>
      </c>
      <c r="H826" s="122"/>
      <c r="I826" s="120"/>
      <c r="J826" s="115">
        <v>40.0</v>
      </c>
      <c r="K826" s="115"/>
      <c r="L826" s="93"/>
      <c r="M826" s="93"/>
      <c r="N826" s="93"/>
      <c r="O826" s="56"/>
      <c r="P826" s="56"/>
      <c r="Q826" s="56"/>
      <c r="R826" s="56"/>
      <c r="S826" s="56"/>
      <c r="T826" s="56"/>
      <c r="U826" s="56"/>
      <c r="V826" s="56"/>
    </row>
    <row r="827" ht="18.75" customHeight="1">
      <c r="A827" s="90"/>
      <c r="B827" s="111" t="s">
        <v>1839</v>
      </c>
      <c r="C827" s="118" t="s">
        <v>1840</v>
      </c>
      <c r="D827" s="52">
        <v>1856.4</v>
      </c>
      <c r="E827" s="52">
        <v>1888.0</v>
      </c>
      <c r="F827" s="110"/>
      <c r="G827" s="95">
        <f t="shared" si="12"/>
        <v>0.01702219349</v>
      </c>
      <c r="H827" s="122"/>
      <c r="I827" s="120"/>
      <c r="J827" s="115">
        <v>40.0</v>
      </c>
      <c r="K827" s="115"/>
      <c r="L827" s="93"/>
      <c r="M827" s="93"/>
      <c r="N827" s="93"/>
      <c r="O827" s="56"/>
      <c r="P827" s="56"/>
      <c r="Q827" s="56"/>
      <c r="R827" s="56"/>
      <c r="S827" s="56"/>
      <c r="T827" s="56"/>
      <c r="U827" s="56"/>
      <c r="V827" s="56"/>
    </row>
    <row r="828" ht="18.75" customHeight="1">
      <c r="A828" s="90"/>
      <c r="B828" s="111" t="s">
        <v>1841</v>
      </c>
      <c r="C828" s="118" t="s">
        <v>1842</v>
      </c>
      <c r="D828" s="52">
        <v>3100.0</v>
      </c>
      <c r="E828" s="52">
        <v>3128.0</v>
      </c>
      <c r="F828" s="110"/>
      <c r="G828" s="95">
        <f t="shared" si="12"/>
        <v>0.009032258065</v>
      </c>
      <c r="H828" s="122"/>
      <c r="I828" s="120"/>
      <c r="J828" s="115">
        <v>40.0</v>
      </c>
      <c r="K828" s="115"/>
      <c r="L828" s="93"/>
      <c r="M828" s="93"/>
      <c r="N828" s="93"/>
      <c r="O828" s="56"/>
      <c r="P828" s="56"/>
      <c r="Q828" s="56"/>
      <c r="R828" s="56"/>
      <c r="S828" s="56"/>
      <c r="T828" s="56"/>
      <c r="U828" s="56"/>
      <c r="V828" s="56"/>
    </row>
    <row r="829" ht="18.75" customHeight="1">
      <c r="A829" s="90"/>
      <c r="B829" s="111" t="s">
        <v>1843</v>
      </c>
      <c r="C829" s="118" t="s">
        <v>1844</v>
      </c>
      <c r="D829" s="52">
        <v>4273.8</v>
      </c>
      <c r="E829" s="52">
        <v>4480.0</v>
      </c>
      <c r="F829" s="110"/>
      <c r="G829" s="95">
        <f t="shared" si="12"/>
        <v>0.04824746128</v>
      </c>
      <c r="H829" s="122"/>
      <c r="I829" s="120"/>
      <c r="J829" s="115">
        <v>40.0</v>
      </c>
      <c r="K829" s="115"/>
      <c r="L829" s="93"/>
      <c r="M829" s="93"/>
      <c r="N829" s="93"/>
      <c r="O829" s="56"/>
      <c r="P829" s="56"/>
      <c r="Q829" s="56"/>
      <c r="R829" s="56"/>
      <c r="S829" s="56"/>
      <c r="T829" s="56"/>
      <c r="U829" s="56"/>
      <c r="V829" s="56"/>
    </row>
    <row r="830" ht="18.75" customHeight="1">
      <c r="A830" s="90"/>
      <c r="B830" s="111" t="s">
        <v>1845</v>
      </c>
      <c r="C830" s="118" t="s">
        <v>1846</v>
      </c>
      <c r="D830" s="52">
        <v>292.0</v>
      </c>
      <c r="E830" s="52">
        <v>316.0</v>
      </c>
      <c r="F830" s="110"/>
      <c r="G830" s="95">
        <f t="shared" si="12"/>
        <v>0.08219178082</v>
      </c>
      <c r="H830" s="122"/>
      <c r="I830" s="120"/>
      <c r="J830" s="115">
        <v>70.0</v>
      </c>
      <c r="K830" s="115"/>
      <c r="L830" s="93"/>
      <c r="M830" s="93"/>
      <c r="N830" s="93"/>
      <c r="O830" s="56"/>
      <c r="P830" s="56"/>
      <c r="Q830" s="56"/>
      <c r="R830" s="56"/>
      <c r="S830" s="56"/>
      <c r="T830" s="56"/>
      <c r="U830" s="56"/>
      <c r="V830" s="56"/>
    </row>
    <row r="831" ht="18.75" customHeight="1">
      <c r="A831" s="90"/>
      <c r="B831" s="111" t="s">
        <v>1847</v>
      </c>
      <c r="C831" s="118" t="s">
        <v>1848</v>
      </c>
      <c r="D831" s="52">
        <v>326.4</v>
      </c>
      <c r="E831" s="52">
        <v>354.0</v>
      </c>
      <c r="F831" s="110"/>
      <c r="G831" s="95">
        <f t="shared" si="12"/>
        <v>0.08455882353</v>
      </c>
      <c r="H831" s="122"/>
      <c r="I831" s="120"/>
      <c r="J831" s="115">
        <v>70.0</v>
      </c>
      <c r="K831" s="115"/>
      <c r="L831" s="93"/>
      <c r="M831" s="93"/>
      <c r="N831" s="93"/>
      <c r="O831" s="56"/>
      <c r="P831" s="56"/>
      <c r="Q831" s="56"/>
      <c r="R831" s="56"/>
      <c r="S831" s="56"/>
      <c r="T831" s="56"/>
      <c r="U831" s="56"/>
      <c r="V831" s="56"/>
    </row>
    <row r="832" ht="18.75" customHeight="1">
      <c r="A832" s="90"/>
      <c r="B832" s="111" t="s">
        <v>1849</v>
      </c>
      <c r="C832" s="118" t="s">
        <v>1850</v>
      </c>
      <c r="D832" s="52">
        <v>466.0</v>
      </c>
      <c r="E832" s="52">
        <v>504.0</v>
      </c>
      <c r="F832" s="110"/>
      <c r="G832" s="95">
        <f t="shared" si="12"/>
        <v>0.08154506438</v>
      </c>
      <c r="H832" s="122"/>
      <c r="I832" s="120"/>
      <c r="J832" s="115">
        <v>70.0</v>
      </c>
      <c r="K832" s="115"/>
      <c r="L832" s="93"/>
      <c r="M832" s="93"/>
      <c r="N832" s="93"/>
      <c r="O832" s="56"/>
      <c r="P832" s="56"/>
      <c r="Q832" s="56"/>
      <c r="R832" s="56"/>
      <c r="S832" s="56"/>
      <c r="T832" s="56"/>
      <c r="U832" s="56"/>
      <c r="V832" s="56"/>
    </row>
    <row r="833" ht="18.75" customHeight="1">
      <c r="A833" s="90"/>
      <c r="B833" s="111" t="s">
        <v>1851</v>
      </c>
      <c r="C833" s="118" t="s">
        <v>1852</v>
      </c>
      <c r="D833" s="52">
        <v>638.0</v>
      </c>
      <c r="E833" s="52">
        <v>688.0</v>
      </c>
      <c r="F833" s="110"/>
      <c r="G833" s="95">
        <f t="shared" si="12"/>
        <v>0.07836990596</v>
      </c>
      <c r="H833" s="122"/>
      <c r="I833" s="120"/>
      <c r="J833" s="115">
        <v>50.0</v>
      </c>
      <c r="K833" s="115"/>
      <c r="L833" s="93"/>
      <c r="M833" s="93"/>
      <c r="N833" s="93"/>
      <c r="O833" s="56"/>
      <c r="P833" s="56"/>
      <c r="Q833" s="56"/>
      <c r="R833" s="56"/>
      <c r="S833" s="56"/>
      <c r="T833" s="56"/>
      <c r="U833" s="56"/>
      <c r="V833" s="56"/>
    </row>
    <row r="834" ht="18.75" customHeight="1">
      <c r="A834" s="90"/>
      <c r="B834" s="111" t="s">
        <v>1853</v>
      </c>
      <c r="C834" s="118" t="s">
        <v>1826</v>
      </c>
      <c r="D834" s="52">
        <v>91.8</v>
      </c>
      <c r="E834" s="52">
        <v>98.0</v>
      </c>
      <c r="F834" s="110"/>
      <c r="G834" s="95">
        <f t="shared" si="12"/>
        <v>0.06753812636</v>
      </c>
      <c r="H834" s="122"/>
      <c r="I834" s="120"/>
      <c r="J834" s="115"/>
      <c r="K834" s="115"/>
      <c r="L834" s="93"/>
      <c r="M834" s="93"/>
      <c r="N834" s="93"/>
      <c r="O834" s="56"/>
      <c r="P834" s="56"/>
      <c r="Q834" s="56"/>
      <c r="R834" s="56"/>
      <c r="S834" s="56"/>
      <c r="T834" s="56"/>
      <c r="U834" s="56"/>
      <c r="V834" s="56"/>
    </row>
    <row r="835" ht="18.75" customHeight="1">
      <c r="A835" s="90"/>
      <c r="B835" s="111" t="s">
        <v>1854</v>
      </c>
      <c r="C835" s="118" t="s">
        <v>1827</v>
      </c>
      <c r="D835" s="52">
        <v>128.3568</v>
      </c>
      <c r="E835" s="52">
        <v>138.0</v>
      </c>
      <c r="F835" s="110"/>
      <c r="G835" s="95">
        <f t="shared" si="12"/>
        <v>0.07512808048</v>
      </c>
      <c r="H835" s="122"/>
      <c r="I835" s="120"/>
      <c r="J835" s="115"/>
      <c r="K835" s="115"/>
      <c r="L835" s="93"/>
      <c r="M835" s="93"/>
      <c r="N835" s="93"/>
      <c r="O835" s="56"/>
      <c r="P835" s="56"/>
      <c r="Q835" s="56"/>
      <c r="R835" s="56"/>
      <c r="S835" s="56"/>
      <c r="T835" s="56"/>
      <c r="U835" s="56"/>
      <c r="V835" s="56"/>
    </row>
    <row r="836" ht="18.75" customHeight="1">
      <c r="A836" s="90"/>
      <c r="B836" s="111" t="s">
        <v>1855</v>
      </c>
      <c r="C836" s="118" t="s">
        <v>1828</v>
      </c>
      <c r="D836" s="52">
        <v>248.0</v>
      </c>
      <c r="E836" s="52">
        <v>268.0</v>
      </c>
      <c r="F836" s="110"/>
      <c r="G836" s="95">
        <f t="shared" si="12"/>
        <v>0.08064516129</v>
      </c>
      <c r="H836" s="122"/>
      <c r="I836" s="120"/>
      <c r="J836" s="115"/>
      <c r="K836" s="115"/>
      <c r="L836" s="93"/>
      <c r="M836" s="93"/>
      <c r="N836" s="93"/>
      <c r="O836" s="56"/>
      <c r="P836" s="56"/>
      <c r="Q836" s="56"/>
      <c r="R836" s="56"/>
      <c r="S836" s="56"/>
      <c r="T836" s="56"/>
      <c r="U836" s="56"/>
      <c r="V836" s="56"/>
    </row>
    <row r="837" ht="18.75" customHeight="1">
      <c r="A837" s="90"/>
      <c r="B837" s="123" t="s">
        <v>1856</v>
      </c>
      <c r="C837" s="124" t="s">
        <v>1857</v>
      </c>
      <c r="D837" s="125">
        <v>374.0</v>
      </c>
      <c r="E837" s="52">
        <v>404.0</v>
      </c>
      <c r="F837" s="110"/>
      <c r="G837" s="95">
        <f t="shared" si="12"/>
        <v>0.08021390374</v>
      </c>
      <c r="H837" s="122"/>
      <c r="I837" s="120"/>
      <c r="J837" s="115"/>
      <c r="K837" s="115"/>
      <c r="L837" s="93"/>
      <c r="M837" s="93"/>
      <c r="N837" s="93"/>
      <c r="O837" s="56"/>
      <c r="P837" s="56"/>
      <c r="Q837" s="56"/>
      <c r="R837" s="56"/>
      <c r="S837" s="56"/>
      <c r="T837" s="56"/>
      <c r="U837" s="56"/>
      <c r="V837" s="56"/>
    </row>
    <row r="838" ht="18.75" customHeight="1">
      <c r="A838" s="90"/>
      <c r="B838" s="149"/>
      <c r="C838" s="150"/>
      <c r="D838" s="151"/>
      <c r="E838" s="109"/>
      <c r="F838" s="110"/>
      <c r="G838" s="95" t="str">
        <f t="shared" si="12"/>
        <v/>
      </c>
      <c r="H838" s="96"/>
      <c r="I838" s="93"/>
      <c r="J838" s="115"/>
      <c r="K838" s="115"/>
      <c r="L838" s="93"/>
      <c r="M838" s="93"/>
      <c r="N838" s="93"/>
      <c r="O838" s="56"/>
      <c r="P838" s="56"/>
      <c r="Q838" s="56"/>
      <c r="R838" s="56"/>
      <c r="S838" s="56"/>
      <c r="T838" s="56"/>
      <c r="U838" s="56"/>
      <c r="V838" s="56"/>
    </row>
    <row r="839" ht="18.75" customHeight="1">
      <c r="A839" s="90"/>
      <c r="B839" s="107" t="s">
        <v>1858</v>
      </c>
      <c r="C839" s="108"/>
      <c r="D839" s="143"/>
      <c r="E839" s="109"/>
      <c r="F839" s="110"/>
      <c r="G839" s="95" t="str">
        <f t="shared" si="12"/>
        <v/>
      </c>
      <c r="H839" s="96"/>
      <c r="I839" s="93"/>
      <c r="J839" s="115"/>
      <c r="K839" s="115"/>
      <c r="L839" s="93"/>
      <c r="M839" s="93"/>
      <c r="N839" s="93"/>
      <c r="O839" s="56"/>
      <c r="P839" s="56"/>
      <c r="Q839" s="56"/>
      <c r="R839" s="56"/>
      <c r="S839" s="56"/>
      <c r="T839" s="56"/>
      <c r="U839" s="56"/>
      <c r="V839" s="56"/>
    </row>
    <row r="840" ht="18.75" customHeight="1">
      <c r="A840" s="90"/>
      <c r="B840" s="111" t="s">
        <v>1859</v>
      </c>
      <c r="C840" s="112" t="s">
        <v>1860</v>
      </c>
      <c r="D840" s="137">
        <v>34.0</v>
      </c>
      <c r="E840" s="52">
        <v>34.0</v>
      </c>
      <c r="F840" s="110"/>
      <c r="G840" s="95">
        <f t="shared" si="12"/>
        <v>0</v>
      </c>
      <c r="H840" s="122"/>
      <c r="I840" s="115"/>
      <c r="J840" s="115">
        <v>2000.0</v>
      </c>
      <c r="K840" s="115"/>
      <c r="L840" s="93"/>
      <c r="M840" s="93"/>
      <c r="N840" s="93"/>
      <c r="O840" s="56"/>
      <c r="P840" s="56"/>
      <c r="Q840" s="56"/>
      <c r="R840" s="56"/>
      <c r="S840" s="56"/>
      <c r="T840" s="56"/>
      <c r="U840" s="56"/>
      <c r="V840" s="56"/>
    </row>
    <row r="841" ht="18.75" customHeight="1">
      <c r="A841" s="90"/>
      <c r="B841" s="111" t="s">
        <v>1861</v>
      </c>
      <c r="C841" s="118" t="s">
        <v>1862</v>
      </c>
      <c r="D841" s="52">
        <v>38.0</v>
      </c>
      <c r="E841" s="52">
        <v>38.0</v>
      </c>
      <c r="F841" s="110"/>
      <c r="G841" s="95">
        <f t="shared" si="12"/>
        <v>0</v>
      </c>
      <c r="H841" s="122"/>
      <c r="I841" s="115"/>
      <c r="J841" s="115">
        <v>2000.0</v>
      </c>
      <c r="K841" s="115"/>
      <c r="L841" s="93"/>
      <c r="M841" s="93"/>
      <c r="N841" s="93"/>
      <c r="O841" s="56"/>
      <c r="P841" s="56"/>
      <c r="Q841" s="56"/>
      <c r="R841" s="56"/>
      <c r="S841" s="56"/>
      <c r="T841" s="56"/>
      <c r="U841" s="56"/>
      <c r="V841" s="56"/>
    </row>
    <row r="842" ht="18.75" customHeight="1">
      <c r="A842" s="90"/>
      <c r="B842" s="111" t="s">
        <v>1863</v>
      </c>
      <c r="C842" s="118" t="s">
        <v>1860</v>
      </c>
      <c r="D842" s="52">
        <v>26.0</v>
      </c>
      <c r="E842" s="52">
        <v>26.0</v>
      </c>
      <c r="F842" s="110"/>
      <c r="G842" s="95">
        <f t="shared" si="12"/>
        <v>0</v>
      </c>
      <c r="H842" s="122"/>
      <c r="I842" s="115"/>
      <c r="J842" s="115">
        <v>2400.0</v>
      </c>
      <c r="K842" s="115"/>
      <c r="L842" s="93"/>
      <c r="M842" s="93"/>
      <c r="N842" s="93"/>
      <c r="O842" s="56"/>
      <c r="P842" s="56"/>
      <c r="Q842" s="56"/>
      <c r="R842" s="56"/>
      <c r="S842" s="56"/>
      <c r="T842" s="56"/>
      <c r="U842" s="56"/>
      <c r="V842" s="56"/>
    </row>
    <row r="843" ht="18.75" customHeight="1">
      <c r="A843" s="90"/>
      <c r="B843" s="91"/>
      <c r="C843" s="129"/>
      <c r="D843" s="151"/>
      <c r="E843" s="109"/>
      <c r="F843" s="110"/>
      <c r="G843" s="95" t="str">
        <f t="shared" si="12"/>
        <v/>
      </c>
      <c r="H843" s="96"/>
      <c r="I843" s="93"/>
      <c r="J843" s="115"/>
      <c r="K843" s="115"/>
      <c r="L843" s="93"/>
      <c r="M843" s="93"/>
      <c r="N843" s="93"/>
      <c r="O843" s="56"/>
      <c r="P843" s="56"/>
      <c r="Q843" s="56"/>
      <c r="R843" s="56"/>
      <c r="S843" s="56"/>
      <c r="T843" s="56"/>
      <c r="U843" s="56"/>
      <c r="V843" s="56"/>
    </row>
    <row r="844" ht="18.75" customHeight="1">
      <c r="A844" s="90"/>
      <c r="B844" s="107" t="s">
        <v>1864</v>
      </c>
      <c r="C844" s="129"/>
      <c r="D844" s="143"/>
      <c r="E844" s="109"/>
      <c r="F844" s="110"/>
      <c r="G844" s="95" t="str">
        <f t="shared" si="12"/>
        <v/>
      </c>
      <c r="H844" s="96"/>
      <c r="I844" s="93"/>
      <c r="J844" s="115"/>
      <c r="K844" s="115"/>
      <c r="L844" s="93"/>
      <c r="M844" s="93"/>
      <c r="N844" s="93"/>
      <c r="O844" s="56"/>
      <c r="P844" s="56"/>
      <c r="Q844" s="56"/>
      <c r="R844" s="56"/>
      <c r="S844" s="56"/>
      <c r="T844" s="56"/>
      <c r="U844" s="56"/>
      <c r="V844" s="56"/>
    </row>
    <row r="845" ht="18.75" customHeight="1">
      <c r="A845" s="90"/>
      <c r="B845" s="111">
        <v>321.0</v>
      </c>
      <c r="C845" s="118" t="s">
        <v>1865</v>
      </c>
      <c r="D845" s="52">
        <v>85.68</v>
      </c>
      <c r="E845" s="52">
        <v>92.0</v>
      </c>
      <c r="F845" s="110"/>
      <c r="G845" s="95">
        <f t="shared" si="12"/>
        <v>0.07376283847</v>
      </c>
      <c r="H845" s="122"/>
      <c r="I845" s="120">
        <v>2.0</v>
      </c>
      <c r="J845" s="115">
        <v>100.0</v>
      </c>
      <c r="K845" s="115">
        <v>300.0</v>
      </c>
      <c r="L845" s="134"/>
      <c r="M845" s="93"/>
      <c r="N845" s="93"/>
      <c r="O845" s="56"/>
      <c r="P845" s="56"/>
      <c r="Q845" s="56"/>
      <c r="R845" s="56"/>
      <c r="S845" s="56"/>
      <c r="T845" s="56"/>
      <c r="U845" s="56"/>
      <c r="V845" s="56"/>
    </row>
    <row r="846" ht="18.75" customHeight="1">
      <c r="A846" s="90"/>
      <c r="B846" s="111">
        <v>322.0</v>
      </c>
      <c r="C846" s="118" t="s">
        <v>1866</v>
      </c>
      <c r="D846" s="52">
        <v>91.8</v>
      </c>
      <c r="E846" s="52">
        <v>98.0</v>
      </c>
      <c r="F846" s="110"/>
      <c r="G846" s="95">
        <f t="shared" si="12"/>
        <v>0.06753812636</v>
      </c>
      <c r="H846" s="122"/>
      <c r="I846" s="120">
        <v>2.0</v>
      </c>
      <c r="J846" s="115">
        <v>100.0</v>
      </c>
      <c r="K846" s="115">
        <v>300.0</v>
      </c>
      <c r="L846" s="134"/>
      <c r="M846" s="93"/>
      <c r="N846" s="93"/>
      <c r="O846" s="56"/>
      <c r="P846" s="56"/>
      <c r="Q846" s="56"/>
      <c r="R846" s="56"/>
      <c r="S846" s="56"/>
      <c r="T846" s="56"/>
      <c r="U846" s="56"/>
      <c r="V846" s="56"/>
    </row>
    <row r="847" ht="18.75" customHeight="1">
      <c r="A847" s="90"/>
      <c r="B847" s="111">
        <v>323.0</v>
      </c>
      <c r="C847" s="118" t="s">
        <v>1867</v>
      </c>
      <c r="D847" s="52">
        <v>104.04</v>
      </c>
      <c r="E847" s="52">
        <v>112.0</v>
      </c>
      <c r="F847" s="110"/>
      <c r="G847" s="95">
        <f t="shared" si="12"/>
        <v>0.07650903499</v>
      </c>
      <c r="H847" s="122"/>
      <c r="I847" s="120">
        <v>2.0</v>
      </c>
      <c r="J847" s="115">
        <v>100.0</v>
      </c>
      <c r="K847" s="115">
        <v>300.0</v>
      </c>
      <c r="L847" s="134"/>
      <c r="M847" s="93"/>
      <c r="N847" s="93"/>
      <c r="O847" s="56"/>
      <c r="P847" s="56"/>
      <c r="Q847" s="56"/>
      <c r="R847" s="56"/>
      <c r="S847" s="56"/>
      <c r="T847" s="56"/>
      <c r="U847" s="56"/>
      <c r="V847" s="56"/>
    </row>
    <row r="848" ht="18.75" customHeight="1">
      <c r="A848" s="90"/>
      <c r="B848" s="111">
        <v>324.0</v>
      </c>
      <c r="C848" s="118" t="s">
        <v>1868</v>
      </c>
      <c r="D848" s="52">
        <v>124.44</v>
      </c>
      <c r="E848" s="52">
        <v>134.0</v>
      </c>
      <c r="F848" s="110"/>
      <c r="G848" s="95">
        <f t="shared" si="12"/>
        <v>0.07682417229</v>
      </c>
      <c r="H848" s="122"/>
      <c r="I848" s="120">
        <v>2.0</v>
      </c>
      <c r="J848" s="115">
        <v>100.0</v>
      </c>
      <c r="K848" s="115">
        <v>300.0</v>
      </c>
      <c r="L848" s="134"/>
      <c r="M848" s="93"/>
      <c r="N848" s="93"/>
      <c r="O848" s="56"/>
      <c r="P848" s="56"/>
      <c r="Q848" s="56"/>
      <c r="R848" s="56"/>
      <c r="S848" s="56"/>
      <c r="T848" s="56"/>
      <c r="U848" s="56"/>
      <c r="V848" s="56"/>
    </row>
    <row r="849" ht="18.75" customHeight="1">
      <c r="A849" s="90"/>
      <c r="B849" s="111">
        <v>325.0</v>
      </c>
      <c r="C849" s="118" t="s">
        <v>1869</v>
      </c>
      <c r="D849" s="52">
        <v>148.0</v>
      </c>
      <c r="E849" s="52">
        <v>158.0</v>
      </c>
      <c r="F849" s="110"/>
      <c r="G849" s="95">
        <f t="shared" si="12"/>
        <v>0.06756756757</v>
      </c>
      <c r="H849" s="122"/>
      <c r="I849" s="120">
        <v>2.0</v>
      </c>
      <c r="J849" s="115">
        <v>300.0</v>
      </c>
      <c r="K849" s="115">
        <v>300.0</v>
      </c>
      <c r="L849" s="134"/>
      <c r="M849" s="93"/>
      <c r="N849" s="93"/>
      <c r="O849" s="56"/>
      <c r="P849" s="56"/>
      <c r="Q849" s="56"/>
      <c r="R849" s="56"/>
      <c r="S849" s="56"/>
      <c r="T849" s="56"/>
      <c r="U849" s="56"/>
      <c r="V849" s="56"/>
    </row>
    <row r="850" ht="18.75" customHeight="1">
      <c r="A850" s="90"/>
      <c r="B850" s="111">
        <v>326.0</v>
      </c>
      <c r="C850" s="118" t="s">
        <v>1870</v>
      </c>
      <c r="D850" s="52">
        <v>179.52</v>
      </c>
      <c r="E850" s="52">
        <v>194.0</v>
      </c>
      <c r="F850" s="110"/>
      <c r="G850" s="95">
        <f t="shared" si="12"/>
        <v>0.08065953654</v>
      </c>
      <c r="H850" s="122"/>
      <c r="I850" s="115">
        <v>1.68</v>
      </c>
      <c r="J850" s="115">
        <v>300.0</v>
      </c>
      <c r="K850" s="115">
        <v>300.0</v>
      </c>
      <c r="L850" s="134"/>
      <c r="M850" s="93"/>
      <c r="N850" s="93"/>
      <c r="O850" s="56"/>
      <c r="P850" s="56"/>
      <c r="Q850" s="56"/>
      <c r="R850" s="56"/>
      <c r="S850" s="56"/>
      <c r="T850" s="56"/>
      <c r="U850" s="56"/>
      <c r="V850" s="56"/>
    </row>
    <row r="851" ht="18.75" customHeight="1">
      <c r="A851" s="90"/>
      <c r="B851" s="111" t="s">
        <v>1871</v>
      </c>
      <c r="C851" s="118" t="s">
        <v>1872</v>
      </c>
      <c r="D851" s="52">
        <v>185.64</v>
      </c>
      <c r="E851" s="52">
        <v>198.0</v>
      </c>
      <c r="F851" s="110"/>
      <c r="G851" s="95">
        <f t="shared" si="12"/>
        <v>0.06658047835</v>
      </c>
      <c r="H851" s="122"/>
      <c r="I851" s="115">
        <v>1.74</v>
      </c>
      <c r="J851" s="115">
        <v>200.0</v>
      </c>
      <c r="K851" s="115">
        <v>200.0</v>
      </c>
      <c r="L851" s="134"/>
      <c r="M851" s="93"/>
      <c r="N851" s="93"/>
      <c r="O851" s="56"/>
      <c r="P851" s="56"/>
      <c r="Q851" s="56"/>
      <c r="R851" s="56"/>
      <c r="S851" s="56"/>
      <c r="T851" s="56"/>
      <c r="U851" s="56"/>
      <c r="V851" s="56"/>
    </row>
    <row r="852" ht="18.75" customHeight="1">
      <c r="A852" s="90"/>
      <c r="B852" s="111">
        <v>348.0</v>
      </c>
      <c r="C852" s="118" t="s">
        <v>1873</v>
      </c>
      <c r="D852" s="52">
        <v>201.552</v>
      </c>
      <c r="E852" s="52">
        <v>218.0</v>
      </c>
      <c r="F852" s="110"/>
      <c r="G852" s="95">
        <f t="shared" si="12"/>
        <v>0.08160673176</v>
      </c>
      <c r="H852" s="122"/>
      <c r="I852" s="115">
        <v>1.9</v>
      </c>
      <c r="J852" s="115">
        <v>200.0</v>
      </c>
      <c r="K852" s="115">
        <v>200.0</v>
      </c>
      <c r="L852" s="134"/>
      <c r="M852" s="93"/>
      <c r="N852" s="93"/>
      <c r="O852" s="56"/>
      <c r="P852" s="56"/>
      <c r="Q852" s="56"/>
      <c r="R852" s="56"/>
      <c r="S852" s="56"/>
      <c r="T852" s="56"/>
      <c r="U852" s="56"/>
      <c r="V852" s="56"/>
    </row>
    <row r="853" ht="18.75" customHeight="1">
      <c r="A853" s="90"/>
      <c r="B853" s="111">
        <v>350.0</v>
      </c>
      <c r="C853" s="118" t="s">
        <v>1874</v>
      </c>
      <c r="D853" s="52">
        <v>224.0</v>
      </c>
      <c r="E853" s="52">
        <v>242.0</v>
      </c>
      <c r="F853" s="110"/>
      <c r="G853" s="95">
        <f t="shared" si="12"/>
        <v>0.08035714286</v>
      </c>
      <c r="H853" s="122"/>
      <c r="I853" s="115">
        <v>2.1</v>
      </c>
      <c r="J853" s="115">
        <v>200.0</v>
      </c>
      <c r="K853" s="115">
        <v>200.0</v>
      </c>
      <c r="L853" s="134"/>
      <c r="M853" s="93"/>
      <c r="N853" s="93"/>
      <c r="O853" s="56"/>
      <c r="P853" s="56"/>
      <c r="Q853" s="56"/>
      <c r="R853" s="56"/>
      <c r="S853" s="56"/>
      <c r="T853" s="56"/>
      <c r="U853" s="56"/>
      <c r="V853" s="56"/>
    </row>
    <row r="854" ht="18.75" customHeight="1">
      <c r="A854" s="90"/>
      <c r="B854" s="111" t="s">
        <v>1875</v>
      </c>
      <c r="C854" s="118" t="s">
        <v>1876</v>
      </c>
      <c r="D854" s="52">
        <v>124.44</v>
      </c>
      <c r="E854" s="52">
        <v>134.0</v>
      </c>
      <c r="F854" s="110"/>
      <c r="G854" s="95">
        <f t="shared" si="12"/>
        <v>0.07682417229</v>
      </c>
      <c r="H854" s="122"/>
      <c r="I854" s="120">
        <v>2.0</v>
      </c>
      <c r="J854" s="115">
        <v>100.0</v>
      </c>
      <c r="K854" s="115">
        <v>300.0</v>
      </c>
      <c r="L854" s="134"/>
      <c r="M854" s="93"/>
      <c r="N854" s="93"/>
      <c r="O854" s="56"/>
      <c r="P854" s="56"/>
      <c r="Q854" s="56"/>
      <c r="R854" s="56"/>
      <c r="S854" s="56"/>
      <c r="T854" s="56"/>
      <c r="U854" s="56"/>
      <c r="V854" s="56"/>
    </row>
    <row r="855" ht="18.75" customHeight="1">
      <c r="A855" s="90"/>
      <c r="B855" s="111" t="s">
        <v>1877</v>
      </c>
      <c r="C855" s="118" t="s">
        <v>1878</v>
      </c>
      <c r="D855" s="52">
        <v>148.0</v>
      </c>
      <c r="E855" s="52">
        <v>158.0</v>
      </c>
      <c r="F855" s="110"/>
      <c r="G855" s="95">
        <f t="shared" si="12"/>
        <v>0.06756756757</v>
      </c>
      <c r="H855" s="122"/>
      <c r="I855" s="120">
        <v>2.0</v>
      </c>
      <c r="J855" s="115">
        <v>100.0</v>
      </c>
      <c r="K855" s="115">
        <v>300.0</v>
      </c>
      <c r="L855" s="134"/>
      <c r="M855" s="93"/>
      <c r="N855" s="93"/>
      <c r="O855" s="56"/>
      <c r="P855" s="56"/>
      <c r="Q855" s="56"/>
      <c r="R855" s="56"/>
      <c r="S855" s="56"/>
      <c r="T855" s="56"/>
      <c r="U855" s="56"/>
      <c r="V855" s="56"/>
    </row>
    <row r="856" ht="18.75" customHeight="1">
      <c r="A856" s="90"/>
      <c r="B856" s="111" t="s">
        <v>1879</v>
      </c>
      <c r="C856" s="118" t="s">
        <v>1880</v>
      </c>
      <c r="D856" s="52">
        <v>176.0</v>
      </c>
      <c r="E856" s="52">
        <v>188.0</v>
      </c>
      <c r="F856" s="110"/>
      <c r="G856" s="95">
        <f t="shared" si="12"/>
        <v>0.06818181818</v>
      </c>
      <c r="H856" s="122"/>
      <c r="I856" s="115">
        <v>1.64</v>
      </c>
      <c r="J856" s="115">
        <v>300.0</v>
      </c>
      <c r="K856" s="115">
        <v>300.0</v>
      </c>
      <c r="L856" s="134"/>
      <c r="M856" s="93"/>
      <c r="N856" s="93"/>
      <c r="O856" s="56"/>
      <c r="P856" s="56"/>
      <c r="Q856" s="56"/>
      <c r="R856" s="56"/>
      <c r="S856" s="56"/>
      <c r="T856" s="56"/>
      <c r="U856" s="56"/>
      <c r="V856" s="56"/>
    </row>
    <row r="857" ht="18.75" customHeight="1">
      <c r="A857" s="90"/>
      <c r="B857" s="111" t="s">
        <v>1881</v>
      </c>
      <c r="C857" s="118" t="s">
        <v>1882</v>
      </c>
      <c r="D857" s="52">
        <v>207.9168</v>
      </c>
      <c r="E857" s="52">
        <v>224.0</v>
      </c>
      <c r="F857" s="110"/>
      <c r="G857" s="95">
        <f t="shared" si="12"/>
        <v>0.07735401853</v>
      </c>
      <c r="H857" s="122"/>
      <c r="I857" s="115">
        <v>1.96</v>
      </c>
      <c r="J857" s="115">
        <v>300.0</v>
      </c>
      <c r="K857" s="115">
        <v>300.0</v>
      </c>
      <c r="L857" s="134"/>
      <c r="M857" s="93"/>
      <c r="N857" s="93"/>
      <c r="O857" s="56"/>
      <c r="P857" s="56"/>
      <c r="Q857" s="56"/>
      <c r="R857" s="56"/>
      <c r="S857" s="56"/>
      <c r="T857" s="56"/>
      <c r="U857" s="56"/>
      <c r="V857" s="56"/>
    </row>
    <row r="858" ht="18.75" customHeight="1">
      <c r="A858" s="90"/>
      <c r="B858" s="91"/>
      <c r="C858" s="129"/>
      <c r="D858" s="151"/>
      <c r="E858" s="109"/>
      <c r="F858" s="110"/>
      <c r="G858" s="95" t="str">
        <f t="shared" si="12"/>
        <v/>
      </c>
      <c r="H858" s="96"/>
      <c r="I858" s="93"/>
      <c r="J858" s="115"/>
      <c r="K858" s="115"/>
      <c r="L858" s="93"/>
      <c r="M858" s="93"/>
      <c r="N858" s="93"/>
      <c r="O858" s="56"/>
      <c r="P858" s="56"/>
      <c r="Q858" s="56"/>
      <c r="R858" s="56"/>
      <c r="S858" s="56"/>
      <c r="T858" s="56"/>
      <c r="U858" s="56"/>
      <c r="V858" s="56"/>
    </row>
    <row r="859" ht="18.75" customHeight="1">
      <c r="A859" s="90"/>
      <c r="B859" s="107" t="s">
        <v>1883</v>
      </c>
      <c r="C859" s="129"/>
      <c r="D859" s="132"/>
      <c r="E859" s="109"/>
      <c r="F859" s="110"/>
      <c r="G859" s="95"/>
      <c r="H859" s="96"/>
      <c r="I859" s="93"/>
      <c r="J859" s="115"/>
      <c r="K859" s="115"/>
      <c r="L859" s="93"/>
      <c r="M859" s="93"/>
      <c r="N859" s="93"/>
      <c r="O859" s="56"/>
      <c r="P859" s="56"/>
      <c r="Q859" s="56"/>
      <c r="R859" s="56"/>
      <c r="S859" s="56"/>
      <c r="T859" s="56"/>
      <c r="U859" s="56"/>
      <c r="V859" s="56"/>
    </row>
    <row r="860" ht="18.75" customHeight="1">
      <c r="A860" s="90"/>
      <c r="B860" s="111" t="s">
        <v>1884</v>
      </c>
      <c r="C860" s="118" t="s">
        <v>1885</v>
      </c>
      <c r="D860" s="52">
        <v>89.76</v>
      </c>
      <c r="E860" s="52">
        <v>96.0</v>
      </c>
      <c r="F860" s="110"/>
      <c r="G860" s="95">
        <f t="shared" ref="G860:G865" si="15">IFERROR(DIVIDE(MINUS(E860,D860),D860),)</f>
        <v>0.06951871658</v>
      </c>
      <c r="H860" s="96"/>
      <c r="I860" s="93"/>
      <c r="J860" s="115"/>
      <c r="K860" s="115"/>
      <c r="L860" s="93"/>
      <c r="M860" s="93"/>
      <c r="N860" s="93"/>
      <c r="O860" s="56"/>
      <c r="P860" s="56"/>
      <c r="Q860" s="56"/>
      <c r="R860" s="56"/>
      <c r="S860" s="56"/>
      <c r="T860" s="56"/>
      <c r="U860" s="56"/>
      <c r="V860" s="56"/>
    </row>
    <row r="861" ht="18.75" customHeight="1">
      <c r="A861" s="90"/>
      <c r="B861" s="111" t="s">
        <v>1886</v>
      </c>
      <c r="C861" s="118" t="s">
        <v>1887</v>
      </c>
      <c r="D861" s="52">
        <v>104.04</v>
      </c>
      <c r="E861" s="52">
        <v>112.0</v>
      </c>
      <c r="F861" s="110"/>
      <c r="G861" s="95">
        <f t="shared" si="15"/>
        <v>0.07650903499</v>
      </c>
      <c r="H861" s="96"/>
      <c r="I861" s="93"/>
      <c r="J861" s="115"/>
      <c r="K861" s="115"/>
      <c r="L861" s="93"/>
      <c r="M861" s="93"/>
      <c r="N861" s="93"/>
      <c r="O861" s="56"/>
      <c r="P861" s="56"/>
      <c r="Q861" s="56"/>
      <c r="R861" s="56"/>
      <c r="S861" s="56"/>
      <c r="T861" s="56"/>
      <c r="U861" s="56"/>
      <c r="V861" s="56"/>
    </row>
    <row r="862" ht="18.75" customHeight="1">
      <c r="A862" s="90"/>
      <c r="B862" s="111" t="s">
        <v>1888</v>
      </c>
      <c r="C862" s="118" t="s">
        <v>1889</v>
      </c>
      <c r="D862" s="52">
        <v>124.44</v>
      </c>
      <c r="E862" s="52">
        <v>134.0</v>
      </c>
      <c r="F862" s="110"/>
      <c r="G862" s="95">
        <f t="shared" si="15"/>
        <v>0.07682417229</v>
      </c>
      <c r="H862" s="96"/>
      <c r="I862" s="93"/>
      <c r="J862" s="115"/>
      <c r="K862" s="115"/>
      <c r="L862" s="93"/>
      <c r="M862" s="93"/>
      <c r="N862" s="93"/>
      <c r="O862" s="56"/>
      <c r="P862" s="56"/>
      <c r="Q862" s="56"/>
      <c r="R862" s="56"/>
      <c r="S862" s="56"/>
      <c r="T862" s="56"/>
      <c r="U862" s="56"/>
      <c r="V862" s="56"/>
    </row>
    <row r="863" ht="18.75" customHeight="1">
      <c r="A863" s="90"/>
      <c r="B863" s="111" t="s">
        <v>1890</v>
      </c>
      <c r="C863" s="118" t="s">
        <v>1891</v>
      </c>
      <c r="D863" s="52">
        <v>148.0</v>
      </c>
      <c r="E863" s="52">
        <v>158.0</v>
      </c>
      <c r="F863" s="110"/>
      <c r="G863" s="95">
        <f t="shared" si="15"/>
        <v>0.06756756757</v>
      </c>
      <c r="H863" s="96"/>
      <c r="I863" s="93"/>
      <c r="J863" s="115"/>
      <c r="K863" s="115"/>
      <c r="L863" s="93"/>
      <c r="M863" s="93"/>
      <c r="N863" s="93"/>
      <c r="O863" s="56"/>
      <c r="P863" s="56"/>
      <c r="Q863" s="56"/>
      <c r="R863" s="56"/>
      <c r="S863" s="56"/>
      <c r="T863" s="56"/>
      <c r="U863" s="56"/>
      <c r="V863" s="56"/>
    </row>
    <row r="864" ht="18.75" customHeight="1">
      <c r="A864" s="90"/>
      <c r="B864" s="111" t="s">
        <v>1892</v>
      </c>
      <c r="C864" s="118" t="s">
        <v>1893</v>
      </c>
      <c r="D864" s="52">
        <v>179.52</v>
      </c>
      <c r="E864" s="52">
        <v>194.0</v>
      </c>
      <c r="F864" s="110"/>
      <c r="G864" s="95">
        <f t="shared" si="15"/>
        <v>0.08065953654</v>
      </c>
      <c r="H864" s="96"/>
      <c r="I864" s="93"/>
      <c r="J864" s="115"/>
      <c r="K864" s="115"/>
      <c r="L864" s="93"/>
      <c r="M864" s="93"/>
      <c r="N864" s="93"/>
      <c r="O864" s="56"/>
      <c r="P864" s="56"/>
      <c r="Q864" s="56"/>
      <c r="R864" s="56"/>
      <c r="S864" s="56"/>
      <c r="T864" s="56"/>
      <c r="U864" s="56"/>
      <c r="V864" s="56"/>
    </row>
    <row r="865" ht="18.75" customHeight="1">
      <c r="A865" s="90"/>
      <c r="B865" s="111" t="s">
        <v>1894</v>
      </c>
      <c r="C865" s="118" t="s">
        <v>1895</v>
      </c>
      <c r="D865" s="52">
        <v>201.552</v>
      </c>
      <c r="E865" s="52">
        <v>218.0</v>
      </c>
      <c r="F865" s="110"/>
      <c r="G865" s="95">
        <f t="shared" si="15"/>
        <v>0.08160673176</v>
      </c>
      <c r="H865" s="96"/>
      <c r="I865" s="93"/>
      <c r="J865" s="115"/>
      <c r="K865" s="115"/>
      <c r="L865" s="93"/>
      <c r="M865" s="93"/>
      <c r="N865" s="93"/>
      <c r="O865" s="56"/>
      <c r="P865" s="56"/>
      <c r="Q865" s="56"/>
      <c r="R865" s="56"/>
      <c r="S865" s="56"/>
      <c r="T865" s="56"/>
      <c r="U865" s="56"/>
      <c r="V865" s="56"/>
    </row>
    <row r="866" ht="18.75" customHeight="1">
      <c r="A866" s="90"/>
      <c r="B866" s="91"/>
      <c r="C866" s="129"/>
      <c r="D866" s="132"/>
      <c r="E866" s="109"/>
      <c r="F866" s="110"/>
      <c r="G866" s="95"/>
      <c r="H866" s="96"/>
      <c r="I866" s="93"/>
      <c r="J866" s="115"/>
      <c r="K866" s="115"/>
      <c r="L866" s="93"/>
      <c r="M866" s="93"/>
      <c r="N866" s="93"/>
      <c r="O866" s="56"/>
      <c r="P866" s="56"/>
      <c r="Q866" s="56"/>
      <c r="R866" s="56"/>
      <c r="S866" s="56"/>
      <c r="T866" s="56"/>
      <c r="U866" s="56"/>
      <c r="V866" s="56"/>
    </row>
    <row r="867" ht="18.75" customHeight="1">
      <c r="A867" s="90"/>
      <c r="B867" s="107" t="s">
        <v>1896</v>
      </c>
      <c r="C867" s="129"/>
      <c r="D867" s="143"/>
      <c r="E867" s="109"/>
      <c r="F867" s="110"/>
      <c r="G867" s="95" t="str">
        <f t="shared" ref="G867:G902" si="16">IFERROR(DIVIDE(MINUS(E867,D867),D867),)</f>
        <v/>
      </c>
      <c r="H867" s="96"/>
      <c r="I867" s="93"/>
      <c r="J867" s="115"/>
      <c r="K867" s="115"/>
      <c r="L867" s="93"/>
      <c r="M867" s="93"/>
      <c r="N867" s="93"/>
      <c r="O867" s="56"/>
      <c r="P867" s="56"/>
      <c r="Q867" s="56"/>
      <c r="R867" s="56"/>
      <c r="S867" s="56"/>
      <c r="T867" s="56"/>
      <c r="U867" s="56"/>
      <c r="V867" s="56"/>
    </row>
    <row r="868" ht="18.75" customHeight="1">
      <c r="A868" s="90"/>
      <c r="B868" s="111">
        <v>327.0</v>
      </c>
      <c r="C868" s="118" t="s">
        <v>1897</v>
      </c>
      <c r="D868" s="52">
        <v>77.52</v>
      </c>
      <c r="E868" s="52">
        <v>82.0</v>
      </c>
      <c r="F868" s="110"/>
      <c r="G868" s="95">
        <f t="shared" si="16"/>
        <v>0.05779153767</v>
      </c>
      <c r="H868" s="122"/>
      <c r="I868" s="93"/>
      <c r="J868" s="115">
        <v>110.0</v>
      </c>
      <c r="K868" s="115">
        <v>220.0</v>
      </c>
      <c r="L868" s="93"/>
      <c r="M868" s="93"/>
      <c r="N868" s="93"/>
      <c r="O868" s="56"/>
      <c r="P868" s="56"/>
      <c r="Q868" s="56"/>
      <c r="R868" s="56"/>
      <c r="S868" s="56"/>
      <c r="T868" s="56"/>
      <c r="U868" s="56"/>
      <c r="V868" s="56"/>
    </row>
    <row r="869" ht="18.75" customHeight="1">
      <c r="A869" s="90"/>
      <c r="B869" s="111">
        <v>328.0</v>
      </c>
      <c r="C869" s="118" t="s">
        <v>1898</v>
      </c>
      <c r="D869" s="52">
        <v>83.64</v>
      </c>
      <c r="E869" s="52">
        <v>88.0</v>
      </c>
      <c r="F869" s="110"/>
      <c r="G869" s="95">
        <f t="shared" si="16"/>
        <v>0.05212816834</v>
      </c>
      <c r="H869" s="122"/>
      <c r="I869" s="93"/>
      <c r="J869" s="115">
        <v>110.0</v>
      </c>
      <c r="K869" s="115">
        <v>220.0</v>
      </c>
      <c r="L869" s="93"/>
      <c r="M869" s="93"/>
      <c r="N869" s="93"/>
      <c r="O869" s="56"/>
      <c r="P869" s="56"/>
      <c r="Q869" s="56"/>
      <c r="R869" s="56"/>
      <c r="S869" s="56"/>
      <c r="T869" s="56"/>
      <c r="U869" s="56"/>
      <c r="V869" s="56"/>
    </row>
    <row r="870" ht="18.75" customHeight="1">
      <c r="A870" s="90"/>
      <c r="B870" s="111">
        <v>329.0</v>
      </c>
      <c r="C870" s="118" t="s">
        <v>1899</v>
      </c>
      <c r="D870" s="52">
        <v>97.59360000000001</v>
      </c>
      <c r="E870" s="52">
        <v>104.0</v>
      </c>
      <c r="F870" s="110"/>
      <c r="G870" s="95">
        <f t="shared" si="16"/>
        <v>0.06564364876</v>
      </c>
      <c r="H870" s="122"/>
      <c r="I870" s="93"/>
      <c r="J870" s="115">
        <v>150.0</v>
      </c>
      <c r="K870" s="115">
        <v>150.0</v>
      </c>
      <c r="L870" s="93"/>
      <c r="M870" s="93"/>
      <c r="N870" s="93"/>
      <c r="O870" s="56"/>
      <c r="P870" s="56"/>
      <c r="Q870" s="56"/>
      <c r="R870" s="56"/>
      <c r="S870" s="56"/>
      <c r="T870" s="56"/>
      <c r="U870" s="56"/>
      <c r="V870" s="56"/>
    </row>
    <row r="871" ht="18.75" customHeight="1">
      <c r="A871" s="90"/>
      <c r="B871" s="111">
        <v>330.0</v>
      </c>
      <c r="C871" s="118" t="s">
        <v>1900</v>
      </c>
      <c r="D871" s="52">
        <v>106.08</v>
      </c>
      <c r="E871" s="52">
        <v>112.0</v>
      </c>
      <c r="F871" s="110"/>
      <c r="G871" s="95">
        <f t="shared" si="16"/>
        <v>0.05580693816</v>
      </c>
      <c r="H871" s="122"/>
      <c r="I871" s="93"/>
      <c r="J871" s="115">
        <v>150.0</v>
      </c>
      <c r="K871" s="115">
        <v>150.0</v>
      </c>
      <c r="L871" s="93"/>
      <c r="M871" s="93"/>
      <c r="N871" s="93"/>
      <c r="O871" s="56"/>
      <c r="P871" s="56"/>
      <c r="Q871" s="56"/>
      <c r="R871" s="56"/>
      <c r="S871" s="56"/>
      <c r="T871" s="56"/>
      <c r="U871" s="56"/>
      <c r="V871" s="56"/>
    </row>
    <row r="872" ht="18.75" customHeight="1">
      <c r="A872" s="90"/>
      <c r="B872" s="111">
        <v>3271.0</v>
      </c>
      <c r="C872" s="118" t="s">
        <v>1901</v>
      </c>
      <c r="D872" s="52">
        <v>132.0</v>
      </c>
      <c r="E872" s="52">
        <v>142.0</v>
      </c>
      <c r="F872" s="110"/>
      <c r="G872" s="95">
        <f t="shared" si="16"/>
        <v>0.07575757576</v>
      </c>
      <c r="H872" s="122"/>
      <c r="I872" s="93"/>
      <c r="J872" s="115">
        <v>150.0</v>
      </c>
      <c r="K872" s="115">
        <v>150.0</v>
      </c>
      <c r="L872" s="93"/>
      <c r="M872" s="93"/>
      <c r="N872" s="93"/>
      <c r="O872" s="56"/>
      <c r="P872" s="56"/>
      <c r="Q872" s="56"/>
      <c r="R872" s="56"/>
      <c r="S872" s="56"/>
      <c r="T872" s="56"/>
      <c r="U872" s="56"/>
      <c r="V872" s="56"/>
    </row>
    <row r="873" ht="18.75" customHeight="1">
      <c r="A873" s="90"/>
      <c r="B873" s="111">
        <v>3281.0</v>
      </c>
      <c r="C873" s="118" t="s">
        <v>1902</v>
      </c>
      <c r="D873" s="52">
        <v>138.0</v>
      </c>
      <c r="E873" s="52">
        <v>148.0</v>
      </c>
      <c r="F873" s="110"/>
      <c r="G873" s="95">
        <f t="shared" si="16"/>
        <v>0.07246376812</v>
      </c>
      <c r="H873" s="122"/>
      <c r="I873" s="93"/>
      <c r="J873" s="115">
        <v>150.0</v>
      </c>
      <c r="K873" s="115">
        <v>150.0</v>
      </c>
      <c r="L873" s="93"/>
      <c r="M873" s="93"/>
      <c r="N873" s="93"/>
      <c r="O873" s="56"/>
      <c r="P873" s="56"/>
      <c r="Q873" s="56"/>
      <c r="R873" s="56"/>
      <c r="S873" s="56"/>
      <c r="T873" s="56"/>
      <c r="U873" s="56"/>
      <c r="V873" s="56"/>
    </row>
    <row r="874" ht="18.75" customHeight="1">
      <c r="A874" s="90"/>
      <c r="B874" s="111">
        <v>3451.0</v>
      </c>
      <c r="C874" s="118" t="s">
        <v>1903</v>
      </c>
      <c r="D874" s="52">
        <v>91.8</v>
      </c>
      <c r="E874" s="52">
        <v>98.0</v>
      </c>
      <c r="F874" s="110"/>
      <c r="G874" s="95">
        <f t="shared" si="16"/>
        <v>0.06753812636</v>
      </c>
      <c r="H874" s="122"/>
      <c r="I874" s="93"/>
      <c r="J874" s="115">
        <v>150.0</v>
      </c>
      <c r="K874" s="115">
        <v>150.0</v>
      </c>
      <c r="L874" s="93"/>
      <c r="M874" s="93"/>
      <c r="N874" s="93"/>
      <c r="O874" s="56"/>
      <c r="P874" s="56"/>
      <c r="Q874" s="56"/>
      <c r="R874" s="56"/>
      <c r="S874" s="56"/>
      <c r="T874" s="56"/>
      <c r="U874" s="56"/>
      <c r="V874" s="56"/>
    </row>
    <row r="875" ht="18.75" customHeight="1">
      <c r="A875" s="90"/>
      <c r="B875" s="111">
        <v>3461.0</v>
      </c>
      <c r="C875" s="118" t="s">
        <v>1904</v>
      </c>
      <c r="D875" s="52">
        <v>106.08</v>
      </c>
      <c r="E875" s="52">
        <v>116.0</v>
      </c>
      <c r="F875" s="110"/>
      <c r="G875" s="95">
        <f t="shared" si="16"/>
        <v>0.09351432881</v>
      </c>
      <c r="H875" s="122"/>
      <c r="I875" s="93"/>
      <c r="J875" s="115">
        <v>150.0</v>
      </c>
      <c r="K875" s="115">
        <v>150.0</v>
      </c>
      <c r="L875" s="93"/>
      <c r="M875" s="93"/>
      <c r="N875" s="93"/>
      <c r="O875" s="56"/>
      <c r="P875" s="56"/>
      <c r="Q875" s="56"/>
      <c r="R875" s="56"/>
      <c r="S875" s="56"/>
      <c r="T875" s="56"/>
      <c r="U875" s="56"/>
      <c r="V875" s="56"/>
    </row>
    <row r="876" ht="18.75" customHeight="1">
      <c r="A876" s="90"/>
      <c r="B876" s="111">
        <v>345.0</v>
      </c>
      <c r="C876" s="118" t="s">
        <v>1905</v>
      </c>
      <c r="D876" s="52">
        <v>152.0</v>
      </c>
      <c r="E876" s="52">
        <v>164.0</v>
      </c>
      <c r="F876" s="110"/>
      <c r="G876" s="95">
        <f t="shared" si="16"/>
        <v>0.07894736842</v>
      </c>
      <c r="H876" s="122"/>
      <c r="I876" s="93"/>
      <c r="J876" s="115">
        <v>100.0</v>
      </c>
      <c r="K876" s="115">
        <v>100.0</v>
      </c>
      <c r="L876" s="93"/>
      <c r="M876" s="93"/>
      <c r="N876" s="93"/>
      <c r="O876" s="56"/>
      <c r="P876" s="56"/>
      <c r="Q876" s="56"/>
      <c r="R876" s="56"/>
      <c r="S876" s="56"/>
      <c r="T876" s="56"/>
      <c r="U876" s="56"/>
      <c r="V876" s="56"/>
    </row>
    <row r="877" ht="18.75" customHeight="1">
      <c r="A877" s="90"/>
      <c r="B877" s="111" t="s">
        <v>1906</v>
      </c>
      <c r="C877" s="118" t="s">
        <v>1907</v>
      </c>
      <c r="D877" s="52">
        <v>601.8</v>
      </c>
      <c r="E877" s="52">
        <v>648.0</v>
      </c>
      <c r="F877" s="110"/>
      <c r="G877" s="95">
        <f t="shared" si="16"/>
        <v>0.07676969093</v>
      </c>
      <c r="H877" s="122"/>
      <c r="I877" s="93"/>
      <c r="J877" s="115">
        <v>12.0</v>
      </c>
      <c r="K877" s="115">
        <v>12.0</v>
      </c>
      <c r="L877" s="93"/>
      <c r="M877" s="93"/>
      <c r="N877" s="93"/>
      <c r="O877" s="56"/>
      <c r="P877" s="56"/>
      <c r="Q877" s="56"/>
      <c r="R877" s="56"/>
      <c r="S877" s="56"/>
      <c r="T877" s="56"/>
      <c r="U877" s="56"/>
      <c r="V877" s="56"/>
    </row>
    <row r="878" ht="18.75" customHeight="1">
      <c r="A878" s="90"/>
      <c r="B878" s="111" t="s">
        <v>1908</v>
      </c>
      <c r="C878" s="118" t="s">
        <v>1909</v>
      </c>
      <c r="D878" s="52">
        <v>844.0</v>
      </c>
      <c r="E878" s="52">
        <v>912.0</v>
      </c>
      <c r="F878" s="110"/>
      <c r="G878" s="95">
        <f t="shared" si="16"/>
        <v>0.08056872038</v>
      </c>
      <c r="H878" s="122"/>
      <c r="I878" s="93"/>
      <c r="J878" s="115">
        <v>12.0</v>
      </c>
      <c r="K878" s="115">
        <v>12.0</v>
      </c>
      <c r="L878" s="93"/>
      <c r="M878" s="93"/>
      <c r="N878" s="93"/>
      <c r="O878" s="56"/>
      <c r="P878" s="56"/>
      <c r="Q878" s="56"/>
      <c r="R878" s="56"/>
      <c r="S878" s="56"/>
      <c r="T878" s="56"/>
      <c r="U878" s="56"/>
      <c r="V878" s="56"/>
    </row>
    <row r="879" ht="18.75" customHeight="1">
      <c r="A879" s="90"/>
      <c r="B879" s="91"/>
      <c r="C879" s="129"/>
      <c r="D879" s="151"/>
      <c r="E879" s="109"/>
      <c r="F879" s="110"/>
      <c r="G879" s="95" t="str">
        <f t="shared" si="16"/>
        <v/>
      </c>
      <c r="H879" s="96"/>
      <c r="I879" s="93"/>
      <c r="J879" s="115"/>
      <c r="K879" s="115"/>
      <c r="L879" s="93"/>
      <c r="M879" s="93"/>
      <c r="N879" s="93"/>
      <c r="O879" s="56"/>
      <c r="P879" s="56"/>
      <c r="Q879" s="56"/>
      <c r="R879" s="56"/>
      <c r="S879" s="56"/>
      <c r="T879" s="56"/>
      <c r="U879" s="56"/>
      <c r="V879" s="56"/>
    </row>
    <row r="880" ht="18.75" customHeight="1">
      <c r="A880" s="90"/>
      <c r="B880" s="107" t="s">
        <v>1910</v>
      </c>
      <c r="C880" s="129"/>
      <c r="D880" s="143"/>
      <c r="E880" s="109"/>
      <c r="F880" s="110"/>
      <c r="G880" s="95" t="str">
        <f t="shared" si="16"/>
        <v/>
      </c>
      <c r="H880" s="96"/>
      <c r="I880" s="93"/>
      <c r="J880" s="115"/>
      <c r="K880" s="115"/>
      <c r="L880" s="93"/>
      <c r="M880" s="93"/>
      <c r="N880" s="93"/>
      <c r="O880" s="56"/>
      <c r="P880" s="56"/>
      <c r="Q880" s="56"/>
      <c r="R880" s="56"/>
      <c r="S880" s="56"/>
      <c r="T880" s="56"/>
      <c r="U880" s="56"/>
      <c r="V880" s="56"/>
    </row>
    <row r="881" ht="18.75" customHeight="1">
      <c r="A881" s="90"/>
      <c r="B881" s="111">
        <v>341.0</v>
      </c>
      <c r="C881" s="118" t="s">
        <v>1911</v>
      </c>
      <c r="D881" s="52">
        <v>89.76</v>
      </c>
      <c r="E881" s="52">
        <v>98.0</v>
      </c>
      <c r="F881" s="110"/>
      <c r="G881" s="95">
        <f t="shared" si="16"/>
        <v>0.09180035651</v>
      </c>
      <c r="H881" s="122"/>
      <c r="I881" s="93"/>
      <c r="J881" s="115">
        <v>150.0</v>
      </c>
      <c r="K881" s="115">
        <v>300.0</v>
      </c>
      <c r="L881" s="134"/>
      <c r="M881" s="134"/>
      <c r="N881" s="93"/>
      <c r="O881" s="56"/>
      <c r="P881" s="56"/>
      <c r="Q881" s="56"/>
      <c r="R881" s="56"/>
      <c r="S881" s="56"/>
      <c r="T881" s="56"/>
      <c r="U881" s="56"/>
      <c r="V881" s="56"/>
    </row>
    <row r="882" ht="18.75" customHeight="1">
      <c r="A882" s="90"/>
      <c r="B882" s="111">
        <v>343.0</v>
      </c>
      <c r="C882" s="118" t="s">
        <v>1912</v>
      </c>
      <c r="D882" s="52">
        <v>169.728</v>
      </c>
      <c r="E882" s="52">
        <v>184.0</v>
      </c>
      <c r="F882" s="110"/>
      <c r="G882" s="95">
        <f t="shared" si="16"/>
        <v>0.08408748115</v>
      </c>
      <c r="H882" s="122"/>
      <c r="I882" s="93"/>
      <c r="J882" s="115">
        <v>110.0</v>
      </c>
      <c r="K882" s="115">
        <v>110.0</v>
      </c>
      <c r="L882" s="134"/>
      <c r="M882" s="134"/>
      <c r="N882" s="93"/>
      <c r="O882" s="56"/>
      <c r="P882" s="56"/>
      <c r="Q882" s="56"/>
      <c r="R882" s="56"/>
      <c r="S882" s="56"/>
      <c r="T882" s="56"/>
      <c r="U882" s="56"/>
      <c r="V882" s="56"/>
    </row>
    <row r="883" ht="18.75" customHeight="1">
      <c r="A883" s="90"/>
      <c r="B883" s="111">
        <v>342.0</v>
      </c>
      <c r="C883" s="118" t="s">
        <v>1913</v>
      </c>
      <c r="D883" s="52">
        <v>138.0</v>
      </c>
      <c r="E883" s="52">
        <v>148.0</v>
      </c>
      <c r="F883" s="110"/>
      <c r="G883" s="95">
        <f t="shared" si="16"/>
        <v>0.07246376812</v>
      </c>
      <c r="H883" s="122"/>
      <c r="I883" s="93"/>
      <c r="J883" s="115">
        <v>100.0</v>
      </c>
      <c r="K883" s="115">
        <v>100.0</v>
      </c>
      <c r="L883" s="134"/>
      <c r="M883" s="134"/>
      <c r="N883" s="93"/>
      <c r="O883" s="56"/>
      <c r="P883" s="56"/>
      <c r="Q883" s="56"/>
      <c r="R883" s="56"/>
      <c r="S883" s="56"/>
      <c r="T883" s="56"/>
      <c r="U883" s="56"/>
      <c r="V883" s="56"/>
    </row>
    <row r="884" ht="18.75" customHeight="1">
      <c r="A884" s="90"/>
      <c r="B884" s="111">
        <v>344.0</v>
      </c>
      <c r="C884" s="118" t="s">
        <v>1914</v>
      </c>
      <c r="D884" s="52">
        <v>252.4704</v>
      </c>
      <c r="E884" s="52">
        <v>274.0</v>
      </c>
      <c r="F884" s="110"/>
      <c r="G884" s="95">
        <f t="shared" si="16"/>
        <v>0.08527573925</v>
      </c>
      <c r="H884" s="122"/>
      <c r="I884" s="93"/>
      <c r="J884" s="115">
        <v>50.0</v>
      </c>
      <c r="K884" s="115">
        <v>50.0</v>
      </c>
      <c r="L884" s="134"/>
      <c r="M884" s="134"/>
      <c r="N884" s="93"/>
      <c r="O884" s="56"/>
      <c r="P884" s="56"/>
      <c r="Q884" s="56"/>
      <c r="R884" s="56"/>
      <c r="S884" s="56"/>
      <c r="T884" s="56"/>
      <c r="U884" s="56"/>
      <c r="V884" s="56"/>
    </row>
    <row r="885" ht="18.75" customHeight="1">
      <c r="A885" s="90"/>
      <c r="B885" s="111">
        <v>360.0</v>
      </c>
      <c r="C885" s="118" t="s">
        <v>1915</v>
      </c>
      <c r="D885" s="52">
        <v>387.6</v>
      </c>
      <c r="E885" s="52">
        <v>418.0</v>
      </c>
      <c r="F885" s="110"/>
      <c r="G885" s="95">
        <f t="shared" si="16"/>
        <v>0.07843137255</v>
      </c>
      <c r="H885" s="122"/>
      <c r="I885" s="93"/>
      <c r="J885" s="115">
        <v>50.0</v>
      </c>
      <c r="K885" s="115">
        <v>50.0</v>
      </c>
      <c r="L885" s="134"/>
      <c r="M885" s="93"/>
      <c r="N885" s="93"/>
      <c r="O885" s="56"/>
      <c r="P885" s="56"/>
      <c r="Q885" s="56"/>
      <c r="R885" s="56"/>
      <c r="S885" s="56"/>
      <c r="T885" s="56"/>
      <c r="U885" s="56"/>
      <c r="V885" s="56"/>
    </row>
    <row r="886" ht="18.75" customHeight="1">
      <c r="A886" s="90"/>
      <c r="B886" s="111">
        <v>361.0</v>
      </c>
      <c r="C886" s="118" t="s">
        <v>1916</v>
      </c>
      <c r="D886" s="52">
        <v>468.0</v>
      </c>
      <c r="E886" s="52">
        <v>506.0</v>
      </c>
      <c r="F886" s="110"/>
      <c r="G886" s="95">
        <f t="shared" si="16"/>
        <v>0.0811965812</v>
      </c>
      <c r="H886" s="122"/>
      <c r="I886" s="93"/>
      <c r="J886" s="115">
        <v>50.0</v>
      </c>
      <c r="K886" s="115">
        <v>50.0</v>
      </c>
      <c r="L886" s="134"/>
      <c r="M886" s="93"/>
      <c r="N886" s="93"/>
      <c r="O886" s="56"/>
      <c r="P886" s="56"/>
      <c r="Q886" s="56"/>
      <c r="R886" s="56"/>
      <c r="S886" s="56"/>
      <c r="T886" s="56"/>
      <c r="U886" s="56"/>
      <c r="V886" s="56"/>
    </row>
    <row r="887" ht="18.75" customHeight="1">
      <c r="A887" s="90"/>
      <c r="B887" s="111">
        <v>362.0</v>
      </c>
      <c r="C887" s="118" t="s">
        <v>1917</v>
      </c>
      <c r="D887" s="52">
        <v>591.6</v>
      </c>
      <c r="E887" s="52">
        <v>638.0</v>
      </c>
      <c r="F887" s="110"/>
      <c r="G887" s="95">
        <f t="shared" si="16"/>
        <v>0.07843137255</v>
      </c>
      <c r="H887" s="122"/>
      <c r="I887" s="93"/>
      <c r="J887" s="115">
        <v>50.0</v>
      </c>
      <c r="K887" s="115">
        <v>50.0</v>
      </c>
      <c r="L887" s="134"/>
      <c r="M887" s="93"/>
      <c r="N887" s="93"/>
      <c r="O887" s="56"/>
      <c r="P887" s="56"/>
      <c r="Q887" s="56"/>
      <c r="R887" s="56"/>
      <c r="S887" s="56"/>
      <c r="T887" s="56"/>
      <c r="U887" s="56"/>
      <c r="V887" s="56"/>
    </row>
    <row r="888" ht="18.75" customHeight="1">
      <c r="A888" s="90"/>
      <c r="B888" s="91"/>
      <c r="C888" s="129"/>
      <c r="D888" s="151"/>
      <c r="E888" s="109"/>
      <c r="F888" s="110"/>
      <c r="G888" s="95" t="str">
        <f t="shared" si="16"/>
        <v/>
      </c>
      <c r="H888" s="96"/>
      <c r="I888" s="93"/>
      <c r="J888" s="115"/>
      <c r="K888" s="115"/>
      <c r="L888" s="93"/>
      <c r="M888" s="93"/>
      <c r="N888" s="93"/>
      <c r="O888" s="56"/>
      <c r="P888" s="56"/>
      <c r="Q888" s="56"/>
      <c r="R888" s="56"/>
      <c r="S888" s="56"/>
      <c r="T888" s="56"/>
      <c r="U888" s="56"/>
      <c r="V888" s="56"/>
    </row>
    <row r="889" ht="18.75" customHeight="1">
      <c r="A889" s="90"/>
      <c r="B889" s="107" t="s">
        <v>1918</v>
      </c>
      <c r="C889" s="129"/>
      <c r="D889" s="143"/>
      <c r="E889" s="109"/>
      <c r="F889" s="110"/>
      <c r="G889" s="95" t="str">
        <f t="shared" si="16"/>
        <v/>
      </c>
      <c r="H889" s="96"/>
      <c r="I889" s="93"/>
      <c r="J889" s="115"/>
      <c r="K889" s="115"/>
      <c r="L889" s="134"/>
      <c r="M889" s="93"/>
      <c r="N889" s="93"/>
      <c r="O889" s="56"/>
      <c r="P889" s="56"/>
      <c r="Q889" s="56"/>
      <c r="R889" s="56"/>
      <c r="S889" s="56"/>
      <c r="T889" s="56"/>
      <c r="U889" s="56"/>
      <c r="V889" s="56"/>
    </row>
    <row r="890" ht="18.75" customHeight="1">
      <c r="A890" s="90"/>
      <c r="B890" s="111">
        <v>3272.0</v>
      </c>
      <c r="C890" s="118" t="s">
        <v>1919</v>
      </c>
      <c r="D890" s="52">
        <v>77.52</v>
      </c>
      <c r="E890" s="52">
        <v>84.0</v>
      </c>
      <c r="F890" s="110"/>
      <c r="G890" s="95">
        <f t="shared" si="16"/>
        <v>0.08359133127</v>
      </c>
      <c r="H890" s="122"/>
      <c r="I890" s="93"/>
      <c r="J890" s="115">
        <v>100.0</v>
      </c>
      <c r="K890" s="115">
        <v>200.0</v>
      </c>
      <c r="L890" s="93"/>
      <c r="M890" s="93"/>
      <c r="N890" s="93"/>
      <c r="O890" s="56"/>
      <c r="P890" s="56"/>
      <c r="Q890" s="56"/>
      <c r="R890" s="56"/>
      <c r="S890" s="56"/>
      <c r="T890" s="56"/>
      <c r="U890" s="56"/>
      <c r="V890" s="56"/>
    </row>
    <row r="891" ht="18.75" customHeight="1">
      <c r="A891" s="90"/>
      <c r="B891" s="251" t="s">
        <v>1920</v>
      </c>
      <c r="C891" s="118" t="s">
        <v>1919</v>
      </c>
      <c r="D891" s="52">
        <v>68.0</v>
      </c>
      <c r="E891" s="52">
        <v>74.0</v>
      </c>
      <c r="F891" s="110"/>
      <c r="G891" s="95">
        <f t="shared" si="16"/>
        <v>0.08823529412</v>
      </c>
      <c r="H891" s="122"/>
      <c r="I891" s="93"/>
      <c r="J891" s="115">
        <v>100.0</v>
      </c>
      <c r="K891" s="115">
        <v>200.0</v>
      </c>
      <c r="L891" s="93"/>
      <c r="M891" s="93"/>
      <c r="N891" s="93"/>
      <c r="O891" s="56"/>
      <c r="P891" s="56"/>
      <c r="Q891" s="56"/>
      <c r="R891" s="56"/>
      <c r="S891" s="56"/>
      <c r="T891" s="56"/>
      <c r="U891" s="56"/>
      <c r="V891" s="56"/>
    </row>
    <row r="892" ht="18.75" customHeight="1">
      <c r="A892" s="90"/>
      <c r="B892" s="111">
        <v>3274.0</v>
      </c>
      <c r="C892" s="118" t="s">
        <v>1921</v>
      </c>
      <c r="D892" s="52">
        <v>89.76</v>
      </c>
      <c r="E892" s="52">
        <v>98.0</v>
      </c>
      <c r="F892" s="110"/>
      <c r="G892" s="95">
        <f t="shared" si="16"/>
        <v>0.09180035651</v>
      </c>
      <c r="H892" s="122"/>
      <c r="I892" s="93"/>
      <c r="J892" s="115">
        <v>100.0</v>
      </c>
      <c r="K892" s="115">
        <v>200.0</v>
      </c>
      <c r="L892" s="93"/>
      <c r="M892" s="93"/>
      <c r="N892" s="93"/>
      <c r="O892" s="56"/>
      <c r="P892" s="56"/>
      <c r="Q892" s="56"/>
      <c r="R892" s="56"/>
      <c r="S892" s="56"/>
      <c r="T892" s="56"/>
      <c r="U892" s="56"/>
      <c r="V892" s="56"/>
    </row>
    <row r="893" ht="18.75" customHeight="1">
      <c r="A893" s="90"/>
      <c r="B893" s="251" t="s">
        <v>1922</v>
      </c>
      <c r="C893" s="118" t="s">
        <v>1921</v>
      </c>
      <c r="D893" s="52">
        <v>83.64</v>
      </c>
      <c r="E893" s="52">
        <v>90.0</v>
      </c>
      <c r="F893" s="110"/>
      <c r="G893" s="95">
        <f t="shared" si="16"/>
        <v>0.07604017217</v>
      </c>
      <c r="H893" s="122"/>
      <c r="I893" s="93"/>
      <c r="J893" s="115">
        <v>100.0</v>
      </c>
      <c r="K893" s="115">
        <v>200.0</v>
      </c>
      <c r="L893" s="93"/>
      <c r="M893" s="93"/>
      <c r="N893" s="93"/>
      <c r="O893" s="56"/>
      <c r="P893" s="56"/>
      <c r="Q893" s="56"/>
      <c r="R893" s="56"/>
      <c r="S893" s="56"/>
      <c r="T893" s="56"/>
      <c r="U893" s="56"/>
      <c r="V893" s="56"/>
    </row>
    <row r="894" ht="18.75" customHeight="1">
      <c r="A894" s="90"/>
      <c r="B894" s="111">
        <v>3273.0</v>
      </c>
      <c r="C894" s="118" t="s">
        <v>1923</v>
      </c>
      <c r="D894" s="52">
        <v>89.76</v>
      </c>
      <c r="E894" s="52">
        <v>98.0</v>
      </c>
      <c r="F894" s="110"/>
      <c r="G894" s="95">
        <f t="shared" si="16"/>
        <v>0.09180035651</v>
      </c>
      <c r="H894" s="122"/>
      <c r="I894" s="93"/>
      <c r="J894" s="115">
        <v>100.0</v>
      </c>
      <c r="K894" s="115">
        <v>200.0</v>
      </c>
      <c r="L894" s="93"/>
      <c r="M894" s="93"/>
      <c r="N894" s="93"/>
      <c r="O894" s="56"/>
      <c r="P894" s="56"/>
      <c r="Q894" s="56"/>
      <c r="R894" s="56"/>
      <c r="S894" s="56"/>
      <c r="T894" s="56"/>
      <c r="U894" s="56"/>
      <c r="V894" s="56"/>
    </row>
    <row r="895" ht="18.75" customHeight="1">
      <c r="A895" s="90"/>
      <c r="B895" s="111">
        <v>3275.0</v>
      </c>
      <c r="C895" s="118" t="s">
        <v>1921</v>
      </c>
      <c r="D895" s="52">
        <v>103.9584</v>
      </c>
      <c r="E895" s="52">
        <v>112.0</v>
      </c>
      <c r="F895" s="110"/>
      <c r="G895" s="95">
        <f t="shared" si="16"/>
        <v>0.07735401853</v>
      </c>
      <c r="H895" s="122"/>
      <c r="I895" s="93"/>
      <c r="J895" s="115">
        <v>100.0</v>
      </c>
      <c r="K895" s="115">
        <v>200.0</v>
      </c>
      <c r="L895" s="93"/>
      <c r="M895" s="93"/>
      <c r="N895" s="93"/>
      <c r="O895" s="56"/>
      <c r="P895" s="56"/>
      <c r="Q895" s="56"/>
      <c r="R895" s="56"/>
      <c r="S895" s="56"/>
      <c r="T895" s="56"/>
      <c r="U895" s="56"/>
      <c r="V895" s="56"/>
    </row>
    <row r="896" ht="18.75" customHeight="1">
      <c r="A896" s="90"/>
      <c r="B896" s="111">
        <v>3276.0</v>
      </c>
      <c r="C896" s="118" t="s">
        <v>1924</v>
      </c>
      <c r="D896" s="52">
        <v>110.3232</v>
      </c>
      <c r="E896" s="52">
        <v>118.0</v>
      </c>
      <c r="F896" s="110"/>
      <c r="G896" s="95">
        <f t="shared" si="16"/>
        <v>0.06958463859</v>
      </c>
      <c r="H896" s="122"/>
      <c r="I896" s="93"/>
      <c r="J896" s="115">
        <v>100.0</v>
      </c>
      <c r="K896" s="115">
        <v>200.0</v>
      </c>
      <c r="L896" s="93"/>
      <c r="M896" s="93"/>
      <c r="N896" s="93"/>
      <c r="O896" s="56"/>
      <c r="P896" s="56"/>
      <c r="Q896" s="56"/>
      <c r="R896" s="56"/>
      <c r="S896" s="56"/>
      <c r="T896" s="56"/>
      <c r="U896" s="56"/>
      <c r="V896" s="56"/>
    </row>
    <row r="897" ht="18.75" customHeight="1">
      <c r="A897" s="90"/>
      <c r="B897" s="111" t="s">
        <v>1925</v>
      </c>
      <c r="C897" s="118" t="s">
        <v>1926</v>
      </c>
      <c r="D897" s="52">
        <v>77.52</v>
      </c>
      <c r="E897" s="52">
        <v>84.0</v>
      </c>
      <c r="F897" s="110"/>
      <c r="G897" s="95">
        <f t="shared" si="16"/>
        <v>0.08359133127</v>
      </c>
      <c r="H897" s="122"/>
      <c r="I897" s="93"/>
      <c r="J897" s="115">
        <v>100.0</v>
      </c>
      <c r="K897" s="115">
        <v>200.0</v>
      </c>
      <c r="L897" s="93"/>
      <c r="M897" s="93"/>
      <c r="N897" s="93"/>
      <c r="O897" s="56"/>
      <c r="P897" s="56"/>
      <c r="Q897" s="56"/>
      <c r="R897" s="56"/>
      <c r="S897" s="56"/>
      <c r="T897" s="56"/>
      <c r="U897" s="56"/>
      <c r="V897" s="56"/>
    </row>
    <row r="898" ht="18.75" customHeight="1">
      <c r="A898" s="90"/>
      <c r="B898" s="111" t="s">
        <v>1927</v>
      </c>
      <c r="C898" s="118" t="s">
        <v>1926</v>
      </c>
      <c r="D898" s="52">
        <v>65.7696</v>
      </c>
      <c r="E898" s="52">
        <v>72.0</v>
      </c>
      <c r="F898" s="110"/>
      <c r="G898" s="95">
        <f t="shared" si="16"/>
        <v>0.09473069625</v>
      </c>
      <c r="H898" s="122"/>
      <c r="I898" s="93"/>
      <c r="J898" s="115">
        <v>100.0</v>
      </c>
      <c r="K898" s="115">
        <v>200.0</v>
      </c>
      <c r="L898" s="93"/>
      <c r="M898" s="93"/>
      <c r="N898" s="93"/>
      <c r="O898" s="56"/>
      <c r="P898" s="56"/>
      <c r="Q898" s="56"/>
      <c r="R898" s="56"/>
      <c r="S898" s="56"/>
      <c r="T898" s="56"/>
      <c r="U898" s="56"/>
      <c r="V898" s="56"/>
    </row>
    <row r="899" ht="18.75" customHeight="1">
      <c r="A899" s="90"/>
      <c r="B899" s="111" t="s">
        <v>1928</v>
      </c>
      <c r="C899" s="118" t="s">
        <v>1929</v>
      </c>
      <c r="D899" s="52">
        <v>94.0</v>
      </c>
      <c r="E899" s="52">
        <v>102.0</v>
      </c>
      <c r="F899" s="110"/>
      <c r="G899" s="95">
        <f t="shared" si="16"/>
        <v>0.08510638298</v>
      </c>
      <c r="H899" s="122"/>
      <c r="I899" s="93"/>
      <c r="J899" s="115">
        <v>100.0</v>
      </c>
      <c r="K899" s="115">
        <v>200.0</v>
      </c>
      <c r="L899" s="93"/>
      <c r="M899" s="93"/>
      <c r="N899" s="93"/>
      <c r="O899" s="56"/>
      <c r="P899" s="56"/>
      <c r="Q899" s="56"/>
      <c r="R899" s="56"/>
      <c r="S899" s="56"/>
      <c r="T899" s="56"/>
      <c r="U899" s="56"/>
      <c r="V899" s="56"/>
    </row>
    <row r="900" ht="18.75" customHeight="1">
      <c r="A900" s="90"/>
      <c r="B900" s="111" t="s">
        <v>1930</v>
      </c>
      <c r="C900" s="118" t="s">
        <v>1929</v>
      </c>
      <c r="D900" s="52">
        <v>85.68</v>
      </c>
      <c r="E900" s="52">
        <v>94.0</v>
      </c>
      <c r="F900" s="110"/>
      <c r="G900" s="95">
        <f t="shared" si="16"/>
        <v>0.09710550887</v>
      </c>
      <c r="H900" s="122"/>
      <c r="I900" s="93"/>
      <c r="J900" s="115">
        <v>100.0</v>
      </c>
      <c r="K900" s="115">
        <v>200.0</v>
      </c>
      <c r="L900" s="93"/>
      <c r="M900" s="93"/>
      <c r="N900" s="93"/>
      <c r="O900" s="56"/>
      <c r="P900" s="56"/>
      <c r="Q900" s="56"/>
      <c r="R900" s="56"/>
      <c r="S900" s="56"/>
      <c r="T900" s="56"/>
      <c r="U900" s="56"/>
      <c r="V900" s="56"/>
    </row>
    <row r="901" ht="18.75" customHeight="1">
      <c r="A901" s="90"/>
      <c r="B901" s="111" t="s">
        <v>1931</v>
      </c>
      <c r="C901" s="118" t="s">
        <v>1929</v>
      </c>
      <c r="D901" s="52">
        <v>110.3232</v>
      </c>
      <c r="E901" s="52">
        <v>118.0</v>
      </c>
      <c r="F901" s="110"/>
      <c r="G901" s="95">
        <f t="shared" si="16"/>
        <v>0.06958463859</v>
      </c>
      <c r="H901" s="122"/>
      <c r="I901" s="93"/>
      <c r="J901" s="115">
        <v>100.0</v>
      </c>
      <c r="K901" s="115">
        <v>200.0</v>
      </c>
      <c r="L901" s="93"/>
      <c r="M901" s="93"/>
      <c r="N901" s="93"/>
      <c r="O901" s="56"/>
      <c r="P901" s="56"/>
      <c r="Q901" s="56"/>
      <c r="R901" s="56"/>
      <c r="S901" s="56"/>
      <c r="T901" s="56"/>
      <c r="U901" s="56"/>
      <c r="V901" s="56"/>
    </row>
    <row r="902" ht="18.75" customHeight="1">
      <c r="A902" s="90"/>
      <c r="B902" s="111">
        <v>3727.0</v>
      </c>
      <c r="C902" s="118" t="s">
        <v>1932</v>
      </c>
      <c r="D902" s="52">
        <v>201.552</v>
      </c>
      <c r="E902" s="52">
        <v>218.0</v>
      </c>
      <c r="F902" s="110"/>
      <c r="G902" s="95">
        <f t="shared" si="16"/>
        <v>0.08160673176</v>
      </c>
      <c r="H902" s="122"/>
      <c r="I902" s="93"/>
      <c r="J902" s="120">
        <v>12.0</v>
      </c>
      <c r="K902" s="120">
        <v>12.0</v>
      </c>
      <c r="L902" s="93"/>
      <c r="M902" s="93"/>
      <c r="N902" s="93"/>
      <c r="O902" s="56"/>
      <c r="P902" s="56"/>
      <c r="Q902" s="56"/>
      <c r="R902" s="56"/>
      <c r="S902" s="56"/>
      <c r="T902" s="56"/>
      <c r="U902" s="56"/>
      <c r="V902" s="56"/>
    </row>
    <row r="903" ht="18.75" customHeight="1">
      <c r="A903" s="90"/>
      <c r="B903" s="126"/>
      <c r="C903" s="252"/>
      <c r="D903" s="109"/>
      <c r="E903" s="109"/>
      <c r="F903" s="110"/>
      <c r="G903" s="95"/>
      <c r="H903" s="122"/>
      <c r="I903" s="109"/>
      <c r="J903" s="120"/>
      <c r="K903" s="120"/>
      <c r="L903" s="93"/>
      <c r="M903" s="93"/>
      <c r="N903" s="93"/>
      <c r="O903" s="56"/>
      <c r="P903" s="56"/>
      <c r="Q903" s="56"/>
      <c r="R903" s="56"/>
      <c r="S903" s="56"/>
      <c r="T903" s="56"/>
      <c r="U903" s="56"/>
      <c r="V903" s="56"/>
    </row>
    <row r="904" ht="18.75" customHeight="1">
      <c r="A904" s="90"/>
      <c r="B904" s="107"/>
      <c r="C904" s="92"/>
      <c r="D904" s="109"/>
      <c r="E904" s="109"/>
      <c r="F904" s="110"/>
      <c r="G904" s="95"/>
      <c r="H904" s="122"/>
      <c r="I904" s="109"/>
      <c r="J904" s="120"/>
      <c r="K904" s="120"/>
      <c r="L904" s="93"/>
      <c r="M904" s="93"/>
      <c r="N904" s="93"/>
      <c r="O904" s="56"/>
      <c r="P904" s="56"/>
      <c r="Q904" s="56"/>
      <c r="R904" s="56"/>
      <c r="S904" s="56"/>
      <c r="T904" s="56"/>
      <c r="U904" s="56"/>
      <c r="V904" s="56"/>
    </row>
    <row r="905" ht="18.75" customHeight="1">
      <c r="A905" s="90"/>
      <c r="B905" s="126"/>
      <c r="C905" s="252"/>
      <c r="D905" s="109"/>
      <c r="E905" s="109"/>
      <c r="F905" s="110"/>
      <c r="G905" s="95"/>
      <c r="H905" s="122"/>
      <c r="I905" s="109"/>
      <c r="J905" s="120"/>
      <c r="K905" s="120"/>
      <c r="L905" s="93"/>
      <c r="M905" s="93"/>
      <c r="N905" s="93"/>
      <c r="O905" s="56"/>
      <c r="P905" s="56"/>
      <c r="Q905" s="56"/>
      <c r="R905" s="56"/>
      <c r="S905" s="56"/>
      <c r="T905" s="56"/>
      <c r="U905" s="56"/>
      <c r="V905" s="56"/>
    </row>
    <row r="906" ht="18.75" customHeight="1">
      <c r="A906" s="90"/>
      <c r="B906" s="126"/>
      <c r="C906" s="252"/>
      <c r="D906" s="109"/>
      <c r="E906" s="109"/>
      <c r="F906" s="110"/>
      <c r="G906" s="95"/>
      <c r="H906" s="122"/>
      <c r="I906" s="109"/>
      <c r="J906" s="120"/>
      <c r="K906" s="120"/>
      <c r="L906" s="93"/>
      <c r="M906" s="93"/>
      <c r="N906" s="93"/>
      <c r="O906" s="56"/>
      <c r="P906" s="56"/>
      <c r="Q906" s="56"/>
      <c r="R906" s="56"/>
      <c r="S906" s="56"/>
      <c r="T906" s="56"/>
      <c r="U906" s="56"/>
      <c r="V906" s="56"/>
    </row>
    <row r="907" ht="18.75" customHeight="1">
      <c r="A907" s="90"/>
      <c r="B907" s="126"/>
      <c r="C907" s="252"/>
      <c r="D907" s="109"/>
      <c r="E907" s="109"/>
      <c r="F907" s="110"/>
      <c r="G907" s="95"/>
      <c r="H907" s="122"/>
      <c r="I907" s="109"/>
      <c r="J907" s="120"/>
      <c r="K907" s="120"/>
      <c r="L907" s="93"/>
      <c r="M907" s="93"/>
      <c r="N907" s="93"/>
      <c r="O907" s="56"/>
      <c r="P907" s="56"/>
      <c r="Q907" s="56"/>
      <c r="R907" s="56"/>
      <c r="S907" s="56"/>
      <c r="T907" s="56"/>
      <c r="U907" s="56"/>
      <c r="V907" s="56"/>
    </row>
    <row r="908" ht="18.75" customHeight="1">
      <c r="A908" s="90"/>
      <c r="B908" s="126"/>
      <c r="C908" s="252"/>
      <c r="D908" s="109"/>
      <c r="E908" s="109"/>
      <c r="F908" s="110"/>
      <c r="G908" s="95"/>
      <c r="H908" s="122"/>
      <c r="I908" s="109"/>
      <c r="J908" s="120"/>
      <c r="K908" s="120"/>
      <c r="L908" s="93"/>
      <c r="M908" s="93"/>
      <c r="N908" s="93"/>
      <c r="O908" s="56"/>
      <c r="P908" s="56"/>
      <c r="Q908" s="56"/>
      <c r="R908" s="56"/>
      <c r="S908" s="56"/>
      <c r="T908" s="56"/>
      <c r="U908" s="56"/>
      <c r="V908" s="56"/>
    </row>
    <row r="909" ht="18.75" customHeight="1">
      <c r="A909" s="90"/>
      <c r="B909" s="126"/>
      <c r="C909" s="252"/>
      <c r="D909" s="109"/>
      <c r="E909" s="109"/>
      <c r="F909" s="110"/>
      <c r="G909" s="95"/>
      <c r="H909" s="122"/>
      <c r="I909" s="109"/>
      <c r="J909" s="120"/>
      <c r="K909" s="120"/>
      <c r="L909" s="93"/>
      <c r="M909" s="93"/>
      <c r="N909" s="93"/>
      <c r="O909" s="56"/>
      <c r="P909" s="56"/>
      <c r="Q909" s="56"/>
      <c r="R909" s="56"/>
      <c r="S909" s="56"/>
      <c r="T909" s="56"/>
      <c r="U909" s="56"/>
      <c r="V909" s="56"/>
    </row>
    <row r="910" ht="18.75" customHeight="1">
      <c r="A910" s="90"/>
      <c r="B910" s="126"/>
      <c r="C910" s="252"/>
      <c r="D910" s="109"/>
      <c r="E910" s="109"/>
      <c r="F910" s="110"/>
      <c r="G910" s="95"/>
      <c r="H910" s="122"/>
      <c r="I910" s="109"/>
      <c r="J910" s="120"/>
      <c r="K910" s="120"/>
      <c r="L910" s="93"/>
      <c r="M910" s="93"/>
      <c r="N910" s="93"/>
      <c r="O910" s="56"/>
      <c r="P910" s="56"/>
      <c r="Q910" s="56"/>
      <c r="R910" s="56"/>
      <c r="S910" s="56"/>
      <c r="T910" s="56"/>
      <c r="U910" s="56"/>
      <c r="V910" s="56"/>
    </row>
    <row r="911" ht="18.75" customHeight="1">
      <c r="A911" s="90"/>
      <c r="B911" s="126"/>
      <c r="C911" s="252"/>
      <c r="D911" s="109"/>
      <c r="E911" s="109"/>
      <c r="F911" s="110"/>
      <c r="G911" s="95"/>
      <c r="H911" s="122"/>
      <c r="I911" s="109"/>
      <c r="J911" s="120"/>
      <c r="K911" s="120"/>
      <c r="L911" s="93"/>
      <c r="M911" s="93"/>
      <c r="N911" s="93"/>
      <c r="O911" s="56"/>
      <c r="P911" s="56"/>
      <c r="Q911" s="56"/>
      <c r="R911" s="56"/>
      <c r="S911" s="56"/>
      <c r="T911" s="56"/>
      <c r="U911" s="56"/>
      <c r="V911" s="56"/>
    </row>
    <row r="912" ht="18.75" customHeight="1">
      <c r="A912" s="90"/>
      <c r="B912" s="126"/>
      <c r="C912" s="252"/>
      <c r="D912" s="109"/>
      <c r="E912" s="109"/>
      <c r="F912" s="110"/>
      <c r="G912" s="95"/>
      <c r="H912" s="122"/>
      <c r="I912" s="109"/>
      <c r="J912" s="120"/>
      <c r="K912" s="120"/>
      <c r="L912" s="93"/>
      <c r="M912" s="93"/>
      <c r="N912" s="93"/>
      <c r="O912" s="56"/>
      <c r="P912" s="56"/>
      <c r="Q912" s="56"/>
      <c r="R912" s="56"/>
      <c r="S912" s="56"/>
      <c r="T912" s="56"/>
      <c r="U912" s="56"/>
      <c r="V912" s="56"/>
    </row>
    <row r="913" ht="18.75" customHeight="1">
      <c r="A913" s="90"/>
      <c r="B913" s="126"/>
      <c r="C913" s="252"/>
      <c r="D913" s="109"/>
      <c r="E913" s="109"/>
      <c r="F913" s="110"/>
      <c r="G913" s="95"/>
      <c r="H913" s="122"/>
      <c r="I913" s="109"/>
      <c r="J913" s="120"/>
      <c r="K913" s="120"/>
      <c r="L913" s="93"/>
      <c r="M913" s="93"/>
      <c r="N913" s="93"/>
      <c r="O913" s="56"/>
      <c r="P913" s="56"/>
      <c r="Q913" s="56"/>
      <c r="R913" s="56"/>
      <c r="S913" s="56"/>
      <c r="T913" s="56"/>
      <c r="U913" s="56"/>
      <c r="V913" s="56"/>
    </row>
    <row r="914" ht="18.75" customHeight="1">
      <c r="A914" s="90"/>
      <c r="B914" s="126"/>
      <c r="C914" s="252"/>
      <c r="D914" s="109"/>
      <c r="E914" s="109"/>
      <c r="F914" s="110"/>
      <c r="G914" s="95"/>
      <c r="H914" s="122"/>
      <c r="I914" s="109"/>
      <c r="J914" s="120"/>
      <c r="K914" s="120"/>
      <c r="L914" s="93"/>
      <c r="M914" s="93"/>
      <c r="N914" s="93"/>
      <c r="O914" s="56"/>
      <c r="P914" s="56"/>
      <c r="Q914" s="56"/>
      <c r="R914" s="56"/>
      <c r="S914" s="56"/>
      <c r="T914" s="56"/>
      <c r="U914" s="56"/>
      <c r="V914" s="56"/>
    </row>
    <row r="915" ht="18.75" customHeight="1">
      <c r="A915" s="90"/>
      <c r="B915" s="126"/>
      <c r="C915" s="252"/>
      <c r="D915" s="109"/>
      <c r="E915" s="109"/>
      <c r="F915" s="110"/>
      <c r="G915" s="95"/>
      <c r="H915" s="122"/>
      <c r="I915" s="109"/>
      <c r="J915" s="120"/>
      <c r="K915" s="120"/>
      <c r="L915" s="93"/>
      <c r="M915" s="93"/>
      <c r="N915" s="93"/>
      <c r="O915" s="56"/>
      <c r="P915" s="56"/>
      <c r="Q915" s="56"/>
      <c r="R915" s="56"/>
      <c r="S915" s="56"/>
      <c r="T915" s="56"/>
      <c r="U915" s="56"/>
      <c r="V915" s="56"/>
    </row>
    <row r="916" ht="18.75" customHeight="1">
      <c r="A916" s="90"/>
      <c r="B916" s="126"/>
      <c r="C916" s="252"/>
      <c r="D916" s="109"/>
      <c r="E916" s="109"/>
      <c r="F916" s="110"/>
      <c r="G916" s="95"/>
      <c r="H916" s="122"/>
      <c r="I916" s="109"/>
      <c r="J916" s="120"/>
      <c r="K916" s="120"/>
      <c r="L916" s="93"/>
      <c r="M916" s="93"/>
      <c r="N916" s="93"/>
      <c r="O916" s="56"/>
      <c r="P916" s="56"/>
      <c r="Q916" s="56"/>
      <c r="R916" s="56"/>
      <c r="S916" s="56"/>
      <c r="T916" s="56"/>
      <c r="U916" s="56"/>
      <c r="V916" s="56"/>
    </row>
    <row r="917" ht="18.75" customHeight="1">
      <c r="A917" s="90"/>
      <c r="B917" s="126"/>
      <c r="C917" s="252"/>
      <c r="D917" s="109"/>
      <c r="E917" s="109"/>
      <c r="F917" s="110"/>
      <c r="G917" s="95"/>
      <c r="H917" s="122"/>
      <c r="I917" s="109"/>
      <c r="J917" s="120"/>
      <c r="K917" s="120"/>
      <c r="L917" s="93"/>
      <c r="M917" s="93"/>
      <c r="N917" s="93"/>
      <c r="O917" s="56"/>
      <c r="P917" s="56"/>
      <c r="Q917" s="56"/>
      <c r="R917" s="56"/>
      <c r="S917" s="56"/>
      <c r="T917" s="56"/>
      <c r="U917" s="56"/>
      <c r="V917" s="56"/>
    </row>
    <row r="918" ht="18.75" customHeight="1">
      <c r="A918" s="90"/>
      <c r="B918" s="126"/>
      <c r="C918" s="252"/>
      <c r="D918" s="109"/>
      <c r="E918" s="109"/>
      <c r="F918" s="110"/>
      <c r="G918" s="95"/>
      <c r="H918" s="122"/>
      <c r="I918" s="109"/>
      <c r="J918" s="120"/>
      <c r="K918" s="120"/>
      <c r="L918" s="93"/>
      <c r="M918" s="93"/>
      <c r="N918" s="93"/>
      <c r="O918" s="56"/>
      <c r="P918" s="56"/>
      <c r="Q918" s="56"/>
      <c r="R918" s="56"/>
      <c r="S918" s="56"/>
      <c r="T918" s="56"/>
      <c r="U918" s="56"/>
      <c r="V918" s="56"/>
    </row>
    <row r="919" ht="18.75" customHeight="1">
      <c r="A919" s="90"/>
      <c r="B919" s="126"/>
      <c r="C919" s="252"/>
      <c r="D919" s="109"/>
      <c r="E919" s="109"/>
      <c r="F919" s="110"/>
      <c r="G919" s="95"/>
      <c r="H919" s="122"/>
      <c r="I919" s="109"/>
      <c r="J919" s="120"/>
      <c r="K919" s="120"/>
      <c r="L919" s="93"/>
      <c r="M919" s="93"/>
      <c r="N919" s="93"/>
      <c r="O919" s="56"/>
      <c r="P919" s="56"/>
      <c r="Q919" s="56"/>
      <c r="R919" s="56"/>
      <c r="S919" s="56"/>
      <c r="T919" s="56"/>
      <c r="U919" s="56"/>
      <c r="V919" s="56"/>
    </row>
    <row r="920" ht="18.75" customHeight="1">
      <c r="A920" s="90"/>
      <c r="B920" s="126"/>
      <c r="C920" s="252"/>
      <c r="D920" s="109"/>
      <c r="E920" s="109"/>
      <c r="F920" s="110"/>
      <c r="G920" s="95"/>
      <c r="H920" s="122"/>
      <c r="I920" s="109"/>
      <c r="J920" s="120"/>
      <c r="K920" s="120"/>
      <c r="L920" s="93"/>
      <c r="M920" s="93"/>
      <c r="N920" s="93"/>
      <c r="O920" s="56"/>
      <c r="P920" s="56"/>
      <c r="Q920" s="56"/>
      <c r="R920" s="56"/>
      <c r="S920" s="56"/>
      <c r="T920" s="56"/>
      <c r="U920" s="56"/>
      <c r="V920" s="56"/>
    </row>
    <row r="921" ht="18.75" customHeight="1">
      <c r="A921" s="90"/>
      <c r="B921" s="126"/>
      <c r="C921" s="252"/>
      <c r="D921" s="109"/>
      <c r="E921" s="109"/>
      <c r="F921" s="110"/>
      <c r="G921" s="95"/>
      <c r="H921" s="122"/>
      <c r="I921" s="109"/>
      <c r="J921" s="120"/>
      <c r="K921" s="120"/>
      <c r="L921" s="93"/>
      <c r="M921" s="93"/>
      <c r="N921" s="93"/>
      <c r="O921" s="56"/>
      <c r="P921" s="56"/>
      <c r="Q921" s="56"/>
      <c r="R921" s="56"/>
      <c r="S921" s="56"/>
      <c r="T921" s="56"/>
      <c r="U921" s="56"/>
      <c r="V921" s="56"/>
    </row>
    <row r="922" ht="18.75" customHeight="1">
      <c r="A922" s="90"/>
      <c r="B922" s="126"/>
      <c r="C922" s="252"/>
      <c r="D922" s="109"/>
      <c r="E922" s="109"/>
      <c r="F922" s="110"/>
      <c r="G922" s="95"/>
      <c r="H922" s="122"/>
      <c r="I922" s="109"/>
      <c r="J922" s="120"/>
      <c r="K922" s="120"/>
      <c r="L922" s="93"/>
      <c r="M922" s="93"/>
      <c r="N922" s="93"/>
      <c r="O922" s="56"/>
      <c r="P922" s="56"/>
      <c r="Q922" s="56"/>
      <c r="R922" s="56"/>
      <c r="S922" s="56"/>
      <c r="T922" s="56"/>
      <c r="U922" s="56"/>
      <c r="V922" s="56"/>
    </row>
    <row r="923" ht="18.75" customHeight="1">
      <c r="A923" s="90"/>
      <c r="B923" s="126"/>
      <c r="C923" s="252"/>
      <c r="D923" s="109"/>
      <c r="E923" s="109"/>
      <c r="F923" s="110"/>
      <c r="G923" s="95"/>
      <c r="H923" s="122"/>
      <c r="I923" s="109"/>
      <c r="J923" s="120"/>
      <c r="K923" s="120"/>
      <c r="L923" s="93"/>
      <c r="M923" s="93"/>
      <c r="N923" s="93"/>
      <c r="O923" s="56"/>
      <c r="P923" s="56"/>
      <c r="Q923" s="56"/>
      <c r="R923" s="56"/>
      <c r="S923" s="56"/>
      <c r="T923" s="56"/>
      <c r="U923" s="56"/>
      <c r="V923" s="56"/>
    </row>
    <row r="924" ht="18.75" customHeight="1">
      <c r="A924" s="90"/>
      <c r="B924" s="126"/>
      <c r="C924" s="252"/>
      <c r="D924" s="109"/>
      <c r="E924" s="109"/>
      <c r="F924" s="110"/>
      <c r="G924" s="95"/>
      <c r="H924" s="122"/>
      <c r="I924" s="109"/>
      <c r="J924" s="120"/>
      <c r="K924" s="120"/>
      <c r="L924" s="93"/>
      <c r="M924" s="93"/>
      <c r="N924" s="93"/>
      <c r="O924" s="56"/>
      <c r="P924" s="56"/>
      <c r="Q924" s="56"/>
      <c r="R924" s="56"/>
      <c r="S924" s="56"/>
      <c r="T924" s="56"/>
      <c r="U924" s="56"/>
      <c r="V924" s="56"/>
    </row>
    <row r="925" ht="18.75" customHeight="1">
      <c r="A925" s="90"/>
      <c r="B925" s="126"/>
      <c r="C925" s="252"/>
      <c r="D925" s="109"/>
      <c r="E925" s="109"/>
      <c r="F925" s="110"/>
      <c r="G925" s="95"/>
      <c r="H925" s="122"/>
      <c r="I925" s="109"/>
      <c r="J925" s="120"/>
      <c r="K925" s="120"/>
      <c r="L925" s="93"/>
      <c r="M925" s="93"/>
      <c r="N925" s="93"/>
      <c r="O925" s="56"/>
      <c r="P925" s="56"/>
      <c r="Q925" s="56"/>
      <c r="R925" s="56"/>
      <c r="S925" s="56"/>
      <c r="T925" s="56"/>
      <c r="U925" s="56"/>
      <c r="V925" s="56"/>
    </row>
    <row r="926" ht="18.75" customHeight="1">
      <c r="A926" s="90"/>
      <c r="B926" s="126"/>
      <c r="C926" s="252"/>
      <c r="D926" s="109"/>
      <c r="E926" s="109"/>
      <c r="F926" s="110"/>
      <c r="G926" s="95"/>
      <c r="H926" s="122"/>
      <c r="I926" s="109"/>
      <c r="J926" s="120"/>
      <c r="K926" s="120"/>
      <c r="L926" s="93"/>
      <c r="M926" s="93"/>
      <c r="N926" s="93"/>
      <c r="O926" s="56"/>
      <c r="P926" s="56"/>
      <c r="Q926" s="56"/>
      <c r="R926" s="56"/>
      <c r="S926" s="56"/>
      <c r="T926" s="56"/>
      <c r="U926" s="56"/>
      <c r="V926" s="56"/>
    </row>
    <row r="927" ht="18.75" customHeight="1">
      <c r="A927" s="90"/>
      <c r="B927" s="126"/>
      <c r="C927" s="252"/>
      <c r="D927" s="109"/>
      <c r="E927" s="109"/>
      <c r="F927" s="110"/>
      <c r="G927" s="95"/>
      <c r="H927" s="122"/>
      <c r="I927" s="109"/>
      <c r="J927" s="120"/>
      <c r="K927" s="120"/>
      <c r="L927" s="93"/>
      <c r="M927" s="93"/>
      <c r="N927" s="93"/>
      <c r="O927" s="56"/>
      <c r="P927" s="56"/>
      <c r="Q927" s="56"/>
      <c r="R927" s="56"/>
      <c r="S927" s="56"/>
      <c r="T927" s="56"/>
      <c r="U927" s="56"/>
      <c r="V927" s="56"/>
    </row>
    <row r="928" ht="18.75" customHeight="1">
      <c r="A928" s="90"/>
      <c r="B928" s="126"/>
      <c r="C928" s="252"/>
      <c r="D928" s="109"/>
      <c r="E928" s="109"/>
      <c r="F928" s="110"/>
      <c r="G928" s="95"/>
      <c r="H928" s="122"/>
      <c r="I928" s="109"/>
      <c r="J928" s="120"/>
      <c r="K928" s="120"/>
      <c r="L928" s="93"/>
      <c r="M928" s="93"/>
      <c r="N928" s="93"/>
      <c r="O928" s="56"/>
      <c r="P928" s="56"/>
      <c r="Q928" s="56"/>
      <c r="R928" s="56"/>
      <c r="S928" s="56"/>
      <c r="T928" s="56"/>
      <c r="U928" s="56"/>
      <c r="V928" s="56"/>
    </row>
    <row r="929" ht="18.75" customHeight="1">
      <c r="A929" s="90"/>
      <c r="B929" s="126"/>
      <c r="C929" s="252"/>
      <c r="D929" s="109"/>
      <c r="E929" s="109"/>
      <c r="F929" s="110"/>
      <c r="G929" s="95"/>
      <c r="H929" s="122"/>
      <c r="I929" s="109"/>
      <c r="J929" s="120"/>
      <c r="K929" s="120"/>
      <c r="L929" s="93"/>
      <c r="M929" s="93"/>
      <c r="N929" s="93"/>
      <c r="O929" s="56"/>
      <c r="P929" s="56"/>
      <c r="Q929" s="56"/>
      <c r="R929" s="56"/>
      <c r="S929" s="56"/>
      <c r="T929" s="56"/>
      <c r="U929" s="56"/>
      <c r="V929" s="56"/>
    </row>
    <row r="930" ht="18.75" customHeight="1">
      <c r="A930" s="90"/>
      <c r="B930" s="126"/>
      <c r="C930" s="252"/>
      <c r="D930" s="109"/>
      <c r="E930" s="109"/>
      <c r="F930" s="110"/>
      <c r="G930" s="95"/>
      <c r="H930" s="122"/>
      <c r="I930" s="109"/>
      <c r="J930" s="120"/>
      <c r="K930" s="120"/>
      <c r="L930" s="93"/>
      <c r="M930" s="93"/>
      <c r="N930" s="93"/>
      <c r="O930" s="56"/>
      <c r="P930" s="56"/>
      <c r="Q930" s="56"/>
      <c r="R930" s="56"/>
      <c r="S930" s="56"/>
      <c r="T930" s="56"/>
      <c r="U930" s="56"/>
      <c r="V930" s="56"/>
    </row>
    <row r="931" ht="18.75" customHeight="1">
      <c r="A931" s="90"/>
      <c r="B931" s="126"/>
      <c r="C931" s="252"/>
      <c r="D931" s="109"/>
      <c r="E931" s="109"/>
      <c r="F931" s="110"/>
      <c r="G931" s="95"/>
      <c r="H931" s="122"/>
      <c r="I931" s="109"/>
      <c r="J931" s="120"/>
      <c r="K931" s="120"/>
      <c r="L931" s="93"/>
      <c r="M931" s="93"/>
      <c r="N931" s="93"/>
      <c r="O931" s="56"/>
      <c r="P931" s="56"/>
      <c r="Q931" s="56"/>
      <c r="R931" s="56"/>
      <c r="S931" s="56"/>
      <c r="T931" s="56"/>
      <c r="U931" s="56"/>
      <c r="V931" s="56"/>
    </row>
    <row r="932" ht="18.75" customHeight="1">
      <c r="A932" s="90"/>
      <c r="B932" s="126"/>
      <c r="C932" s="252"/>
      <c r="D932" s="109"/>
      <c r="E932" s="109"/>
      <c r="F932" s="110"/>
      <c r="G932" s="95"/>
      <c r="H932" s="122"/>
      <c r="I932" s="109"/>
      <c r="J932" s="120"/>
      <c r="K932" s="120"/>
      <c r="L932" s="93"/>
      <c r="M932" s="93"/>
      <c r="N932" s="93"/>
      <c r="O932" s="56"/>
      <c r="P932" s="56"/>
      <c r="Q932" s="56"/>
      <c r="R932" s="56"/>
      <c r="S932" s="56"/>
      <c r="T932" s="56"/>
      <c r="U932" s="56"/>
      <c r="V932" s="56"/>
    </row>
    <row r="933" ht="18.75" customHeight="1">
      <c r="A933" s="90"/>
      <c r="B933" s="126"/>
      <c r="C933" s="252"/>
      <c r="D933" s="109"/>
      <c r="E933" s="109"/>
      <c r="F933" s="110"/>
      <c r="G933" s="95"/>
      <c r="H933" s="122"/>
      <c r="I933" s="109"/>
      <c r="J933" s="120"/>
      <c r="K933" s="120"/>
      <c r="L933" s="93"/>
      <c r="M933" s="93"/>
      <c r="N933" s="93"/>
      <c r="O933" s="56"/>
      <c r="P933" s="56"/>
      <c r="Q933" s="56"/>
      <c r="R933" s="56"/>
      <c r="S933" s="56"/>
      <c r="T933" s="56"/>
      <c r="U933" s="56"/>
      <c r="V933" s="56"/>
    </row>
    <row r="934" ht="18.75" customHeight="1">
      <c r="A934" s="90"/>
      <c r="B934" s="126"/>
      <c r="C934" s="252"/>
      <c r="D934" s="109"/>
      <c r="E934" s="109"/>
      <c r="F934" s="110"/>
      <c r="G934" s="95"/>
      <c r="H934" s="122"/>
      <c r="I934" s="109"/>
      <c r="J934" s="120"/>
      <c r="K934" s="120"/>
      <c r="L934" s="93"/>
      <c r="M934" s="93"/>
      <c r="N934" s="93"/>
      <c r="O934" s="56"/>
      <c r="P934" s="56"/>
      <c r="Q934" s="56"/>
      <c r="R934" s="56"/>
      <c r="S934" s="56"/>
      <c r="T934" s="56"/>
      <c r="U934" s="56"/>
      <c r="V934" s="56"/>
    </row>
    <row r="935" ht="18.75" customHeight="1">
      <c r="A935" s="90"/>
      <c r="B935" s="126"/>
      <c r="C935" s="252"/>
      <c r="D935" s="109"/>
      <c r="E935" s="109"/>
      <c r="F935" s="110"/>
      <c r="G935" s="95"/>
      <c r="H935" s="122"/>
      <c r="I935" s="109"/>
      <c r="J935" s="120"/>
      <c r="K935" s="120"/>
      <c r="L935" s="93"/>
      <c r="M935" s="93"/>
      <c r="N935" s="93"/>
      <c r="O935" s="56"/>
      <c r="P935" s="56"/>
      <c r="Q935" s="56"/>
      <c r="R935" s="56"/>
      <c r="S935" s="56"/>
      <c r="T935" s="56"/>
      <c r="U935" s="56"/>
      <c r="V935" s="56"/>
    </row>
    <row r="936" ht="18.75" customHeight="1">
      <c r="A936" s="90"/>
      <c r="B936" s="126"/>
      <c r="C936" s="252"/>
      <c r="D936" s="109"/>
      <c r="E936" s="109"/>
      <c r="F936" s="110"/>
      <c r="G936" s="95"/>
      <c r="H936" s="122"/>
      <c r="I936" s="109"/>
      <c r="J936" s="120"/>
      <c r="K936" s="120"/>
      <c r="L936" s="93"/>
      <c r="M936" s="93"/>
      <c r="N936" s="93"/>
      <c r="O936" s="56"/>
      <c r="P936" s="56"/>
      <c r="Q936" s="56"/>
      <c r="R936" s="56"/>
      <c r="S936" s="56"/>
      <c r="T936" s="56"/>
      <c r="U936" s="56"/>
      <c r="V936" s="56"/>
    </row>
    <row r="937" ht="18.75" customHeight="1">
      <c r="A937" s="90"/>
      <c r="B937" s="126"/>
      <c r="C937" s="252"/>
      <c r="D937" s="109"/>
      <c r="E937" s="109"/>
      <c r="F937" s="110"/>
      <c r="G937" s="95"/>
      <c r="H937" s="122"/>
      <c r="I937" s="109"/>
      <c r="J937" s="120"/>
      <c r="K937" s="120"/>
      <c r="L937" s="93"/>
      <c r="M937" s="93"/>
      <c r="N937" s="93"/>
      <c r="O937" s="56"/>
      <c r="P937" s="56"/>
      <c r="Q937" s="56"/>
      <c r="R937" s="56"/>
      <c r="S937" s="56"/>
      <c r="T937" s="56"/>
      <c r="U937" s="56"/>
      <c r="V937" s="56"/>
    </row>
    <row r="938" ht="18.75" customHeight="1">
      <c r="A938" s="90"/>
      <c r="B938" s="126"/>
      <c r="C938" s="252"/>
      <c r="D938" s="109"/>
      <c r="E938" s="109"/>
      <c r="F938" s="110"/>
      <c r="G938" s="95"/>
      <c r="H938" s="122"/>
      <c r="I938" s="109"/>
      <c r="J938" s="120"/>
      <c r="K938" s="120"/>
      <c r="L938" s="93"/>
      <c r="M938" s="93"/>
      <c r="N938" s="93"/>
      <c r="O938" s="56"/>
      <c r="P938" s="56"/>
      <c r="Q938" s="56"/>
      <c r="R938" s="56"/>
      <c r="S938" s="56"/>
      <c r="T938" s="56"/>
      <c r="U938" s="56"/>
      <c r="V938" s="56"/>
    </row>
    <row r="939" ht="18.75" customHeight="1">
      <c r="A939" s="90"/>
      <c r="B939" s="126"/>
      <c r="C939" s="252"/>
      <c r="D939" s="109"/>
      <c r="E939" s="109"/>
      <c r="F939" s="110"/>
      <c r="G939" s="95"/>
      <c r="H939" s="122"/>
      <c r="I939" s="109"/>
      <c r="J939" s="120"/>
      <c r="K939" s="120"/>
      <c r="L939" s="93"/>
      <c r="M939" s="93"/>
      <c r="N939" s="93"/>
      <c r="O939" s="56"/>
      <c r="P939" s="56"/>
      <c r="Q939" s="56"/>
      <c r="R939" s="56"/>
      <c r="S939" s="56"/>
      <c r="T939" s="56"/>
      <c r="U939" s="56"/>
      <c r="V939" s="56"/>
    </row>
    <row r="940" ht="18.75" customHeight="1">
      <c r="A940" s="90"/>
      <c r="B940" s="126"/>
      <c r="C940" s="252"/>
      <c r="D940" s="109"/>
      <c r="E940" s="109"/>
      <c r="F940" s="110"/>
      <c r="G940" s="95"/>
      <c r="H940" s="122"/>
      <c r="I940" s="109"/>
      <c r="J940" s="120"/>
      <c r="K940" s="120"/>
      <c r="L940" s="93"/>
      <c r="M940" s="93"/>
      <c r="N940" s="93"/>
      <c r="O940" s="56"/>
      <c r="P940" s="56"/>
      <c r="Q940" s="56"/>
      <c r="R940" s="56"/>
      <c r="S940" s="56"/>
      <c r="T940" s="56"/>
      <c r="U940" s="56"/>
      <c r="V940" s="56"/>
    </row>
    <row r="941" ht="18.75" customHeight="1">
      <c r="A941" s="90"/>
      <c r="B941" s="126"/>
      <c r="C941" s="252"/>
      <c r="D941" s="109"/>
      <c r="E941" s="109"/>
      <c r="F941" s="110"/>
      <c r="G941" s="95"/>
      <c r="H941" s="122"/>
      <c r="I941" s="109"/>
      <c r="J941" s="120"/>
      <c r="K941" s="120"/>
      <c r="L941" s="93"/>
      <c r="M941" s="93"/>
      <c r="N941" s="93"/>
      <c r="O941" s="56"/>
      <c r="P941" s="56"/>
      <c r="Q941" s="56"/>
      <c r="R941" s="56"/>
      <c r="S941" s="56"/>
      <c r="T941" s="56"/>
      <c r="U941" s="56"/>
      <c r="V941" s="56"/>
    </row>
    <row r="942" ht="18.75" customHeight="1">
      <c r="A942" s="90"/>
      <c r="B942" s="126"/>
      <c r="C942" s="252"/>
      <c r="D942" s="109"/>
      <c r="E942" s="109"/>
      <c r="F942" s="110"/>
      <c r="G942" s="95"/>
      <c r="H942" s="122"/>
      <c r="I942" s="109"/>
      <c r="J942" s="120"/>
      <c r="K942" s="120"/>
      <c r="L942" s="93"/>
      <c r="M942" s="93"/>
      <c r="N942" s="93"/>
      <c r="O942" s="56"/>
      <c r="P942" s="56"/>
      <c r="Q942" s="56"/>
      <c r="R942" s="56"/>
      <c r="S942" s="56"/>
      <c r="T942" s="56"/>
      <c r="U942" s="56"/>
      <c r="V942" s="56"/>
    </row>
    <row r="943" ht="18.75" customHeight="1">
      <c r="A943" s="90"/>
      <c r="B943" s="126"/>
      <c r="C943" s="252"/>
      <c r="D943" s="109"/>
      <c r="E943" s="109"/>
      <c r="F943" s="110"/>
      <c r="G943" s="95"/>
      <c r="H943" s="122"/>
      <c r="I943" s="109"/>
      <c r="J943" s="120"/>
      <c r="K943" s="120"/>
      <c r="L943" s="93"/>
      <c r="M943" s="93"/>
      <c r="N943" s="93"/>
      <c r="O943" s="56"/>
      <c r="P943" s="56"/>
      <c r="Q943" s="56"/>
      <c r="R943" s="56"/>
      <c r="S943" s="56"/>
      <c r="T943" s="56"/>
      <c r="U943" s="56"/>
      <c r="V943" s="56"/>
    </row>
    <row r="944" ht="18.75" customHeight="1">
      <c r="A944" s="90"/>
      <c r="B944" s="126"/>
      <c r="C944" s="252"/>
      <c r="D944" s="109"/>
      <c r="E944" s="109"/>
      <c r="F944" s="110"/>
      <c r="G944" s="95"/>
      <c r="H944" s="122"/>
      <c r="I944" s="109"/>
      <c r="J944" s="120"/>
      <c r="K944" s="120"/>
      <c r="L944" s="93"/>
      <c r="M944" s="93"/>
      <c r="N944" s="93"/>
      <c r="O944" s="56"/>
      <c r="P944" s="56"/>
      <c r="Q944" s="56"/>
      <c r="R944" s="56"/>
      <c r="S944" s="56"/>
      <c r="T944" s="56"/>
      <c r="U944" s="56"/>
      <c r="V944" s="56"/>
    </row>
    <row r="945" ht="18.75" customHeight="1">
      <c r="A945" s="90"/>
      <c r="B945" s="126"/>
      <c r="C945" s="252"/>
      <c r="D945" s="109"/>
      <c r="E945" s="109"/>
      <c r="F945" s="110"/>
      <c r="G945" s="95"/>
      <c r="H945" s="122"/>
      <c r="I945" s="109"/>
      <c r="J945" s="120"/>
      <c r="K945" s="120"/>
      <c r="L945" s="93"/>
      <c r="M945" s="93"/>
      <c r="N945" s="93"/>
      <c r="O945" s="56"/>
      <c r="P945" s="56"/>
      <c r="Q945" s="56"/>
      <c r="R945" s="56"/>
      <c r="S945" s="56"/>
      <c r="T945" s="56"/>
      <c r="U945" s="56"/>
      <c r="V945" s="56"/>
    </row>
    <row r="946" ht="18.75" customHeight="1">
      <c r="A946" s="90"/>
      <c r="B946" s="126"/>
      <c r="C946" s="252"/>
      <c r="D946" s="109"/>
      <c r="E946" s="109"/>
      <c r="F946" s="110"/>
      <c r="G946" s="95"/>
      <c r="H946" s="122"/>
      <c r="I946" s="109"/>
      <c r="J946" s="120"/>
      <c r="K946" s="120"/>
      <c r="L946" s="93"/>
      <c r="M946" s="93"/>
      <c r="N946" s="93"/>
      <c r="O946" s="56"/>
      <c r="P946" s="56"/>
      <c r="Q946" s="56"/>
      <c r="R946" s="56"/>
      <c r="S946" s="56"/>
      <c r="T946" s="56"/>
      <c r="U946" s="56"/>
      <c r="V946" s="56"/>
    </row>
    <row r="947" ht="18.75" customHeight="1">
      <c r="A947" s="90"/>
      <c r="B947" s="126"/>
      <c r="C947" s="252"/>
      <c r="D947" s="109"/>
      <c r="E947" s="109"/>
      <c r="F947" s="110"/>
      <c r="G947" s="95"/>
      <c r="H947" s="122"/>
      <c r="I947" s="109"/>
      <c r="J947" s="120"/>
      <c r="K947" s="120"/>
      <c r="L947" s="93"/>
      <c r="M947" s="93"/>
      <c r="N947" s="93"/>
      <c r="O947" s="56"/>
      <c r="P947" s="56"/>
      <c r="Q947" s="56"/>
      <c r="R947" s="56"/>
      <c r="S947" s="56"/>
      <c r="T947" s="56"/>
      <c r="U947" s="56"/>
      <c r="V947" s="56"/>
    </row>
    <row r="948" ht="18.75" customHeight="1">
      <c r="A948" s="90"/>
      <c r="B948" s="126"/>
      <c r="C948" s="252"/>
      <c r="D948" s="109"/>
      <c r="E948" s="109"/>
      <c r="F948" s="110"/>
      <c r="G948" s="95"/>
      <c r="H948" s="122"/>
      <c r="I948" s="109"/>
      <c r="J948" s="120"/>
      <c r="K948" s="120"/>
      <c r="L948" s="93"/>
      <c r="M948" s="93"/>
      <c r="N948" s="93"/>
      <c r="O948" s="56"/>
      <c r="P948" s="56"/>
      <c r="Q948" s="56"/>
      <c r="R948" s="56"/>
      <c r="S948" s="56"/>
      <c r="T948" s="56"/>
      <c r="U948" s="56"/>
      <c r="V948" s="56"/>
    </row>
    <row r="949" ht="18.75" customHeight="1">
      <c r="A949" s="90"/>
      <c r="B949" s="126"/>
      <c r="C949" s="252"/>
      <c r="D949" s="109"/>
      <c r="E949" s="109"/>
      <c r="F949" s="110"/>
      <c r="G949" s="95"/>
      <c r="H949" s="122"/>
      <c r="I949" s="109"/>
      <c r="J949" s="120"/>
      <c r="K949" s="120"/>
      <c r="L949" s="93"/>
      <c r="M949" s="93"/>
      <c r="N949" s="93"/>
      <c r="O949" s="56"/>
      <c r="P949" s="56"/>
      <c r="Q949" s="56"/>
      <c r="R949" s="56"/>
      <c r="S949" s="56"/>
      <c r="T949" s="56"/>
      <c r="U949" s="56"/>
      <c r="V949" s="56"/>
    </row>
    <row r="950" ht="18.75" customHeight="1">
      <c r="A950" s="90"/>
      <c r="B950" s="126"/>
      <c r="C950" s="252"/>
      <c r="D950" s="109"/>
      <c r="E950" s="109"/>
      <c r="F950" s="110"/>
      <c r="G950" s="95"/>
      <c r="H950" s="122"/>
      <c r="I950" s="109"/>
      <c r="J950" s="120"/>
      <c r="K950" s="120"/>
      <c r="L950" s="93"/>
      <c r="M950" s="93"/>
      <c r="N950" s="93"/>
      <c r="O950" s="56"/>
      <c r="P950" s="56"/>
      <c r="Q950" s="56"/>
      <c r="R950" s="56"/>
      <c r="S950" s="56"/>
      <c r="T950" s="56"/>
      <c r="U950" s="56"/>
      <c r="V950" s="56"/>
    </row>
    <row r="951" ht="18.75" customHeight="1">
      <c r="A951" s="90"/>
      <c r="B951" s="126"/>
      <c r="C951" s="252"/>
      <c r="D951" s="109"/>
      <c r="E951" s="109"/>
      <c r="F951" s="110"/>
      <c r="G951" s="95"/>
      <c r="H951" s="122"/>
      <c r="I951" s="109"/>
      <c r="J951" s="120"/>
      <c r="K951" s="120"/>
      <c r="L951" s="93"/>
      <c r="M951" s="93"/>
      <c r="N951" s="93"/>
      <c r="O951" s="56"/>
      <c r="P951" s="56"/>
      <c r="Q951" s="56"/>
      <c r="R951" s="56"/>
      <c r="S951" s="56"/>
      <c r="T951" s="56"/>
      <c r="U951" s="56"/>
      <c r="V951" s="56"/>
    </row>
    <row r="952" ht="18.75" customHeight="1">
      <c r="A952" s="90"/>
      <c r="B952" s="126"/>
      <c r="C952" s="252"/>
      <c r="D952" s="109"/>
      <c r="E952" s="109"/>
      <c r="F952" s="110"/>
      <c r="G952" s="95"/>
      <c r="H952" s="122"/>
      <c r="I952" s="109"/>
      <c r="J952" s="120"/>
      <c r="K952" s="120"/>
      <c r="L952" s="93"/>
      <c r="M952" s="93"/>
      <c r="N952" s="93"/>
      <c r="O952" s="56"/>
      <c r="P952" s="56"/>
      <c r="Q952" s="56"/>
      <c r="R952" s="56"/>
      <c r="S952" s="56"/>
      <c r="T952" s="56"/>
      <c r="U952" s="56"/>
      <c r="V952" s="56"/>
    </row>
    <row r="953" ht="18.75" customHeight="1">
      <c r="A953" s="90"/>
      <c r="B953" s="126"/>
      <c r="C953" s="252"/>
      <c r="D953" s="109"/>
      <c r="E953" s="109"/>
      <c r="F953" s="110"/>
      <c r="G953" s="95"/>
      <c r="H953" s="122"/>
      <c r="I953" s="109"/>
      <c r="J953" s="120"/>
      <c r="K953" s="120"/>
      <c r="L953" s="93"/>
      <c r="M953" s="93"/>
      <c r="N953" s="93"/>
      <c r="O953" s="56"/>
      <c r="P953" s="56"/>
      <c r="Q953" s="56"/>
      <c r="R953" s="56"/>
      <c r="S953" s="56"/>
      <c r="T953" s="56"/>
      <c r="U953" s="56"/>
      <c r="V953" s="56"/>
    </row>
    <row r="954" ht="18.75" customHeight="1">
      <c r="A954" s="90"/>
      <c r="B954" s="126"/>
      <c r="C954" s="252"/>
      <c r="D954" s="109"/>
      <c r="E954" s="109"/>
      <c r="F954" s="110"/>
      <c r="G954" s="95"/>
      <c r="H954" s="122"/>
      <c r="I954" s="109"/>
      <c r="J954" s="120"/>
      <c r="K954" s="120"/>
      <c r="L954" s="93"/>
      <c r="M954" s="93"/>
      <c r="N954" s="93"/>
      <c r="O954" s="56"/>
      <c r="P954" s="56"/>
      <c r="Q954" s="56"/>
      <c r="R954" s="56"/>
      <c r="S954" s="56"/>
      <c r="T954" s="56"/>
      <c r="U954" s="56"/>
      <c r="V954" s="56"/>
    </row>
    <row r="955" ht="18.75" customHeight="1">
      <c r="A955" s="90"/>
      <c r="B955" s="126"/>
      <c r="C955" s="252"/>
      <c r="D955" s="109"/>
      <c r="E955" s="109"/>
      <c r="F955" s="110"/>
      <c r="G955" s="95"/>
      <c r="H955" s="122"/>
      <c r="I955" s="109"/>
      <c r="J955" s="120"/>
      <c r="K955" s="120"/>
      <c r="L955" s="93"/>
      <c r="M955" s="93"/>
      <c r="N955" s="93"/>
      <c r="O955" s="56"/>
      <c r="P955" s="56"/>
      <c r="Q955" s="56"/>
      <c r="R955" s="56"/>
      <c r="S955" s="56"/>
      <c r="T955" s="56"/>
      <c r="U955" s="56"/>
      <c r="V955" s="56"/>
    </row>
    <row r="956" ht="18.75" customHeight="1">
      <c r="A956" s="90"/>
      <c r="B956" s="126"/>
      <c r="C956" s="252"/>
      <c r="D956" s="109"/>
      <c r="E956" s="109"/>
      <c r="F956" s="110"/>
      <c r="G956" s="95"/>
      <c r="H956" s="122"/>
      <c r="I956" s="109"/>
      <c r="J956" s="120"/>
      <c r="K956" s="120"/>
      <c r="L956" s="93"/>
      <c r="M956" s="93"/>
      <c r="N956" s="93"/>
      <c r="O956" s="56"/>
      <c r="P956" s="56"/>
      <c r="Q956" s="56"/>
      <c r="R956" s="56"/>
      <c r="S956" s="56"/>
      <c r="T956" s="56"/>
      <c r="U956" s="56"/>
      <c r="V956" s="56"/>
    </row>
    <row r="957" ht="18.75" customHeight="1">
      <c r="A957" s="90"/>
      <c r="B957" s="126"/>
      <c r="C957" s="252"/>
      <c r="D957" s="109"/>
      <c r="E957" s="109"/>
      <c r="F957" s="110"/>
      <c r="G957" s="95"/>
      <c r="H957" s="122"/>
      <c r="I957" s="109"/>
      <c r="J957" s="120"/>
      <c r="K957" s="120"/>
      <c r="L957" s="93"/>
      <c r="M957" s="93"/>
      <c r="N957" s="93"/>
      <c r="O957" s="56"/>
      <c r="P957" s="56"/>
      <c r="Q957" s="56"/>
      <c r="R957" s="56"/>
      <c r="S957" s="56"/>
      <c r="T957" s="56"/>
      <c r="U957" s="56"/>
      <c r="V957" s="56"/>
    </row>
    <row r="958" ht="18.75" customHeight="1">
      <c r="A958" s="90"/>
      <c r="B958" s="126"/>
      <c r="C958" s="252"/>
      <c r="D958" s="109"/>
      <c r="E958" s="109"/>
      <c r="F958" s="110"/>
      <c r="G958" s="95"/>
      <c r="H958" s="122"/>
      <c r="I958" s="109"/>
      <c r="J958" s="120"/>
      <c r="K958" s="120"/>
      <c r="L958" s="93"/>
      <c r="M958" s="93"/>
      <c r="N958" s="93"/>
      <c r="O958" s="56"/>
      <c r="P958" s="56"/>
      <c r="Q958" s="56"/>
      <c r="R958" s="56"/>
      <c r="S958" s="56"/>
      <c r="T958" s="56"/>
      <c r="U958" s="56"/>
      <c r="V958" s="56"/>
    </row>
    <row r="959" ht="18.75" customHeight="1">
      <c r="A959" s="90"/>
      <c r="B959" s="126"/>
      <c r="C959" s="252"/>
      <c r="D959" s="109"/>
      <c r="E959" s="109"/>
      <c r="F959" s="110"/>
      <c r="G959" s="95"/>
      <c r="H959" s="122"/>
      <c r="I959" s="109"/>
      <c r="J959" s="120"/>
      <c r="K959" s="120"/>
      <c r="L959" s="93"/>
      <c r="M959" s="93"/>
      <c r="N959" s="93"/>
      <c r="O959" s="56"/>
      <c r="P959" s="56"/>
      <c r="Q959" s="56"/>
      <c r="R959" s="56"/>
      <c r="S959" s="56"/>
      <c r="T959" s="56"/>
      <c r="U959" s="56"/>
      <c r="V959" s="56"/>
    </row>
    <row r="960" ht="18.75" customHeight="1">
      <c r="A960" s="90"/>
      <c r="B960" s="126"/>
      <c r="C960" s="252"/>
      <c r="D960" s="109"/>
      <c r="E960" s="109"/>
      <c r="F960" s="110"/>
      <c r="G960" s="95"/>
      <c r="H960" s="122"/>
      <c r="I960" s="109"/>
      <c r="J960" s="120"/>
      <c r="K960" s="120"/>
      <c r="L960" s="93"/>
      <c r="M960" s="93"/>
      <c r="N960" s="93"/>
      <c r="O960" s="56"/>
      <c r="P960" s="56"/>
      <c r="Q960" s="56"/>
      <c r="R960" s="56"/>
      <c r="S960" s="56"/>
      <c r="T960" s="56"/>
      <c r="U960" s="56"/>
      <c r="V960" s="56"/>
    </row>
    <row r="961" ht="18.75" customHeight="1">
      <c r="A961" s="90"/>
      <c r="B961" s="126"/>
      <c r="C961" s="252"/>
      <c r="D961" s="109"/>
      <c r="E961" s="109"/>
      <c r="F961" s="110"/>
      <c r="G961" s="95"/>
      <c r="H961" s="122"/>
      <c r="I961" s="109"/>
      <c r="J961" s="120"/>
      <c r="K961" s="120"/>
      <c r="L961" s="93"/>
      <c r="M961" s="93"/>
      <c r="N961" s="93"/>
      <c r="O961" s="56"/>
      <c r="P961" s="56"/>
      <c r="Q961" s="56"/>
      <c r="R961" s="56"/>
      <c r="S961" s="56"/>
      <c r="T961" s="56"/>
      <c r="U961" s="56"/>
      <c r="V961" s="56"/>
    </row>
    <row r="962" ht="18.75" customHeight="1">
      <c r="A962" s="90"/>
      <c r="B962" s="126"/>
      <c r="C962" s="252"/>
      <c r="D962" s="109"/>
      <c r="E962" s="109"/>
      <c r="F962" s="110"/>
      <c r="G962" s="95"/>
      <c r="H962" s="122"/>
      <c r="I962" s="109"/>
      <c r="J962" s="120"/>
      <c r="K962" s="120"/>
      <c r="L962" s="93"/>
      <c r="M962" s="93"/>
      <c r="N962" s="93"/>
      <c r="O962" s="56"/>
      <c r="P962" s="56"/>
      <c r="Q962" s="56"/>
      <c r="R962" s="56"/>
      <c r="S962" s="56"/>
      <c r="T962" s="56"/>
      <c r="U962" s="56"/>
      <c r="V962" s="56"/>
    </row>
    <row r="963" ht="18.75" customHeight="1">
      <c r="A963" s="90"/>
      <c r="B963" s="126"/>
      <c r="C963" s="252"/>
      <c r="D963" s="109"/>
      <c r="E963" s="109"/>
      <c r="F963" s="110"/>
      <c r="G963" s="95"/>
      <c r="H963" s="122"/>
      <c r="I963" s="109"/>
      <c r="J963" s="120"/>
      <c r="K963" s="120"/>
      <c r="L963" s="93"/>
      <c r="M963" s="93"/>
      <c r="N963" s="93"/>
      <c r="O963" s="56"/>
      <c r="P963" s="56"/>
      <c r="Q963" s="56"/>
      <c r="R963" s="56"/>
      <c r="S963" s="56"/>
      <c r="T963" s="56"/>
      <c r="U963" s="56"/>
      <c r="V963" s="56"/>
    </row>
    <row r="964" ht="18.75" customHeight="1">
      <c r="A964" s="90"/>
      <c r="B964" s="126"/>
      <c r="C964" s="252"/>
      <c r="D964" s="109"/>
      <c r="E964" s="109"/>
      <c r="F964" s="110"/>
      <c r="G964" s="95"/>
      <c r="H964" s="122"/>
      <c r="I964" s="109"/>
      <c r="J964" s="120"/>
      <c r="K964" s="120"/>
      <c r="L964" s="93"/>
      <c r="M964" s="93"/>
      <c r="N964" s="93"/>
      <c r="O964" s="56"/>
      <c r="P964" s="56"/>
      <c r="Q964" s="56"/>
      <c r="R964" s="56"/>
      <c r="S964" s="56"/>
      <c r="T964" s="56"/>
      <c r="U964" s="56"/>
      <c r="V964" s="56"/>
    </row>
    <row r="965" ht="18.75" customHeight="1">
      <c r="A965" s="90"/>
      <c r="B965" s="126"/>
      <c r="C965" s="252"/>
      <c r="D965" s="109"/>
      <c r="E965" s="109"/>
      <c r="F965" s="110"/>
      <c r="G965" s="95"/>
      <c r="H965" s="122"/>
      <c r="I965" s="109"/>
      <c r="J965" s="120"/>
      <c r="K965" s="120"/>
      <c r="L965" s="93"/>
      <c r="M965" s="93"/>
      <c r="N965" s="93"/>
      <c r="O965" s="56"/>
      <c r="P965" s="56"/>
      <c r="Q965" s="56"/>
      <c r="R965" s="56"/>
      <c r="S965" s="56"/>
      <c r="T965" s="56"/>
      <c r="U965" s="56"/>
      <c r="V965" s="56"/>
    </row>
    <row r="966" ht="18.75" customHeight="1">
      <c r="A966" s="90"/>
      <c r="B966" s="126"/>
      <c r="C966" s="252"/>
      <c r="D966" s="109"/>
      <c r="E966" s="109"/>
      <c r="F966" s="110"/>
      <c r="G966" s="95"/>
      <c r="H966" s="122"/>
      <c r="I966" s="109"/>
      <c r="J966" s="120"/>
      <c r="K966" s="120"/>
      <c r="L966" s="93"/>
      <c r="M966" s="93"/>
      <c r="N966" s="93"/>
      <c r="O966" s="56"/>
      <c r="P966" s="56"/>
      <c r="Q966" s="56"/>
      <c r="R966" s="56"/>
      <c r="S966" s="56"/>
      <c r="T966" s="56"/>
      <c r="U966" s="56"/>
      <c r="V966" s="56"/>
    </row>
    <row r="967" ht="18.75" customHeight="1">
      <c r="A967" s="90"/>
      <c r="B967" s="126"/>
      <c r="C967" s="252"/>
      <c r="D967" s="109"/>
      <c r="E967" s="109"/>
      <c r="F967" s="110"/>
      <c r="G967" s="95"/>
      <c r="H967" s="122"/>
      <c r="I967" s="109"/>
      <c r="J967" s="120"/>
      <c r="K967" s="120"/>
      <c r="L967" s="93"/>
      <c r="M967" s="93"/>
      <c r="N967" s="93"/>
      <c r="O967" s="56"/>
      <c r="P967" s="56"/>
      <c r="Q967" s="56"/>
      <c r="R967" s="56"/>
      <c r="S967" s="56"/>
      <c r="T967" s="56"/>
      <c r="U967" s="56"/>
      <c r="V967" s="56"/>
    </row>
    <row r="968" ht="18.75" customHeight="1">
      <c r="A968" s="90"/>
      <c r="B968" s="126"/>
      <c r="C968" s="252"/>
      <c r="D968" s="109"/>
      <c r="E968" s="109"/>
      <c r="F968" s="110"/>
      <c r="G968" s="95"/>
      <c r="H968" s="122"/>
      <c r="I968" s="109"/>
      <c r="J968" s="120"/>
      <c r="K968" s="120"/>
      <c r="L968" s="93"/>
      <c r="M968" s="93"/>
      <c r="N968" s="93"/>
      <c r="O968" s="56"/>
      <c r="P968" s="56"/>
      <c r="Q968" s="56"/>
      <c r="R968" s="56"/>
      <c r="S968" s="56"/>
      <c r="T968" s="56"/>
      <c r="U968" s="56"/>
      <c r="V968" s="56"/>
    </row>
    <row r="969" ht="18.75" customHeight="1">
      <c r="A969" s="90"/>
      <c r="B969" s="126"/>
      <c r="C969" s="252"/>
      <c r="D969" s="109"/>
      <c r="E969" s="109"/>
      <c r="F969" s="110"/>
      <c r="G969" s="95"/>
      <c r="H969" s="122"/>
      <c r="I969" s="109"/>
      <c r="J969" s="120"/>
      <c r="K969" s="120"/>
      <c r="L969" s="93"/>
      <c r="M969" s="93"/>
      <c r="N969" s="93"/>
      <c r="O969" s="56"/>
      <c r="P969" s="56"/>
      <c r="Q969" s="56"/>
      <c r="R969" s="56"/>
      <c r="S969" s="56"/>
      <c r="T969" s="56"/>
      <c r="U969" s="56"/>
      <c r="V969" s="56"/>
    </row>
    <row r="970" ht="18.75" customHeight="1">
      <c r="A970" s="90"/>
      <c r="B970" s="126"/>
      <c r="C970" s="252"/>
      <c r="D970" s="109"/>
      <c r="E970" s="109"/>
      <c r="F970" s="110"/>
      <c r="G970" s="95"/>
      <c r="H970" s="122"/>
      <c r="I970" s="109"/>
      <c r="J970" s="120"/>
      <c r="K970" s="120"/>
      <c r="L970" s="93"/>
      <c r="M970" s="93"/>
      <c r="N970" s="93"/>
      <c r="O970" s="56"/>
      <c r="P970" s="56"/>
      <c r="Q970" s="56"/>
      <c r="R970" s="56"/>
      <c r="S970" s="56"/>
      <c r="T970" s="56"/>
      <c r="U970" s="56"/>
      <c r="V970" s="56"/>
    </row>
    <row r="971" ht="18.75" customHeight="1">
      <c r="A971" s="90"/>
      <c r="B971" s="126"/>
      <c r="C971" s="252"/>
      <c r="D971" s="109"/>
      <c r="E971" s="109"/>
      <c r="F971" s="110"/>
      <c r="G971" s="95"/>
      <c r="H971" s="122"/>
      <c r="I971" s="109"/>
      <c r="J971" s="120"/>
      <c r="K971" s="120"/>
      <c r="L971" s="93"/>
      <c r="M971" s="93"/>
      <c r="N971" s="93"/>
      <c r="O971" s="56"/>
      <c r="P971" s="56"/>
      <c r="Q971" s="56"/>
      <c r="R971" s="56"/>
      <c r="S971" s="56"/>
      <c r="T971" s="56"/>
      <c r="U971" s="56"/>
      <c r="V971" s="56"/>
    </row>
    <row r="972" ht="18.75" customHeight="1">
      <c r="A972" s="90"/>
      <c r="B972" s="126"/>
      <c r="C972" s="252"/>
      <c r="D972" s="109"/>
      <c r="E972" s="109"/>
      <c r="F972" s="110"/>
      <c r="G972" s="95"/>
      <c r="H972" s="122"/>
      <c r="I972" s="109"/>
      <c r="J972" s="120"/>
      <c r="K972" s="120"/>
      <c r="L972" s="93"/>
      <c r="M972" s="93"/>
      <c r="N972" s="93"/>
      <c r="O972" s="56"/>
      <c r="P972" s="56"/>
      <c r="Q972" s="56"/>
      <c r="R972" s="56"/>
      <c r="S972" s="56"/>
      <c r="T972" s="56"/>
      <c r="U972" s="56"/>
      <c r="V972" s="56"/>
    </row>
    <row r="973" ht="18.75" customHeight="1">
      <c r="A973" s="90"/>
      <c r="B973" s="126"/>
      <c r="C973" s="252"/>
      <c r="D973" s="109"/>
      <c r="E973" s="109"/>
      <c r="F973" s="110"/>
      <c r="G973" s="95"/>
      <c r="H973" s="122"/>
      <c r="I973" s="109"/>
      <c r="J973" s="120"/>
      <c r="K973" s="120"/>
      <c r="L973" s="93"/>
      <c r="M973" s="93"/>
      <c r="N973" s="93"/>
      <c r="O973" s="56"/>
      <c r="P973" s="56"/>
      <c r="Q973" s="56"/>
      <c r="R973" s="56"/>
      <c r="S973" s="56"/>
      <c r="T973" s="56"/>
      <c r="U973" s="56"/>
      <c r="V973" s="56"/>
    </row>
    <row r="974" ht="18.75" customHeight="1">
      <c r="A974" s="90"/>
      <c r="B974" s="126"/>
      <c r="C974" s="252"/>
      <c r="D974" s="109"/>
      <c r="E974" s="109"/>
      <c r="F974" s="110"/>
      <c r="G974" s="95"/>
      <c r="H974" s="122"/>
      <c r="I974" s="109"/>
      <c r="J974" s="120"/>
      <c r="K974" s="120"/>
      <c r="L974" s="93"/>
      <c r="M974" s="93"/>
      <c r="N974" s="93"/>
      <c r="O974" s="56"/>
      <c r="P974" s="56"/>
      <c r="Q974" s="56"/>
      <c r="R974" s="56"/>
      <c r="S974" s="56"/>
      <c r="T974" s="56"/>
      <c r="U974" s="56"/>
      <c r="V974" s="56"/>
    </row>
    <row r="975" ht="18.75" customHeight="1">
      <c r="A975" s="90"/>
      <c r="B975" s="126"/>
      <c r="C975" s="252"/>
      <c r="D975" s="109"/>
      <c r="E975" s="109"/>
      <c r="F975" s="110"/>
      <c r="G975" s="95"/>
      <c r="H975" s="122"/>
      <c r="I975" s="109"/>
      <c r="J975" s="120"/>
      <c r="K975" s="120"/>
      <c r="L975" s="93"/>
      <c r="M975" s="93"/>
      <c r="N975" s="93"/>
      <c r="O975" s="56"/>
      <c r="P975" s="56"/>
      <c r="Q975" s="56"/>
      <c r="R975" s="56"/>
      <c r="S975" s="56"/>
      <c r="T975" s="56"/>
      <c r="U975" s="56"/>
      <c r="V975" s="56"/>
    </row>
    <row r="976" ht="18.75" customHeight="1">
      <c r="A976" s="90"/>
      <c r="B976" s="126"/>
      <c r="C976" s="252"/>
      <c r="D976" s="109"/>
      <c r="E976" s="109"/>
      <c r="F976" s="110"/>
      <c r="G976" s="95"/>
      <c r="H976" s="122"/>
      <c r="I976" s="109"/>
      <c r="J976" s="120"/>
      <c r="K976" s="120"/>
      <c r="L976" s="93"/>
      <c r="M976" s="93"/>
      <c r="N976" s="93"/>
      <c r="O976" s="56"/>
      <c r="P976" s="56"/>
      <c r="Q976" s="56"/>
      <c r="R976" s="56"/>
      <c r="S976" s="56"/>
      <c r="T976" s="56"/>
      <c r="U976" s="56"/>
      <c r="V976" s="56"/>
    </row>
    <row r="977" ht="18.75" customHeight="1">
      <c r="A977" s="90"/>
      <c r="B977" s="126"/>
      <c r="C977" s="252"/>
      <c r="D977" s="109"/>
      <c r="E977" s="109"/>
      <c r="F977" s="110"/>
      <c r="G977" s="95"/>
      <c r="H977" s="122"/>
      <c r="I977" s="109"/>
      <c r="J977" s="120"/>
      <c r="K977" s="120"/>
      <c r="L977" s="93"/>
      <c r="M977" s="93"/>
      <c r="N977" s="93"/>
      <c r="O977" s="56"/>
      <c r="P977" s="56"/>
      <c r="Q977" s="56"/>
      <c r="R977" s="56"/>
      <c r="S977" s="56"/>
      <c r="T977" s="56"/>
      <c r="U977" s="56"/>
      <c r="V977" s="56"/>
    </row>
    <row r="978" ht="18.75" customHeight="1">
      <c r="A978" s="90"/>
      <c r="B978" s="126"/>
      <c r="C978" s="252"/>
      <c r="D978" s="109"/>
      <c r="E978" s="109"/>
      <c r="F978" s="110"/>
      <c r="G978" s="95"/>
      <c r="H978" s="122"/>
      <c r="I978" s="109"/>
      <c r="J978" s="120"/>
      <c r="K978" s="120"/>
      <c r="L978" s="93"/>
      <c r="M978" s="93"/>
      <c r="N978" s="93"/>
      <c r="O978" s="56"/>
      <c r="P978" s="56"/>
      <c r="Q978" s="56"/>
      <c r="R978" s="56"/>
      <c r="S978" s="56"/>
      <c r="T978" s="56"/>
      <c r="U978" s="56"/>
      <c r="V978" s="56"/>
    </row>
    <row r="979" ht="18.75" customHeight="1">
      <c r="A979" s="90"/>
      <c r="B979" s="126"/>
      <c r="C979" s="252"/>
      <c r="D979" s="109"/>
      <c r="E979" s="109"/>
      <c r="F979" s="110"/>
      <c r="G979" s="95"/>
      <c r="H979" s="122"/>
      <c r="I979" s="109"/>
      <c r="J979" s="120"/>
      <c r="K979" s="120"/>
      <c r="L979" s="93"/>
      <c r="M979" s="93"/>
      <c r="N979" s="93"/>
      <c r="O979" s="56"/>
      <c r="P979" s="56"/>
      <c r="Q979" s="56"/>
      <c r="R979" s="56"/>
      <c r="S979" s="56"/>
      <c r="T979" s="56"/>
      <c r="U979" s="56"/>
      <c r="V979" s="56"/>
    </row>
    <row r="980" ht="18.75" customHeight="1">
      <c r="A980" s="90"/>
      <c r="B980" s="126"/>
      <c r="C980" s="252"/>
      <c r="D980" s="109"/>
      <c r="E980" s="109"/>
      <c r="F980" s="110"/>
      <c r="G980" s="95"/>
      <c r="H980" s="122"/>
      <c r="I980" s="109"/>
      <c r="J980" s="120"/>
      <c r="K980" s="120"/>
      <c r="L980" s="93"/>
      <c r="M980" s="93"/>
      <c r="N980" s="93"/>
      <c r="O980" s="56"/>
      <c r="P980" s="56"/>
      <c r="Q980" s="56"/>
      <c r="R980" s="56"/>
      <c r="S980" s="56"/>
      <c r="T980" s="56"/>
      <c r="U980" s="56"/>
      <c r="V980" s="56"/>
    </row>
    <row r="981" ht="18.75" customHeight="1">
      <c r="A981" s="90"/>
      <c r="B981" s="126"/>
      <c r="C981" s="252"/>
      <c r="D981" s="109"/>
      <c r="E981" s="109"/>
      <c r="F981" s="110"/>
      <c r="G981" s="95"/>
      <c r="H981" s="122"/>
      <c r="I981" s="109"/>
      <c r="J981" s="120"/>
      <c r="K981" s="120"/>
      <c r="L981" s="93"/>
      <c r="M981" s="93"/>
      <c r="N981" s="93"/>
      <c r="O981" s="56"/>
      <c r="P981" s="56"/>
      <c r="Q981" s="56"/>
      <c r="R981" s="56"/>
      <c r="S981" s="56"/>
      <c r="T981" s="56"/>
      <c r="U981" s="56"/>
      <c r="V981" s="56"/>
    </row>
    <row r="982" ht="18.75" customHeight="1">
      <c r="A982" s="90"/>
      <c r="B982" s="126"/>
      <c r="C982" s="252"/>
      <c r="D982" s="109"/>
      <c r="E982" s="109"/>
      <c r="F982" s="110"/>
      <c r="G982" s="95"/>
      <c r="H982" s="122"/>
      <c r="I982" s="109"/>
      <c r="J982" s="120"/>
      <c r="K982" s="120"/>
      <c r="L982" s="93"/>
      <c r="M982" s="93"/>
      <c r="N982" s="93"/>
      <c r="O982" s="56"/>
      <c r="P982" s="56"/>
      <c r="Q982" s="56"/>
      <c r="R982" s="56"/>
      <c r="S982" s="56"/>
      <c r="T982" s="56"/>
      <c r="U982" s="56"/>
      <c r="V982" s="56"/>
    </row>
    <row r="983" ht="18.75" customHeight="1">
      <c r="A983" s="90"/>
      <c r="B983" s="126"/>
      <c r="C983" s="252"/>
      <c r="D983" s="109"/>
      <c r="E983" s="109"/>
      <c r="F983" s="110"/>
      <c r="G983" s="95"/>
      <c r="H983" s="122"/>
      <c r="I983" s="109"/>
      <c r="J983" s="120"/>
      <c r="K983" s="120"/>
      <c r="L983" s="93"/>
      <c r="M983" s="93"/>
      <c r="N983" s="93"/>
      <c r="O983" s="56"/>
      <c r="P983" s="56"/>
      <c r="Q983" s="56"/>
      <c r="R983" s="56"/>
      <c r="S983" s="56"/>
      <c r="T983" s="56"/>
      <c r="U983" s="56"/>
      <c r="V983" s="56"/>
    </row>
    <row r="984" ht="18.75" customHeight="1">
      <c r="A984" s="90"/>
      <c r="B984" s="126"/>
      <c r="C984" s="252"/>
      <c r="D984" s="109"/>
      <c r="E984" s="109"/>
      <c r="F984" s="110"/>
      <c r="G984" s="95"/>
      <c r="H984" s="122"/>
      <c r="I984" s="109"/>
      <c r="J984" s="120"/>
      <c r="K984" s="120"/>
      <c r="L984" s="93"/>
      <c r="M984" s="93"/>
      <c r="N984" s="93"/>
      <c r="O984" s="56"/>
      <c r="P984" s="56"/>
      <c r="Q984" s="56"/>
      <c r="R984" s="56"/>
      <c r="S984" s="56"/>
      <c r="T984" s="56"/>
      <c r="U984" s="56"/>
      <c r="V984" s="56"/>
    </row>
    <row r="985" ht="18.75" customHeight="1">
      <c r="A985" s="90"/>
      <c r="B985" s="126"/>
      <c r="C985" s="252"/>
      <c r="D985" s="109"/>
      <c r="E985" s="109"/>
      <c r="F985" s="110"/>
      <c r="G985" s="95"/>
      <c r="H985" s="122"/>
      <c r="I985" s="109"/>
      <c r="J985" s="120"/>
      <c r="K985" s="120"/>
      <c r="L985" s="93"/>
      <c r="M985" s="93"/>
      <c r="N985" s="93"/>
      <c r="O985" s="56"/>
      <c r="P985" s="56"/>
      <c r="Q985" s="56"/>
      <c r="R985" s="56"/>
      <c r="S985" s="56"/>
      <c r="T985" s="56"/>
      <c r="U985" s="56"/>
      <c r="V985" s="56"/>
    </row>
    <row r="986" ht="18.75" customHeight="1">
      <c r="A986" s="90"/>
      <c r="B986" s="126"/>
      <c r="C986" s="252"/>
      <c r="D986" s="109"/>
      <c r="E986" s="109"/>
      <c r="F986" s="110"/>
      <c r="G986" s="95"/>
      <c r="H986" s="122"/>
      <c r="I986" s="109"/>
      <c r="J986" s="120"/>
      <c r="K986" s="120"/>
      <c r="L986" s="93"/>
      <c r="M986" s="93"/>
      <c r="N986" s="93"/>
      <c r="O986" s="56"/>
      <c r="P986" s="56"/>
      <c r="Q986" s="56"/>
      <c r="R986" s="56"/>
      <c r="S986" s="56"/>
      <c r="T986" s="56"/>
      <c r="U986" s="56"/>
      <c r="V986" s="56"/>
    </row>
    <row r="987" ht="18.75" customHeight="1">
      <c r="A987" s="90"/>
      <c r="B987" s="126"/>
      <c r="C987" s="252"/>
      <c r="D987" s="109"/>
      <c r="E987" s="109"/>
      <c r="F987" s="110"/>
      <c r="G987" s="95"/>
      <c r="H987" s="122"/>
      <c r="I987" s="109"/>
      <c r="J987" s="120"/>
      <c r="K987" s="120"/>
      <c r="L987" s="93"/>
      <c r="M987" s="93"/>
      <c r="N987" s="93"/>
      <c r="O987" s="56"/>
      <c r="P987" s="56"/>
      <c r="Q987" s="56"/>
      <c r="R987" s="56"/>
      <c r="S987" s="56"/>
      <c r="T987" s="56"/>
      <c r="U987" s="56"/>
      <c r="V987" s="56"/>
    </row>
    <row r="988" ht="18.75" customHeight="1">
      <c r="A988" s="90"/>
      <c r="B988" s="126"/>
      <c r="C988" s="252"/>
      <c r="D988" s="109"/>
      <c r="E988" s="109"/>
      <c r="F988" s="110"/>
      <c r="G988" s="95"/>
      <c r="H988" s="122"/>
      <c r="I988" s="109"/>
      <c r="J988" s="120"/>
      <c r="K988" s="120"/>
      <c r="L988" s="93"/>
      <c r="M988" s="93"/>
      <c r="N988" s="93"/>
      <c r="O988" s="56"/>
      <c r="P988" s="56"/>
      <c r="Q988" s="56"/>
      <c r="R988" s="56"/>
      <c r="S988" s="56"/>
      <c r="T988" s="56"/>
      <c r="U988" s="56"/>
      <c r="V988" s="56"/>
    </row>
    <row r="989" ht="18.75" customHeight="1">
      <c r="A989" s="90"/>
      <c r="B989" s="126"/>
      <c r="C989" s="252"/>
      <c r="D989" s="109"/>
      <c r="E989" s="109"/>
      <c r="F989" s="110"/>
      <c r="G989" s="95"/>
      <c r="H989" s="122"/>
      <c r="I989" s="109"/>
      <c r="J989" s="120"/>
      <c r="K989" s="120"/>
      <c r="L989" s="93"/>
      <c r="M989" s="93"/>
      <c r="N989" s="93"/>
      <c r="O989" s="56"/>
      <c r="P989" s="56"/>
      <c r="Q989" s="56"/>
      <c r="R989" s="56"/>
      <c r="S989" s="56"/>
      <c r="T989" s="56"/>
      <c r="U989" s="56"/>
      <c r="V989" s="56"/>
    </row>
    <row r="990" ht="18.75" customHeight="1">
      <c r="A990" s="90"/>
      <c r="B990" s="126"/>
      <c r="C990" s="252"/>
      <c r="D990" s="109"/>
      <c r="E990" s="109"/>
      <c r="F990" s="110"/>
      <c r="G990" s="95"/>
      <c r="H990" s="122"/>
      <c r="I990" s="109"/>
      <c r="J990" s="120"/>
      <c r="K990" s="120"/>
      <c r="L990" s="93"/>
      <c r="M990" s="93"/>
      <c r="N990" s="93"/>
      <c r="O990" s="56"/>
      <c r="P990" s="56"/>
      <c r="Q990" s="56"/>
      <c r="R990" s="56"/>
      <c r="S990" s="56"/>
      <c r="T990" s="56"/>
      <c r="U990" s="56"/>
      <c r="V990" s="56"/>
    </row>
    <row r="991" ht="18.75" customHeight="1">
      <c r="A991" s="90"/>
      <c r="B991" s="126"/>
      <c r="C991" s="252"/>
      <c r="D991" s="109"/>
      <c r="E991" s="109"/>
      <c r="F991" s="110"/>
      <c r="G991" s="95"/>
      <c r="H991" s="122"/>
      <c r="I991" s="109"/>
      <c r="J991" s="120"/>
      <c r="K991" s="120"/>
      <c r="L991" s="93"/>
      <c r="M991" s="93"/>
      <c r="N991" s="93"/>
      <c r="O991" s="56"/>
      <c r="P991" s="56"/>
      <c r="Q991" s="56"/>
      <c r="R991" s="56"/>
      <c r="S991" s="56"/>
      <c r="T991" s="56"/>
      <c r="U991" s="56"/>
      <c r="V991" s="56"/>
    </row>
    <row r="992" ht="18.75" customHeight="1">
      <c r="A992" s="90"/>
      <c r="B992" s="126"/>
      <c r="C992" s="252"/>
      <c r="D992" s="109"/>
      <c r="E992" s="109"/>
      <c r="F992" s="110"/>
      <c r="G992" s="95"/>
      <c r="H992" s="122"/>
      <c r="I992" s="109"/>
      <c r="J992" s="120"/>
      <c r="K992" s="120"/>
      <c r="L992" s="93"/>
      <c r="M992" s="93"/>
      <c r="N992" s="93"/>
      <c r="O992" s="56"/>
      <c r="P992" s="56"/>
      <c r="Q992" s="56"/>
      <c r="R992" s="56"/>
      <c r="S992" s="56"/>
      <c r="T992" s="56"/>
      <c r="U992" s="56"/>
      <c r="V992" s="56"/>
    </row>
    <row r="993" ht="18.75" customHeight="1">
      <c r="A993" s="90"/>
      <c r="B993" s="126"/>
      <c r="C993" s="252"/>
      <c r="D993" s="109"/>
      <c r="E993" s="109"/>
      <c r="F993" s="110"/>
      <c r="G993" s="95"/>
      <c r="H993" s="122"/>
      <c r="I993" s="109"/>
      <c r="J993" s="120"/>
      <c r="K993" s="120"/>
      <c r="L993" s="93"/>
      <c r="M993" s="93"/>
      <c r="N993" s="93"/>
      <c r="O993" s="56"/>
      <c r="P993" s="56"/>
      <c r="Q993" s="56"/>
      <c r="R993" s="56"/>
      <c r="S993" s="56"/>
      <c r="T993" s="56"/>
      <c r="U993" s="56"/>
      <c r="V993" s="56"/>
    </row>
    <row r="994" ht="18.75" customHeight="1">
      <c r="A994" s="90"/>
      <c r="B994" s="126"/>
      <c r="C994" s="252"/>
      <c r="D994" s="109"/>
      <c r="E994" s="109"/>
      <c r="F994" s="110"/>
      <c r="G994" s="95"/>
      <c r="H994" s="122"/>
      <c r="I994" s="109"/>
      <c r="J994" s="120"/>
      <c r="K994" s="120"/>
      <c r="L994" s="93"/>
      <c r="M994" s="93"/>
      <c r="N994" s="93"/>
      <c r="O994" s="56"/>
      <c r="P994" s="56"/>
      <c r="Q994" s="56"/>
      <c r="R994" s="56"/>
      <c r="S994" s="56"/>
      <c r="T994" s="56"/>
      <c r="U994" s="56"/>
      <c r="V994" s="56"/>
    </row>
    <row r="995" ht="18.75" customHeight="1">
      <c r="A995" s="90"/>
      <c r="B995" s="126"/>
      <c r="C995" s="252"/>
      <c r="D995" s="109"/>
      <c r="E995" s="109"/>
      <c r="F995" s="110"/>
      <c r="G995" s="95"/>
      <c r="H995" s="122"/>
      <c r="I995" s="109"/>
      <c r="J995" s="120"/>
      <c r="K995" s="120"/>
      <c r="L995" s="93"/>
      <c r="M995" s="93"/>
      <c r="N995" s="93"/>
      <c r="O995" s="56"/>
      <c r="P995" s="56"/>
      <c r="Q995" s="56"/>
      <c r="R995" s="56"/>
      <c r="S995" s="56"/>
      <c r="T995" s="56"/>
      <c r="U995" s="56"/>
      <c r="V995" s="56"/>
    </row>
    <row r="996" ht="18.75" customHeight="1">
      <c r="A996" s="90"/>
      <c r="B996" s="126"/>
      <c r="C996" s="252"/>
      <c r="D996" s="109"/>
      <c r="E996" s="109"/>
      <c r="F996" s="110"/>
      <c r="G996" s="95"/>
      <c r="H996" s="122"/>
      <c r="I996" s="109"/>
      <c r="J996" s="120"/>
      <c r="K996" s="120"/>
      <c r="L996" s="93"/>
      <c r="M996" s="93"/>
      <c r="N996" s="93"/>
      <c r="O996" s="56"/>
      <c r="P996" s="56"/>
      <c r="Q996" s="56"/>
      <c r="R996" s="56"/>
      <c r="S996" s="56"/>
      <c r="T996" s="56"/>
      <c r="U996" s="56"/>
      <c r="V996" s="56"/>
    </row>
    <row r="997" ht="18.75" customHeight="1">
      <c r="A997" s="90"/>
      <c r="B997" s="126"/>
      <c r="C997" s="252"/>
      <c r="D997" s="109"/>
      <c r="E997" s="109"/>
      <c r="F997" s="110"/>
      <c r="G997" s="95"/>
      <c r="H997" s="122"/>
      <c r="I997" s="109"/>
      <c r="J997" s="120"/>
      <c r="K997" s="120"/>
      <c r="L997" s="93"/>
      <c r="M997" s="93"/>
      <c r="N997" s="93"/>
      <c r="O997" s="56"/>
      <c r="P997" s="56"/>
      <c r="Q997" s="56"/>
      <c r="R997" s="56"/>
      <c r="S997" s="56"/>
      <c r="T997" s="56"/>
      <c r="U997" s="56"/>
      <c r="V997" s="56"/>
    </row>
    <row r="998" ht="18.75" customHeight="1">
      <c r="A998" s="90"/>
      <c r="B998" s="126"/>
      <c r="C998" s="252"/>
      <c r="D998" s="109"/>
      <c r="E998" s="109"/>
      <c r="F998" s="110"/>
      <c r="G998" s="95"/>
      <c r="H998" s="122"/>
      <c r="I998" s="109"/>
      <c r="J998" s="120"/>
      <c r="K998" s="120"/>
      <c r="L998" s="93"/>
      <c r="M998" s="93"/>
      <c r="N998" s="93"/>
      <c r="O998" s="56"/>
      <c r="P998" s="56"/>
      <c r="Q998" s="56"/>
      <c r="R998" s="56"/>
      <c r="S998" s="56"/>
      <c r="T998" s="56"/>
      <c r="U998" s="56"/>
      <c r="V998" s="56"/>
    </row>
    <row r="999" ht="18.75" customHeight="1">
      <c r="A999" s="90"/>
      <c r="B999" s="126"/>
      <c r="C999" s="252"/>
      <c r="D999" s="109"/>
      <c r="E999" s="109"/>
      <c r="F999" s="110"/>
      <c r="G999" s="95"/>
      <c r="H999" s="122"/>
      <c r="I999" s="109"/>
      <c r="J999" s="120"/>
      <c r="K999" s="120"/>
      <c r="L999" s="93"/>
      <c r="M999" s="93"/>
      <c r="N999" s="93"/>
      <c r="O999" s="56"/>
      <c r="P999" s="56"/>
      <c r="Q999" s="56"/>
      <c r="R999" s="56"/>
      <c r="S999" s="56"/>
      <c r="T999" s="56"/>
      <c r="U999" s="56"/>
      <c r="V999" s="56"/>
    </row>
    <row r="1000" ht="18.75" customHeight="1">
      <c r="A1000" s="90"/>
      <c r="B1000" s="126"/>
      <c r="C1000" s="252"/>
      <c r="D1000" s="109"/>
      <c r="E1000" s="109"/>
      <c r="F1000" s="110"/>
      <c r="G1000" s="95"/>
      <c r="H1000" s="122"/>
      <c r="I1000" s="109"/>
      <c r="J1000" s="120"/>
      <c r="K1000" s="120"/>
      <c r="L1000" s="93"/>
      <c r="M1000" s="93"/>
      <c r="N1000" s="93"/>
      <c r="O1000" s="56"/>
      <c r="P1000" s="56"/>
      <c r="Q1000" s="56"/>
      <c r="R1000" s="56"/>
      <c r="S1000" s="56"/>
      <c r="T1000" s="56"/>
      <c r="U1000" s="56"/>
      <c r="V1000" s="56"/>
    </row>
    <row r="1001" ht="18.75" customHeight="1">
      <c r="A1001" s="90"/>
      <c r="B1001" s="126"/>
      <c r="C1001" s="252"/>
      <c r="D1001" s="109"/>
      <c r="E1001" s="109"/>
      <c r="F1001" s="110"/>
      <c r="G1001" s="95"/>
      <c r="H1001" s="122"/>
      <c r="I1001" s="109"/>
      <c r="J1001" s="120"/>
      <c r="K1001" s="120"/>
      <c r="L1001" s="93"/>
      <c r="M1001" s="93"/>
      <c r="N1001" s="93"/>
      <c r="O1001" s="56"/>
      <c r="P1001" s="56"/>
      <c r="Q1001" s="56"/>
      <c r="R1001" s="56"/>
      <c r="S1001" s="56"/>
      <c r="T1001" s="56"/>
      <c r="U1001" s="56"/>
      <c r="V1001" s="56"/>
    </row>
    <row r="1002" ht="18.75" customHeight="1">
      <c r="A1002" s="90"/>
      <c r="B1002" s="126"/>
      <c r="C1002" s="252"/>
      <c r="D1002" s="109"/>
      <c r="E1002" s="109"/>
      <c r="F1002" s="110"/>
      <c r="G1002" s="95"/>
      <c r="H1002" s="122"/>
      <c r="I1002" s="109"/>
      <c r="J1002" s="120"/>
      <c r="K1002" s="120"/>
      <c r="L1002" s="93"/>
      <c r="M1002" s="93"/>
      <c r="N1002" s="93"/>
      <c r="O1002" s="56"/>
      <c r="P1002" s="56"/>
      <c r="Q1002" s="56"/>
      <c r="R1002" s="56"/>
      <c r="S1002" s="56"/>
      <c r="T1002" s="56"/>
      <c r="U1002" s="56"/>
      <c r="V1002" s="56"/>
    </row>
    <row r="1003" ht="18.75" customHeight="1">
      <c r="A1003" s="90"/>
      <c r="B1003" s="126"/>
      <c r="C1003" s="252"/>
      <c r="D1003" s="109"/>
      <c r="E1003" s="109"/>
      <c r="F1003" s="110"/>
      <c r="G1003" s="95"/>
      <c r="H1003" s="122"/>
      <c r="I1003" s="109"/>
      <c r="J1003" s="120"/>
      <c r="K1003" s="120"/>
      <c r="L1003" s="93"/>
      <c r="M1003" s="93"/>
      <c r="N1003" s="93"/>
      <c r="O1003" s="56"/>
      <c r="P1003" s="56"/>
      <c r="Q1003" s="56"/>
      <c r="R1003" s="56"/>
      <c r="S1003" s="56"/>
      <c r="T1003" s="56"/>
      <c r="U1003" s="56"/>
      <c r="V1003" s="56"/>
    </row>
    <row r="1004" ht="18.75" customHeight="1">
      <c r="A1004" s="90"/>
      <c r="B1004" s="126"/>
      <c r="C1004" s="252"/>
      <c r="D1004" s="109"/>
      <c r="E1004" s="109"/>
      <c r="F1004" s="110"/>
      <c r="G1004" s="95"/>
      <c r="H1004" s="122"/>
      <c r="I1004" s="109"/>
      <c r="J1004" s="120"/>
      <c r="K1004" s="120"/>
      <c r="L1004" s="93"/>
      <c r="M1004" s="93"/>
      <c r="N1004" s="93"/>
      <c r="O1004" s="56"/>
      <c r="P1004" s="56"/>
      <c r="Q1004" s="56"/>
      <c r="R1004" s="56"/>
      <c r="S1004" s="56"/>
      <c r="T1004" s="56"/>
      <c r="U1004" s="56"/>
      <c r="V1004" s="56"/>
    </row>
    <row r="1005" ht="18.75" customHeight="1">
      <c r="A1005" s="90"/>
      <c r="B1005" s="126"/>
      <c r="C1005" s="252"/>
      <c r="D1005" s="109"/>
      <c r="E1005" s="109"/>
      <c r="F1005" s="110"/>
      <c r="G1005" s="95"/>
      <c r="H1005" s="122"/>
      <c r="I1005" s="109"/>
      <c r="J1005" s="120"/>
      <c r="K1005" s="120"/>
      <c r="L1005" s="93"/>
      <c r="M1005" s="93"/>
      <c r="N1005" s="93"/>
      <c r="O1005" s="56"/>
      <c r="P1005" s="56"/>
      <c r="Q1005" s="56"/>
      <c r="R1005" s="56"/>
      <c r="S1005" s="56"/>
      <c r="T1005" s="56"/>
      <c r="U1005" s="56"/>
      <c r="V1005" s="56"/>
    </row>
    <row r="1006" ht="18.75" customHeight="1">
      <c r="A1006" s="90"/>
      <c r="B1006" s="126"/>
      <c r="C1006" s="252"/>
      <c r="D1006" s="109"/>
      <c r="E1006" s="109"/>
      <c r="F1006" s="110"/>
      <c r="G1006" s="95"/>
      <c r="H1006" s="122"/>
      <c r="I1006" s="109"/>
      <c r="J1006" s="120"/>
      <c r="K1006" s="120"/>
      <c r="L1006" s="93"/>
      <c r="M1006" s="93"/>
      <c r="N1006" s="93"/>
      <c r="O1006" s="56"/>
      <c r="P1006" s="56"/>
      <c r="Q1006" s="56"/>
      <c r="R1006" s="56"/>
      <c r="S1006" s="56"/>
      <c r="T1006" s="56"/>
      <c r="U1006" s="56"/>
      <c r="V1006" s="56"/>
    </row>
    <row r="1007" ht="18.75" customHeight="1">
      <c r="A1007" s="90"/>
      <c r="B1007" s="126"/>
      <c r="C1007" s="252"/>
      <c r="D1007" s="109"/>
      <c r="E1007" s="109"/>
      <c r="F1007" s="110"/>
      <c r="G1007" s="95"/>
      <c r="H1007" s="122"/>
      <c r="I1007" s="109"/>
      <c r="J1007" s="120"/>
      <c r="K1007" s="120"/>
      <c r="L1007" s="93"/>
      <c r="M1007" s="93"/>
      <c r="N1007" s="93"/>
      <c r="O1007" s="56"/>
      <c r="P1007" s="56"/>
      <c r="Q1007" s="56"/>
      <c r="R1007" s="56"/>
      <c r="S1007" s="56"/>
      <c r="T1007" s="56"/>
      <c r="U1007" s="56"/>
      <c r="V1007" s="56"/>
    </row>
    <row r="1008" ht="18.75" customHeight="1">
      <c r="A1008" s="90"/>
      <c r="B1008" s="126"/>
      <c r="C1008" s="252"/>
      <c r="D1008" s="109"/>
      <c r="E1008" s="109"/>
      <c r="F1008" s="110"/>
      <c r="G1008" s="95"/>
      <c r="H1008" s="122"/>
      <c r="I1008" s="109"/>
      <c r="J1008" s="120"/>
      <c r="K1008" s="120"/>
      <c r="L1008" s="93"/>
      <c r="M1008" s="93"/>
      <c r="N1008" s="93"/>
      <c r="O1008" s="56"/>
      <c r="P1008" s="56"/>
      <c r="Q1008" s="56"/>
      <c r="R1008" s="56"/>
      <c r="S1008" s="56"/>
      <c r="T1008" s="56"/>
      <c r="U1008" s="56"/>
      <c r="V1008" s="56"/>
    </row>
    <row r="1009" ht="18.75" customHeight="1">
      <c r="A1009" s="90"/>
      <c r="B1009" s="126"/>
      <c r="C1009" s="252"/>
      <c r="D1009" s="109"/>
      <c r="E1009" s="109"/>
      <c r="F1009" s="110"/>
      <c r="G1009" s="95"/>
      <c r="H1009" s="122"/>
      <c r="I1009" s="109"/>
      <c r="J1009" s="120"/>
      <c r="K1009" s="120"/>
      <c r="L1009" s="93"/>
      <c r="M1009" s="93"/>
      <c r="N1009" s="93"/>
      <c r="O1009" s="56"/>
      <c r="P1009" s="56"/>
      <c r="Q1009" s="56"/>
      <c r="R1009" s="56"/>
      <c r="S1009" s="56"/>
      <c r="T1009" s="56"/>
      <c r="U1009" s="56"/>
      <c r="V1009" s="56"/>
    </row>
    <row r="1010" ht="18.75" customHeight="1">
      <c r="A1010" s="90"/>
      <c r="B1010" s="126"/>
      <c r="C1010" s="252"/>
      <c r="D1010" s="109"/>
      <c r="E1010" s="109"/>
      <c r="F1010" s="110"/>
      <c r="G1010" s="95"/>
      <c r="H1010" s="122"/>
      <c r="I1010" s="109"/>
      <c r="J1010" s="120"/>
      <c r="K1010" s="120"/>
      <c r="L1010" s="93"/>
      <c r="M1010" s="93"/>
      <c r="N1010" s="93"/>
      <c r="O1010" s="56"/>
      <c r="P1010" s="56"/>
      <c r="Q1010" s="56"/>
      <c r="R1010" s="56"/>
      <c r="S1010" s="56"/>
      <c r="T1010" s="56"/>
      <c r="U1010" s="56"/>
      <c r="V1010" s="56"/>
    </row>
    <row r="1011" ht="18.75" customHeight="1">
      <c r="A1011" s="90"/>
      <c r="B1011" s="126"/>
      <c r="C1011" s="252"/>
      <c r="D1011" s="109"/>
      <c r="E1011" s="109"/>
      <c r="F1011" s="110"/>
      <c r="G1011" s="95"/>
      <c r="H1011" s="122"/>
      <c r="I1011" s="109"/>
      <c r="J1011" s="120"/>
      <c r="K1011" s="120"/>
      <c r="L1011" s="93"/>
      <c r="M1011" s="93"/>
      <c r="N1011" s="93"/>
      <c r="O1011" s="56"/>
      <c r="P1011" s="56"/>
      <c r="Q1011" s="56"/>
      <c r="R1011" s="56"/>
      <c r="S1011" s="56"/>
      <c r="T1011" s="56"/>
      <c r="U1011" s="56"/>
      <c r="V1011" s="56"/>
    </row>
    <row r="1012" ht="18.75" customHeight="1">
      <c r="A1012" s="90"/>
      <c r="B1012" s="126"/>
      <c r="C1012" s="252"/>
      <c r="D1012" s="109"/>
      <c r="E1012" s="109"/>
      <c r="F1012" s="110"/>
      <c r="G1012" s="95"/>
      <c r="H1012" s="122"/>
      <c r="I1012" s="109"/>
      <c r="J1012" s="120"/>
      <c r="K1012" s="120"/>
      <c r="L1012" s="93"/>
      <c r="M1012" s="93"/>
      <c r="N1012" s="93"/>
      <c r="O1012" s="56"/>
      <c r="P1012" s="56"/>
      <c r="Q1012" s="56"/>
      <c r="R1012" s="56"/>
      <c r="S1012" s="56"/>
      <c r="T1012" s="56"/>
      <c r="U1012" s="56"/>
      <c r="V1012" s="56"/>
    </row>
    <row r="1013" ht="18.75" customHeight="1">
      <c r="A1013" s="90"/>
      <c r="B1013" s="126"/>
      <c r="C1013" s="252"/>
      <c r="D1013" s="109"/>
      <c r="E1013" s="109"/>
      <c r="F1013" s="110"/>
      <c r="G1013" s="95"/>
      <c r="H1013" s="122"/>
      <c r="I1013" s="109"/>
      <c r="J1013" s="120"/>
      <c r="K1013" s="120"/>
      <c r="L1013" s="93"/>
      <c r="M1013" s="93"/>
      <c r="N1013" s="93"/>
      <c r="O1013" s="56"/>
      <c r="P1013" s="56"/>
      <c r="Q1013" s="56"/>
      <c r="R1013" s="56"/>
      <c r="S1013" s="56"/>
      <c r="T1013" s="56"/>
      <c r="U1013" s="56"/>
      <c r="V1013" s="56"/>
    </row>
    <row r="1014" ht="18.75" customHeight="1">
      <c r="A1014" s="90"/>
      <c r="B1014" s="126"/>
      <c r="C1014" s="252"/>
      <c r="D1014" s="109"/>
      <c r="E1014" s="109"/>
      <c r="F1014" s="110"/>
      <c r="G1014" s="95"/>
      <c r="H1014" s="122"/>
      <c r="I1014" s="109"/>
      <c r="J1014" s="120"/>
      <c r="K1014" s="120"/>
      <c r="L1014" s="93"/>
      <c r="M1014" s="93"/>
      <c r="N1014" s="93"/>
      <c r="O1014" s="56"/>
      <c r="P1014" s="56"/>
      <c r="Q1014" s="56"/>
      <c r="R1014" s="56"/>
      <c r="S1014" s="56"/>
      <c r="T1014" s="56"/>
      <c r="U1014" s="56"/>
      <c r="V1014" s="56"/>
    </row>
    <row r="1015" ht="18.75" customHeight="1">
      <c r="A1015" s="90"/>
      <c r="B1015" s="126"/>
      <c r="C1015" s="252"/>
      <c r="D1015" s="109"/>
      <c r="E1015" s="109"/>
      <c r="F1015" s="110"/>
      <c r="G1015" s="95"/>
      <c r="H1015" s="122"/>
      <c r="I1015" s="109"/>
      <c r="J1015" s="120"/>
      <c r="K1015" s="120"/>
      <c r="L1015" s="93"/>
      <c r="M1015" s="93"/>
      <c r="N1015" s="93"/>
      <c r="O1015" s="56"/>
      <c r="P1015" s="56"/>
      <c r="Q1015" s="56"/>
      <c r="R1015" s="56"/>
      <c r="S1015" s="56"/>
      <c r="T1015" s="56"/>
      <c r="U1015" s="56"/>
      <c r="V1015" s="56"/>
    </row>
    <row r="1016" ht="18.75" customHeight="1">
      <c r="A1016" s="90"/>
      <c r="B1016" s="126"/>
      <c r="C1016" s="252"/>
      <c r="D1016" s="109"/>
      <c r="E1016" s="109"/>
      <c r="F1016" s="110"/>
      <c r="G1016" s="95"/>
      <c r="H1016" s="122"/>
      <c r="I1016" s="109"/>
      <c r="J1016" s="120"/>
      <c r="K1016" s="120"/>
      <c r="L1016" s="93"/>
      <c r="M1016" s="93"/>
      <c r="N1016" s="93"/>
      <c r="O1016" s="56"/>
      <c r="P1016" s="56"/>
      <c r="Q1016" s="56"/>
      <c r="R1016" s="56"/>
      <c r="S1016" s="56"/>
      <c r="T1016" s="56"/>
      <c r="U1016" s="56"/>
      <c r="V1016" s="56"/>
    </row>
    <row r="1017" ht="18.75" customHeight="1">
      <c r="A1017" s="90"/>
      <c r="B1017" s="126"/>
      <c r="C1017" s="252"/>
      <c r="D1017" s="109"/>
      <c r="E1017" s="109"/>
      <c r="F1017" s="110"/>
      <c r="G1017" s="95"/>
      <c r="H1017" s="122"/>
      <c r="I1017" s="109"/>
      <c r="J1017" s="120"/>
      <c r="K1017" s="120"/>
      <c r="L1017" s="93"/>
      <c r="M1017" s="93"/>
      <c r="N1017" s="93"/>
      <c r="O1017" s="56"/>
      <c r="P1017" s="56"/>
      <c r="Q1017" s="56"/>
      <c r="R1017" s="56"/>
      <c r="S1017" s="56"/>
      <c r="T1017" s="56"/>
      <c r="U1017" s="56"/>
      <c r="V1017" s="56"/>
    </row>
    <row r="1018" ht="18.75" customHeight="1">
      <c r="A1018" s="90"/>
      <c r="B1018" s="126"/>
      <c r="C1018" s="252"/>
      <c r="D1018" s="109"/>
      <c r="E1018" s="109"/>
      <c r="F1018" s="110"/>
      <c r="G1018" s="95"/>
      <c r="H1018" s="122"/>
      <c r="I1018" s="109"/>
      <c r="J1018" s="120"/>
      <c r="K1018" s="120"/>
      <c r="L1018" s="93"/>
      <c r="M1018" s="93"/>
      <c r="N1018" s="93"/>
      <c r="O1018" s="56"/>
      <c r="P1018" s="56"/>
      <c r="Q1018" s="56"/>
      <c r="R1018" s="56"/>
      <c r="S1018" s="56"/>
      <c r="T1018" s="56"/>
      <c r="U1018" s="56"/>
      <c r="V1018" s="56"/>
    </row>
    <row r="1019" ht="18.75" customHeight="1">
      <c r="A1019" s="90"/>
      <c r="B1019" s="126"/>
      <c r="C1019" s="252"/>
      <c r="D1019" s="109"/>
      <c r="E1019" s="109"/>
      <c r="F1019" s="110"/>
      <c r="G1019" s="95"/>
      <c r="H1019" s="122"/>
      <c r="I1019" s="109"/>
      <c r="J1019" s="120"/>
      <c r="K1019" s="120"/>
      <c r="L1019" s="93"/>
      <c r="M1019" s="93"/>
      <c r="N1019" s="93"/>
      <c r="O1019" s="56"/>
      <c r="P1019" s="56"/>
      <c r="Q1019" s="56"/>
      <c r="R1019" s="56"/>
      <c r="S1019" s="56"/>
      <c r="T1019" s="56"/>
      <c r="U1019" s="56"/>
      <c r="V1019" s="56"/>
    </row>
    <row r="1020" ht="18.75" customHeight="1">
      <c r="A1020" s="90"/>
      <c r="B1020" s="126"/>
      <c r="C1020" s="252"/>
      <c r="D1020" s="109"/>
      <c r="E1020" s="109"/>
      <c r="F1020" s="110"/>
      <c r="G1020" s="95"/>
      <c r="H1020" s="122"/>
      <c r="I1020" s="109"/>
      <c r="J1020" s="120"/>
      <c r="K1020" s="120"/>
      <c r="L1020" s="93"/>
      <c r="M1020" s="93"/>
      <c r="N1020" s="93"/>
      <c r="O1020" s="56"/>
      <c r="P1020" s="56"/>
      <c r="Q1020" s="56"/>
      <c r="R1020" s="56"/>
      <c r="S1020" s="56"/>
      <c r="T1020" s="56"/>
      <c r="U1020" s="56"/>
      <c r="V1020" s="56"/>
    </row>
    <row r="1021" ht="18.75" customHeight="1">
      <c r="A1021" s="90"/>
      <c r="B1021" s="126"/>
      <c r="C1021" s="252"/>
      <c r="D1021" s="109"/>
      <c r="E1021" s="109"/>
      <c r="F1021" s="110"/>
      <c r="G1021" s="95"/>
      <c r="H1021" s="122"/>
      <c r="I1021" s="109"/>
      <c r="J1021" s="120"/>
      <c r="K1021" s="120"/>
      <c r="L1021" s="93"/>
      <c r="M1021" s="93"/>
      <c r="N1021" s="93"/>
      <c r="O1021" s="56"/>
      <c r="P1021" s="56"/>
      <c r="Q1021" s="56"/>
      <c r="R1021" s="56"/>
      <c r="S1021" s="56"/>
      <c r="T1021" s="56"/>
      <c r="U1021" s="56"/>
      <c r="V1021" s="56"/>
    </row>
    <row r="1022" ht="18.75" customHeight="1">
      <c r="A1022" s="90"/>
      <c r="B1022" s="126"/>
      <c r="C1022" s="252"/>
      <c r="D1022" s="109"/>
      <c r="E1022" s="109"/>
      <c r="F1022" s="110"/>
      <c r="G1022" s="95"/>
      <c r="H1022" s="122"/>
      <c r="I1022" s="109"/>
      <c r="J1022" s="120"/>
      <c r="K1022" s="120"/>
      <c r="L1022" s="93"/>
      <c r="M1022" s="93"/>
      <c r="N1022" s="93"/>
      <c r="O1022" s="56"/>
      <c r="P1022" s="56"/>
      <c r="Q1022" s="56"/>
      <c r="R1022" s="56"/>
      <c r="S1022" s="56"/>
      <c r="T1022" s="56"/>
      <c r="U1022" s="56"/>
      <c r="V1022" s="56"/>
    </row>
    <row r="1023" ht="18.75" customHeight="1">
      <c r="A1023" s="90"/>
      <c r="B1023" s="126"/>
      <c r="C1023" s="252"/>
      <c r="D1023" s="109"/>
      <c r="E1023" s="109"/>
      <c r="F1023" s="110"/>
      <c r="G1023" s="95"/>
      <c r="H1023" s="122"/>
      <c r="I1023" s="109"/>
      <c r="J1023" s="120"/>
      <c r="K1023" s="120"/>
      <c r="L1023" s="93"/>
      <c r="M1023" s="93"/>
      <c r="N1023" s="93"/>
      <c r="O1023" s="56"/>
      <c r="P1023" s="56"/>
      <c r="Q1023" s="56"/>
      <c r="R1023" s="56"/>
      <c r="S1023" s="56"/>
      <c r="T1023" s="56"/>
      <c r="U1023" s="56"/>
      <c r="V1023" s="56"/>
    </row>
    <row r="1024" ht="18.75" customHeight="1">
      <c r="A1024" s="90"/>
      <c r="B1024" s="126"/>
      <c r="C1024" s="252"/>
      <c r="D1024" s="109"/>
      <c r="E1024" s="109"/>
      <c r="F1024" s="110"/>
      <c r="G1024" s="95"/>
      <c r="H1024" s="122"/>
      <c r="I1024" s="109"/>
      <c r="J1024" s="120"/>
      <c r="K1024" s="120"/>
      <c r="L1024" s="93"/>
      <c r="M1024" s="93"/>
      <c r="N1024" s="93"/>
      <c r="O1024" s="56"/>
      <c r="P1024" s="56"/>
      <c r="Q1024" s="56"/>
      <c r="R1024" s="56"/>
      <c r="S1024" s="56"/>
      <c r="T1024" s="56"/>
      <c r="U1024" s="56"/>
      <c r="V1024" s="56"/>
    </row>
    <row r="1025" ht="18.75" customHeight="1">
      <c r="A1025" s="90"/>
      <c r="B1025" s="126"/>
      <c r="C1025" s="252"/>
      <c r="D1025" s="109"/>
      <c r="E1025" s="109"/>
      <c r="F1025" s="110"/>
      <c r="G1025" s="95"/>
      <c r="H1025" s="122"/>
      <c r="I1025" s="109"/>
      <c r="J1025" s="120"/>
      <c r="K1025" s="120"/>
      <c r="L1025" s="93"/>
      <c r="M1025" s="93"/>
      <c r="N1025" s="93"/>
      <c r="O1025" s="56"/>
      <c r="P1025" s="56"/>
      <c r="Q1025" s="56"/>
      <c r="R1025" s="56"/>
      <c r="S1025" s="56"/>
      <c r="T1025" s="56"/>
      <c r="U1025" s="56"/>
      <c r="V1025" s="56"/>
    </row>
    <row r="1026" ht="18.75" customHeight="1">
      <c r="A1026" s="90"/>
      <c r="B1026" s="126"/>
      <c r="C1026" s="252"/>
      <c r="D1026" s="109"/>
      <c r="E1026" s="109"/>
      <c r="F1026" s="110"/>
      <c r="G1026" s="95"/>
      <c r="H1026" s="122"/>
      <c r="I1026" s="109"/>
      <c r="J1026" s="120"/>
      <c r="K1026" s="120"/>
      <c r="L1026" s="93"/>
      <c r="M1026" s="93"/>
      <c r="N1026" s="93"/>
      <c r="O1026" s="56"/>
      <c r="P1026" s="56"/>
      <c r="Q1026" s="56"/>
      <c r="R1026" s="56"/>
      <c r="S1026" s="56"/>
      <c r="T1026" s="56"/>
      <c r="U1026" s="56"/>
      <c r="V1026" s="56"/>
    </row>
    <row r="1027" ht="18.75" customHeight="1">
      <c r="A1027" s="90"/>
      <c r="B1027" s="126"/>
      <c r="C1027" s="252"/>
      <c r="D1027" s="109"/>
      <c r="E1027" s="109"/>
      <c r="F1027" s="110"/>
      <c r="G1027" s="95"/>
      <c r="H1027" s="122"/>
      <c r="I1027" s="109"/>
      <c r="J1027" s="120"/>
      <c r="K1027" s="120"/>
      <c r="L1027" s="93"/>
      <c r="M1027" s="93"/>
      <c r="N1027" s="93"/>
      <c r="O1027" s="56"/>
      <c r="P1027" s="56"/>
      <c r="Q1027" s="56"/>
      <c r="R1027" s="56"/>
      <c r="S1027" s="56"/>
      <c r="T1027" s="56"/>
      <c r="U1027" s="56"/>
      <c r="V1027" s="56"/>
    </row>
    <row r="1028" ht="18.75" customHeight="1">
      <c r="A1028" s="90"/>
      <c r="B1028" s="126"/>
      <c r="C1028" s="252"/>
      <c r="D1028" s="109"/>
      <c r="E1028" s="109"/>
      <c r="F1028" s="110"/>
      <c r="G1028" s="95"/>
      <c r="H1028" s="122"/>
      <c r="I1028" s="109"/>
      <c r="J1028" s="120"/>
      <c r="K1028" s="120"/>
      <c r="L1028" s="93"/>
      <c r="M1028" s="93"/>
      <c r="N1028" s="93"/>
      <c r="O1028" s="56"/>
      <c r="P1028" s="56"/>
      <c r="Q1028" s="56"/>
      <c r="R1028" s="56"/>
      <c r="S1028" s="56"/>
      <c r="T1028" s="56"/>
      <c r="U1028" s="56"/>
      <c r="V1028" s="56"/>
    </row>
    <row r="1029" ht="18.75" customHeight="1">
      <c r="A1029" s="90"/>
      <c r="B1029" s="126"/>
      <c r="C1029" s="252"/>
      <c r="D1029" s="109"/>
      <c r="E1029" s="109"/>
      <c r="F1029" s="110"/>
      <c r="G1029" s="95"/>
      <c r="H1029" s="122"/>
      <c r="I1029" s="109"/>
      <c r="J1029" s="120"/>
      <c r="K1029" s="120"/>
      <c r="L1029" s="93"/>
      <c r="M1029" s="93"/>
      <c r="N1029" s="93"/>
      <c r="O1029" s="56"/>
      <c r="P1029" s="56"/>
      <c r="Q1029" s="56"/>
      <c r="R1029" s="56"/>
      <c r="S1029" s="56"/>
      <c r="T1029" s="56"/>
      <c r="U1029" s="56"/>
      <c r="V1029" s="56"/>
    </row>
    <row r="1030" ht="18.75" customHeight="1">
      <c r="A1030" s="90"/>
      <c r="B1030" s="126"/>
      <c r="C1030" s="252"/>
      <c r="D1030" s="109"/>
      <c r="E1030" s="109"/>
      <c r="F1030" s="110"/>
      <c r="G1030" s="95"/>
      <c r="H1030" s="122"/>
      <c r="I1030" s="109"/>
      <c r="J1030" s="120"/>
      <c r="K1030" s="120"/>
      <c r="L1030" s="93"/>
      <c r="M1030" s="93"/>
      <c r="N1030" s="93"/>
      <c r="O1030" s="56"/>
      <c r="P1030" s="56"/>
      <c r="Q1030" s="56"/>
      <c r="R1030" s="56"/>
      <c r="S1030" s="56"/>
      <c r="T1030" s="56"/>
      <c r="U1030" s="56"/>
      <c r="V1030" s="56"/>
    </row>
    <row r="1031" ht="18.75" customHeight="1">
      <c r="A1031" s="90"/>
      <c r="B1031" s="126"/>
      <c r="C1031" s="252"/>
      <c r="D1031" s="109"/>
      <c r="E1031" s="109"/>
      <c r="F1031" s="110"/>
      <c r="G1031" s="95"/>
      <c r="H1031" s="122"/>
      <c r="I1031" s="109"/>
      <c r="J1031" s="120"/>
      <c r="K1031" s="120"/>
      <c r="L1031" s="93"/>
      <c r="M1031" s="93"/>
      <c r="N1031" s="93"/>
      <c r="O1031" s="56"/>
      <c r="P1031" s="56"/>
      <c r="Q1031" s="56"/>
      <c r="R1031" s="56"/>
      <c r="S1031" s="56"/>
      <c r="T1031" s="56"/>
      <c r="U1031" s="56"/>
      <c r="V1031" s="56"/>
    </row>
    <row r="1032" ht="18.75" customHeight="1">
      <c r="A1032" s="90"/>
      <c r="B1032" s="126"/>
      <c r="C1032" s="252"/>
      <c r="D1032" s="109"/>
      <c r="E1032" s="109"/>
      <c r="F1032" s="110"/>
      <c r="G1032" s="95"/>
      <c r="H1032" s="122"/>
      <c r="I1032" s="109"/>
      <c r="J1032" s="120"/>
      <c r="K1032" s="120"/>
      <c r="L1032" s="93"/>
      <c r="M1032" s="93"/>
      <c r="N1032" s="93"/>
      <c r="O1032" s="56"/>
      <c r="P1032" s="56"/>
      <c r="Q1032" s="56"/>
      <c r="R1032" s="56"/>
      <c r="S1032" s="56"/>
      <c r="T1032" s="56"/>
      <c r="U1032" s="56"/>
      <c r="V1032" s="56"/>
    </row>
    <row r="1033" ht="18.75" customHeight="1">
      <c r="A1033" s="90"/>
      <c r="B1033" s="126"/>
      <c r="C1033" s="252"/>
      <c r="D1033" s="109"/>
      <c r="E1033" s="109"/>
      <c r="F1033" s="110"/>
      <c r="G1033" s="95"/>
      <c r="H1033" s="122"/>
      <c r="I1033" s="109"/>
      <c r="J1033" s="120"/>
      <c r="K1033" s="120"/>
      <c r="L1033" s="93"/>
      <c r="M1033" s="93"/>
      <c r="N1033" s="93"/>
      <c r="O1033" s="56"/>
      <c r="P1033" s="56"/>
      <c r="Q1033" s="56"/>
      <c r="R1033" s="56"/>
      <c r="S1033" s="56"/>
      <c r="T1033" s="56"/>
      <c r="U1033" s="56"/>
      <c r="V1033" s="56"/>
    </row>
    <row r="1034" ht="18.75" customHeight="1">
      <c r="A1034" s="90"/>
      <c r="B1034" s="126"/>
      <c r="C1034" s="252"/>
      <c r="D1034" s="109"/>
      <c r="E1034" s="109"/>
      <c r="F1034" s="110"/>
      <c r="G1034" s="95"/>
      <c r="H1034" s="122"/>
      <c r="I1034" s="109"/>
      <c r="J1034" s="120"/>
      <c r="K1034" s="120"/>
      <c r="L1034" s="93"/>
      <c r="M1034" s="93"/>
      <c r="N1034" s="93"/>
      <c r="O1034" s="56"/>
      <c r="P1034" s="56"/>
      <c r="Q1034" s="56"/>
      <c r="R1034" s="56"/>
      <c r="S1034" s="56"/>
      <c r="T1034" s="56"/>
      <c r="U1034" s="56"/>
      <c r="V1034" s="56"/>
    </row>
    <row r="1035" ht="18.75" customHeight="1">
      <c r="A1035" s="90"/>
      <c r="B1035" s="126"/>
      <c r="C1035" s="252"/>
      <c r="D1035" s="109"/>
      <c r="E1035" s="109"/>
      <c r="F1035" s="110"/>
      <c r="G1035" s="95"/>
      <c r="H1035" s="122"/>
      <c r="I1035" s="109"/>
      <c r="J1035" s="120"/>
      <c r="K1035" s="120"/>
      <c r="L1035" s="93"/>
      <c r="M1035" s="93"/>
      <c r="N1035" s="93"/>
      <c r="O1035" s="56"/>
      <c r="P1035" s="56"/>
      <c r="Q1035" s="56"/>
      <c r="R1035" s="56"/>
      <c r="S1035" s="56"/>
      <c r="T1035" s="56"/>
      <c r="U1035" s="56"/>
      <c r="V1035" s="56"/>
    </row>
    <row r="1036" ht="18.75" customHeight="1">
      <c r="A1036" s="90"/>
      <c r="B1036" s="126"/>
      <c r="C1036" s="252"/>
      <c r="D1036" s="109"/>
      <c r="E1036" s="109"/>
      <c r="F1036" s="110"/>
      <c r="G1036" s="95"/>
      <c r="H1036" s="122"/>
      <c r="I1036" s="109"/>
      <c r="J1036" s="120"/>
      <c r="K1036" s="120"/>
      <c r="L1036" s="93"/>
      <c r="M1036" s="93"/>
      <c r="N1036" s="93"/>
      <c r="O1036" s="56"/>
      <c r="P1036" s="56"/>
      <c r="Q1036" s="56"/>
      <c r="R1036" s="56"/>
      <c r="S1036" s="56"/>
      <c r="T1036" s="56"/>
      <c r="U1036" s="56"/>
      <c r="V1036" s="56"/>
    </row>
    <row r="1037" ht="18.75" customHeight="1">
      <c r="A1037" s="90"/>
      <c r="B1037" s="126"/>
      <c r="C1037" s="252"/>
      <c r="D1037" s="109"/>
      <c r="E1037" s="109"/>
      <c r="F1037" s="110"/>
      <c r="G1037" s="95"/>
      <c r="H1037" s="122"/>
      <c r="I1037" s="109"/>
      <c r="J1037" s="120"/>
      <c r="K1037" s="120"/>
      <c r="L1037" s="93"/>
      <c r="M1037" s="93"/>
      <c r="N1037" s="93"/>
      <c r="O1037" s="56"/>
      <c r="P1037" s="56"/>
      <c r="Q1037" s="56"/>
      <c r="R1037" s="56"/>
      <c r="S1037" s="56"/>
      <c r="T1037" s="56"/>
      <c r="U1037" s="56"/>
      <c r="V1037" s="56"/>
    </row>
    <row r="1038" ht="18.75" customHeight="1">
      <c r="A1038" s="90"/>
      <c r="B1038" s="126"/>
      <c r="C1038" s="252"/>
      <c r="D1038" s="109"/>
      <c r="E1038" s="109"/>
      <c r="F1038" s="110"/>
      <c r="G1038" s="95"/>
      <c r="H1038" s="122"/>
      <c r="I1038" s="109"/>
      <c r="J1038" s="120"/>
      <c r="K1038" s="120"/>
      <c r="L1038" s="93"/>
      <c r="M1038" s="93"/>
      <c r="N1038" s="93"/>
      <c r="O1038" s="56"/>
      <c r="P1038" s="56"/>
      <c r="Q1038" s="56"/>
      <c r="R1038" s="56"/>
      <c r="S1038" s="56"/>
      <c r="T1038" s="56"/>
      <c r="U1038" s="56"/>
      <c r="V1038" s="56"/>
    </row>
    <row r="1039" ht="18.75" customHeight="1">
      <c r="A1039" s="90"/>
      <c r="B1039" s="126"/>
      <c r="C1039" s="252"/>
      <c r="D1039" s="109"/>
      <c r="E1039" s="109"/>
      <c r="F1039" s="110"/>
      <c r="G1039" s="95"/>
      <c r="H1039" s="122"/>
      <c r="I1039" s="109"/>
      <c r="J1039" s="120"/>
      <c r="K1039" s="120"/>
      <c r="L1039" s="93"/>
      <c r="M1039" s="93"/>
      <c r="N1039" s="93"/>
      <c r="O1039" s="56"/>
      <c r="P1039" s="56"/>
      <c r="Q1039" s="56"/>
      <c r="R1039" s="56"/>
      <c r="S1039" s="56"/>
      <c r="T1039" s="56"/>
      <c r="U1039" s="56"/>
      <c r="V1039" s="56"/>
    </row>
    <row r="1040" ht="18.75" customHeight="1">
      <c r="A1040" s="90"/>
      <c r="B1040" s="126"/>
      <c r="C1040" s="252"/>
      <c r="D1040" s="109"/>
      <c r="E1040" s="109"/>
      <c r="F1040" s="110"/>
      <c r="G1040" s="95"/>
      <c r="H1040" s="122"/>
      <c r="I1040" s="109"/>
      <c r="J1040" s="120"/>
      <c r="K1040" s="120"/>
      <c r="L1040" s="93"/>
      <c r="M1040" s="93"/>
      <c r="N1040" s="93"/>
      <c r="O1040" s="56"/>
      <c r="P1040" s="56"/>
      <c r="Q1040" s="56"/>
      <c r="R1040" s="56"/>
      <c r="S1040" s="56"/>
      <c r="T1040" s="56"/>
      <c r="U1040" s="56"/>
      <c r="V1040" s="56"/>
    </row>
    <row r="1041" ht="18.75" customHeight="1">
      <c r="A1041" s="90"/>
      <c r="B1041" s="126"/>
      <c r="C1041" s="252"/>
      <c r="D1041" s="109"/>
      <c r="E1041" s="109"/>
      <c r="F1041" s="110"/>
      <c r="G1041" s="95"/>
      <c r="H1041" s="122"/>
      <c r="I1041" s="109"/>
      <c r="J1041" s="120"/>
      <c r="K1041" s="120"/>
      <c r="L1041" s="93"/>
      <c r="M1041" s="93"/>
      <c r="N1041" s="93"/>
      <c r="O1041" s="56"/>
      <c r="P1041" s="56"/>
      <c r="Q1041" s="56"/>
      <c r="R1041" s="56"/>
      <c r="S1041" s="56"/>
      <c r="T1041" s="56"/>
      <c r="U1041" s="56"/>
      <c r="V1041" s="56"/>
    </row>
    <row r="1042" ht="18.75" customHeight="1">
      <c r="A1042" s="90"/>
      <c r="B1042" s="126"/>
      <c r="C1042" s="252"/>
      <c r="D1042" s="109"/>
      <c r="E1042" s="109"/>
      <c r="F1042" s="110"/>
      <c r="G1042" s="95"/>
      <c r="H1042" s="122"/>
      <c r="I1042" s="109"/>
      <c r="J1042" s="120"/>
      <c r="K1042" s="120"/>
      <c r="L1042" s="93"/>
      <c r="M1042" s="93"/>
      <c r="N1042" s="93"/>
      <c r="O1042" s="56"/>
      <c r="P1042" s="56"/>
      <c r="Q1042" s="56"/>
      <c r="R1042" s="56"/>
      <c r="S1042" s="56"/>
      <c r="T1042" s="56"/>
      <c r="U1042" s="56"/>
      <c r="V1042" s="56"/>
    </row>
    <row r="1043" ht="18.75" customHeight="1">
      <c r="A1043" s="90"/>
      <c r="B1043" s="126"/>
      <c r="C1043" s="252"/>
      <c r="D1043" s="109"/>
      <c r="E1043" s="109"/>
      <c r="F1043" s="110"/>
      <c r="G1043" s="95"/>
      <c r="H1043" s="122"/>
      <c r="I1043" s="109"/>
      <c r="J1043" s="120"/>
      <c r="K1043" s="120"/>
      <c r="L1043" s="93"/>
      <c r="M1043" s="93"/>
      <c r="N1043" s="93"/>
      <c r="O1043" s="56"/>
      <c r="P1043" s="56"/>
      <c r="Q1043" s="56"/>
      <c r="R1043" s="56"/>
      <c r="S1043" s="56"/>
      <c r="T1043" s="56"/>
      <c r="U1043" s="56"/>
      <c r="V1043" s="56"/>
    </row>
    <row r="1044" ht="18.75" customHeight="1">
      <c r="A1044" s="90"/>
      <c r="B1044" s="126"/>
      <c r="C1044" s="252"/>
      <c r="D1044" s="109"/>
      <c r="E1044" s="109"/>
      <c r="F1044" s="110"/>
      <c r="G1044" s="95"/>
      <c r="H1044" s="122"/>
      <c r="I1044" s="109"/>
      <c r="J1044" s="120"/>
      <c r="K1044" s="120"/>
      <c r="L1044" s="93"/>
      <c r="M1044" s="93"/>
      <c r="N1044" s="93"/>
      <c r="O1044" s="56"/>
      <c r="P1044" s="56"/>
      <c r="Q1044" s="56"/>
      <c r="R1044" s="56"/>
      <c r="S1044" s="56"/>
      <c r="T1044" s="56"/>
      <c r="U1044" s="56"/>
      <c r="V1044" s="56"/>
    </row>
    <row r="1045" ht="18.75" customHeight="1">
      <c r="A1045" s="90"/>
      <c r="B1045" s="126"/>
      <c r="C1045" s="252"/>
      <c r="D1045" s="109"/>
      <c r="E1045" s="109"/>
      <c r="F1045" s="110"/>
      <c r="G1045" s="95"/>
      <c r="H1045" s="122"/>
      <c r="I1045" s="109"/>
      <c r="J1045" s="120"/>
      <c r="K1045" s="120"/>
      <c r="L1045" s="93"/>
      <c r="M1045" s="93"/>
      <c r="N1045" s="93"/>
      <c r="O1045" s="56"/>
      <c r="P1045" s="56"/>
      <c r="Q1045" s="56"/>
      <c r="R1045" s="56"/>
      <c r="S1045" s="56"/>
      <c r="T1045" s="56"/>
      <c r="U1045" s="56"/>
      <c r="V1045" s="56"/>
    </row>
    <row r="1046" ht="18.75" customHeight="1">
      <c r="A1046" s="90"/>
      <c r="B1046" s="126"/>
      <c r="C1046" s="252"/>
      <c r="D1046" s="109"/>
      <c r="E1046" s="109"/>
      <c r="F1046" s="110"/>
      <c r="G1046" s="95"/>
      <c r="H1046" s="122"/>
      <c r="I1046" s="109"/>
      <c r="J1046" s="120"/>
      <c r="K1046" s="120"/>
      <c r="L1046" s="93"/>
      <c r="M1046" s="93"/>
      <c r="N1046" s="93"/>
      <c r="O1046" s="56"/>
      <c r="P1046" s="56"/>
      <c r="Q1046" s="56"/>
      <c r="R1046" s="56"/>
      <c r="S1046" s="56"/>
      <c r="T1046" s="56"/>
      <c r="U1046" s="56"/>
      <c r="V1046" s="56"/>
    </row>
    <row r="1047" ht="18.75" customHeight="1">
      <c r="A1047" s="90"/>
      <c r="B1047" s="126"/>
      <c r="C1047" s="252"/>
      <c r="D1047" s="109"/>
      <c r="E1047" s="109"/>
      <c r="F1047" s="110"/>
      <c r="G1047" s="95"/>
      <c r="H1047" s="122"/>
      <c r="I1047" s="109"/>
      <c r="J1047" s="120"/>
      <c r="K1047" s="120"/>
      <c r="L1047" s="93"/>
      <c r="M1047" s="93"/>
      <c r="N1047" s="93"/>
      <c r="O1047" s="56"/>
      <c r="P1047" s="56"/>
      <c r="Q1047" s="56"/>
      <c r="R1047" s="56"/>
      <c r="S1047" s="56"/>
      <c r="T1047" s="56"/>
      <c r="U1047" s="56"/>
      <c r="V1047" s="56"/>
    </row>
    <row r="1048" ht="18.75" customHeight="1">
      <c r="A1048" s="90"/>
      <c r="B1048" s="126"/>
      <c r="C1048" s="252"/>
      <c r="D1048" s="109"/>
      <c r="E1048" s="109"/>
      <c r="F1048" s="110"/>
      <c r="G1048" s="95"/>
      <c r="H1048" s="122"/>
      <c r="I1048" s="109"/>
      <c r="J1048" s="120"/>
      <c r="K1048" s="120"/>
      <c r="L1048" s="93"/>
      <c r="M1048" s="93"/>
      <c r="N1048" s="93"/>
      <c r="O1048" s="56"/>
      <c r="P1048" s="56"/>
      <c r="Q1048" s="56"/>
      <c r="R1048" s="56"/>
      <c r="S1048" s="56"/>
      <c r="T1048" s="56"/>
      <c r="U1048" s="56"/>
      <c r="V1048" s="56"/>
    </row>
    <row r="1049" ht="18.75" customHeight="1">
      <c r="A1049" s="90"/>
      <c r="B1049" s="126"/>
      <c r="C1049" s="252"/>
      <c r="D1049" s="109"/>
      <c r="E1049" s="109"/>
      <c r="F1049" s="110"/>
      <c r="G1049" s="95"/>
      <c r="H1049" s="122"/>
      <c r="I1049" s="109"/>
      <c r="J1049" s="120"/>
      <c r="K1049" s="120"/>
      <c r="L1049" s="93"/>
      <c r="M1049" s="93"/>
      <c r="N1049" s="93"/>
      <c r="O1049" s="56"/>
      <c r="P1049" s="56"/>
      <c r="Q1049" s="56"/>
      <c r="R1049" s="56"/>
      <c r="S1049" s="56"/>
      <c r="T1049" s="56"/>
      <c r="U1049" s="56"/>
      <c r="V1049" s="56"/>
    </row>
    <row r="1050" ht="18.75" customHeight="1">
      <c r="A1050" s="90"/>
      <c r="B1050" s="126"/>
      <c r="C1050" s="252"/>
      <c r="D1050" s="109"/>
      <c r="E1050" s="109"/>
      <c r="F1050" s="110"/>
      <c r="G1050" s="95"/>
      <c r="H1050" s="122"/>
      <c r="I1050" s="109"/>
      <c r="J1050" s="120"/>
      <c r="K1050" s="120"/>
      <c r="L1050" s="93"/>
      <c r="M1050" s="93"/>
      <c r="N1050" s="93"/>
      <c r="O1050" s="56"/>
      <c r="P1050" s="56"/>
      <c r="Q1050" s="56"/>
      <c r="R1050" s="56"/>
      <c r="S1050" s="56"/>
      <c r="T1050" s="56"/>
      <c r="U1050" s="56"/>
      <c r="V1050" s="56"/>
    </row>
    <row r="1051" ht="18.75" customHeight="1">
      <c r="A1051" s="90"/>
      <c r="B1051" s="126"/>
      <c r="C1051" s="252"/>
      <c r="D1051" s="109"/>
      <c r="E1051" s="109"/>
      <c r="F1051" s="110"/>
      <c r="G1051" s="95"/>
      <c r="H1051" s="122"/>
      <c r="I1051" s="109"/>
      <c r="J1051" s="120"/>
      <c r="K1051" s="120"/>
      <c r="L1051" s="93"/>
      <c r="M1051" s="93"/>
      <c r="N1051" s="93"/>
      <c r="O1051" s="56"/>
      <c r="P1051" s="56"/>
      <c r="Q1051" s="56"/>
      <c r="R1051" s="56"/>
      <c r="S1051" s="56"/>
      <c r="T1051" s="56"/>
      <c r="U1051" s="56"/>
      <c r="V1051" s="56"/>
    </row>
    <row r="1052" ht="18.75" customHeight="1">
      <c r="A1052" s="90"/>
      <c r="B1052" s="126"/>
      <c r="C1052" s="252"/>
      <c r="D1052" s="109"/>
      <c r="E1052" s="109"/>
      <c r="F1052" s="110"/>
      <c r="G1052" s="95"/>
      <c r="H1052" s="122"/>
      <c r="I1052" s="109"/>
      <c r="J1052" s="120"/>
      <c r="K1052" s="120"/>
      <c r="L1052" s="93"/>
      <c r="M1052" s="93"/>
      <c r="N1052" s="93"/>
      <c r="O1052" s="56"/>
      <c r="P1052" s="56"/>
      <c r="Q1052" s="56"/>
      <c r="R1052" s="56"/>
      <c r="S1052" s="56"/>
      <c r="T1052" s="56"/>
      <c r="U1052" s="56"/>
      <c r="V1052" s="56"/>
    </row>
    <row r="1053" ht="18.75" customHeight="1">
      <c r="A1053" s="90"/>
      <c r="B1053" s="126"/>
      <c r="C1053" s="252"/>
      <c r="D1053" s="109"/>
      <c r="E1053" s="109"/>
      <c r="F1053" s="110"/>
      <c r="G1053" s="95"/>
      <c r="H1053" s="122"/>
      <c r="I1053" s="109"/>
      <c r="J1053" s="120"/>
      <c r="K1053" s="120"/>
      <c r="L1053" s="93"/>
      <c r="M1053" s="93"/>
      <c r="N1053" s="93"/>
      <c r="O1053" s="56"/>
      <c r="P1053" s="56"/>
      <c r="Q1053" s="56"/>
      <c r="R1053" s="56"/>
      <c r="S1053" s="56"/>
      <c r="T1053" s="56"/>
      <c r="U1053" s="56"/>
      <c r="V1053" s="56"/>
    </row>
    <row r="1054" ht="18.75" customHeight="1">
      <c r="A1054" s="90"/>
      <c r="B1054" s="126"/>
      <c r="C1054" s="252"/>
      <c r="D1054" s="109"/>
      <c r="E1054" s="109"/>
      <c r="F1054" s="110"/>
      <c r="G1054" s="95"/>
      <c r="H1054" s="122"/>
      <c r="I1054" s="109"/>
      <c r="J1054" s="120"/>
      <c r="K1054" s="120"/>
      <c r="L1054" s="93"/>
      <c r="M1054" s="93"/>
      <c r="N1054" s="93"/>
      <c r="O1054" s="56"/>
      <c r="P1054" s="56"/>
      <c r="Q1054" s="56"/>
      <c r="R1054" s="56"/>
      <c r="S1054" s="56"/>
      <c r="T1054" s="56"/>
      <c r="U1054" s="56"/>
      <c r="V1054" s="56"/>
    </row>
    <row r="1055" ht="18.75" customHeight="1">
      <c r="A1055" s="90"/>
      <c r="B1055" s="126"/>
      <c r="C1055" s="252"/>
      <c r="D1055" s="109"/>
      <c r="E1055" s="109"/>
      <c r="F1055" s="110"/>
      <c r="G1055" s="95"/>
      <c r="H1055" s="122"/>
      <c r="I1055" s="109"/>
      <c r="J1055" s="120"/>
      <c r="K1055" s="120"/>
      <c r="L1055" s="93"/>
      <c r="M1055" s="93"/>
      <c r="N1055" s="93"/>
      <c r="O1055" s="56"/>
      <c r="P1055" s="56"/>
      <c r="Q1055" s="56"/>
      <c r="R1055" s="56"/>
      <c r="S1055" s="56"/>
      <c r="T1055" s="56"/>
      <c r="U1055" s="56"/>
      <c r="V1055" s="56"/>
    </row>
    <row r="1056" ht="18.75" customHeight="1">
      <c r="A1056" s="90"/>
      <c r="B1056" s="126"/>
      <c r="C1056" s="252"/>
      <c r="D1056" s="109"/>
      <c r="E1056" s="109"/>
      <c r="F1056" s="110"/>
      <c r="G1056" s="95"/>
      <c r="H1056" s="122"/>
      <c r="I1056" s="109"/>
      <c r="J1056" s="120"/>
      <c r="K1056" s="120"/>
      <c r="L1056" s="93"/>
      <c r="M1056" s="93"/>
      <c r="N1056" s="93"/>
      <c r="O1056" s="56"/>
      <c r="P1056" s="56"/>
      <c r="Q1056" s="56"/>
      <c r="R1056" s="56"/>
      <c r="S1056" s="56"/>
      <c r="T1056" s="56"/>
      <c r="U1056" s="56"/>
      <c r="V1056" s="56"/>
    </row>
    <row r="1057" ht="18.75" customHeight="1">
      <c r="A1057" s="90"/>
      <c r="B1057" s="126"/>
      <c r="C1057" s="252"/>
      <c r="D1057" s="109"/>
      <c r="E1057" s="109"/>
      <c r="F1057" s="110"/>
      <c r="G1057" s="95"/>
      <c r="H1057" s="122"/>
      <c r="I1057" s="109"/>
      <c r="J1057" s="120"/>
      <c r="K1057" s="120"/>
      <c r="L1057" s="93"/>
      <c r="M1057" s="93"/>
      <c r="N1057" s="93"/>
      <c r="O1057" s="56"/>
      <c r="P1057" s="56"/>
      <c r="Q1057" s="56"/>
      <c r="R1057" s="56"/>
      <c r="S1057" s="56"/>
      <c r="T1057" s="56"/>
      <c r="U1057" s="56"/>
      <c r="V1057" s="56"/>
    </row>
    <row r="1058" ht="18.75" customHeight="1">
      <c r="A1058" s="90"/>
      <c r="B1058" s="126"/>
      <c r="C1058" s="252"/>
      <c r="D1058" s="109"/>
      <c r="E1058" s="109"/>
      <c r="F1058" s="110"/>
      <c r="G1058" s="95"/>
      <c r="H1058" s="122"/>
      <c r="I1058" s="109"/>
      <c r="J1058" s="120"/>
      <c r="K1058" s="120"/>
      <c r="L1058" s="93"/>
      <c r="M1058" s="93"/>
      <c r="N1058" s="93"/>
      <c r="O1058" s="56"/>
      <c r="P1058" s="56"/>
      <c r="Q1058" s="56"/>
      <c r="R1058" s="56"/>
      <c r="S1058" s="56"/>
      <c r="T1058" s="56"/>
      <c r="U1058" s="56"/>
      <c r="V1058" s="56"/>
    </row>
    <row r="1059" ht="18.75" customHeight="1">
      <c r="A1059" s="90"/>
      <c r="B1059" s="126"/>
      <c r="C1059" s="252"/>
      <c r="D1059" s="109"/>
      <c r="E1059" s="109"/>
      <c r="F1059" s="110"/>
      <c r="G1059" s="95"/>
      <c r="H1059" s="122"/>
      <c r="I1059" s="109"/>
      <c r="J1059" s="120"/>
      <c r="K1059" s="120"/>
      <c r="L1059" s="93"/>
      <c r="M1059" s="93"/>
      <c r="N1059" s="93"/>
      <c r="O1059" s="56"/>
      <c r="P1059" s="56"/>
      <c r="Q1059" s="56"/>
      <c r="R1059" s="56"/>
      <c r="S1059" s="56"/>
      <c r="T1059" s="56"/>
      <c r="U1059" s="56"/>
      <c r="V1059" s="56"/>
    </row>
    <row r="1060" ht="18.75" customHeight="1">
      <c r="A1060" s="90"/>
      <c r="B1060" s="126"/>
      <c r="C1060" s="252"/>
      <c r="D1060" s="109"/>
      <c r="E1060" s="109"/>
      <c r="F1060" s="110"/>
      <c r="G1060" s="95"/>
      <c r="H1060" s="122"/>
      <c r="I1060" s="109"/>
      <c r="J1060" s="120"/>
      <c r="K1060" s="120"/>
      <c r="L1060" s="93"/>
      <c r="M1060" s="93"/>
      <c r="N1060" s="93"/>
      <c r="O1060" s="56"/>
      <c r="P1060" s="56"/>
      <c r="Q1060" s="56"/>
      <c r="R1060" s="56"/>
      <c r="S1060" s="56"/>
      <c r="T1060" s="56"/>
      <c r="U1060" s="56"/>
      <c r="V1060" s="56"/>
    </row>
    <row r="1061" ht="18.75" customHeight="1">
      <c r="A1061" s="90"/>
      <c r="B1061" s="126"/>
      <c r="C1061" s="252"/>
      <c r="D1061" s="109"/>
      <c r="E1061" s="109"/>
      <c r="F1061" s="110"/>
      <c r="G1061" s="95"/>
      <c r="H1061" s="122"/>
      <c r="I1061" s="109"/>
      <c r="J1061" s="120"/>
      <c r="K1061" s="120"/>
      <c r="L1061" s="93"/>
      <c r="M1061" s="93"/>
      <c r="N1061" s="93"/>
      <c r="O1061" s="56"/>
      <c r="P1061" s="56"/>
      <c r="Q1061" s="56"/>
      <c r="R1061" s="56"/>
      <c r="S1061" s="56"/>
      <c r="T1061" s="56"/>
      <c r="U1061" s="56"/>
      <c r="V1061" s="56"/>
    </row>
    <row r="1062" ht="18.75" customHeight="1">
      <c r="A1062" s="90"/>
      <c r="B1062" s="126"/>
      <c r="C1062" s="252"/>
      <c r="D1062" s="109"/>
      <c r="E1062" s="109"/>
      <c r="F1062" s="110"/>
      <c r="G1062" s="95"/>
      <c r="H1062" s="122"/>
      <c r="I1062" s="109"/>
      <c r="J1062" s="120"/>
      <c r="K1062" s="120"/>
      <c r="L1062" s="93"/>
      <c r="M1062" s="93"/>
      <c r="N1062" s="93"/>
      <c r="O1062" s="56"/>
      <c r="P1062" s="56"/>
      <c r="Q1062" s="56"/>
      <c r="R1062" s="56"/>
      <c r="S1062" s="56"/>
      <c r="T1062" s="56"/>
      <c r="U1062" s="56"/>
      <c r="V1062" s="56"/>
    </row>
    <row r="1063" ht="18.75" customHeight="1">
      <c r="A1063" s="90"/>
      <c r="B1063" s="126"/>
      <c r="C1063" s="252"/>
      <c r="D1063" s="109"/>
      <c r="E1063" s="109"/>
      <c r="F1063" s="110"/>
      <c r="G1063" s="95"/>
      <c r="H1063" s="122"/>
      <c r="I1063" s="109"/>
      <c r="J1063" s="120"/>
      <c r="K1063" s="120"/>
      <c r="L1063" s="93"/>
      <c r="M1063" s="93"/>
      <c r="N1063" s="93"/>
      <c r="O1063" s="56"/>
      <c r="P1063" s="56"/>
      <c r="Q1063" s="56"/>
      <c r="R1063" s="56"/>
      <c r="S1063" s="56"/>
      <c r="T1063" s="56"/>
      <c r="U1063" s="56"/>
      <c r="V1063" s="56"/>
    </row>
    <row r="1064" ht="18.75" customHeight="1">
      <c r="A1064" s="90"/>
      <c r="B1064" s="126"/>
      <c r="C1064" s="252"/>
      <c r="D1064" s="109"/>
      <c r="E1064" s="109"/>
      <c r="F1064" s="110"/>
      <c r="G1064" s="95"/>
      <c r="H1064" s="122"/>
      <c r="I1064" s="109"/>
      <c r="J1064" s="120"/>
      <c r="K1064" s="120"/>
      <c r="L1064" s="93"/>
      <c r="M1064" s="93"/>
      <c r="N1064" s="93"/>
      <c r="O1064" s="56"/>
      <c r="P1064" s="56"/>
      <c r="Q1064" s="56"/>
      <c r="R1064" s="56"/>
      <c r="S1064" s="56"/>
      <c r="T1064" s="56"/>
      <c r="U1064" s="56"/>
      <c r="V1064" s="56"/>
    </row>
    <row r="1065" ht="18.75" customHeight="1">
      <c r="A1065" s="90"/>
      <c r="B1065" s="126"/>
      <c r="C1065" s="252"/>
      <c r="D1065" s="109"/>
      <c r="E1065" s="109"/>
      <c r="F1065" s="110"/>
      <c r="G1065" s="95"/>
      <c r="H1065" s="122"/>
      <c r="I1065" s="109"/>
      <c r="J1065" s="120"/>
      <c r="K1065" s="120"/>
      <c r="L1065" s="93"/>
      <c r="M1065" s="93"/>
      <c r="N1065" s="93"/>
      <c r="O1065" s="56"/>
      <c r="P1065" s="56"/>
      <c r="Q1065" s="56"/>
      <c r="R1065" s="56"/>
      <c r="S1065" s="56"/>
      <c r="T1065" s="56"/>
      <c r="U1065" s="56"/>
      <c r="V1065" s="56"/>
    </row>
    <row r="1066" ht="18.75" customHeight="1">
      <c r="A1066" s="90"/>
      <c r="B1066" s="126"/>
      <c r="C1066" s="252"/>
      <c r="D1066" s="109"/>
      <c r="E1066" s="109"/>
      <c r="F1066" s="110"/>
      <c r="G1066" s="95"/>
      <c r="H1066" s="122"/>
      <c r="I1066" s="109"/>
      <c r="J1066" s="120"/>
      <c r="K1066" s="120"/>
      <c r="L1066" s="93"/>
      <c r="M1066" s="93"/>
      <c r="N1066" s="93"/>
      <c r="O1066" s="56"/>
      <c r="P1066" s="56"/>
      <c r="Q1066" s="56"/>
      <c r="R1066" s="56"/>
      <c r="S1066" s="56"/>
      <c r="T1066" s="56"/>
      <c r="U1066" s="56"/>
      <c r="V1066" s="56"/>
    </row>
    <row r="1067" ht="18.75" customHeight="1">
      <c r="A1067" s="90"/>
      <c r="B1067" s="126"/>
      <c r="C1067" s="252"/>
      <c r="D1067" s="109"/>
      <c r="E1067" s="109"/>
      <c r="F1067" s="110"/>
      <c r="G1067" s="95"/>
      <c r="H1067" s="122"/>
      <c r="I1067" s="109"/>
      <c r="J1067" s="120"/>
      <c r="K1067" s="120"/>
      <c r="L1067" s="93"/>
      <c r="M1067" s="93"/>
      <c r="N1067" s="93"/>
      <c r="O1067" s="56"/>
      <c r="P1067" s="56"/>
      <c r="Q1067" s="56"/>
      <c r="R1067" s="56"/>
      <c r="S1067" s="56"/>
      <c r="T1067" s="56"/>
      <c r="U1067" s="56"/>
      <c r="V1067" s="56"/>
    </row>
    <row r="1068" ht="18.75" customHeight="1">
      <c r="A1068" s="90"/>
      <c r="B1068" s="126"/>
      <c r="C1068" s="252"/>
      <c r="D1068" s="109"/>
      <c r="E1068" s="109"/>
      <c r="F1068" s="110"/>
      <c r="G1068" s="95"/>
      <c r="H1068" s="122"/>
      <c r="I1068" s="109"/>
      <c r="J1068" s="120"/>
      <c r="K1068" s="120"/>
      <c r="L1068" s="93"/>
      <c r="M1068" s="93"/>
      <c r="N1068" s="93"/>
      <c r="O1068" s="56"/>
      <c r="P1068" s="56"/>
      <c r="Q1068" s="56"/>
      <c r="R1068" s="56"/>
      <c r="S1068" s="56"/>
      <c r="T1068" s="56"/>
      <c r="U1068" s="56"/>
      <c r="V1068" s="56"/>
    </row>
    <row r="1069" ht="18.75" customHeight="1">
      <c r="A1069" s="90"/>
      <c r="B1069" s="126"/>
      <c r="C1069" s="252"/>
      <c r="D1069" s="109"/>
      <c r="E1069" s="109"/>
      <c r="F1069" s="110"/>
      <c r="G1069" s="95"/>
      <c r="H1069" s="122"/>
      <c r="I1069" s="109"/>
      <c r="J1069" s="120"/>
      <c r="K1069" s="120"/>
      <c r="L1069" s="93"/>
      <c r="M1069" s="93"/>
      <c r="N1069" s="93"/>
      <c r="O1069" s="56"/>
      <c r="P1069" s="56"/>
      <c r="Q1069" s="56"/>
      <c r="R1069" s="56"/>
      <c r="S1069" s="56"/>
      <c r="T1069" s="56"/>
      <c r="U1069" s="56"/>
      <c r="V1069" s="56"/>
    </row>
    <row r="1070" ht="18.75" customHeight="1">
      <c r="A1070" s="90"/>
      <c r="B1070" s="126"/>
      <c r="C1070" s="252"/>
      <c r="D1070" s="109"/>
      <c r="E1070" s="109"/>
      <c r="F1070" s="110"/>
      <c r="G1070" s="95"/>
      <c r="H1070" s="122"/>
      <c r="I1070" s="109"/>
      <c r="J1070" s="120"/>
      <c r="K1070" s="120"/>
      <c r="L1070" s="93"/>
      <c r="M1070" s="93"/>
      <c r="N1070" s="93"/>
      <c r="O1070" s="56"/>
      <c r="P1070" s="56"/>
      <c r="Q1070" s="56"/>
      <c r="R1070" s="56"/>
      <c r="S1070" s="56"/>
      <c r="T1070" s="56"/>
      <c r="U1070" s="56"/>
      <c r="V1070" s="56"/>
    </row>
    <row r="1071" ht="18.75" customHeight="1">
      <c r="A1071" s="90"/>
      <c r="B1071" s="126"/>
      <c r="C1071" s="252"/>
      <c r="D1071" s="109"/>
      <c r="E1071" s="109"/>
      <c r="F1071" s="110"/>
      <c r="G1071" s="95"/>
      <c r="H1071" s="122"/>
      <c r="I1071" s="109"/>
      <c r="J1071" s="120"/>
      <c r="K1071" s="120"/>
      <c r="L1071" s="93"/>
      <c r="M1071" s="93"/>
      <c r="N1071" s="93"/>
      <c r="O1071" s="56"/>
      <c r="P1071" s="56"/>
      <c r="Q1071" s="56"/>
      <c r="R1071" s="56"/>
      <c r="S1071" s="56"/>
      <c r="T1071" s="56"/>
      <c r="U1071" s="56"/>
      <c r="V1071" s="56"/>
    </row>
    <row r="1072" ht="18.75" customHeight="1">
      <c r="A1072" s="90"/>
      <c r="B1072" s="126"/>
      <c r="C1072" s="252"/>
      <c r="D1072" s="109"/>
      <c r="E1072" s="109"/>
      <c r="F1072" s="110"/>
      <c r="G1072" s="95"/>
      <c r="H1072" s="122"/>
      <c r="I1072" s="109"/>
      <c r="J1072" s="120"/>
      <c r="K1072" s="120"/>
      <c r="L1072" s="93"/>
      <c r="M1072" s="93"/>
      <c r="N1072" s="93"/>
      <c r="O1072" s="56"/>
      <c r="P1072" s="56"/>
      <c r="Q1072" s="56"/>
      <c r="R1072" s="56"/>
      <c r="S1072" s="56"/>
      <c r="T1072" s="56"/>
      <c r="U1072" s="56"/>
      <c r="V1072" s="56"/>
    </row>
    <row r="1073" ht="18.75" customHeight="1">
      <c r="A1073" s="90"/>
      <c r="B1073" s="126"/>
      <c r="C1073" s="252"/>
      <c r="D1073" s="109"/>
      <c r="E1073" s="109"/>
      <c r="F1073" s="110"/>
      <c r="G1073" s="95"/>
      <c r="H1073" s="122"/>
      <c r="I1073" s="109"/>
      <c r="J1073" s="120"/>
      <c r="K1073" s="120"/>
      <c r="L1073" s="93"/>
      <c r="M1073" s="93"/>
      <c r="N1073" s="93"/>
      <c r="O1073" s="56"/>
      <c r="P1073" s="56"/>
      <c r="Q1073" s="56"/>
      <c r="R1073" s="56"/>
      <c r="S1073" s="56"/>
      <c r="T1073" s="56"/>
      <c r="U1073" s="56"/>
      <c r="V1073" s="56"/>
    </row>
    <row r="1074" ht="18.75" customHeight="1">
      <c r="A1074" s="90"/>
      <c r="B1074" s="126"/>
      <c r="C1074" s="252"/>
      <c r="D1074" s="109"/>
      <c r="E1074" s="109"/>
      <c r="F1074" s="110"/>
      <c r="G1074" s="95"/>
      <c r="H1074" s="122"/>
      <c r="I1074" s="109"/>
      <c r="J1074" s="120"/>
      <c r="K1074" s="120"/>
      <c r="L1074" s="93"/>
      <c r="M1074" s="93"/>
      <c r="N1074" s="93"/>
      <c r="O1074" s="56"/>
      <c r="P1074" s="56"/>
      <c r="Q1074" s="56"/>
      <c r="R1074" s="56"/>
      <c r="S1074" s="56"/>
      <c r="T1074" s="56"/>
      <c r="U1074" s="56"/>
      <c r="V1074" s="56"/>
    </row>
    <row r="1075" ht="18.75" customHeight="1">
      <c r="A1075" s="90"/>
      <c r="B1075" s="126"/>
      <c r="C1075" s="252"/>
      <c r="D1075" s="109"/>
      <c r="E1075" s="109"/>
      <c r="F1075" s="110"/>
      <c r="G1075" s="95"/>
      <c r="H1075" s="122"/>
      <c r="I1075" s="109"/>
      <c r="J1075" s="120"/>
      <c r="K1075" s="120"/>
      <c r="L1075" s="93"/>
      <c r="M1075" s="93"/>
      <c r="N1075" s="93"/>
      <c r="O1075" s="56"/>
      <c r="P1075" s="56"/>
      <c r="Q1075" s="56"/>
      <c r="R1075" s="56"/>
      <c r="S1075" s="56"/>
      <c r="T1075" s="56"/>
      <c r="U1075" s="56"/>
      <c r="V1075" s="56"/>
    </row>
    <row r="1076" ht="18.75" customHeight="1">
      <c r="A1076" s="90"/>
      <c r="B1076" s="126"/>
      <c r="C1076" s="252"/>
      <c r="D1076" s="109"/>
      <c r="E1076" s="109"/>
      <c r="F1076" s="110"/>
      <c r="G1076" s="95"/>
      <c r="H1076" s="122"/>
      <c r="I1076" s="109"/>
      <c r="J1076" s="120"/>
      <c r="K1076" s="120"/>
      <c r="L1076" s="93"/>
      <c r="M1076" s="93"/>
      <c r="N1076" s="93"/>
      <c r="O1076" s="56"/>
      <c r="P1076" s="56"/>
      <c r="Q1076" s="56"/>
      <c r="R1076" s="56"/>
      <c r="S1076" s="56"/>
      <c r="T1076" s="56"/>
      <c r="U1076" s="56"/>
      <c r="V1076" s="56"/>
    </row>
    <row r="1077" ht="18.75" customHeight="1">
      <c r="A1077" s="90"/>
      <c r="B1077" s="126"/>
      <c r="C1077" s="252"/>
      <c r="D1077" s="109"/>
      <c r="E1077" s="109"/>
      <c r="F1077" s="110"/>
      <c r="G1077" s="95"/>
      <c r="H1077" s="122"/>
      <c r="I1077" s="109"/>
      <c r="J1077" s="120"/>
      <c r="K1077" s="120"/>
      <c r="L1077" s="93"/>
      <c r="M1077" s="93"/>
      <c r="N1077" s="93"/>
      <c r="O1077" s="56"/>
      <c r="P1077" s="56"/>
      <c r="Q1077" s="56"/>
      <c r="R1077" s="56"/>
      <c r="S1077" s="56"/>
      <c r="T1077" s="56"/>
      <c r="U1077" s="56"/>
      <c r="V1077" s="56"/>
    </row>
    <row r="1078" ht="18.75" customHeight="1">
      <c r="A1078" s="90"/>
      <c r="B1078" s="126"/>
      <c r="C1078" s="252"/>
      <c r="D1078" s="109"/>
      <c r="E1078" s="109"/>
      <c r="F1078" s="110"/>
      <c r="G1078" s="95"/>
      <c r="H1078" s="122"/>
      <c r="I1078" s="109"/>
      <c r="J1078" s="120"/>
      <c r="K1078" s="120"/>
      <c r="L1078" s="93"/>
      <c r="M1078" s="93"/>
      <c r="N1078" s="93"/>
      <c r="O1078" s="56"/>
      <c r="P1078" s="56"/>
      <c r="Q1078" s="56"/>
      <c r="R1078" s="56"/>
      <c r="S1078" s="56"/>
      <c r="T1078" s="56"/>
      <c r="U1078" s="56"/>
      <c r="V1078" s="56"/>
    </row>
    <row r="1079" ht="18.75" customHeight="1">
      <c r="A1079" s="90"/>
      <c r="B1079" s="126"/>
      <c r="C1079" s="252"/>
      <c r="D1079" s="109"/>
      <c r="E1079" s="109"/>
      <c r="F1079" s="110"/>
      <c r="G1079" s="95"/>
      <c r="H1079" s="122"/>
      <c r="I1079" s="109"/>
      <c r="J1079" s="120"/>
      <c r="K1079" s="120"/>
      <c r="L1079" s="93"/>
      <c r="M1079" s="93"/>
      <c r="N1079" s="93"/>
      <c r="O1079" s="56"/>
      <c r="P1079" s="56"/>
      <c r="Q1079" s="56"/>
      <c r="R1079" s="56"/>
      <c r="S1079" s="56"/>
      <c r="T1079" s="56"/>
      <c r="U1079" s="56"/>
      <c r="V1079" s="56"/>
    </row>
    <row r="1080" ht="18.75" customHeight="1">
      <c r="A1080" s="90"/>
      <c r="B1080" s="126"/>
      <c r="C1080" s="252"/>
      <c r="D1080" s="109"/>
      <c r="E1080" s="109"/>
      <c r="F1080" s="110"/>
      <c r="G1080" s="95"/>
      <c r="H1080" s="122"/>
      <c r="I1080" s="109"/>
      <c r="J1080" s="120"/>
      <c r="K1080" s="120"/>
      <c r="L1080" s="93"/>
      <c r="M1080" s="93"/>
      <c r="N1080" s="93"/>
      <c r="O1080" s="56"/>
      <c r="P1080" s="56"/>
      <c r="Q1080" s="56"/>
      <c r="R1080" s="56"/>
      <c r="S1080" s="56"/>
      <c r="T1080" s="56"/>
      <c r="U1080" s="56"/>
      <c r="V1080" s="56"/>
    </row>
    <row r="1081" ht="18.75" customHeight="1">
      <c r="A1081" s="90"/>
      <c r="B1081" s="126"/>
      <c r="C1081" s="252"/>
      <c r="D1081" s="109"/>
      <c r="E1081" s="109"/>
      <c r="F1081" s="110"/>
      <c r="G1081" s="95"/>
      <c r="H1081" s="122"/>
      <c r="I1081" s="109"/>
      <c r="J1081" s="120"/>
      <c r="K1081" s="120"/>
      <c r="L1081" s="93"/>
      <c r="M1081" s="93"/>
      <c r="N1081" s="93"/>
      <c r="O1081" s="56"/>
      <c r="P1081" s="56"/>
      <c r="Q1081" s="56"/>
      <c r="R1081" s="56"/>
      <c r="S1081" s="56"/>
      <c r="T1081" s="56"/>
      <c r="U1081" s="56"/>
      <c r="V1081" s="56"/>
    </row>
    <row r="1082" ht="18.75" customHeight="1">
      <c r="A1082" s="90"/>
      <c r="B1082" s="126"/>
      <c r="C1082" s="252"/>
      <c r="D1082" s="109"/>
      <c r="E1082" s="109"/>
      <c r="F1082" s="110"/>
      <c r="G1082" s="95"/>
      <c r="H1082" s="122"/>
      <c r="I1082" s="109"/>
      <c r="J1082" s="120"/>
      <c r="K1082" s="120"/>
      <c r="L1082" s="93"/>
      <c r="M1082" s="93"/>
      <c r="N1082" s="93"/>
      <c r="O1082" s="56"/>
      <c r="P1082" s="56"/>
      <c r="Q1082" s="56"/>
      <c r="R1082" s="56"/>
      <c r="S1082" s="56"/>
      <c r="T1082" s="56"/>
      <c r="U1082" s="56"/>
      <c r="V1082" s="56"/>
    </row>
    <row r="1083" ht="18.75" customHeight="1">
      <c r="A1083" s="90"/>
      <c r="B1083" s="126"/>
      <c r="C1083" s="252"/>
      <c r="D1083" s="109"/>
      <c r="E1083" s="109"/>
      <c r="F1083" s="110"/>
      <c r="G1083" s="95"/>
      <c r="H1083" s="122"/>
      <c r="I1083" s="109"/>
      <c r="J1083" s="120"/>
      <c r="K1083" s="120"/>
      <c r="L1083" s="93"/>
      <c r="M1083" s="93"/>
      <c r="N1083" s="93"/>
      <c r="O1083" s="56"/>
      <c r="P1083" s="56"/>
      <c r="Q1083" s="56"/>
      <c r="R1083" s="56"/>
      <c r="S1083" s="56"/>
      <c r="T1083" s="56"/>
      <c r="U1083" s="56"/>
      <c r="V1083" s="56"/>
    </row>
    <row r="1084" ht="18.75" customHeight="1">
      <c r="A1084" s="90"/>
      <c r="B1084" s="126"/>
      <c r="C1084" s="252"/>
      <c r="D1084" s="109"/>
      <c r="E1084" s="109"/>
      <c r="F1084" s="110"/>
      <c r="G1084" s="95"/>
      <c r="H1084" s="122"/>
      <c r="I1084" s="109"/>
      <c r="J1084" s="120"/>
      <c r="K1084" s="120"/>
      <c r="L1084" s="93"/>
      <c r="M1084" s="93"/>
      <c r="N1084" s="93"/>
      <c r="O1084" s="56"/>
      <c r="P1084" s="56"/>
      <c r="Q1084" s="56"/>
      <c r="R1084" s="56"/>
      <c r="S1084" s="56"/>
      <c r="T1084" s="56"/>
      <c r="U1084" s="56"/>
      <c r="V1084" s="56"/>
    </row>
    <row r="1085" ht="18.75" customHeight="1">
      <c r="A1085" s="90"/>
      <c r="B1085" s="126"/>
      <c r="C1085" s="252"/>
      <c r="D1085" s="109"/>
      <c r="E1085" s="109"/>
      <c r="F1085" s="110"/>
      <c r="G1085" s="95"/>
      <c r="H1085" s="122"/>
      <c r="I1085" s="109"/>
      <c r="J1085" s="120"/>
      <c r="K1085" s="120"/>
      <c r="L1085" s="93"/>
      <c r="M1085" s="93"/>
      <c r="N1085" s="93"/>
      <c r="O1085" s="56"/>
      <c r="P1085" s="56"/>
      <c r="Q1085" s="56"/>
      <c r="R1085" s="56"/>
      <c r="S1085" s="56"/>
      <c r="T1085" s="56"/>
      <c r="U1085" s="56"/>
      <c r="V1085" s="56"/>
    </row>
    <row r="1086" ht="18.75" customHeight="1">
      <c r="A1086" s="90"/>
      <c r="B1086" s="126"/>
      <c r="C1086" s="252"/>
      <c r="D1086" s="109"/>
      <c r="E1086" s="109"/>
      <c r="F1086" s="110"/>
      <c r="G1086" s="95"/>
      <c r="H1086" s="122"/>
      <c r="I1086" s="109"/>
      <c r="J1086" s="120"/>
      <c r="K1086" s="120"/>
      <c r="L1086" s="93"/>
      <c r="M1086" s="93"/>
      <c r="N1086" s="93"/>
      <c r="O1086" s="56"/>
      <c r="P1086" s="56"/>
      <c r="Q1086" s="56"/>
      <c r="R1086" s="56"/>
      <c r="S1086" s="56"/>
      <c r="T1086" s="56"/>
      <c r="U1086" s="56"/>
      <c r="V1086" s="56"/>
    </row>
    <row r="1087" ht="18.75" customHeight="1">
      <c r="A1087" s="90"/>
      <c r="B1087" s="126"/>
      <c r="C1087" s="252"/>
      <c r="D1087" s="109"/>
      <c r="E1087" s="109"/>
      <c r="F1087" s="110"/>
      <c r="G1087" s="95"/>
      <c r="H1087" s="122"/>
      <c r="I1087" s="109"/>
      <c r="J1087" s="120"/>
      <c r="K1087" s="120"/>
      <c r="L1087" s="93"/>
      <c r="M1087" s="93"/>
      <c r="N1087" s="93"/>
      <c r="O1087" s="56"/>
      <c r="P1087" s="56"/>
      <c r="Q1087" s="56"/>
      <c r="R1087" s="56"/>
      <c r="S1087" s="56"/>
      <c r="T1087" s="56"/>
      <c r="U1087" s="56"/>
      <c r="V1087" s="56"/>
    </row>
    <row r="1088" ht="18.75" customHeight="1">
      <c r="A1088" s="90"/>
      <c r="B1088" s="126"/>
      <c r="C1088" s="252"/>
      <c r="D1088" s="109"/>
      <c r="E1088" s="109"/>
      <c r="F1088" s="110"/>
      <c r="G1088" s="95"/>
      <c r="H1088" s="122"/>
      <c r="I1088" s="109"/>
      <c r="J1088" s="120"/>
      <c r="K1088" s="120"/>
      <c r="L1088" s="93"/>
      <c r="M1088" s="93"/>
      <c r="N1088" s="93"/>
      <c r="O1088" s="56"/>
      <c r="P1088" s="56"/>
      <c r="Q1088" s="56"/>
      <c r="R1088" s="56"/>
      <c r="S1088" s="56"/>
      <c r="T1088" s="56"/>
      <c r="U1088" s="56"/>
      <c r="V1088" s="56"/>
    </row>
    <row r="1089" ht="18.75" customHeight="1">
      <c r="A1089" s="90"/>
      <c r="B1089" s="126"/>
      <c r="C1089" s="252"/>
      <c r="D1089" s="109"/>
      <c r="E1089" s="109"/>
      <c r="F1089" s="110"/>
      <c r="G1089" s="95"/>
      <c r="H1089" s="122"/>
      <c r="I1089" s="109"/>
      <c r="J1089" s="120"/>
      <c r="K1089" s="120"/>
      <c r="L1089" s="93"/>
      <c r="M1089" s="93"/>
      <c r="N1089" s="93"/>
      <c r="O1089" s="56"/>
      <c r="P1089" s="56"/>
      <c r="Q1089" s="56"/>
      <c r="R1089" s="56"/>
      <c r="S1089" s="56"/>
      <c r="T1089" s="56"/>
      <c r="U1089" s="56"/>
      <c r="V1089" s="56"/>
    </row>
    <row r="1090" ht="18.75" customHeight="1">
      <c r="A1090" s="90"/>
      <c r="B1090" s="126"/>
      <c r="C1090" s="252"/>
      <c r="D1090" s="109"/>
      <c r="E1090" s="109"/>
      <c r="F1090" s="110"/>
      <c r="G1090" s="95"/>
      <c r="H1090" s="122"/>
      <c r="I1090" s="109"/>
      <c r="J1090" s="120"/>
      <c r="K1090" s="120"/>
      <c r="L1090" s="93"/>
      <c r="M1090" s="93"/>
      <c r="N1090" s="93"/>
      <c r="O1090" s="56"/>
      <c r="P1090" s="56"/>
      <c r="Q1090" s="56"/>
      <c r="R1090" s="56"/>
      <c r="S1090" s="56"/>
      <c r="T1090" s="56"/>
      <c r="U1090" s="56"/>
      <c r="V1090" s="56"/>
    </row>
    <row r="1091" ht="18.75" customHeight="1">
      <c r="A1091" s="90"/>
      <c r="B1091" s="126"/>
      <c r="C1091" s="252"/>
      <c r="D1091" s="109"/>
      <c r="E1091" s="109"/>
      <c r="F1091" s="110"/>
      <c r="G1091" s="95"/>
      <c r="H1091" s="122"/>
      <c r="I1091" s="109"/>
      <c r="J1091" s="120"/>
      <c r="K1091" s="120"/>
      <c r="L1091" s="93"/>
      <c r="M1091" s="93"/>
      <c r="N1091" s="93"/>
      <c r="O1091" s="56"/>
      <c r="P1091" s="56"/>
      <c r="Q1091" s="56"/>
      <c r="R1091" s="56"/>
      <c r="S1091" s="56"/>
      <c r="T1091" s="56"/>
      <c r="U1091" s="56"/>
      <c r="V1091" s="56"/>
    </row>
    <row r="1092" ht="18.75" customHeight="1">
      <c r="A1092" s="90"/>
      <c r="B1092" s="126"/>
      <c r="C1092" s="252"/>
      <c r="D1092" s="109"/>
      <c r="E1092" s="109"/>
      <c r="F1092" s="110"/>
      <c r="G1092" s="95"/>
      <c r="H1092" s="122"/>
      <c r="I1092" s="109"/>
      <c r="J1092" s="120"/>
      <c r="K1092" s="120"/>
      <c r="L1092" s="93"/>
      <c r="M1092" s="93"/>
      <c r="N1092" s="93"/>
      <c r="O1092" s="56"/>
      <c r="P1092" s="56"/>
      <c r="Q1092" s="56"/>
      <c r="R1092" s="56"/>
      <c r="S1092" s="56"/>
      <c r="T1092" s="56"/>
      <c r="U1092" s="56"/>
      <c r="V1092" s="56"/>
    </row>
    <row r="1093" ht="18.75" customHeight="1">
      <c r="A1093" s="90"/>
      <c r="B1093" s="126"/>
      <c r="C1093" s="252"/>
      <c r="D1093" s="109"/>
      <c r="E1093" s="109"/>
      <c r="F1093" s="110"/>
      <c r="G1093" s="95"/>
      <c r="H1093" s="122"/>
      <c r="I1093" s="109"/>
      <c r="J1093" s="120"/>
      <c r="K1093" s="120"/>
      <c r="L1093" s="93"/>
      <c r="M1093" s="93"/>
      <c r="N1093" s="93"/>
      <c r="O1093" s="56"/>
      <c r="P1093" s="56"/>
      <c r="Q1093" s="56"/>
      <c r="R1093" s="56"/>
      <c r="S1093" s="56"/>
      <c r="T1093" s="56"/>
      <c r="U1093" s="56"/>
      <c r="V1093" s="56"/>
    </row>
    <row r="1094" ht="18.75" customHeight="1">
      <c r="A1094" s="90"/>
      <c r="B1094" s="126"/>
      <c r="C1094" s="252"/>
      <c r="D1094" s="109"/>
      <c r="E1094" s="109"/>
      <c r="F1094" s="110"/>
      <c r="G1094" s="95"/>
      <c r="H1094" s="122"/>
      <c r="I1094" s="109"/>
      <c r="J1094" s="120"/>
      <c r="K1094" s="120"/>
      <c r="L1094" s="93"/>
      <c r="M1094" s="93"/>
      <c r="N1094" s="93"/>
      <c r="O1094" s="56"/>
      <c r="P1094" s="56"/>
      <c r="Q1094" s="56"/>
      <c r="R1094" s="56"/>
      <c r="S1094" s="56"/>
      <c r="T1094" s="56"/>
      <c r="U1094" s="56"/>
      <c r="V1094" s="56"/>
    </row>
    <row r="1095" ht="18.75" customHeight="1">
      <c r="A1095" s="90"/>
      <c r="B1095" s="126"/>
      <c r="C1095" s="252"/>
      <c r="D1095" s="109"/>
      <c r="E1095" s="109"/>
      <c r="F1095" s="110"/>
      <c r="G1095" s="95"/>
      <c r="H1095" s="122"/>
      <c r="I1095" s="109"/>
      <c r="J1095" s="120"/>
      <c r="K1095" s="120"/>
      <c r="L1095" s="93"/>
      <c r="M1095" s="93"/>
      <c r="N1095" s="93"/>
      <c r="O1095" s="56"/>
      <c r="P1095" s="56"/>
      <c r="Q1095" s="56"/>
      <c r="R1095" s="56"/>
      <c r="S1095" s="56"/>
      <c r="T1095" s="56"/>
      <c r="U1095" s="56"/>
      <c r="V1095" s="56"/>
    </row>
    <row r="1096" ht="18.75" customHeight="1">
      <c r="A1096" s="90"/>
      <c r="B1096" s="126"/>
      <c r="C1096" s="252"/>
      <c r="D1096" s="109"/>
      <c r="E1096" s="109"/>
      <c r="F1096" s="110"/>
      <c r="G1096" s="95"/>
      <c r="H1096" s="122"/>
      <c r="I1096" s="109"/>
      <c r="J1096" s="120"/>
      <c r="K1096" s="120"/>
      <c r="L1096" s="93"/>
      <c r="M1096" s="93"/>
      <c r="N1096" s="93"/>
      <c r="O1096" s="56"/>
      <c r="P1096" s="56"/>
      <c r="Q1096" s="56"/>
      <c r="R1096" s="56"/>
      <c r="S1096" s="56"/>
      <c r="T1096" s="56"/>
      <c r="U1096" s="56"/>
      <c r="V1096" s="56"/>
    </row>
    <row r="1097" ht="18.75" customHeight="1">
      <c r="A1097" s="90"/>
      <c r="B1097" s="126"/>
      <c r="C1097" s="252"/>
      <c r="D1097" s="109"/>
      <c r="E1097" s="109"/>
      <c r="F1097" s="110"/>
      <c r="G1097" s="95"/>
      <c r="H1097" s="122"/>
      <c r="I1097" s="109"/>
      <c r="J1097" s="120"/>
      <c r="K1097" s="120"/>
      <c r="L1097" s="93"/>
      <c r="M1097" s="93"/>
      <c r="N1097" s="93"/>
      <c r="O1097" s="56"/>
      <c r="P1097" s="56"/>
      <c r="Q1097" s="56"/>
      <c r="R1097" s="56"/>
      <c r="S1097" s="56"/>
      <c r="T1097" s="56"/>
      <c r="U1097" s="56"/>
      <c r="V1097" s="56"/>
    </row>
    <row r="1098" ht="18.75" customHeight="1">
      <c r="A1098" s="90"/>
      <c r="B1098" s="126"/>
      <c r="C1098" s="252"/>
      <c r="D1098" s="109"/>
      <c r="E1098" s="109"/>
      <c r="F1098" s="110"/>
      <c r="G1098" s="95"/>
      <c r="H1098" s="122"/>
      <c r="I1098" s="109"/>
      <c r="J1098" s="120"/>
      <c r="K1098" s="120"/>
      <c r="L1098" s="93"/>
      <c r="M1098" s="93"/>
      <c r="N1098" s="93"/>
      <c r="O1098" s="56"/>
      <c r="P1098" s="56"/>
      <c r="Q1098" s="56"/>
      <c r="R1098" s="56"/>
      <c r="S1098" s="56"/>
      <c r="T1098" s="56"/>
      <c r="U1098" s="56"/>
      <c r="V1098" s="56"/>
    </row>
    <row r="1099" ht="18.75" customHeight="1">
      <c r="A1099" s="90"/>
      <c r="B1099" s="126"/>
      <c r="C1099" s="252"/>
      <c r="D1099" s="109"/>
      <c r="E1099" s="109"/>
      <c r="F1099" s="110"/>
      <c r="G1099" s="95"/>
      <c r="H1099" s="122"/>
      <c r="I1099" s="109"/>
      <c r="J1099" s="120"/>
      <c r="K1099" s="120"/>
      <c r="L1099" s="93"/>
      <c r="M1099" s="93"/>
      <c r="N1099" s="93"/>
      <c r="O1099" s="56"/>
      <c r="P1099" s="56"/>
      <c r="Q1099" s="56"/>
      <c r="R1099" s="56"/>
      <c r="S1099" s="56"/>
      <c r="T1099" s="56"/>
      <c r="U1099" s="56"/>
      <c r="V1099" s="56"/>
    </row>
    <row r="1100" ht="18.75" customHeight="1">
      <c r="A1100" s="90"/>
      <c r="B1100" s="126"/>
      <c r="C1100" s="252"/>
      <c r="D1100" s="109"/>
      <c r="E1100" s="109"/>
      <c r="F1100" s="110"/>
      <c r="G1100" s="95"/>
      <c r="H1100" s="122"/>
      <c r="I1100" s="109"/>
      <c r="J1100" s="120"/>
      <c r="K1100" s="120"/>
      <c r="L1100" s="93"/>
      <c r="M1100" s="93"/>
      <c r="N1100" s="93"/>
      <c r="O1100" s="56"/>
      <c r="P1100" s="56"/>
      <c r="Q1100" s="56"/>
      <c r="R1100" s="56"/>
      <c r="S1100" s="56"/>
      <c r="T1100" s="56"/>
      <c r="U1100" s="56"/>
      <c r="V1100" s="56"/>
    </row>
    <row r="1101" ht="18.75" customHeight="1">
      <c r="A1101" s="90"/>
      <c r="B1101" s="126"/>
      <c r="C1101" s="252"/>
      <c r="D1101" s="109"/>
      <c r="E1101" s="109"/>
      <c r="F1101" s="110"/>
      <c r="G1101" s="95"/>
      <c r="H1101" s="122"/>
      <c r="I1101" s="109"/>
      <c r="J1101" s="120"/>
      <c r="K1101" s="120"/>
      <c r="L1101" s="93"/>
      <c r="M1101" s="93"/>
      <c r="N1101" s="93"/>
      <c r="O1101" s="56"/>
      <c r="P1101" s="56"/>
      <c r="Q1101" s="56"/>
      <c r="R1101" s="56"/>
      <c r="S1101" s="56"/>
      <c r="T1101" s="56"/>
      <c r="U1101" s="56"/>
      <c r="V1101" s="56"/>
    </row>
    <row r="1102" ht="18.75" customHeight="1">
      <c r="A1102" s="90"/>
      <c r="B1102" s="126"/>
      <c r="C1102" s="252"/>
      <c r="D1102" s="109"/>
      <c r="E1102" s="109"/>
      <c r="F1102" s="110"/>
      <c r="G1102" s="95"/>
      <c r="H1102" s="122"/>
      <c r="I1102" s="109"/>
      <c r="J1102" s="120"/>
      <c r="K1102" s="120"/>
      <c r="L1102" s="93"/>
      <c r="M1102" s="93"/>
      <c r="N1102" s="93"/>
      <c r="O1102" s="56"/>
      <c r="P1102" s="56"/>
      <c r="Q1102" s="56"/>
      <c r="R1102" s="56"/>
      <c r="S1102" s="56"/>
      <c r="T1102" s="56"/>
      <c r="U1102" s="56"/>
      <c r="V1102" s="56"/>
    </row>
    <row r="1103" ht="18.75" customHeight="1">
      <c r="A1103" s="90"/>
      <c r="B1103" s="126"/>
      <c r="C1103" s="252"/>
      <c r="D1103" s="109"/>
      <c r="E1103" s="109"/>
      <c r="F1103" s="110"/>
      <c r="G1103" s="95"/>
      <c r="H1103" s="122"/>
      <c r="I1103" s="109"/>
      <c r="J1103" s="120"/>
      <c r="K1103" s="120"/>
      <c r="L1103" s="93"/>
      <c r="M1103" s="93"/>
      <c r="N1103" s="93"/>
      <c r="O1103" s="56"/>
      <c r="P1103" s="56"/>
      <c r="Q1103" s="56"/>
      <c r="R1103" s="56"/>
      <c r="S1103" s="56"/>
      <c r="T1103" s="56"/>
      <c r="U1103" s="56"/>
      <c r="V1103" s="56"/>
    </row>
    <row r="1104" ht="18.75" customHeight="1">
      <c r="A1104" s="90"/>
      <c r="B1104" s="126"/>
      <c r="C1104" s="252"/>
      <c r="D1104" s="109"/>
      <c r="E1104" s="109"/>
      <c r="F1104" s="110"/>
      <c r="G1104" s="95"/>
      <c r="H1104" s="122"/>
      <c r="I1104" s="109"/>
      <c r="J1104" s="120"/>
      <c r="K1104" s="120"/>
      <c r="L1104" s="93"/>
      <c r="M1104" s="93"/>
      <c r="N1104" s="93"/>
      <c r="O1104" s="56"/>
      <c r="P1104" s="56"/>
      <c r="Q1104" s="56"/>
      <c r="R1104" s="56"/>
      <c r="S1104" s="56"/>
      <c r="T1104" s="56"/>
      <c r="U1104" s="56"/>
      <c r="V1104" s="56"/>
    </row>
    <row r="1105" ht="18.75" customHeight="1">
      <c r="A1105" s="90"/>
      <c r="B1105" s="126"/>
      <c r="C1105" s="252"/>
      <c r="D1105" s="109"/>
      <c r="E1105" s="109"/>
      <c r="F1105" s="110"/>
      <c r="G1105" s="95"/>
      <c r="H1105" s="122"/>
      <c r="I1105" s="109"/>
      <c r="J1105" s="120"/>
      <c r="K1105" s="120"/>
      <c r="L1105" s="93"/>
      <c r="M1105" s="93"/>
      <c r="N1105" s="93"/>
      <c r="O1105" s="56"/>
      <c r="P1105" s="56"/>
      <c r="Q1105" s="56"/>
      <c r="R1105" s="56"/>
      <c r="S1105" s="56"/>
      <c r="T1105" s="56"/>
      <c r="U1105" s="56"/>
      <c r="V1105" s="56"/>
    </row>
    <row r="1106" ht="18.75" customHeight="1">
      <c r="A1106" s="90"/>
      <c r="B1106" s="126"/>
      <c r="C1106" s="252"/>
      <c r="D1106" s="109"/>
      <c r="E1106" s="109"/>
      <c r="F1106" s="110"/>
      <c r="G1106" s="95"/>
      <c r="H1106" s="122"/>
      <c r="I1106" s="109"/>
      <c r="J1106" s="120"/>
      <c r="K1106" s="120"/>
      <c r="L1106" s="93"/>
      <c r="M1106" s="93"/>
      <c r="N1106" s="93"/>
      <c r="O1106" s="56"/>
      <c r="P1106" s="56"/>
      <c r="Q1106" s="56"/>
      <c r="R1106" s="56"/>
      <c r="S1106" s="56"/>
      <c r="T1106" s="56"/>
      <c r="U1106" s="56"/>
      <c r="V1106" s="56"/>
    </row>
    <row r="1107" ht="18.75" customHeight="1">
      <c r="A1107" s="90"/>
      <c r="B1107" s="126"/>
      <c r="C1107" s="252"/>
      <c r="D1107" s="109"/>
      <c r="E1107" s="109"/>
      <c r="F1107" s="110"/>
      <c r="G1107" s="95"/>
      <c r="H1107" s="122"/>
      <c r="I1107" s="109"/>
      <c r="J1107" s="120"/>
      <c r="K1107" s="120"/>
      <c r="L1107" s="93"/>
      <c r="M1107" s="93"/>
      <c r="N1107" s="93"/>
      <c r="O1107" s="56"/>
      <c r="P1107" s="56"/>
      <c r="Q1107" s="56"/>
      <c r="R1107" s="56"/>
      <c r="S1107" s="56"/>
      <c r="T1107" s="56"/>
      <c r="U1107" s="56"/>
      <c r="V1107" s="56"/>
    </row>
    <row r="1108" ht="18.75" customHeight="1">
      <c r="A1108" s="90"/>
      <c r="B1108" s="126"/>
      <c r="C1108" s="252"/>
      <c r="D1108" s="109"/>
      <c r="E1108" s="109"/>
      <c r="F1108" s="110"/>
      <c r="G1108" s="95"/>
      <c r="H1108" s="122"/>
      <c r="I1108" s="109"/>
      <c r="J1108" s="120"/>
      <c r="K1108" s="120"/>
      <c r="L1108" s="93"/>
      <c r="M1108" s="93"/>
      <c r="N1108" s="93"/>
      <c r="O1108" s="56"/>
      <c r="P1108" s="56"/>
      <c r="Q1108" s="56"/>
      <c r="R1108" s="56"/>
      <c r="S1108" s="56"/>
      <c r="T1108" s="56"/>
      <c r="U1108" s="56"/>
      <c r="V1108" s="56"/>
    </row>
    <row r="1109" ht="18.75" customHeight="1">
      <c r="A1109" s="90"/>
      <c r="B1109" s="126"/>
      <c r="C1109" s="252"/>
      <c r="D1109" s="109"/>
      <c r="E1109" s="109"/>
      <c r="F1109" s="110"/>
      <c r="G1109" s="95"/>
      <c r="H1109" s="122"/>
      <c r="I1109" s="109"/>
      <c r="J1109" s="120"/>
      <c r="K1109" s="120"/>
      <c r="L1109" s="93"/>
      <c r="M1109" s="93"/>
      <c r="N1109" s="93"/>
      <c r="O1109" s="56"/>
      <c r="P1109" s="56"/>
      <c r="Q1109" s="56"/>
      <c r="R1109" s="56"/>
      <c r="S1109" s="56"/>
      <c r="T1109" s="56"/>
      <c r="U1109" s="56"/>
      <c r="V1109" s="56"/>
    </row>
    <row r="1110" ht="18.75" customHeight="1">
      <c r="A1110" s="90"/>
      <c r="B1110" s="126"/>
      <c r="C1110" s="252"/>
      <c r="D1110" s="109"/>
      <c r="E1110" s="109"/>
      <c r="F1110" s="110"/>
      <c r="G1110" s="95"/>
      <c r="H1110" s="122"/>
      <c r="I1110" s="109"/>
      <c r="J1110" s="120"/>
      <c r="K1110" s="120"/>
      <c r="L1110" s="93"/>
      <c r="M1110" s="93"/>
      <c r="N1110" s="93"/>
      <c r="O1110" s="56"/>
      <c r="P1110" s="56"/>
      <c r="Q1110" s="56"/>
      <c r="R1110" s="56"/>
      <c r="S1110" s="56"/>
      <c r="T1110" s="56"/>
      <c r="U1110" s="56"/>
      <c r="V1110" s="56"/>
    </row>
    <row r="1111" ht="18.75" customHeight="1">
      <c r="A1111" s="90"/>
      <c r="B1111" s="126"/>
      <c r="C1111" s="252"/>
      <c r="D1111" s="109"/>
      <c r="E1111" s="109"/>
      <c r="F1111" s="110"/>
      <c r="G1111" s="95"/>
      <c r="H1111" s="122"/>
      <c r="I1111" s="109"/>
      <c r="J1111" s="120"/>
      <c r="K1111" s="120"/>
      <c r="L1111" s="93"/>
      <c r="M1111" s="93"/>
      <c r="N1111" s="93"/>
      <c r="O1111" s="56"/>
      <c r="P1111" s="56"/>
      <c r="Q1111" s="56"/>
      <c r="R1111" s="56"/>
      <c r="S1111" s="56"/>
      <c r="T1111" s="56"/>
      <c r="U1111" s="56"/>
      <c r="V1111" s="56"/>
    </row>
    <row r="1112" ht="18.75" customHeight="1">
      <c r="A1112" s="90"/>
      <c r="B1112" s="126"/>
      <c r="C1112" s="252"/>
      <c r="D1112" s="109"/>
      <c r="E1112" s="109"/>
      <c r="F1112" s="110"/>
      <c r="G1112" s="95"/>
      <c r="H1112" s="122"/>
      <c r="I1112" s="109"/>
      <c r="J1112" s="120"/>
      <c r="K1112" s="120"/>
      <c r="L1112" s="93"/>
      <c r="M1112" s="93"/>
      <c r="N1112" s="93"/>
      <c r="O1112" s="56"/>
      <c r="P1112" s="56"/>
      <c r="Q1112" s="56"/>
      <c r="R1112" s="56"/>
      <c r="S1112" s="56"/>
      <c r="T1112" s="56"/>
      <c r="U1112" s="56"/>
      <c r="V1112" s="56"/>
    </row>
    <row r="1113" ht="18.75" customHeight="1">
      <c r="A1113" s="90"/>
      <c r="B1113" s="126"/>
      <c r="C1113" s="252"/>
      <c r="D1113" s="109"/>
      <c r="E1113" s="109"/>
      <c r="F1113" s="110"/>
      <c r="G1113" s="95"/>
      <c r="H1113" s="122"/>
      <c r="I1113" s="109"/>
      <c r="J1113" s="120"/>
      <c r="K1113" s="120"/>
      <c r="L1113" s="93"/>
      <c r="M1113" s="93"/>
      <c r="N1113" s="93"/>
      <c r="O1113" s="56"/>
      <c r="P1113" s="56"/>
      <c r="Q1113" s="56"/>
      <c r="R1113" s="56"/>
      <c r="S1113" s="56"/>
      <c r="T1113" s="56"/>
      <c r="U1113" s="56"/>
      <c r="V1113" s="56"/>
    </row>
    <row r="1114" ht="18.75" customHeight="1">
      <c r="A1114" s="90"/>
      <c r="B1114" s="126"/>
      <c r="C1114" s="252"/>
      <c r="D1114" s="109"/>
      <c r="E1114" s="109"/>
      <c r="F1114" s="110"/>
      <c r="G1114" s="95"/>
      <c r="H1114" s="122"/>
      <c r="I1114" s="109"/>
      <c r="J1114" s="120"/>
      <c r="K1114" s="120"/>
      <c r="L1114" s="93"/>
      <c r="M1114" s="93"/>
      <c r="N1114" s="93"/>
      <c r="O1114" s="56"/>
      <c r="P1114" s="56"/>
      <c r="Q1114" s="56"/>
      <c r="R1114" s="56"/>
      <c r="S1114" s="56"/>
      <c r="T1114" s="56"/>
      <c r="U1114" s="56"/>
      <c r="V1114" s="56"/>
    </row>
    <row r="1115" ht="18.75" customHeight="1">
      <c r="A1115" s="90"/>
      <c r="B1115" s="126"/>
      <c r="C1115" s="252"/>
      <c r="D1115" s="109"/>
      <c r="E1115" s="109"/>
      <c r="F1115" s="110"/>
      <c r="G1115" s="95"/>
      <c r="H1115" s="122"/>
      <c r="I1115" s="109"/>
      <c r="J1115" s="120"/>
      <c r="K1115" s="120"/>
      <c r="L1115" s="93"/>
      <c r="M1115" s="93"/>
      <c r="N1115" s="93"/>
      <c r="O1115" s="56"/>
      <c r="P1115" s="56"/>
      <c r="Q1115" s="56"/>
      <c r="R1115" s="56"/>
      <c r="S1115" s="56"/>
      <c r="T1115" s="56"/>
      <c r="U1115" s="56"/>
      <c r="V1115" s="56"/>
    </row>
    <row r="1116" ht="18.75" customHeight="1">
      <c r="A1116" s="90"/>
      <c r="B1116" s="126"/>
      <c r="C1116" s="252"/>
      <c r="D1116" s="109"/>
      <c r="E1116" s="109"/>
      <c r="F1116" s="110"/>
      <c r="G1116" s="95"/>
      <c r="H1116" s="122"/>
      <c r="I1116" s="109"/>
      <c r="J1116" s="120"/>
      <c r="K1116" s="120"/>
      <c r="L1116" s="93"/>
      <c r="M1116" s="93"/>
      <c r="N1116" s="93"/>
      <c r="O1116" s="56"/>
      <c r="P1116" s="56"/>
      <c r="Q1116" s="56"/>
      <c r="R1116" s="56"/>
      <c r="S1116" s="56"/>
      <c r="T1116" s="56"/>
      <c r="U1116" s="56"/>
      <c r="V1116" s="56"/>
    </row>
    <row r="1117" ht="18.75" customHeight="1">
      <c r="A1117" s="90"/>
      <c r="B1117" s="126"/>
      <c r="C1117" s="252"/>
      <c r="D1117" s="109"/>
      <c r="E1117" s="109"/>
      <c r="F1117" s="110"/>
      <c r="G1117" s="95"/>
      <c r="H1117" s="122"/>
      <c r="I1117" s="109"/>
      <c r="J1117" s="120"/>
      <c r="K1117" s="120"/>
      <c r="L1117" s="93"/>
      <c r="M1117" s="93"/>
      <c r="N1117" s="93"/>
      <c r="O1117" s="56"/>
      <c r="P1117" s="56"/>
      <c r="Q1117" s="56"/>
      <c r="R1117" s="56"/>
      <c r="S1117" s="56"/>
      <c r="T1117" s="56"/>
      <c r="U1117" s="56"/>
      <c r="V1117" s="56"/>
    </row>
    <row r="1118" ht="18.75" customHeight="1">
      <c r="A1118" s="90"/>
      <c r="B1118" s="126"/>
      <c r="C1118" s="252"/>
      <c r="D1118" s="109"/>
      <c r="E1118" s="109"/>
      <c r="F1118" s="110"/>
      <c r="G1118" s="95"/>
      <c r="H1118" s="122"/>
      <c r="I1118" s="109"/>
      <c r="J1118" s="120"/>
      <c r="K1118" s="120"/>
      <c r="L1118" s="93"/>
      <c r="M1118" s="93"/>
      <c r="N1118" s="93"/>
      <c r="O1118" s="56"/>
      <c r="P1118" s="56"/>
      <c r="Q1118" s="56"/>
      <c r="R1118" s="56"/>
      <c r="S1118" s="56"/>
      <c r="T1118" s="56"/>
      <c r="U1118" s="56"/>
      <c r="V1118" s="56"/>
    </row>
    <row r="1119" ht="18.75" customHeight="1">
      <c r="A1119" s="90"/>
      <c r="B1119" s="126"/>
      <c r="C1119" s="252"/>
      <c r="D1119" s="109"/>
      <c r="E1119" s="109"/>
      <c r="F1119" s="110"/>
      <c r="G1119" s="95"/>
      <c r="H1119" s="122"/>
      <c r="I1119" s="109"/>
      <c r="J1119" s="120"/>
      <c r="K1119" s="120"/>
      <c r="L1119" s="93"/>
      <c r="M1119" s="93"/>
      <c r="N1119" s="93"/>
      <c r="O1119" s="56"/>
      <c r="P1119" s="56"/>
      <c r="Q1119" s="56"/>
      <c r="R1119" s="56"/>
      <c r="S1119" s="56"/>
      <c r="T1119" s="56"/>
      <c r="U1119" s="56"/>
      <c r="V1119" s="56"/>
    </row>
    <row r="1120" ht="18.75" customHeight="1">
      <c r="A1120" s="90"/>
      <c r="B1120" s="126"/>
      <c r="C1120" s="252"/>
      <c r="D1120" s="109"/>
      <c r="E1120" s="109"/>
      <c r="F1120" s="110"/>
      <c r="G1120" s="95"/>
      <c r="H1120" s="122"/>
      <c r="I1120" s="109"/>
      <c r="J1120" s="120"/>
      <c r="K1120" s="120"/>
      <c r="L1120" s="93"/>
      <c r="M1120" s="93"/>
      <c r="N1120" s="93"/>
      <c r="O1120" s="56"/>
      <c r="P1120" s="56"/>
      <c r="Q1120" s="56"/>
      <c r="R1120" s="56"/>
      <c r="S1120" s="56"/>
      <c r="T1120" s="56"/>
      <c r="U1120" s="56"/>
      <c r="V1120" s="56"/>
    </row>
    <row r="1121" ht="18.75" customHeight="1">
      <c r="A1121" s="90"/>
      <c r="B1121" s="126"/>
      <c r="C1121" s="252"/>
      <c r="D1121" s="109"/>
      <c r="E1121" s="109"/>
      <c r="F1121" s="110"/>
      <c r="G1121" s="95"/>
      <c r="H1121" s="122"/>
      <c r="I1121" s="109"/>
      <c r="J1121" s="120"/>
      <c r="K1121" s="120"/>
      <c r="L1121" s="93"/>
      <c r="M1121" s="93"/>
      <c r="N1121" s="93"/>
      <c r="O1121" s="56"/>
      <c r="P1121" s="56"/>
      <c r="Q1121" s="56"/>
      <c r="R1121" s="56"/>
      <c r="S1121" s="56"/>
      <c r="T1121" s="56"/>
      <c r="U1121" s="56"/>
      <c r="V1121" s="56"/>
    </row>
    <row r="1122" ht="18.75" customHeight="1">
      <c r="A1122" s="90"/>
      <c r="B1122" s="126"/>
      <c r="C1122" s="252"/>
      <c r="D1122" s="109"/>
      <c r="E1122" s="109"/>
      <c r="F1122" s="110"/>
      <c r="G1122" s="95"/>
      <c r="H1122" s="122"/>
      <c r="I1122" s="109"/>
      <c r="J1122" s="120"/>
      <c r="K1122" s="120"/>
      <c r="L1122" s="93"/>
      <c r="M1122" s="93"/>
      <c r="N1122" s="93"/>
      <c r="O1122" s="56"/>
      <c r="P1122" s="56"/>
      <c r="Q1122" s="56"/>
      <c r="R1122" s="56"/>
      <c r="S1122" s="56"/>
      <c r="T1122" s="56"/>
      <c r="U1122" s="56"/>
      <c r="V1122" s="56"/>
    </row>
    <row r="1123" ht="18.75" customHeight="1">
      <c r="A1123" s="90"/>
      <c r="B1123" s="126"/>
      <c r="C1123" s="252"/>
      <c r="D1123" s="109"/>
      <c r="E1123" s="109"/>
      <c r="F1123" s="110"/>
      <c r="G1123" s="95"/>
      <c r="H1123" s="122"/>
      <c r="I1123" s="109"/>
      <c r="J1123" s="120"/>
      <c r="K1123" s="120"/>
      <c r="L1123" s="93"/>
      <c r="M1123" s="93"/>
      <c r="N1123" s="93"/>
      <c r="O1123" s="56"/>
      <c r="P1123" s="56"/>
      <c r="Q1123" s="56"/>
      <c r="R1123" s="56"/>
      <c r="S1123" s="56"/>
      <c r="T1123" s="56"/>
      <c r="U1123" s="56"/>
      <c r="V1123" s="56"/>
    </row>
    <row r="1124" ht="18.75" customHeight="1">
      <c r="A1124" s="90"/>
      <c r="B1124" s="126"/>
      <c r="C1124" s="252"/>
      <c r="D1124" s="109"/>
      <c r="E1124" s="109"/>
      <c r="F1124" s="110"/>
      <c r="G1124" s="95"/>
      <c r="H1124" s="122"/>
      <c r="I1124" s="109"/>
      <c r="J1124" s="120"/>
      <c r="K1124" s="120"/>
      <c r="L1124" s="93"/>
      <c r="M1124" s="93"/>
      <c r="N1124" s="93"/>
      <c r="O1124" s="56"/>
      <c r="P1124" s="56"/>
      <c r="Q1124" s="56"/>
      <c r="R1124" s="56"/>
      <c r="S1124" s="56"/>
      <c r="T1124" s="56"/>
      <c r="U1124" s="56"/>
      <c r="V1124" s="56"/>
    </row>
    <row r="1125" ht="18.75" customHeight="1">
      <c r="A1125" s="90"/>
      <c r="B1125" s="126"/>
      <c r="C1125" s="252"/>
      <c r="D1125" s="109"/>
      <c r="E1125" s="109"/>
      <c r="F1125" s="110"/>
      <c r="G1125" s="95"/>
      <c r="H1125" s="122"/>
      <c r="I1125" s="109"/>
      <c r="J1125" s="120"/>
      <c r="K1125" s="120"/>
      <c r="L1125" s="93"/>
      <c r="M1125" s="93"/>
      <c r="N1125" s="93"/>
      <c r="O1125" s="56"/>
      <c r="P1125" s="56"/>
      <c r="Q1125" s="56"/>
      <c r="R1125" s="56"/>
      <c r="S1125" s="56"/>
      <c r="T1125" s="56"/>
      <c r="U1125" s="56"/>
      <c r="V1125" s="56"/>
    </row>
    <row r="1126" ht="18.75" customHeight="1">
      <c r="A1126" s="90"/>
      <c r="B1126" s="126"/>
      <c r="C1126" s="252"/>
      <c r="D1126" s="109"/>
      <c r="E1126" s="109"/>
      <c r="F1126" s="110"/>
      <c r="G1126" s="95"/>
      <c r="H1126" s="122"/>
      <c r="I1126" s="109"/>
      <c r="J1126" s="120"/>
      <c r="K1126" s="120"/>
      <c r="L1126" s="93"/>
      <c r="M1126" s="93"/>
      <c r="N1126" s="93"/>
      <c r="O1126" s="56"/>
      <c r="P1126" s="56"/>
      <c r="Q1126" s="56"/>
      <c r="R1126" s="56"/>
      <c r="S1126" s="56"/>
      <c r="T1126" s="56"/>
      <c r="U1126" s="56"/>
      <c r="V1126" s="56"/>
    </row>
    <row r="1127" ht="18.75" customHeight="1">
      <c r="A1127" s="90"/>
      <c r="B1127" s="126"/>
      <c r="C1127" s="252"/>
      <c r="D1127" s="109"/>
      <c r="E1127" s="109"/>
      <c r="F1127" s="110"/>
      <c r="G1127" s="95"/>
      <c r="H1127" s="122"/>
      <c r="I1127" s="109"/>
      <c r="J1127" s="120"/>
      <c r="K1127" s="120"/>
      <c r="L1127" s="93"/>
      <c r="M1127" s="93"/>
      <c r="N1127" s="93"/>
      <c r="O1127" s="56"/>
      <c r="P1127" s="56"/>
      <c r="Q1127" s="56"/>
      <c r="R1127" s="56"/>
      <c r="S1127" s="56"/>
      <c r="T1127" s="56"/>
      <c r="U1127" s="56"/>
      <c r="V1127" s="56"/>
    </row>
    <row r="1128" ht="18.75" customHeight="1">
      <c r="A1128" s="90"/>
      <c r="B1128" s="126"/>
      <c r="C1128" s="252"/>
      <c r="D1128" s="109"/>
      <c r="E1128" s="109"/>
      <c r="F1128" s="110"/>
      <c r="G1128" s="95"/>
      <c r="H1128" s="122"/>
      <c r="I1128" s="109"/>
      <c r="J1128" s="120"/>
      <c r="K1128" s="120"/>
      <c r="L1128" s="93"/>
      <c r="M1128" s="93"/>
      <c r="N1128" s="93"/>
      <c r="O1128" s="56"/>
      <c r="P1128" s="56"/>
      <c r="Q1128" s="56"/>
      <c r="R1128" s="56"/>
      <c r="S1128" s="56"/>
      <c r="T1128" s="56"/>
      <c r="U1128" s="56"/>
      <c r="V1128" s="56"/>
    </row>
    <row r="1129" ht="18.75" customHeight="1">
      <c r="A1129" s="90"/>
      <c r="B1129" s="126"/>
      <c r="C1129" s="252"/>
      <c r="D1129" s="109"/>
      <c r="E1129" s="109"/>
      <c r="F1129" s="110"/>
      <c r="G1129" s="95"/>
      <c r="H1129" s="122"/>
      <c r="I1129" s="109"/>
      <c r="J1129" s="120"/>
      <c r="K1129" s="120"/>
      <c r="L1129" s="93"/>
      <c r="M1129" s="93"/>
      <c r="N1129" s="93"/>
      <c r="O1129" s="56"/>
      <c r="P1129" s="56"/>
      <c r="Q1129" s="56"/>
      <c r="R1129" s="56"/>
      <c r="S1129" s="56"/>
      <c r="T1129" s="56"/>
      <c r="U1129" s="56"/>
      <c r="V1129" s="56"/>
    </row>
    <row r="1130" ht="18.75" customHeight="1">
      <c r="A1130" s="90"/>
      <c r="B1130" s="126"/>
      <c r="C1130" s="252"/>
      <c r="D1130" s="109"/>
      <c r="E1130" s="109"/>
      <c r="F1130" s="110"/>
      <c r="G1130" s="95"/>
      <c r="H1130" s="122"/>
      <c r="I1130" s="109"/>
      <c r="J1130" s="120"/>
      <c r="K1130" s="120"/>
      <c r="L1130" s="93"/>
      <c r="M1130" s="93"/>
      <c r="N1130" s="93"/>
      <c r="O1130" s="56"/>
      <c r="P1130" s="56"/>
      <c r="Q1130" s="56"/>
      <c r="R1130" s="56"/>
      <c r="S1130" s="56"/>
      <c r="T1130" s="56"/>
      <c r="U1130" s="56"/>
      <c r="V1130" s="56"/>
    </row>
    <row r="1131" ht="18.75" customHeight="1">
      <c r="A1131" s="90"/>
      <c r="B1131" s="126"/>
      <c r="C1131" s="252"/>
      <c r="D1131" s="109"/>
      <c r="E1131" s="109"/>
      <c r="F1131" s="110"/>
      <c r="G1131" s="95"/>
      <c r="H1131" s="122"/>
      <c r="I1131" s="109"/>
      <c r="J1131" s="120"/>
      <c r="K1131" s="120"/>
      <c r="L1131" s="93"/>
      <c r="M1131" s="93"/>
      <c r="N1131" s="93"/>
      <c r="O1131" s="56"/>
      <c r="P1131" s="56"/>
      <c r="Q1131" s="56"/>
      <c r="R1131" s="56"/>
      <c r="S1131" s="56"/>
      <c r="T1131" s="56"/>
      <c r="U1131" s="56"/>
      <c r="V1131" s="56"/>
    </row>
    <row r="1132" ht="18.75" customHeight="1">
      <c r="A1132" s="90"/>
      <c r="B1132" s="126"/>
      <c r="C1132" s="252"/>
      <c r="D1132" s="109"/>
      <c r="E1132" s="109"/>
      <c r="F1132" s="110"/>
      <c r="G1132" s="95"/>
      <c r="H1132" s="122"/>
      <c r="I1132" s="109"/>
      <c r="J1132" s="120"/>
      <c r="K1132" s="120"/>
      <c r="L1132" s="93"/>
      <c r="M1132" s="93"/>
      <c r="N1132" s="93"/>
      <c r="O1132" s="56"/>
      <c r="P1132" s="56"/>
      <c r="Q1132" s="56"/>
      <c r="R1132" s="56"/>
      <c r="S1132" s="56"/>
      <c r="T1132" s="56"/>
      <c r="U1132" s="56"/>
      <c r="V1132" s="56"/>
    </row>
    <row r="1133" ht="18.75" customHeight="1">
      <c r="A1133" s="90"/>
      <c r="B1133" s="126"/>
      <c r="C1133" s="252"/>
      <c r="D1133" s="109"/>
      <c r="E1133" s="109"/>
      <c r="F1133" s="110"/>
      <c r="G1133" s="95"/>
      <c r="H1133" s="122"/>
      <c r="I1133" s="109"/>
      <c r="J1133" s="120"/>
      <c r="K1133" s="120"/>
      <c r="L1133" s="93"/>
      <c r="M1133" s="93"/>
      <c r="N1133" s="93"/>
      <c r="O1133" s="56"/>
      <c r="P1133" s="56"/>
      <c r="Q1133" s="56"/>
      <c r="R1133" s="56"/>
      <c r="S1133" s="56"/>
      <c r="T1133" s="56"/>
      <c r="U1133" s="56"/>
      <c r="V1133" s="56"/>
    </row>
    <row r="1134" ht="18.75" customHeight="1">
      <c r="A1134" s="90"/>
      <c r="B1134" s="126"/>
      <c r="C1134" s="252"/>
      <c r="D1134" s="109"/>
      <c r="E1134" s="109"/>
      <c r="F1134" s="110"/>
      <c r="G1134" s="95"/>
      <c r="H1134" s="122"/>
      <c r="I1134" s="109"/>
      <c r="J1134" s="120"/>
      <c r="K1134" s="120"/>
      <c r="L1134" s="93"/>
      <c r="M1134" s="93"/>
      <c r="N1134" s="93"/>
      <c r="O1134" s="56"/>
      <c r="P1134" s="56"/>
      <c r="Q1134" s="56"/>
      <c r="R1134" s="56"/>
      <c r="S1134" s="56"/>
      <c r="T1134" s="56"/>
      <c r="U1134" s="56"/>
      <c r="V1134" s="56"/>
    </row>
    <row r="1135" ht="18.75" customHeight="1">
      <c r="A1135" s="90"/>
      <c r="B1135" s="126"/>
      <c r="C1135" s="252"/>
      <c r="D1135" s="109"/>
      <c r="E1135" s="109"/>
      <c r="F1135" s="110"/>
      <c r="G1135" s="95"/>
      <c r="H1135" s="122"/>
      <c r="I1135" s="109"/>
      <c r="J1135" s="120"/>
      <c r="K1135" s="120"/>
      <c r="L1135" s="93"/>
      <c r="M1135" s="93"/>
      <c r="N1135" s="93"/>
      <c r="O1135" s="56"/>
      <c r="P1135" s="56"/>
      <c r="Q1135" s="56"/>
      <c r="R1135" s="56"/>
      <c r="S1135" s="56"/>
      <c r="T1135" s="56"/>
      <c r="U1135" s="56"/>
      <c r="V1135" s="56"/>
    </row>
    <row r="1136" ht="18.75" customHeight="1">
      <c r="A1136" s="90"/>
      <c r="B1136" s="126"/>
      <c r="C1136" s="252"/>
      <c r="D1136" s="109"/>
      <c r="E1136" s="109"/>
      <c r="F1136" s="110"/>
      <c r="G1136" s="95"/>
      <c r="H1136" s="122"/>
      <c r="I1136" s="109"/>
      <c r="J1136" s="120"/>
      <c r="K1136" s="120"/>
      <c r="L1136" s="93"/>
      <c r="M1136" s="93"/>
      <c r="N1136" s="93"/>
      <c r="O1136" s="56"/>
      <c r="P1136" s="56"/>
      <c r="Q1136" s="56"/>
      <c r="R1136" s="56"/>
      <c r="S1136" s="56"/>
      <c r="T1136" s="56"/>
      <c r="U1136" s="56"/>
      <c r="V1136" s="56"/>
    </row>
    <row r="1137" ht="18.75" customHeight="1">
      <c r="A1137" s="90"/>
      <c r="B1137" s="126"/>
      <c r="C1137" s="252"/>
      <c r="D1137" s="109"/>
      <c r="E1137" s="109"/>
      <c r="F1137" s="110"/>
      <c r="G1137" s="95"/>
      <c r="H1137" s="122"/>
      <c r="I1137" s="109"/>
      <c r="J1137" s="120"/>
      <c r="K1137" s="120"/>
      <c r="L1137" s="93"/>
      <c r="M1137" s="93"/>
      <c r="N1137" s="93"/>
      <c r="O1137" s="56"/>
      <c r="P1137" s="56"/>
      <c r="Q1137" s="56"/>
      <c r="R1137" s="56"/>
      <c r="S1137" s="56"/>
      <c r="T1137" s="56"/>
      <c r="U1137" s="56"/>
      <c r="V1137" s="56"/>
    </row>
    <row r="1138" ht="18.75" customHeight="1">
      <c r="A1138" s="90"/>
      <c r="B1138" s="126"/>
      <c r="C1138" s="252"/>
      <c r="D1138" s="109"/>
      <c r="E1138" s="109"/>
      <c r="F1138" s="110"/>
      <c r="G1138" s="95"/>
      <c r="H1138" s="122"/>
      <c r="I1138" s="109"/>
      <c r="J1138" s="120"/>
      <c r="K1138" s="120"/>
      <c r="L1138" s="93"/>
      <c r="M1138" s="93"/>
      <c r="N1138" s="93"/>
      <c r="O1138" s="56"/>
      <c r="P1138" s="56"/>
      <c r="Q1138" s="56"/>
      <c r="R1138" s="56"/>
      <c r="S1138" s="56"/>
      <c r="T1138" s="56"/>
      <c r="U1138" s="56"/>
      <c r="V1138" s="56"/>
    </row>
    <row r="1139" ht="18.75" customHeight="1">
      <c r="A1139" s="90"/>
      <c r="B1139" s="126"/>
      <c r="C1139" s="252"/>
      <c r="D1139" s="109"/>
      <c r="E1139" s="109"/>
      <c r="F1139" s="110"/>
      <c r="G1139" s="95"/>
      <c r="H1139" s="122"/>
      <c r="I1139" s="109"/>
      <c r="J1139" s="120"/>
      <c r="K1139" s="120"/>
      <c r="L1139" s="93"/>
      <c r="M1139" s="93"/>
      <c r="N1139" s="93"/>
      <c r="O1139" s="56"/>
      <c r="P1139" s="56"/>
      <c r="Q1139" s="56"/>
      <c r="R1139" s="56"/>
      <c r="S1139" s="56"/>
      <c r="T1139" s="56"/>
      <c r="U1139" s="56"/>
      <c r="V1139" s="56"/>
    </row>
    <row r="1140" ht="18.75" customHeight="1">
      <c r="A1140" s="90"/>
      <c r="B1140" s="126"/>
      <c r="C1140" s="252"/>
      <c r="D1140" s="109"/>
      <c r="E1140" s="109"/>
      <c r="F1140" s="110"/>
      <c r="G1140" s="95"/>
      <c r="H1140" s="122"/>
      <c r="I1140" s="109"/>
      <c r="J1140" s="120"/>
      <c r="K1140" s="120"/>
      <c r="L1140" s="93"/>
      <c r="M1140" s="93"/>
      <c r="N1140" s="93"/>
      <c r="O1140" s="56"/>
      <c r="P1140" s="56"/>
      <c r="Q1140" s="56"/>
      <c r="R1140" s="56"/>
      <c r="S1140" s="56"/>
      <c r="T1140" s="56"/>
      <c r="U1140" s="56"/>
      <c r="V1140" s="56"/>
    </row>
    <row r="1141" ht="18.75" customHeight="1">
      <c r="A1141" s="90"/>
      <c r="B1141" s="126"/>
      <c r="C1141" s="252"/>
      <c r="D1141" s="109"/>
      <c r="E1141" s="109"/>
      <c r="F1141" s="110"/>
      <c r="G1141" s="95"/>
      <c r="H1141" s="122"/>
      <c r="I1141" s="109"/>
      <c r="J1141" s="120"/>
      <c r="K1141" s="120"/>
      <c r="L1141" s="93"/>
      <c r="M1141" s="93"/>
      <c r="N1141" s="93"/>
      <c r="O1141" s="56"/>
      <c r="P1141" s="56"/>
      <c r="Q1141" s="56"/>
      <c r="R1141" s="56"/>
      <c r="S1141" s="56"/>
      <c r="T1141" s="56"/>
      <c r="U1141" s="56"/>
      <c r="V1141" s="56"/>
    </row>
    <row r="1142" ht="18.75" customHeight="1">
      <c r="A1142" s="90"/>
      <c r="B1142" s="126"/>
      <c r="C1142" s="252"/>
      <c r="D1142" s="109"/>
      <c r="E1142" s="109"/>
      <c r="F1142" s="110"/>
      <c r="G1142" s="95"/>
      <c r="H1142" s="122"/>
      <c r="I1142" s="109"/>
      <c r="J1142" s="120"/>
      <c r="K1142" s="120"/>
      <c r="L1142" s="93"/>
      <c r="M1142" s="93"/>
      <c r="N1142" s="93"/>
      <c r="O1142" s="56"/>
      <c r="P1142" s="56"/>
      <c r="Q1142" s="56"/>
      <c r="R1142" s="56"/>
      <c r="S1142" s="56"/>
      <c r="T1142" s="56"/>
      <c r="U1142" s="56"/>
      <c r="V1142" s="56"/>
    </row>
    <row r="1143" ht="18.75" customHeight="1">
      <c r="A1143" s="90"/>
      <c r="B1143" s="126"/>
      <c r="C1143" s="252"/>
      <c r="D1143" s="109"/>
      <c r="E1143" s="109"/>
      <c r="F1143" s="110"/>
      <c r="G1143" s="95"/>
      <c r="H1143" s="122"/>
      <c r="I1143" s="109"/>
      <c r="J1143" s="120"/>
      <c r="K1143" s="120"/>
      <c r="L1143" s="93"/>
      <c r="M1143" s="93"/>
      <c r="N1143" s="93"/>
      <c r="O1143" s="56"/>
      <c r="P1143" s="56"/>
      <c r="Q1143" s="56"/>
      <c r="R1143" s="56"/>
      <c r="S1143" s="56"/>
      <c r="T1143" s="56"/>
      <c r="U1143" s="56"/>
      <c r="V1143" s="56"/>
    </row>
    <row r="1144" ht="18.75" customHeight="1">
      <c r="A1144" s="90"/>
      <c r="B1144" s="126"/>
      <c r="C1144" s="252"/>
      <c r="D1144" s="109"/>
      <c r="E1144" s="109"/>
      <c r="F1144" s="110"/>
      <c r="G1144" s="95"/>
      <c r="H1144" s="122"/>
      <c r="I1144" s="109"/>
      <c r="J1144" s="120"/>
      <c r="K1144" s="120"/>
      <c r="L1144" s="93"/>
      <c r="M1144" s="93"/>
      <c r="N1144" s="93"/>
      <c r="O1144" s="56"/>
      <c r="P1144" s="56"/>
      <c r="Q1144" s="56"/>
      <c r="R1144" s="56"/>
      <c r="S1144" s="56"/>
      <c r="T1144" s="56"/>
      <c r="U1144" s="56"/>
      <c r="V1144" s="56"/>
    </row>
    <row r="1145" ht="18.75" customHeight="1">
      <c r="A1145" s="90"/>
      <c r="B1145" s="126"/>
      <c r="C1145" s="252"/>
      <c r="D1145" s="109"/>
      <c r="E1145" s="109"/>
      <c r="F1145" s="110"/>
      <c r="G1145" s="95"/>
      <c r="H1145" s="122"/>
      <c r="I1145" s="109"/>
      <c r="J1145" s="120"/>
      <c r="K1145" s="120"/>
      <c r="L1145" s="93"/>
      <c r="M1145" s="93"/>
      <c r="N1145" s="93"/>
      <c r="O1145" s="56"/>
      <c r="P1145" s="56"/>
      <c r="Q1145" s="56"/>
      <c r="R1145" s="56"/>
      <c r="S1145" s="56"/>
      <c r="T1145" s="56"/>
      <c r="U1145" s="56"/>
      <c r="V1145" s="56"/>
    </row>
    <row r="1146" ht="18.75" customHeight="1">
      <c r="A1146" s="90"/>
      <c r="B1146" s="126"/>
      <c r="C1146" s="252"/>
      <c r="D1146" s="109"/>
      <c r="E1146" s="109"/>
      <c r="F1146" s="110"/>
      <c r="G1146" s="95"/>
      <c r="H1146" s="122"/>
      <c r="I1146" s="109"/>
      <c r="J1146" s="120"/>
      <c r="K1146" s="120"/>
      <c r="L1146" s="93"/>
      <c r="M1146" s="93"/>
      <c r="N1146" s="93"/>
      <c r="O1146" s="56"/>
      <c r="P1146" s="56"/>
      <c r="Q1146" s="56"/>
      <c r="R1146" s="56"/>
      <c r="S1146" s="56"/>
      <c r="T1146" s="56"/>
      <c r="U1146" s="56"/>
      <c r="V1146" s="56"/>
    </row>
    <row r="1147" ht="18.75" customHeight="1">
      <c r="A1147" s="90"/>
      <c r="B1147" s="126"/>
      <c r="C1147" s="252"/>
      <c r="D1147" s="109"/>
      <c r="E1147" s="109"/>
      <c r="F1147" s="110"/>
      <c r="G1147" s="95"/>
      <c r="H1147" s="122"/>
      <c r="I1147" s="109"/>
      <c r="J1147" s="120"/>
      <c r="K1147" s="120"/>
      <c r="L1147" s="93"/>
      <c r="M1147" s="93"/>
      <c r="N1147" s="93"/>
      <c r="O1147" s="56"/>
      <c r="P1147" s="56"/>
      <c r="Q1147" s="56"/>
      <c r="R1147" s="56"/>
      <c r="S1147" s="56"/>
      <c r="T1147" s="56"/>
      <c r="U1147" s="56"/>
      <c r="V1147" s="56"/>
    </row>
    <row r="1148" ht="18.75" customHeight="1">
      <c r="A1148" s="90"/>
      <c r="B1148" s="126"/>
      <c r="C1148" s="252"/>
      <c r="D1148" s="109"/>
      <c r="E1148" s="109"/>
      <c r="F1148" s="110"/>
      <c r="G1148" s="95"/>
      <c r="H1148" s="122"/>
      <c r="I1148" s="109"/>
      <c r="J1148" s="120"/>
      <c r="K1148" s="120"/>
      <c r="L1148" s="93"/>
      <c r="M1148" s="93"/>
      <c r="N1148" s="93"/>
      <c r="O1148" s="56"/>
      <c r="P1148" s="56"/>
      <c r="Q1148" s="56"/>
      <c r="R1148" s="56"/>
      <c r="S1148" s="56"/>
      <c r="T1148" s="56"/>
      <c r="U1148" s="56"/>
      <c r="V1148" s="56"/>
    </row>
    <row r="1149" ht="18.75" customHeight="1">
      <c r="A1149" s="90"/>
      <c r="B1149" s="126"/>
      <c r="C1149" s="252"/>
      <c r="D1149" s="109"/>
      <c r="E1149" s="109"/>
      <c r="F1149" s="110"/>
      <c r="G1149" s="95"/>
      <c r="H1149" s="122"/>
      <c r="I1149" s="109"/>
      <c r="J1149" s="120"/>
      <c r="K1149" s="120"/>
      <c r="L1149" s="93"/>
      <c r="M1149" s="93"/>
      <c r="N1149" s="93"/>
      <c r="O1149" s="56"/>
      <c r="P1149" s="56"/>
      <c r="Q1149" s="56"/>
      <c r="R1149" s="56"/>
      <c r="S1149" s="56"/>
      <c r="T1149" s="56"/>
      <c r="U1149" s="56"/>
      <c r="V1149" s="56"/>
    </row>
    <row r="1150" ht="18.75" customHeight="1">
      <c r="A1150" s="90"/>
      <c r="B1150" s="126"/>
      <c r="C1150" s="252"/>
      <c r="D1150" s="109"/>
      <c r="E1150" s="109"/>
      <c r="F1150" s="110"/>
      <c r="G1150" s="95"/>
      <c r="H1150" s="122"/>
      <c r="I1150" s="109"/>
      <c r="J1150" s="120"/>
      <c r="K1150" s="120"/>
      <c r="L1150" s="93"/>
      <c r="M1150" s="93"/>
      <c r="N1150" s="93"/>
      <c r="O1150" s="56"/>
      <c r="P1150" s="56"/>
      <c r="Q1150" s="56"/>
      <c r="R1150" s="56"/>
      <c r="S1150" s="56"/>
      <c r="T1150" s="56"/>
      <c r="U1150" s="56"/>
      <c r="V1150" s="56"/>
    </row>
    <row r="1151" ht="18.75" customHeight="1">
      <c r="A1151" s="90"/>
      <c r="B1151" s="126"/>
      <c r="C1151" s="252"/>
      <c r="D1151" s="109"/>
      <c r="E1151" s="109"/>
      <c r="F1151" s="110"/>
      <c r="G1151" s="95"/>
      <c r="H1151" s="122"/>
      <c r="I1151" s="109"/>
      <c r="J1151" s="120"/>
      <c r="K1151" s="120"/>
      <c r="L1151" s="93"/>
      <c r="M1151" s="93"/>
      <c r="N1151" s="93"/>
      <c r="O1151" s="56"/>
      <c r="P1151" s="56"/>
      <c r="Q1151" s="56"/>
      <c r="R1151" s="56"/>
      <c r="S1151" s="56"/>
      <c r="T1151" s="56"/>
      <c r="U1151" s="56"/>
      <c r="V1151" s="56"/>
    </row>
    <row r="1152" ht="18.75" customHeight="1">
      <c r="A1152" s="90"/>
      <c r="B1152" s="126"/>
      <c r="C1152" s="252"/>
      <c r="D1152" s="109"/>
      <c r="E1152" s="109"/>
      <c r="F1152" s="110"/>
      <c r="G1152" s="95"/>
      <c r="H1152" s="122"/>
      <c r="I1152" s="109"/>
      <c r="J1152" s="120"/>
      <c r="K1152" s="120"/>
      <c r="L1152" s="93"/>
      <c r="M1152" s="93"/>
      <c r="N1152" s="93"/>
      <c r="O1152" s="56"/>
      <c r="P1152" s="56"/>
      <c r="Q1152" s="56"/>
      <c r="R1152" s="56"/>
      <c r="S1152" s="56"/>
      <c r="T1152" s="56"/>
      <c r="U1152" s="56"/>
      <c r="V1152" s="56"/>
    </row>
    <row r="1153" ht="18.75" customHeight="1">
      <c r="A1153" s="90"/>
      <c r="B1153" s="126"/>
      <c r="C1153" s="252"/>
      <c r="D1153" s="109"/>
      <c r="E1153" s="109"/>
      <c r="F1153" s="110"/>
      <c r="G1153" s="95"/>
      <c r="H1153" s="122"/>
      <c r="I1153" s="109"/>
      <c r="J1153" s="120"/>
      <c r="K1153" s="120"/>
      <c r="L1153" s="93"/>
      <c r="M1153" s="93"/>
      <c r="N1153" s="93"/>
      <c r="O1153" s="56"/>
      <c r="P1153" s="56"/>
      <c r="Q1153" s="56"/>
      <c r="R1153" s="56"/>
      <c r="S1153" s="56"/>
      <c r="T1153" s="56"/>
      <c r="U1153" s="56"/>
      <c r="V1153" s="56"/>
    </row>
    <row r="1154" ht="18.75" customHeight="1">
      <c r="A1154" s="90"/>
      <c r="B1154" s="126"/>
      <c r="C1154" s="252"/>
      <c r="D1154" s="109"/>
      <c r="E1154" s="109"/>
      <c r="F1154" s="110"/>
      <c r="G1154" s="95"/>
      <c r="H1154" s="122"/>
      <c r="I1154" s="109"/>
      <c r="J1154" s="120"/>
      <c r="K1154" s="120"/>
      <c r="L1154" s="93"/>
      <c r="M1154" s="93"/>
      <c r="N1154" s="93"/>
      <c r="O1154" s="56"/>
      <c r="P1154" s="56"/>
      <c r="Q1154" s="56"/>
      <c r="R1154" s="56"/>
      <c r="S1154" s="56"/>
      <c r="T1154" s="56"/>
      <c r="U1154" s="56"/>
      <c r="V1154" s="56"/>
    </row>
    <row r="1155" ht="18.75" customHeight="1">
      <c r="A1155" s="90"/>
      <c r="B1155" s="126"/>
      <c r="C1155" s="252"/>
      <c r="D1155" s="109"/>
      <c r="E1155" s="109"/>
      <c r="F1155" s="110"/>
      <c r="G1155" s="95"/>
      <c r="H1155" s="122"/>
      <c r="I1155" s="109"/>
      <c r="J1155" s="120"/>
      <c r="K1155" s="120"/>
      <c r="L1155" s="93"/>
      <c r="M1155" s="93"/>
      <c r="N1155" s="93"/>
      <c r="O1155" s="56"/>
      <c r="P1155" s="56"/>
      <c r="Q1155" s="56"/>
      <c r="R1155" s="56"/>
      <c r="S1155" s="56"/>
      <c r="T1155" s="56"/>
      <c r="U1155" s="56"/>
      <c r="V1155" s="56"/>
    </row>
    <row r="1156" ht="18.75" customHeight="1">
      <c r="A1156" s="90"/>
      <c r="B1156" s="126"/>
      <c r="C1156" s="252"/>
      <c r="D1156" s="109"/>
      <c r="E1156" s="109"/>
      <c r="F1156" s="110"/>
      <c r="G1156" s="95"/>
      <c r="H1156" s="122"/>
      <c r="I1156" s="109"/>
      <c r="J1156" s="120"/>
      <c r="K1156" s="120"/>
      <c r="L1156" s="93"/>
      <c r="M1156" s="93"/>
      <c r="N1156" s="93"/>
      <c r="O1156" s="56"/>
      <c r="P1156" s="56"/>
      <c r="Q1156" s="56"/>
      <c r="R1156" s="56"/>
      <c r="S1156" s="56"/>
      <c r="T1156" s="56"/>
      <c r="U1156" s="56"/>
      <c r="V1156" s="56"/>
    </row>
    <row r="1157" ht="18.75" customHeight="1">
      <c r="A1157" s="90"/>
      <c r="B1157" s="126"/>
      <c r="C1157" s="252"/>
      <c r="D1157" s="109"/>
      <c r="E1157" s="109"/>
      <c r="F1157" s="110"/>
      <c r="G1157" s="95"/>
      <c r="H1157" s="122"/>
      <c r="I1157" s="109"/>
      <c r="J1157" s="120"/>
      <c r="K1157" s="120"/>
      <c r="L1157" s="93"/>
      <c r="M1157" s="93"/>
      <c r="N1157" s="93"/>
      <c r="O1157" s="56"/>
      <c r="P1157" s="56"/>
      <c r="Q1157" s="56"/>
      <c r="R1157" s="56"/>
      <c r="S1157" s="56"/>
      <c r="T1157" s="56"/>
      <c r="U1157" s="56"/>
      <c r="V1157" s="56"/>
    </row>
    <row r="1158" ht="18.75" customHeight="1">
      <c r="A1158" s="90"/>
      <c r="B1158" s="126"/>
      <c r="C1158" s="252"/>
      <c r="D1158" s="109"/>
      <c r="E1158" s="109"/>
      <c r="F1158" s="110"/>
      <c r="G1158" s="95"/>
      <c r="H1158" s="122"/>
      <c r="I1158" s="109"/>
      <c r="J1158" s="120"/>
      <c r="K1158" s="120"/>
      <c r="L1158" s="93"/>
      <c r="M1158" s="93"/>
      <c r="N1158" s="93"/>
      <c r="O1158" s="56"/>
      <c r="P1158" s="56"/>
      <c r="Q1158" s="56"/>
      <c r="R1158" s="56"/>
      <c r="S1158" s="56"/>
      <c r="T1158" s="56"/>
      <c r="U1158" s="56"/>
      <c r="V1158" s="56"/>
    </row>
    <row r="1159" ht="18.75" customHeight="1">
      <c r="A1159" s="90"/>
      <c r="B1159" s="126"/>
      <c r="C1159" s="252"/>
      <c r="D1159" s="109"/>
      <c r="E1159" s="109"/>
      <c r="F1159" s="110"/>
      <c r="G1159" s="95"/>
      <c r="H1159" s="122"/>
      <c r="I1159" s="109"/>
      <c r="J1159" s="120"/>
      <c r="K1159" s="120"/>
      <c r="L1159" s="93"/>
      <c r="M1159" s="93"/>
      <c r="N1159" s="93"/>
      <c r="O1159" s="56"/>
      <c r="P1159" s="56"/>
      <c r="Q1159" s="56"/>
      <c r="R1159" s="56"/>
      <c r="S1159" s="56"/>
      <c r="T1159" s="56"/>
      <c r="U1159" s="56"/>
      <c r="V1159" s="56"/>
    </row>
    <row r="1160" ht="18.75" customHeight="1">
      <c r="A1160" s="90"/>
      <c r="B1160" s="126"/>
      <c r="C1160" s="252"/>
      <c r="D1160" s="109"/>
      <c r="E1160" s="109"/>
      <c r="F1160" s="110"/>
      <c r="G1160" s="95"/>
      <c r="H1160" s="122"/>
      <c r="I1160" s="109"/>
      <c r="J1160" s="120"/>
      <c r="K1160" s="120"/>
      <c r="L1160" s="93"/>
      <c r="M1160" s="93"/>
      <c r="N1160" s="93"/>
      <c r="O1160" s="56"/>
      <c r="P1160" s="56"/>
      <c r="Q1160" s="56"/>
      <c r="R1160" s="56"/>
      <c r="S1160" s="56"/>
      <c r="T1160" s="56"/>
      <c r="U1160" s="56"/>
      <c r="V1160" s="56"/>
    </row>
    <row r="1161" ht="18.75" customHeight="1">
      <c r="A1161" s="90"/>
      <c r="B1161" s="126"/>
      <c r="C1161" s="252"/>
      <c r="D1161" s="109"/>
      <c r="E1161" s="109"/>
      <c r="F1161" s="110"/>
      <c r="G1161" s="95"/>
      <c r="H1161" s="122"/>
      <c r="I1161" s="109"/>
      <c r="J1161" s="120"/>
      <c r="K1161" s="120"/>
      <c r="L1161" s="93"/>
      <c r="M1161" s="93"/>
      <c r="N1161" s="93"/>
      <c r="O1161" s="56"/>
      <c r="P1161" s="56"/>
      <c r="Q1161" s="56"/>
      <c r="R1161" s="56"/>
      <c r="S1161" s="56"/>
      <c r="T1161" s="56"/>
      <c r="U1161" s="56"/>
      <c r="V1161" s="56"/>
    </row>
    <row r="1162" ht="18.75" customHeight="1">
      <c r="A1162" s="90"/>
      <c r="B1162" s="126"/>
      <c r="C1162" s="252"/>
      <c r="D1162" s="109"/>
      <c r="E1162" s="109"/>
      <c r="F1162" s="110"/>
      <c r="G1162" s="95"/>
      <c r="H1162" s="122"/>
      <c r="I1162" s="109"/>
      <c r="J1162" s="120"/>
      <c r="K1162" s="120"/>
      <c r="L1162" s="93"/>
      <c r="M1162" s="93"/>
      <c r="N1162" s="93"/>
      <c r="O1162" s="56"/>
      <c r="P1162" s="56"/>
      <c r="Q1162" s="56"/>
      <c r="R1162" s="56"/>
      <c r="S1162" s="56"/>
      <c r="T1162" s="56"/>
      <c r="U1162" s="56"/>
      <c r="V1162" s="56"/>
    </row>
    <row r="1163" ht="18.75" customHeight="1">
      <c r="A1163" s="90"/>
      <c r="B1163" s="126"/>
      <c r="C1163" s="252"/>
      <c r="D1163" s="109"/>
      <c r="E1163" s="109"/>
      <c r="F1163" s="110"/>
      <c r="G1163" s="95"/>
      <c r="H1163" s="122"/>
      <c r="I1163" s="109"/>
      <c r="J1163" s="120"/>
      <c r="K1163" s="120"/>
      <c r="L1163" s="93"/>
      <c r="M1163" s="93"/>
      <c r="N1163" s="93"/>
      <c r="O1163" s="56"/>
      <c r="P1163" s="56"/>
      <c r="Q1163" s="56"/>
      <c r="R1163" s="56"/>
      <c r="S1163" s="56"/>
      <c r="T1163" s="56"/>
      <c r="U1163" s="56"/>
      <c r="V1163" s="56"/>
    </row>
    <row r="1164" ht="18.75" customHeight="1">
      <c r="A1164" s="90"/>
      <c r="B1164" s="126"/>
      <c r="C1164" s="252"/>
      <c r="D1164" s="109"/>
      <c r="E1164" s="109"/>
      <c r="F1164" s="110"/>
      <c r="G1164" s="95"/>
      <c r="H1164" s="122"/>
      <c r="I1164" s="109"/>
      <c r="J1164" s="120"/>
      <c r="K1164" s="120"/>
      <c r="L1164" s="93"/>
      <c r="M1164" s="93"/>
      <c r="N1164" s="93"/>
      <c r="O1164" s="56"/>
      <c r="P1164" s="56"/>
      <c r="Q1164" s="56"/>
      <c r="R1164" s="56"/>
      <c r="S1164" s="56"/>
      <c r="T1164" s="56"/>
      <c r="U1164" s="56"/>
      <c r="V1164" s="56"/>
    </row>
    <row r="1165" ht="18.75" customHeight="1">
      <c r="A1165" s="90"/>
      <c r="B1165" s="126"/>
      <c r="C1165" s="252"/>
      <c r="D1165" s="109"/>
      <c r="E1165" s="109"/>
      <c r="F1165" s="110"/>
      <c r="G1165" s="95"/>
      <c r="H1165" s="122"/>
      <c r="I1165" s="109"/>
      <c r="J1165" s="120"/>
      <c r="K1165" s="120"/>
      <c r="L1165" s="93"/>
      <c r="M1165" s="93"/>
      <c r="N1165" s="93"/>
      <c r="O1165" s="56"/>
      <c r="P1165" s="56"/>
      <c r="Q1165" s="56"/>
      <c r="R1165" s="56"/>
      <c r="S1165" s="56"/>
      <c r="T1165" s="56"/>
      <c r="U1165" s="56"/>
      <c r="V1165" s="56"/>
    </row>
    <row r="1166" ht="18.75" customHeight="1">
      <c r="A1166" s="90"/>
      <c r="B1166" s="126"/>
      <c r="C1166" s="252"/>
      <c r="D1166" s="109"/>
      <c r="E1166" s="109"/>
      <c r="F1166" s="110"/>
      <c r="G1166" s="95"/>
      <c r="H1166" s="122"/>
      <c r="I1166" s="109"/>
      <c r="J1166" s="120"/>
      <c r="K1166" s="120"/>
      <c r="L1166" s="93"/>
      <c r="M1166" s="93"/>
      <c r="N1166" s="93"/>
      <c r="O1166" s="56"/>
      <c r="P1166" s="56"/>
      <c r="Q1166" s="56"/>
      <c r="R1166" s="56"/>
      <c r="S1166" s="56"/>
      <c r="T1166" s="56"/>
      <c r="U1166" s="56"/>
      <c r="V1166" s="56"/>
    </row>
    <row r="1167" ht="18.75" customHeight="1">
      <c r="A1167" s="90"/>
      <c r="B1167" s="126"/>
      <c r="C1167" s="252"/>
      <c r="D1167" s="109"/>
      <c r="E1167" s="109"/>
      <c r="F1167" s="110"/>
      <c r="G1167" s="95"/>
      <c r="H1167" s="122"/>
      <c r="I1167" s="109"/>
      <c r="J1167" s="120"/>
      <c r="K1167" s="120"/>
      <c r="L1167" s="93"/>
      <c r="M1167" s="93"/>
      <c r="N1167" s="93"/>
      <c r="O1167" s="56"/>
      <c r="P1167" s="56"/>
      <c r="Q1167" s="56"/>
      <c r="R1167" s="56"/>
      <c r="S1167" s="56"/>
      <c r="T1167" s="56"/>
      <c r="U1167" s="56"/>
      <c r="V1167" s="56"/>
    </row>
    <row r="1168" ht="18.75" customHeight="1">
      <c r="A1168" s="90"/>
      <c r="B1168" s="126"/>
      <c r="C1168" s="252"/>
      <c r="D1168" s="109"/>
      <c r="E1168" s="109"/>
      <c r="F1168" s="110"/>
      <c r="G1168" s="95"/>
      <c r="H1168" s="122"/>
      <c r="I1168" s="109"/>
      <c r="J1168" s="120"/>
      <c r="K1168" s="120"/>
      <c r="L1168" s="93"/>
      <c r="M1168" s="93"/>
      <c r="N1168" s="93"/>
      <c r="O1168" s="56"/>
      <c r="P1168" s="56"/>
      <c r="Q1168" s="56"/>
      <c r="R1168" s="56"/>
      <c r="S1168" s="56"/>
      <c r="T1168" s="56"/>
      <c r="U1168" s="56"/>
      <c r="V1168" s="56"/>
    </row>
    <row r="1169" ht="18.75" customHeight="1">
      <c r="A1169" s="90"/>
      <c r="B1169" s="126"/>
      <c r="C1169" s="252"/>
      <c r="D1169" s="109"/>
      <c r="E1169" s="109"/>
      <c r="F1169" s="110"/>
      <c r="G1169" s="95"/>
      <c r="H1169" s="122"/>
      <c r="I1169" s="109"/>
      <c r="J1169" s="120"/>
      <c r="K1169" s="120"/>
      <c r="L1169" s="93"/>
      <c r="M1169" s="93"/>
      <c r="N1169" s="93"/>
      <c r="O1169" s="56"/>
      <c r="P1169" s="56"/>
      <c r="Q1169" s="56"/>
      <c r="R1169" s="56"/>
      <c r="S1169" s="56"/>
      <c r="T1169" s="56"/>
      <c r="U1169" s="56"/>
      <c r="V1169" s="56"/>
    </row>
    <row r="1170" ht="18.75" customHeight="1">
      <c r="A1170" s="90"/>
      <c r="B1170" s="126"/>
      <c r="C1170" s="252"/>
      <c r="D1170" s="109"/>
      <c r="E1170" s="109"/>
      <c r="F1170" s="110"/>
      <c r="G1170" s="95"/>
      <c r="H1170" s="122"/>
      <c r="I1170" s="109"/>
      <c r="J1170" s="120"/>
      <c r="K1170" s="120"/>
      <c r="L1170" s="93"/>
      <c r="M1170" s="93"/>
      <c r="N1170" s="93"/>
      <c r="O1170" s="56"/>
      <c r="P1170" s="56"/>
      <c r="Q1170" s="56"/>
      <c r="R1170" s="56"/>
      <c r="S1170" s="56"/>
      <c r="T1170" s="56"/>
      <c r="U1170" s="56"/>
      <c r="V1170" s="56"/>
    </row>
    <row r="1171" ht="18.75" customHeight="1">
      <c r="A1171" s="90"/>
      <c r="B1171" s="126"/>
      <c r="C1171" s="252"/>
      <c r="D1171" s="109"/>
      <c r="E1171" s="109"/>
      <c r="F1171" s="110"/>
      <c r="G1171" s="95"/>
      <c r="H1171" s="122"/>
      <c r="I1171" s="109"/>
      <c r="J1171" s="120"/>
      <c r="K1171" s="120"/>
      <c r="L1171" s="93"/>
      <c r="M1171" s="93"/>
      <c r="N1171" s="93"/>
      <c r="O1171" s="56"/>
      <c r="P1171" s="56"/>
      <c r="Q1171" s="56"/>
      <c r="R1171" s="56"/>
      <c r="S1171" s="56"/>
      <c r="T1171" s="56"/>
      <c r="U1171" s="56"/>
      <c r="V1171" s="56"/>
    </row>
    <row r="1172" ht="18.75" customHeight="1">
      <c r="A1172" s="90"/>
      <c r="B1172" s="126"/>
      <c r="C1172" s="252"/>
      <c r="D1172" s="109"/>
      <c r="E1172" s="109"/>
      <c r="F1172" s="110"/>
      <c r="G1172" s="95"/>
      <c r="H1172" s="122"/>
      <c r="I1172" s="109"/>
      <c r="J1172" s="120"/>
      <c r="K1172" s="120"/>
      <c r="L1172" s="93"/>
      <c r="M1172" s="93"/>
      <c r="N1172" s="93"/>
      <c r="O1172" s="56"/>
      <c r="P1172" s="56"/>
      <c r="Q1172" s="56"/>
      <c r="R1172" s="56"/>
      <c r="S1172" s="56"/>
      <c r="T1172" s="56"/>
      <c r="U1172" s="56"/>
      <c r="V1172" s="56"/>
    </row>
    <row r="1173" ht="18.75" customHeight="1">
      <c r="A1173" s="90"/>
      <c r="B1173" s="126"/>
      <c r="C1173" s="252"/>
      <c r="D1173" s="109"/>
      <c r="E1173" s="109"/>
      <c r="F1173" s="110"/>
      <c r="G1173" s="95"/>
      <c r="H1173" s="122"/>
      <c r="I1173" s="109"/>
      <c r="J1173" s="120"/>
      <c r="K1173" s="120"/>
      <c r="L1173" s="93"/>
      <c r="M1173" s="93"/>
      <c r="N1173" s="93"/>
      <c r="O1173" s="56"/>
      <c r="P1173" s="56"/>
      <c r="Q1173" s="56"/>
      <c r="R1173" s="56"/>
      <c r="S1173" s="56"/>
      <c r="T1173" s="56"/>
      <c r="U1173" s="56"/>
      <c r="V1173" s="56"/>
    </row>
    <row r="1174" ht="18.75" customHeight="1">
      <c r="A1174" s="90"/>
      <c r="B1174" s="126"/>
      <c r="C1174" s="252"/>
      <c r="D1174" s="109"/>
      <c r="E1174" s="109"/>
      <c r="F1174" s="110"/>
      <c r="G1174" s="95"/>
      <c r="H1174" s="122"/>
      <c r="I1174" s="109"/>
      <c r="J1174" s="120"/>
      <c r="K1174" s="120"/>
      <c r="L1174" s="93"/>
      <c r="M1174" s="93"/>
      <c r="N1174" s="93"/>
      <c r="O1174" s="56"/>
      <c r="P1174" s="56"/>
      <c r="Q1174" s="56"/>
      <c r="R1174" s="56"/>
      <c r="S1174" s="56"/>
      <c r="T1174" s="56"/>
      <c r="U1174" s="56"/>
      <c r="V1174" s="56"/>
    </row>
    <row r="1175" ht="18.75" customHeight="1">
      <c r="A1175" s="90"/>
      <c r="B1175" s="126"/>
      <c r="C1175" s="252"/>
      <c r="D1175" s="109"/>
      <c r="E1175" s="109"/>
      <c r="F1175" s="110"/>
      <c r="G1175" s="95"/>
      <c r="H1175" s="122"/>
      <c r="I1175" s="109"/>
      <c r="J1175" s="120"/>
      <c r="K1175" s="120"/>
      <c r="L1175" s="93"/>
      <c r="M1175" s="93"/>
      <c r="N1175" s="93"/>
      <c r="O1175" s="56"/>
      <c r="P1175" s="56"/>
      <c r="Q1175" s="56"/>
      <c r="R1175" s="56"/>
      <c r="S1175" s="56"/>
      <c r="T1175" s="56"/>
      <c r="U1175" s="56"/>
      <c r="V1175" s="56"/>
    </row>
    <row r="1176" ht="18.75" customHeight="1">
      <c r="A1176" s="90"/>
      <c r="B1176" s="126"/>
      <c r="C1176" s="252"/>
      <c r="D1176" s="109"/>
      <c r="E1176" s="109"/>
      <c r="F1176" s="110"/>
      <c r="G1176" s="95"/>
      <c r="H1176" s="122"/>
      <c r="I1176" s="109"/>
      <c r="J1176" s="120"/>
      <c r="K1176" s="120"/>
      <c r="L1176" s="93"/>
      <c r="M1176" s="93"/>
      <c r="N1176" s="93"/>
      <c r="O1176" s="56"/>
      <c r="P1176" s="56"/>
      <c r="Q1176" s="56"/>
      <c r="R1176" s="56"/>
      <c r="S1176" s="56"/>
      <c r="T1176" s="56"/>
      <c r="U1176" s="56"/>
      <c r="V1176" s="56"/>
    </row>
    <row r="1177" ht="18.75" customHeight="1">
      <c r="A1177" s="90"/>
      <c r="B1177" s="126"/>
      <c r="C1177" s="252"/>
      <c r="D1177" s="109"/>
      <c r="E1177" s="109"/>
      <c r="F1177" s="110"/>
      <c r="G1177" s="95"/>
      <c r="H1177" s="122"/>
      <c r="I1177" s="109"/>
      <c r="J1177" s="120"/>
      <c r="K1177" s="120"/>
      <c r="L1177" s="93"/>
      <c r="M1177" s="93"/>
      <c r="N1177" s="93"/>
      <c r="O1177" s="56"/>
      <c r="P1177" s="56"/>
      <c r="Q1177" s="56"/>
      <c r="R1177" s="56"/>
      <c r="S1177" s="56"/>
      <c r="T1177" s="56"/>
      <c r="U1177" s="56"/>
      <c r="V1177" s="56"/>
    </row>
    <row r="1178" ht="18.75" customHeight="1">
      <c r="A1178" s="90"/>
      <c r="B1178" s="126"/>
      <c r="C1178" s="252"/>
      <c r="D1178" s="109"/>
      <c r="E1178" s="109"/>
      <c r="F1178" s="110"/>
      <c r="G1178" s="95"/>
      <c r="H1178" s="122"/>
      <c r="I1178" s="109"/>
      <c r="J1178" s="120"/>
      <c r="K1178" s="120"/>
      <c r="L1178" s="93"/>
      <c r="M1178" s="93"/>
      <c r="N1178" s="93"/>
      <c r="O1178" s="56"/>
      <c r="P1178" s="56"/>
      <c r="Q1178" s="56"/>
      <c r="R1178" s="56"/>
      <c r="S1178" s="56"/>
      <c r="T1178" s="56"/>
      <c r="U1178" s="56"/>
      <c r="V1178" s="56"/>
    </row>
    <row r="1179" ht="18.75" customHeight="1">
      <c r="A1179" s="90"/>
      <c r="B1179" s="126"/>
      <c r="C1179" s="252"/>
      <c r="D1179" s="109"/>
      <c r="E1179" s="109"/>
      <c r="F1179" s="110"/>
      <c r="G1179" s="95"/>
      <c r="H1179" s="122"/>
      <c r="I1179" s="109"/>
      <c r="J1179" s="120"/>
      <c r="K1179" s="120"/>
      <c r="L1179" s="93"/>
      <c r="M1179" s="93"/>
      <c r="N1179" s="93"/>
      <c r="O1179" s="56"/>
      <c r="P1179" s="56"/>
      <c r="Q1179" s="56"/>
      <c r="R1179" s="56"/>
      <c r="S1179" s="56"/>
      <c r="T1179" s="56"/>
      <c r="U1179" s="56"/>
      <c r="V1179" s="56"/>
    </row>
    <row r="1180" ht="18.75" customHeight="1">
      <c r="A1180" s="90"/>
      <c r="B1180" s="126"/>
      <c r="C1180" s="252"/>
      <c r="D1180" s="109"/>
      <c r="E1180" s="109"/>
      <c r="F1180" s="110"/>
      <c r="G1180" s="95"/>
      <c r="H1180" s="122"/>
      <c r="I1180" s="109"/>
      <c r="J1180" s="120"/>
      <c r="K1180" s="120"/>
      <c r="L1180" s="93"/>
      <c r="M1180" s="93"/>
      <c r="N1180" s="93"/>
      <c r="O1180" s="56"/>
      <c r="P1180" s="56"/>
      <c r="Q1180" s="56"/>
      <c r="R1180" s="56"/>
      <c r="S1180" s="56"/>
      <c r="T1180" s="56"/>
      <c r="U1180" s="56"/>
      <c r="V1180" s="56"/>
    </row>
    <row r="1181" ht="18.75" customHeight="1">
      <c r="A1181" s="90"/>
      <c r="B1181" s="126"/>
      <c r="C1181" s="252"/>
      <c r="D1181" s="109"/>
      <c r="E1181" s="109"/>
      <c r="F1181" s="110"/>
      <c r="G1181" s="95"/>
      <c r="H1181" s="122"/>
      <c r="I1181" s="109"/>
      <c r="J1181" s="120"/>
      <c r="K1181" s="120"/>
      <c r="L1181" s="93"/>
      <c r="M1181" s="93"/>
      <c r="N1181" s="93"/>
      <c r="O1181" s="56"/>
      <c r="P1181" s="56"/>
      <c r="Q1181" s="56"/>
      <c r="R1181" s="56"/>
      <c r="S1181" s="56"/>
      <c r="T1181" s="56"/>
      <c r="U1181" s="56"/>
      <c r="V1181" s="56"/>
    </row>
    <row r="1182" ht="18.75" customHeight="1">
      <c r="A1182" s="90"/>
      <c r="B1182" s="126"/>
      <c r="C1182" s="252"/>
      <c r="D1182" s="109"/>
      <c r="E1182" s="109"/>
      <c r="F1182" s="110"/>
      <c r="G1182" s="95"/>
      <c r="H1182" s="122"/>
      <c r="I1182" s="109"/>
      <c r="J1182" s="120"/>
      <c r="K1182" s="120"/>
      <c r="L1182" s="93"/>
      <c r="M1182" s="93"/>
      <c r="N1182" s="93"/>
      <c r="O1182" s="56"/>
      <c r="P1182" s="56"/>
      <c r="Q1182" s="56"/>
      <c r="R1182" s="56"/>
      <c r="S1182" s="56"/>
      <c r="T1182" s="56"/>
      <c r="U1182" s="56"/>
      <c r="V1182" s="56"/>
    </row>
    <row r="1183" ht="18.75" customHeight="1">
      <c r="A1183" s="90"/>
      <c r="B1183" s="126"/>
      <c r="C1183" s="252"/>
      <c r="D1183" s="109"/>
      <c r="E1183" s="109"/>
      <c r="F1183" s="110"/>
      <c r="G1183" s="95"/>
      <c r="H1183" s="122"/>
      <c r="I1183" s="109"/>
      <c r="J1183" s="120"/>
      <c r="K1183" s="120"/>
      <c r="L1183" s="93"/>
      <c r="M1183" s="93"/>
      <c r="N1183" s="93"/>
      <c r="O1183" s="56"/>
      <c r="P1183" s="56"/>
      <c r="Q1183" s="56"/>
      <c r="R1183" s="56"/>
      <c r="S1183" s="56"/>
      <c r="T1183" s="56"/>
      <c r="U1183" s="56"/>
      <c r="V1183" s="56"/>
    </row>
    <row r="1184" ht="18.75" customHeight="1">
      <c r="A1184" s="90"/>
      <c r="B1184" s="126"/>
      <c r="C1184" s="252"/>
      <c r="D1184" s="109"/>
      <c r="E1184" s="109"/>
      <c r="F1184" s="110"/>
      <c r="G1184" s="95"/>
      <c r="H1184" s="122"/>
      <c r="I1184" s="109"/>
      <c r="J1184" s="120"/>
      <c r="K1184" s="120"/>
      <c r="L1184" s="93"/>
      <c r="M1184" s="93"/>
      <c r="N1184" s="93"/>
      <c r="O1184" s="56"/>
      <c r="P1184" s="56"/>
      <c r="Q1184" s="56"/>
      <c r="R1184" s="56"/>
      <c r="S1184" s="56"/>
      <c r="T1184" s="56"/>
      <c r="U1184" s="56"/>
      <c r="V1184" s="56"/>
    </row>
    <row r="1185" ht="18.75" customHeight="1">
      <c r="A1185" s="90"/>
      <c r="B1185" s="126"/>
      <c r="C1185" s="252"/>
      <c r="D1185" s="109"/>
      <c r="E1185" s="109"/>
      <c r="F1185" s="110"/>
      <c r="G1185" s="95"/>
      <c r="H1185" s="122"/>
      <c r="I1185" s="109"/>
      <c r="J1185" s="120"/>
      <c r="K1185" s="120"/>
      <c r="L1185" s="93"/>
      <c r="M1185" s="93"/>
      <c r="N1185" s="93"/>
      <c r="O1185" s="56"/>
      <c r="P1185" s="56"/>
      <c r="Q1185" s="56"/>
      <c r="R1185" s="56"/>
      <c r="S1185" s="56"/>
      <c r="T1185" s="56"/>
      <c r="U1185" s="56"/>
      <c r="V1185" s="56"/>
    </row>
    <row r="1186" ht="18.75" customHeight="1">
      <c r="A1186" s="90"/>
      <c r="B1186" s="126"/>
      <c r="C1186" s="252"/>
      <c r="D1186" s="109"/>
      <c r="E1186" s="109"/>
      <c r="F1186" s="110"/>
      <c r="G1186" s="95"/>
      <c r="H1186" s="122"/>
      <c r="I1186" s="109"/>
      <c r="J1186" s="120"/>
      <c r="K1186" s="120"/>
      <c r="L1186" s="93"/>
      <c r="M1186" s="93"/>
      <c r="N1186" s="93"/>
      <c r="O1186" s="56"/>
      <c r="P1186" s="56"/>
      <c r="Q1186" s="56"/>
      <c r="R1186" s="56"/>
      <c r="S1186" s="56"/>
      <c r="T1186" s="56"/>
      <c r="U1186" s="56"/>
      <c r="V1186" s="56"/>
    </row>
    <row r="1187" ht="18.75" customHeight="1">
      <c r="A1187" s="90"/>
      <c r="B1187" s="126"/>
      <c r="C1187" s="252"/>
      <c r="D1187" s="109"/>
      <c r="E1187" s="109"/>
      <c r="F1187" s="110"/>
      <c r="G1187" s="95"/>
      <c r="H1187" s="122"/>
      <c r="I1187" s="109"/>
      <c r="J1187" s="120"/>
      <c r="K1187" s="120"/>
      <c r="L1187" s="93"/>
      <c r="M1187" s="93"/>
      <c r="N1187" s="93"/>
      <c r="O1187" s="56"/>
      <c r="P1187" s="56"/>
      <c r="Q1187" s="56"/>
      <c r="R1187" s="56"/>
      <c r="S1187" s="56"/>
      <c r="T1187" s="56"/>
      <c r="U1187" s="56"/>
      <c r="V1187" s="56"/>
    </row>
    <row r="1188" ht="18.75" customHeight="1">
      <c r="A1188" s="90"/>
      <c r="B1188" s="126"/>
      <c r="C1188" s="252"/>
      <c r="D1188" s="109"/>
      <c r="E1188" s="109"/>
      <c r="F1188" s="110"/>
      <c r="G1188" s="95"/>
      <c r="H1188" s="122"/>
      <c r="I1188" s="109"/>
      <c r="J1188" s="120"/>
      <c r="K1188" s="120"/>
      <c r="L1188" s="93"/>
      <c r="M1188" s="93"/>
      <c r="N1188" s="93"/>
      <c r="O1188" s="56"/>
      <c r="P1188" s="56"/>
      <c r="Q1188" s="56"/>
      <c r="R1188" s="56"/>
      <c r="S1188" s="56"/>
      <c r="T1188" s="56"/>
      <c r="U1188" s="56"/>
      <c r="V1188" s="56"/>
    </row>
    <row r="1189" ht="18.75" customHeight="1">
      <c r="A1189" s="90"/>
      <c r="B1189" s="126"/>
      <c r="C1189" s="252"/>
      <c r="D1189" s="109"/>
      <c r="E1189" s="109"/>
      <c r="F1189" s="110"/>
      <c r="G1189" s="95"/>
      <c r="H1189" s="122"/>
      <c r="I1189" s="109"/>
      <c r="J1189" s="120"/>
      <c r="K1189" s="120"/>
      <c r="L1189" s="93"/>
      <c r="M1189" s="93"/>
      <c r="N1189" s="93"/>
      <c r="O1189" s="56"/>
      <c r="P1189" s="56"/>
      <c r="Q1189" s="56"/>
      <c r="R1189" s="56"/>
      <c r="S1189" s="56"/>
      <c r="T1189" s="56"/>
      <c r="U1189" s="56"/>
      <c r="V1189" s="56"/>
    </row>
    <row r="1190" ht="18.75" customHeight="1">
      <c r="A1190" s="90"/>
      <c r="B1190" s="126"/>
      <c r="C1190" s="252"/>
      <c r="D1190" s="109"/>
      <c r="E1190" s="109"/>
      <c r="F1190" s="110"/>
      <c r="G1190" s="95"/>
      <c r="H1190" s="122"/>
      <c r="I1190" s="109"/>
      <c r="J1190" s="120"/>
      <c r="K1190" s="120"/>
      <c r="L1190" s="93"/>
      <c r="M1190" s="93"/>
      <c r="N1190" s="93"/>
      <c r="O1190" s="56"/>
      <c r="P1190" s="56"/>
      <c r="Q1190" s="56"/>
      <c r="R1190" s="56"/>
      <c r="S1190" s="56"/>
      <c r="T1190" s="56"/>
      <c r="U1190" s="56"/>
      <c r="V1190" s="56"/>
    </row>
    <row r="1191" ht="18.75" customHeight="1">
      <c r="A1191" s="90"/>
      <c r="B1191" s="126"/>
      <c r="C1191" s="252"/>
      <c r="D1191" s="109"/>
      <c r="E1191" s="109"/>
      <c r="F1191" s="110"/>
      <c r="G1191" s="95"/>
      <c r="H1191" s="122"/>
      <c r="I1191" s="109"/>
      <c r="J1191" s="120"/>
      <c r="K1191" s="120"/>
      <c r="L1191" s="93"/>
      <c r="M1191" s="93"/>
      <c r="N1191" s="93"/>
      <c r="O1191" s="56"/>
      <c r="P1191" s="56"/>
      <c r="Q1191" s="56"/>
      <c r="R1191" s="56"/>
      <c r="S1191" s="56"/>
      <c r="T1191" s="56"/>
      <c r="U1191" s="56"/>
      <c r="V1191" s="56"/>
    </row>
    <row r="1192" ht="18.75" customHeight="1">
      <c r="A1192" s="90"/>
      <c r="B1192" s="126"/>
      <c r="C1192" s="252"/>
      <c r="D1192" s="109"/>
      <c r="E1192" s="109"/>
      <c r="F1192" s="110"/>
      <c r="G1192" s="95"/>
      <c r="H1192" s="122"/>
      <c r="I1192" s="109"/>
      <c r="J1192" s="120"/>
      <c r="K1192" s="120"/>
      <c r="L1192" s="93"/>
      <c r="M1192" s="93"/>
      <c r="N1192" s="93"/>
      <c r="O1192" s="56"/>
      <c r="P1192" s="56"/>
      <c r="Q1192" s="56"/>
      <c r="R1192" s="56"/>
      <c r="S1192" s="56"/>
      <c r="T1192" s="56"/>
      <c r="U1192" s="56"/>
      <c r="V1192" s="56"/>
    </row>
    <row r="1193" ht="18.75" customHeight="1">
      <c r="A1193" s="90"/>
      <c r="B1193" s="126"/>
      <c r="C1193" s="252"/>
      <c r="D1193" s="109"/>
      <c r="E1193" s="109"/>
      <c r="F1193" s="110"/>
      <c r="G1193" s="95"/>
      <c r="H1193" s="122"/>
      <c r="I1193" s="109"/>
      <c r="J1193" s="120"/>
      <c r="K1193" s="120"/>
      <c r="L1193" s="93"/>
      <c r="M1193" s="93"/>
      <c r="N1193" s="93"/>
      <c r="O1193" s="56"/>
      <c r="P1193" s="56"/>
      <c r="Q1193" s="56"/>
      <c r="R1193" s="56"/>
      <c r="S1193" s="56"/>
      <c r="T1193" s="56"/>
      <c r="U1193" s="56"/>
      <c r="V1193" s="56"/>
    </row>
    <row r="1194" ht="18.75" customHeight="1">
      <c r="A1194" s="90"/>
      <c r="B1194" s="126"/>
      <c r="C1194" s="252"/>
      <c r="D1194" s="109"/>
      <c r="E1194" s="109"/>
      <c r="F1194" s="110"/>
      <c r="G1194" s="95"/>
      <c r="H1194" s="122"/>
      <c r="I1194" s="109"/>
      <c r="J1194" s="120"/>
      <c r="K1194" s="120"/>
      <c r="L1194" s="93"/>
      <c r="M1194" s="93"/>
      <c r="N1194" s="93"/>
      <c r="O1194" s="56"/>
      <c r="P1194" s="56"/>
      <c r="Q1194" s="56"/>
      <c r="R1194" s="56"/>
      <c r="S1194" s="56"/>
      <c r="T1194" s="56"/>
      <c r="U1194" s="56"/>
      <c r="V1194" s="56"/>
    </row>
    <row r="1195" ht="18.75" customHeight="1">
      <c r="A1195" s="90"/>
      <c r="B1195" s="126"/>
      <c r="C1195" s="252"/>
      <c r="D1195" s="109"/>
      <c r="E1195" s="109"/>
      <c r="F1195" s="110"/>
      <c r="G1195" s="95"/>
      <c r="H1195" s="122"/>
      <c r="I1195" s="109"/>
      <c r="J1195" s="120"/>
      <c r="K1195" s="120"/>
      <c r="L1195" s="93"/>
      <c r="M1195" s="93"/>
      <c r="N1195" s="93"/>
      <c r="O1195" s="56"/>
      <c r="P1195" s="56"/>
      <c r="Q1195" s="56"/>
      <c r="R1195" s="56"/>
      <c r="S1195" s="56"/>
      <c r="T1195" s="56"/>
      <c r="U1195" s="56"/>
      <c r="V1195" s="56"/>
    </row>
    <row r="1196" ht="18.75" customHeight="1">
      <c r="A1196" s="90"/>
      <c r="B1196" s="126"/>
      <c r="C1196" s="252"/>
      <c r="D1196" s="109"/>
      <c r="E1196" s="109"/>
      <c r="F1196" s="110"/>
      <c r="G1196" s="95"/>
      <c r="H1196" s="122"/>
      <c r="I1196" s="109"/>
      <c r="J1196" s="120"/>
      <c r="K1196" s="120"/>
      <c r="L1196" s="93"/>
      <c r="M1196" s="93"/>
      <c r="N1196" s="93"/>
      <c r="O1196" s="56"/>
      <c r="P1196" s="56"/>
      <c r="Q1196" s="56"/>
      <c r="R1196" s="56"/>
      <c r="S1196" s="56"/>
      <c r="T1196" s="56"/>
      <c r="U1196" s="56"/>
      <c r="V1196" s="56"/>
    </row>
    <row r="1197" ht="18.75" customHeight="1">
      <c r="A1197" s="90"/>
      <c r="B1197" s="126"/>
      <c r="C1197" s="252"/>
      <c r="D1197" s="109"/>
      <c r="E1197" s="109"/>
      <c r="F1197" s="110"/>
      <c r="G1197" s="95"/>
      <c r="H1197" s="122"/>
      <c r="I1197" s="109"/>
      <c r="J1197" s="120"/>
      <c r="K1197" s="120"/>
      <c r="L1197" s="93"/>
      <c r="M1197" s="93"/>
      <c r="N1197" s="93"/>
      <c r="O1197" s="56"/>
      <c r="P1197" s="56"/>
      <c r="Q1197" s="56"/>
      <c r="R1197" s="56"/>
      <c r="S1197" s="56"/>
      <c r="T1197" s="56"/>
      <c r="U1197" s="56"/>
      <c r="V1197" s="56"/>
    </row>
    <row r="1198" ht="18.75" customHeight="1">
      <c r="A1198" s="90"/>
      <c r="B1198" s="126"/>
      <c r="C1198" s="252"/>
      <c r="D1198" s="109"/>
      <c r="E1198" s="109"/>
      <c r="F1198" s="110"/>
      <c r="G1198" s="95"/>
      <c r="H1198" s="122"/>
      <c r="I1198" s="109"/>
      <c r="J1198" s="120"/>
      <c r="K1198" s="120"/>
      <c r="L1198" s="93"/>
      <c r="M1198" s="93"/>
      <c r="N1198" s="93"/>
      <c r="O1198" s="56"/>
      <c r="P1198" s="56"/>
      <c r="Q1198" s="56"/>
      <c r="R1198" s="56"/>
      <c r="S1198" s="56"/>
      <c r="T1198" s="56"/>
      <c r="U1198" s="56"/>
      <c r="V1198" s="56"/>
    </row>
    <row r="1199" ht="18.75" customHeight="1">
      <c r="A1199" s="90"/>
      <c r="B1199" s="126"/>
      <c r="C1199" s="252"/>
      <c r="D1199" s="109"/>
      <c r="E1199" s="109"/>
      <c r="F1199" s="110"/>
      <c r="G1199" s="95"/>
      <c r="H1199" s="122"/>
      <c r="I1199" s="109"/>
      <c r="J1199" s="120"/>
      <c r="K1199" s="120"/>
      <c r="L1199" s="93"/>
      <c r="M1199" s="93"/>
      <c r="N1199" s="93"/>
      <c r="O1199" s="56"/>
      <c r="P1199" s="56"/>
      <c r="Q1199" s="56"/>
      <c r="R1199" s="56"/>
      <c r="S1199" s="56"/>
      <c r="T1199" s="56"/>
      <c r="U1199" s="56"/>
      <c r="V1199" s="56"/>
    </row>
    <row r="1200" ht="18.75" customHeight="1">
      <c r="A1200" s="90"/>
      <c r="B1200" s="126"/>
      <c r="C1200" s="252"/>
      <c r="D1200" s="109"/>
      <c r="E1200" s="109"/>
      <c r="F1200" s="110"/>
      <c r="G1200" s="95"/>
      <c r="H1200" s="122"/>
      <c r="I1200" s="109"/>
      <c r="J1200" s="120"/>
      <c r="K1200" s="120"/>
      <c r="L1200" s="93"/>
      <c r="M1200" s="93"/>
      <c r="N1200" s="93"/>
      <c r="O1200" s="56"/>
      <c r="P1200" s="56"/>
      <c r="Q1200" s="56"/>
      <c r="R1200" s="56"/>
      <c r="S1200" s="56"/>
      <c r="T1200" s="56"/>
      <c r="U1200" s="56"/>
      <c r="V1200" s="56"/>
    </row>
    <row r="1201" ht="18.75" customHeight="1">
      <c r="A1201" s="90"/>
      <c r="B1201" s="126"/>
      <c r="C1201" s="252"/>
      <c r="D1201" s="109"/>
      <c r="E1201" s="109"/>
      <c r="F1201" s="110"/>
      <c r="G1201" s="95"/>
      <c r="H1201" s="122"/>
      <c r="I1201" s="109"/>
      <c r="J1201" s="120"/>
      <c r="K1201" s="120"/>
      <c r="L1201" s="93"/>
      <c r="M1201" s="93"/>
      <c r="N1201" s="93"/>
      <c r="O1201" s="56"/>
      <c r="P1201" s="56"/>
      <c r="Q1201" s="56"/>
      <c r="R1201" s="56"/>
      <c r="S1201" s="56"/>
      <c r="T1201" s="56"/>
      <c r="U1201" s="56"/>
      <c r="V1201" s="56"/>
    </row>
    <row r="1202" ht="18.75" customHeight="1">
      <c r="A1202" s="90"/>
      <c r="B1202" s="126"/>
      <c r="C1202" s="252"/>
      <c r="D1202" s="109"/>
      <c r="E1202" s="109"/>
      <c r="F1202" s="110"/>
      <c r="G1202" s="95"/>
      <c r="H1202" s="122"/>
      <c r="I1202" s="109"/>
      <c r="J1202" s="120"/>
      <c r="K1202" s="120"/>
      <c r="L1202" s="93"/>
      <c r="M1202" s="93"/>
      <c r="N1202" s="93"/>
      <c r="O1202" s="56"/>
      <c r="P1202" s="56"/>
      <c r="Q1202" s="56"/>
      <c r="R1202" s="56"/>
      <c r="S1202" s="56"/>
      <c r="T1202" s="56"/>
      <c r="U1202" s="56"/>
      <c r="V1202" s="56"/>
    </row>
    <row r="1203" ht="18.75" customHeight="1">
      <c r="A1203" s="90"/>
      <c r="B1203" s="126"/>
      <c r="C1203" s="252"/>
      <c r="D1203" s="109"/>
      <c r="E1203" s="109"/>
      <c r="F1203" s="110"/>
      <c r="G1203" s="95"/>
      <c r="H1203" s="122"/>
      <c r="I1203" s="109"/>
      <c r="J1203" s="120"/>
      <c r="K1203" s="120"/>
      <c r="L1203" s="93"/>
      <c r="M1203" s="93"/>
      <c r="N1203" s="93"/>
      <c r="O1203" s="56"/>
      <c r="P1203" s="56"/>
      <c r="Q1203" s="56"/>
      <c r="R1203" s="56"/>
      <c r="S1203" s="56"/>
      <c r="T1203" s="56"/>
      <c r="U1203" s="56"/>
      <c r="V1203" s="56"/>
    </row>
    <row r="1204" ht="18.75" customHeight="1">
      <c r="A1204" s="90"/>
      <c r="B1204" s="126"/>
      <c r="C1204" s="252"/>
      <c r="D1204" s="109"/>
      <c r="E1204" s="109"/>
      <c r="F1204" s="110"/>
      <c r="G1204" s="95"/>
      <c r="H1204" s="122"/>
      <c r="I1204" s="109"/>
      <c r="J1204" s="120"/>
      <c r="K1204" s="120"/>
      <c r="L1204" s="93"/>
      <c r="M1204" s="93"/>
      <c r="N1204" s="93"/>
      <c r="O1204" s="56"/>
      <c r="P1204" s="56"/>
      <c r="Q1204" s="56"/>
      <c r="R1204" s="56"/>
      <c r="S1204" s="56"/>
      <c r="T1204" s="56"/>
      <c r="U1204" s="56"/>
      <c r="V1204" s="56"/>
    </row>
    <row r="1205" ht="18.75" customHeight="1">
      <c r="A1205" s="90"/>
      <c r="B1205" s="126"/>
      <c r="C1205" s="252"/>
      <c r="D1205" s="109"/>
      <c r="E1205" s="109"/>
      <c r="F1205" s="110"/>
      <c r="G1205" s="95"/>
      <c r="H1205" s="122"/>
      <c r="I1205" s="109"/>
      <c r="J1205" s="120"/>
      <c r="K1205" s="120"/>
      <c r="L1205" s="93"/>
      <c r="M1205" s="93"/>
      <c r="N1205" s="93"/>
      <c r="O1205" s="56"/>
      <c r="P1205" s="56"/>
      <c r="Q1205" s="56"/>
      <c r="R1205" s="56"/>
      <c r="S1205" s="56"/>
      <c r="T1205" s="56"/>
      <c r="U1205" s="56"/>
      <c r="V1205" s="56"/>
    </row>
    <row r="1206" ht="18.75" customHeight="1">
      <c r="A1206" s="90"/>
      <c r="B1206" s="126"/>
      <c r="C1206" s="252"/>
      <c r="D1206" s="109"/>
      <c r="E1206" s="109"/>
      <c r="F1206" s="110"/>
      <c r="G1206" s="95"/>
      <c r="H1206" s="122"/>
      <c r="I1206" s="109"/>
      <c r="J1206" s="120"/>
      <c r="K1206" s="120"/>
      <c r="L1206" s="93"/>
      <c r="M1206" s="93"/>
      <c r="N1206" s="93"/>
      <c r="O1206" s="56"/>
      <c r="P1206" s="56"/>
      <c r="Q1206" s="56"/>
      <c r="R1206" s="56"/>
      <c r="S1206" s="56"/>
      <c r="T1206" s="56"/>
      <c r="U1206" s="56"/>
      <c r="V1206" s="56"/>
    </row>
    <row r="1207" ht="18.75" customHeight="1">
      <c r="A1207" s="90"/>
      <c r="B1207" s="126"/>
      <c r="C1207" s="252"/>
      <c r="D1207" s="109"/>
      <c r="E1207" s="109"/>
      <c r="F1207" s="110"/>
      <c r="G1207" s="95"/>
      <c r="H1207" s="122"/>
      <c r="I1207" s="109"/>
      <c r="J1207" s="120"/>
      <c r="K1207" s="120"/>
      <c r="L1207" s="93"/>
      <c r="M1207" s="93"/>
      <c r="N1207" s="93"/>
      <c r="O1207" s="56"/>
      <c r="P1207" s="56"/>
      <c r="Q1207" s="56"/>
      <c r="R1207" s="56"/>
      <c r="S1207" s="56"/>
      <c r="T1207" s="56"/>
      <c r="U1207" s="56"/>
      <c r="V1207" s="56"/>
    </row>
    <row r="1208" ht="18.75" customHeight="1">
      <c r="A1208" s="90"/>
      <c r="B1208" s="126"/>
      <c r="C1208" s="252"/>
      <c r="D1208" s="109"/>
      <c r="E1208" s="109"/>
      <c r="F1208" s="110"/>
      <c r="G1208" s="95"/>
      <c r="H1208" s="122"/>
      <c r="I1208" s="109"/>
      <c r="J1208" s="120"/>
      <c r="K1208" s="120"/>
      <c r="L1208" s="93"/>
      <c r="M1208" s="93"/>
      <c r="N1208" s="93"/>
      <c r="O1208" s="56"/>
      <c r="P1208" s="56"/>
      <c r="Q1208" s="56"/>
      <c r="R1208" s="56"/>
      <c r="S1208" s="56"/>
      <c r="T1208" s="56"/>
      <c r="U1208" s="56"/>
      <c r="V1208" s="56"/>
    </row>
    <row r="1209" ht="18.75" customHeight="1">
      <c r="A1209" s="90"/>
      <c r="B1209" s="126"/>
      <c r="C1209" s="252"/>
      <c r="D1209" s="109"/>
      <c r="E1209" s="109"/>
      <c r="F1209" s="110"/>
      <c r="G1209" s="95"/>
      <c r="H1209" s="122"/>
      <c r="I1209" s="109"/>
      <c r="J1209" s="120"/>
      <c r="K1209" s="120"/>
      <c r="L1209" s="93"/>
      <c r="M1209" s="93"/>
      <c r="N1209" s="93"/>
      <c r="O1209" s="56"/>
      <c r="P1209" s="56"/>
      <c r="Q1209" s="56"/>
      <c r="R1209" s="56"/>
      <c r="S1209" s="56"/>
      <c r="T1209" s="56"/>
      <c r="U1209" s="56"/>
      <c r="V1209" s="56"/>
    </row>
    <row r="1210" ht="18.75" customHeight="1">
      <c r="A1210" s="90"/>
      <c r="B1210" s="126"/>
      <c r="C1210" s="252"/>
      <c r="D1210" s="109"/>
      <c r="E1210" s="109"/>
      <c r="F1210" s="110"/>
      <c r="G1210" s="95"/>
      <c r="H1210" s="122"/>
      <c r="I1210" s="109"/>
      <c r="J1210" s="120"/>
      <c r="K1210" s="120"/>
      <c r="L1210" s="93"/>
      <c r="M1210" s="93"/>
      <c r="N1210" s="93"/>
      <c r="O1210" s="56"/>
      <c r="P1210" s="56"/>
      <c r="Q1210" s="56"/>
      <c r="R1210" s="56"/>
      <c r="S1210" s="56"/>
      <c r="T1210" s="56"/>
      <c r="U1210" s="56"/>
      <c r="V1210" s="56"/>
    </row>
    <row r="1211" ht="18.75" customHeight="1">
      <c r="A1211" s="90"/>
      <c r="B1211" s="126"/>
      <c r="C1211" s="252"/>
      <c r="D1211" s="109"/>
      <c r="E1211" s="109"/>
      <c r="F1211" s="110"/>
      <c r="G1211" s="95"/>
      <c r="H1211" s="122"/>
      <c r="I1211" s="109"/>
      <c r="J1211" s="120"/>
      <c r="K1211" s="120"/>
      <c r="L1211" s="93"/>
      <c r="M1211" s="93"/>
      <c r="N1211" s="93"/>
      <c r="O1211" s="56"/>
      <c r="P1211" s="56"/>
      <c r="Q1211" s="56"/>
      <c r="R1211" s="56"/>
      <c r="S1211" s="56"/>
      <c r="T1211" s="56"/>
      <c r="U1211" s="56"/>
      <c r="V1211" s="56"/>
    </row>
    <row r="1212" ht="18.75" customHeight="1">
      <c r="A1212" s="90"/>
      <c r="B1212" s="126"/>
      <c r="C1212" s="252"/>
      <c r="D1212" s="109"/>
      <c r="E1212" s="109"/>
      <c r="F1212" s="110"/>
      <c r="G1212" s="95"/>
      <c r="H1212" s="122"/>
      <c r="I1212" s="109"/>
      <c r="J1212" s="120"/>
      <c r="K1212" s="120"/>
      <c r="L1212" s="93"/>
      <c r="M1212" s="93"/>
      <c r="N1212" s="93"/>
      <c r="O1212" s="56"/>
      <c r="P1212" s="56"/>
      <c r="Q1212" s="56"/>
      <c r="R1212" s="56"/>
      <c r="S1212" s="56"/>
      <c r="T1212" s="56"/>
      <c r="U1212" s="56"/>
      <c r="V1212" s="56"/>
    </row>
    <row r="1213" ht="18.75" customHeight="1">
      <c r="A1213" s="90"/>
      <c r="B1213" s="126"/>
      <c r="C1213" s="252"/>
      <c r="D1213" s="109"/>
      <c r="E1213" s="109"/>
      <c r="F1213" s="110"/>
      <c r="G1213" s="95"/>
      <c r="H1213" s="122"/>
      <c r="I1213" s="109"/>
      <c r="J1213" s="120"/>
      <c r="K1213" s="120"/>
      <c r="L1213" s="93"/>
      <c r="M1213" s="93"/>
      <c r="N1213" s="93"/>
      <c r="O1213" s="56"/>
      <c r="P1213" s="56"/>
      <c r="Q1213" s="56"/>
      <c r="R1213" s="56"/>
      <c r="S1213" s="56"/>
      <c r="T1213" s="56"/>
      <c r="U1213" s="56"/>
      <c r="V1213" s="56"/>
    </row>
    <row r="1214" ht="18.75" customHeight="1">
      <c r="A1214" s="90"/>
      <c r="B1214" s="126"/>
      <c r="C1214" s="252"/>
      <c r="D1214" s="109"/>
      <c r="E1214" s="109"/>
      <c r="F1214" s="110"/>
      <c r="G1214" s="95"/>
      <c r="H1214" s="122"/>
      <c r="I1214" s="109"/>
      <c r="J1214" s="120"/>
      <c r="K1214" s="120"/>
      <c r="L1214" s="93"/>
      <c r="M1214" s="93"/>
      <c r="N1214" s="93"/>
      <c r="O1214" s="56"/>
      <c r="P1214" s="56"/>
      <c r="Q1214" s="56"/>
      <c r="R1214" s="56"/>
      <c r="S1214" s="56"/>
      <c r="T1214" s="56"/>
      <c r="U1214" s="56"/>
      <c r="V1214" s="56"/>
    </row>
    <row r="1215" ht="18.75" customHeight="1">
      <c r="A1215" s="90"/>
      <c r="B1215" s="126"/>
      <c r="C1215" s="252"/>
      <c r="D1215" s="109"/>
      <c r="E1215" s="109"/>
      <c r="F1215" s="110"/>
      <c r="G1215" s="95"/>
      <c r="H1215" s="122"/>
      <c r="I1215" s="109"/>
      <c r="J1215" s="120"/>
      <c r="K1215" s="120"/>
      <c r="L1215" s="93"/>
      <c r="M1215" s="93"/>
      <c r="N1215" s="93"/>
      <c r="O1215" s="56"/>
      <c r="P1215" s="56"/>
      <c r="Q1215" s="56"/>
      <c r="R1215" s="56"/>
      <c r="S1215" s="56"/>
      <c r="T1215" s="56"/>
      <c r="U1215" s="56"/>
      <c r="V1215" s="56"/>
    </row>
    <row r="1216" ht="18.75" customHeight="1">
      <c r="A1216" s="90"/>
      <c r="B1216" s="126"/>
      <c r="C1216" s="252"/>
      <c r="D1216" s="109"/>
      <c r="E1216" s="109"/>
      <c r="F1216" s="110"/>
      <c r="G1216" s="95"/>
      <c r="H1216" s="122"/>
      <c r="I1216" s="109"/>
      <c r="J1216" s="120"/>
      <c r="K1216" s="120"/>
      <c r="L1216" s="93"/>
      <c r="M1216" s="93"/>
      <c r="N1216" s="93"/>
      <c r="O1216" s="56"/>
      <c r="P1216" s="56"/>
      <c r="Q1216" s="56"/>
      <c r="R1216" s="56"/>
      <c r="S1216" s="56"/>
      <c r="T1216" s="56"/>
      <c r="U1216" s="56"/>
      <c r="V1216" s="56"/>
    </row>
    <row r="1217" ht="18.75" customHeight="1">
      <c r="A1217" s="90"/>
      <c r="B1217" s="126"/>
      <c r="C1217" s="252"/>
      <c r="D1217" s="109"/>
      <c r="E1217" s="109"/>
      <c r="F1217" s="110"/>
      <c r="G1217" s="95"/>
      <c r="H1217" s="122"/>
      <c r="I1217" s="109"/>
      <c r="J1217" s="120"/>
      <c r="K1217" s="120"/>
      <c r="L1217" s="93"/>
      <c r="M1217" s="93"/>
      <c r="N1217" s="93"/>
      <c r="O1217" s="56"/>
      <c r="P1217" s="56"/>
      <c r="Q1217" s="56"/>
      <c r="R1217" s="56"/>
      <c r="S1217" s="56"/>
      <c r="T1217" s="56"/>
      <c r="U1217" s="56"/>
      <c r="V1217" s="56"/>
    </row>
    <row r="1218" ht="18.75" customHeight="1">
      <c r="A1218" s="90"/>
      <c r="B1218" s="126"/>
      <c r="C1218" s="252"/>
      <c r="D1218" s="109"/>
      <c r="E1218" s="109"/>
      <c r="F1218" s="110"/>
      <c r="G1218" s="95"/>
      <c r="H1218" s="122"/>
      <c r="I1218" s="109"/>
      <c r="J1218" s="120"/>
      <c r="K1218" s="120"/>
      <c r="L1218" s="93"/>
      <c r="M1218" s="93"/>
      <c r="N1218" s="93"/>
      <c r="O1218" s="56"/>
      <c r="P1218" s="56"/>
      <c r="Q1218" s="56"/>
      <c r="R1218" s="56"/>
      <c r="S1218" s="56"/>
      <c r="T1218" s="56"/>
      <c r="U1218" s="56"/>
      <c r="V1218" s="56"/>
    </row>
    <row r="1219" ht="18.75" customHeight="1">
      <c r="A1219" s="90"/>
      <c r="B1219" s="126"/>
      <c r="C1219" s="252"/>
      <c r="D1219" s="109"/>
      <c r="E1219" s="109"/>
      <c r="F1219" s="110"/>
      <c r="G1219" s="95"/>
      <c r="H1219" s="122"/>
      <c r="I1219" s="109"/>
      <c r="J1219" s="120"/>
      <c r="K1219" s="120"/>
      <c r="L1219" s="93"/>
      <c r="M1219" s="93"/>
      <c r="N1219" s="93"/>
      <c r="O1219" s="56"/>
      <c r="P1219" s="56"/>
      <c r="Q1219" s="56"/>
      <c r="R1219" s="56"/>
      <c r="S1219" s="56"/>
      <c r="T1219" s="56"/>
      <c r="U1219" s="56"/>
      <c r="V1219" s="56"/>
    </row>
    <row r="1220" ht="18.75" customHeight="1">
      <c r="A1220" s="90"/>
      <c r="B1220" s="126"/>
      <c r="C1220" s="252"/>
      <c r="D1220" s="109"/>
      <c r="E1220" s="109"/>
      <c r="F1220" s="110"/>
      <c r="G1220" s="95"/>
      <c r="H1220" s="122"/>
      <c r="I1220" s="109"/>
      <c r="J1220" s="120"/>
      <c r="K1220" s="120"/>
      <c r="L1220" s="93"/>
      <c r="M1220" s="93"/>
      <c r="N1220" s="93"/>
      <c r="O1220" s="56"/>
      <c r="P1220" s="56"/>
      <c r="Q1220" s="56"/>
      <c r="R1220" s="56"/>
      <c r="S1220" s="56"/>
      <c r="T1220" s="56"/>
      <c r="U1220" s="56"/>
      <c r="V1220" s="56"/>
    </row>
    <row r="1221" ht="18.75" customHeight="1">
      <c r="A1221" s="90"/>
      <c r="B1221" s="126"/>
      <c r="C1221" s="252"/>
      <c r="D1221" s="109"/>
      <c r="E1221" s="109"/>
      <c r="F1221" s="110"/>
      <c r="G1221" s="95"/>
      <c r="H1221" s="122"/>
      <c r="I1221" s="109"/>
      <c r="J1221" s="120"/>
      <c r="K1221" s="120"/>
      <c r="L1221" s="93"/>
      <c r="M1221" s="93"/>
      <c r="N1221" s="93"/>
      <c r="O1221" s="56"/>
      <c r="P1221" s="56"/>
      <c r="Q1221" s="56"/>
      <c r="R1221" s="56"/>
      <c r="S1221" s="56"/>
      <c r="T1221" s="56"/>
      <c r="U1221" s="56"/>
      <c r="V1221" s="56"/>
    </row>
    <row r="1222" ht="18.75" customHeight="1">
      <c r="A1222" s="90"/>
      <c r="B1222" s="126"/>
      <c r="C1222" s="252"/>
      <c r="D1222" s="109"/>
      <c r="E1222" s="109"/>
      <c r="F1222" s="110"/>
      <c r="G1222" s="95"/>
      <c r="H1222" s="122"/>
      <c r="I1222" s="109"/>
      <c r="J1222" s="120"/>
      <c r="K1222" s="120"/>
      <c r="L1222" s="93"/>
      <c r="M1222" s="93"/>
      <c r="N1222" s="93"/>
      <c r="O1222" s="56"/>
      <c r="P1222" s="56"/>
      <c r="Q1222" s="56"/>
      <c r="R1222" s="56"/>
      <c r="S1222" s="56"/>
      <c r="T1222" s="56"/>
      <c r="U1222" s="56"/>
      <c r="V1222" s="56"/>
    </row>
    <row r="1223" ht="18.75" customHeight="1">
      <c r="A1223" s="90"/>
      <c r="B1223" s="126"/>
      <c r="C1223" s="252"/>
      <c r="D1223" s="109"/>
      <c r="E1223" s="109"/>
      <c r="F1223" s="110"/>
      <c r="G1223" s="95"/>
      <c r="H1223" s="122"/>
      <c r="I1223" s="109"/>
      <c r="J1223" s="120"/>
      <c r="K1223" s="120"/>
      <c r="L1223" s="93"/>
      <c r="M1223" s="93"/>
      <c r="N1223" s="93"/>
      <c r="O1223" s="56"/>
      <c r="P1223" s="56"/>
      <c r="Q1223" s="56"/>
      <c r="R1223" s="56"/>
      <c r="S1223" s="56"/>
      <c r="T1223" s="56"/>
      <c r="U1223" s="56"/>
      <c r="V1223" s="56"/>
    </row>
    <row r="1224" ht="18.75" customHeight="1">
      <c r="A1224" s="90"/>
      <c r="B1224" s="126"/>
      <c r="C1224" s="252"/>
      <c r="D1224" s="109"/>
      <c r="E1224" s="109"/>
      <c r="F1224" s="110"/>
      <c r="G1224" s="95"/>
      <c r="H1224" s="122"/>
      <c r="I1224" s="109"/>
      <c r="J1224" s="120"/>
      <c r="K1224" s="120"/>
      <c r="L1224" s="93"/>
      <c r="M1224" s="93"/>
      <c r="N1224" s="93"/>
      <c r="O1224" s="56"/>
      <c r="P1224" s="56"/>
      <c r="Q1224" s="56"/>
      <c r="R1224" s="56"/>
      <c r="S1224" s="56"/>
      <c r="T1224" s="56"/>
      <c r="U1224" s="56"/>
      <c r="V1224" s="56"/>
    </row>
    <row r="1225" ht="18.75" customHeight="1">
      <c r="A1225" s="90"/>
      <c r="B1225" s="126"/>
      <c r="C1225" s="252"/>
      <c r="D1225" s="109"/>
      <c r="E1225" s="109"/>
      <c r="F1225" s="110"/>
      <c r="G1225" s="95"/>
      <c r="H1225" s="122"/>
      <c r="I1225" s="109"/>
      <c r="J1225" s="120"/>
      <c r="K1225" s="120"/>
      <c r="L1225" s="93"/>
      <c r="M1225" s="93"/>
      <c r="N1225" s="93"/>
      <c r="O1225" s="56"/>
      <c r="P1225" s="56"/>
      <c r="Q1225" s="56"/>
      <c r="R1225" s="56"/>
      <c r="S1225" s="56"/>
      <c r="T1225" s="56"/>
      <c r="U1225" s="56"/>
      <c r="V1225" s="56"/>
    </row>
    <row r="1226" ht="18.75" customHeight="1">
      <c r="A1226" s="90"/>
      <c r="B1226" s="126"/>
      <c r="C1226" s="252"/>
      <c r="D1226" s="109"/>
      <c r="E1226" s="109"/>
      <c r="F1226" s="110"/>
      <c r="G1226" s="95"/>
      <c r="H1226" s="122"/>
      <c r="I1226" s="109"/>
      <c r="J1226" s="120"/>
      <c r="K1226" s="120"/>
      <c r="L1226" s="93"/>
      <c r="M1226" s="93"/>
      <c r="N1226" s="93"/>
      <c r="O1226" s="56"/>
      <c r="P1226" s="56"/>
      <c r="Q1226" s="56"/>
      <c r="R1226" s="56"/>
      <c r="S1226" s="56"/>
      <c r="T1226" s="56"/>
      <c r="U1226" s="56"/>
      <c r="V1226" s="56"/>
    </row>
    <row r="1227" ht="18.75" customHeight="1">
      <c r="A1227" s="90"/>
      <c r="B1227" s="126"/>
      <c r="C1227" s="252"/>
      <c r="D1227" s="109"/>
      <c r="E1227" s="109"/>
      <c r="F1227" s="110"/>
      <c r="G1227" s="95"/>
      <c r="H1227" s="122"/>
      <c r="I1227" s="109"/>
      <c r="J1227" s="120"/>
      <c r="K1227" s="120"/>
      <c r="L1227" s="93"/>
      <c r="M1227" s="93"/>
      <c r="N1227" s="93"/>
      <c r="O1227" s="56"/>
      <c r="P1227" s="56"/>
      <c r="Q1227" s="56"/>
      <c r="R1227" s="56"/>
      <c r="S1227" s="56"/>
      <c r="T1227" s="56"/>
      <c r="U1227" s="56"/>
      <c r="V1227" s="56"/>
    </row>
    <row r="1228" ht="18.75" customHeight="1">
      <c r="A1228" s="90"/>
      <c r="B1228" s="126"/>
      <c r="C1228" s="252"/>
      <c r="D1228" s="109"/>
      <c r="E1228" s="109"/>
      <c r="F1228" s="110"/>
      <c r="G1228" s="95"/>
      <c r="H1228" s="122"/>
      <c r="I1228" s="109"/>
      <c r="J1228" s="120"/>
      <c r="K1228" s="120"/>
      <c r="L1228" s="93"/>
      <c r="M1228" s="93"/>
      <c r="N1228" s="93"/>
      <c r="O1228" s="56"/>
      <c r="P1228" s="56"/>
      <c r="Q1228" s="56"/>
      <c r="R1228" s="56"/>
      <c r="S1228" s="56"/>
      <c r="T1228" s="56"/>
      <c r="U1228" s="56"/>
      <c r="V1228" s="56"/>
    </row>
    <row r="1229" ht="18.75" customHeight="1">
      <c r="A1229" s="90"/>
      <c r="B1229" s="126"/>
      <c r="C1229" s="252"/>
      <c r="D1229" s="109"/>
      <c r="E1229" s="109"/>
      <c r="F1229" s="110"/>
      <c r="G1229" s="95"/>
      <c r="H1229" s="122"/>
      <c r="I1229" s="109"/>
      <c r="J1229" s="120"/>
      <c r="K1229" s="120"/>
      <c r="L1229" s="93"/>
      <c r="M1229" s="93"/>
      <c r="N1229" s="93"/>
      <c r="O1229" s="56"/>
      <c r="P1229" s="56"/>
      <c r="Q1229" s="56"/>
      <c r="R1229" s="56"/>
      <c r="S1229" s="56"/>
      <c r="T1229" s="56"/>
      <c r="U1229" s="56"/>
      <c r="V1229" s="56"/>
    </row>
    <row r="1230" ht="18.75" customHeight="1">
      <c r="A1230" s="90"/>
      <c r="B1230" s="126"/>
      <c r="C1230" s="252"/>
      <c r="D1230" s="109"/>
      <c r="E1230" s="109"/>
      <c r="F1230" s="110"/>
      <c r="G1230" s="95"/>
      <c r="H1230" s="122"/>
      <c r="I1230" s="109"/>
      <c r="J1230" s="120"/>
      <c r="K1230" s="120"/>
      <c r="L1230" s="93"/>
      <c r="M1230" s="93"/>
      <c r="N1230" s="93"/>
      <c r="O1230" s="56"/>
      <c r="P1230" s="56"/>
      <c r="Q1230" s="56"/>
      <c r="R1230" s="56"/>
      <c r="S1230" s="56"/>
      <c r="T1230" s="56"/>
      <c r="U1230" s="56"/>
      <c r="V1230" s="56"/>
    </row>
    <row r="1231" ht="18.75" customHeight="1">
      <c r="A1231" s="90"/>
      <c r="B1231" s="126"/>
      <c r="C1231" s="252"/>
      <c r="D1231" s="109"/>
      <c r="E1231" s="109"/>
      <c r="F1231" s="110"/>
      <c r="G1231" s="95"/>
      <c r="H1231" s="122"/>
      <c r="I1231" s="109"/>
      <c r="J1231" s="120"/>
      <c r="K1231" s="120"/>
      <c r="L1231" s="93"/>
      <c r="M1231" s="93"/>
      <c r="N1231" s="93"/>
      <c r="O1231" s="56"/>
      <c r="P1231" s="56"/>
      <c r="Q1231" s="56"/>
      <c r="R1231" s="56"/>
      <c r="S1231" s="56"/>
      <c r="T1231" s="56"/>
      <c r="U1231" s="56"/>
      <c r="V1231" s="56"/>
    </row>
    <row r="1232" ht="18.75" customHeight="1">
      <c r="A1232" s="90"/>
      <c r="B1232" s="126"/>
      <c r="C1232" s="252"/>
      <c r="D1232" s="109"/>
      <c r="E1232" s="109"/>
      <c r="F1232" s="110"/>
      <c r="G1232" s="95"/>
      <c r="H1232" s="122"/>
      <c r="I1232" s="109"/>
      <c r="J1232" s="120"/>
      <c r="K1232" s="120"/>
      <c r="L1232" s="93"/>
      <c r="M1232" s="93"/>
      <c r="N1232" s="93"/>
      <c r="O1232" s="56"/>
      <c r="P1232" s="56"/>
      <c r="Q1232" s="56"/>
      <c r="R1232" s="56"/>
      <c r="S1232" s="56"/>
      <c r="T1232" s="56"/>
      <c r="U1232" s="56"/>
      <c r="V1232" s="56"/>
    </row>
    <row r="1233" ht="18.75" customHeight="1">
      <c r="A1233" s="90"/>
      <c r="B1233" s="126"/>
      <c r="C1233" s="252"/>
      <c r="D1233" s="109"/>
      <c r="E1233" s="109"/>
      <c r="F1233" s="110"/>
      <c r="G1233" s="95"/>
      <c r="H1233" s="122"/>
      <c r="I1233" s="109"/>
      <c r="J1233" s="120"/>
      <c r="K1233" s="120"/>
      <c r="L1233" s="93"/>
      <c r="M1233" s="93"/>
      <c r="N1233" s="93"/>
      <c r="O1233" s="56"/>
      <c r="P1233" s="56"/>
      <c r="Q1233" s="56"/>
      <c r="R1233" s="56"/>
      <c r="S1233" s="56"/>
      <c r="T1233" s="56"/>
      <c r="U1233" s="56"/>
      <c r="V1233" s="56"/>
    </row>
    <row r="1234" ht="18.75" customHeight="1">
      <c r="A1234" s="90"/>
      <c r="B1234" s="126"/>
      <c r="C1234" s="252"/>
      <c r="D1234" s="109"/>
      <c r="E1234" s="109"/>
      <c r="F1234" s="110"/>
      <c r="G1234" s="95"/>
      <c r="H1234" s="122"/>
      <c r="I1234" s="109"/>
      <c r="J1234" s="120"/>
      <c r="K1234" s="120"/>
      <c r="L1234" s="93"/>
      <c r="M1234" s="93"/>
      <c r="N1234" s="93"/>
      <c r="O1234" s="56"/>
      <c r="P1234" s="56"/>
      <c r="Q1234" s="56"/>
      <c r="R1234" s="56"/>
      <c r="S1234" s="56"/>
      <c r="T1234" s="56"/>
      <c r="U1234" s="56"/>
      <c r="V1234" s="56"/>
    </row>
    <row r="1235" ht="18.75" customHeight="1">
      <c r="A1235" s="90"/>
      <c r="B1235" s="126"/>
      <c r="C1235" s="252"/>
      <c r="D1235" s="109"/>
      <c r="E1235" s="109"/>
      <c r="F1235" s="110"/>
      <c r="G1235" s="95"/>
      <c r="H1235" s="122"/>
      <c r="I1235" s="109"/>
      <c r="J1235" s="120"/>
      <c r="K1235" s="120"/>
      <c r="L1235" s="93"/>
      <c r="M1235" s="93"/>
      <c r="N1235" s="93"/>
      <c r="O1235" s="56"/>
      <c r="P1235" s="56"/>
      <c r="Q1235" s="56"/>
      <c r="R1235" s="56"/>
      <c r="S1235" s="56"/>
      <c r="T1235" s="56"/>
      <c r="U1235" s="56"/>
      <c r="V1235" s="56"/>
    </row>
    <row r="1236" ht="18.75" customHeight="1">
      <c r="A1236" s="90"/>
      <c r="B1236" s="126"/>
      <c r="C1236" s="252"/>
      <c r="D1236" s="109"/>
      <c r="E1236" s="109"/>
      <c r="F1236" s="110"/>
      <c r="G1236" s="95"/>
      <c r="H1236" s="122"/>
      <c r="I1236" s="109"/>
      <c r="J1236" s="120"/>
      <c r="K1236" s="120"/>
      <c r="L1236" s="93"/>
      <c r="M1236" s="93"/>
      <c r="N1236" s="93"/>
      <c r="O1236" s="56"/>
      <c r="P1236" s="56"/>
      <c r="Q1236" s="56"/>
      <c r="R1236" s="56"/>
      <c r="S1236" s="56"/>
      <c r="T1236" s="56"/>
      <c r="U1236" s="56"/>
      <c r="V1236" s="56"/>
    </row>
    <row r="1237" ht="18.75" customHeight="1">
      <c r="A1237" s="90"/>
      <c r="B1237" s="126"/>
      <c r="C1237" s="252"/>
      <c r="D1237" s="109"/>
      <c r="E1237" s="109"/>
      <c r="F1237" s="110"/>
      <c r="G1237" s="95"/>
      <c r="H1237" s="122"/>
      <c r="I1237" s="109"/>
      <c r="J1237" s="120"/>
      <c r="K1237" s="120"/>
      <c r="L1237" s="93"/>
      <c r="M1237" s="93"/>
      <c r="N1237" s="93"/>
      <c r="O1237" s="56"/>
      <c r="P1237" s="56"/>
      <c r="Q1237" s="56"/>
      <c r="R1237" s="56"/>
      <c r="S1237" s="56"/>
      <c r="T1237" s="56"/>
      <c r="U1237" s="56"/>
      <c r="V1237" s="56"/>
    </row>
    <row r="1238" ht="18.75" customHeight="1">
      <c r="A1238" s="90"/>
      <c r="B1238" s="126"/>
      <c r="C1238" s="252"/>
      <c r="D1238" s="109"/>
      <c r="E1238" s="109"/>
      <c r="F1238" s="110"/>
      <c r="G1238" s="95"/>
      <c r="H1238" s="122"/>
      <c r="I1238" s="109"/>
      <c r="J1238" s="120"/>
      <c r="K1238" s="120"/>
      <c r="L1238" s="93"/>
      <c r="M1238" s="93"/>
      <c r="N1238" s="93"/>
      <c r="O1238" s="56"/>
      <c r="P1238" s="56"/>
      <c r="Q1238" s="56"/>
      <c r="R1238" s="56"/>
      <c r="S1238" s="56"/>
      <c r="T1238" s="56"/>
      <c r="U1238" s="56"/>
      <c r="V1238" s="56"/>
    </row>
    <row r="1239" ht="18.75" customHeight="1">
      <c r="A1239" s="90"/>
      <c r="B1239" s="126"/>
      <c r="C1239" s="252"/>
      <c r="D1239" s="109"/>
      <c r="E1239" s="109"/>
      <c r="F1239" s="110"/>
      <c r="G1239" s="95"/>
      <c r="H1239" s="122"/>
      <c r="I1239" s="109"/>
      <c r="J1239" s="120"/>
      <c r="K1239" s="120"/>
      <c r="L1239" s="93"/>
      <c r="M1239" s="93"/>
      <c r="N1239" s="93"/>
      <c r="O1239" s="56"/>
      <c r="P1239" s="56"/>
      <c r="Q1239" s="56"/>
      <c r="R1239" s="56"/>
      <c r="S1239" s="56"/>
      <c r="T1239" s="56"/>
      <c r="U1239" s="56"/>
      <c r="V1239" s="56"/>
    </row>
    <row r="1240" ht="18.75" customHeight="1">
      <c r="A1240" s="90"/>
      <c r="B1240" s="126"/>
      <c r="C1240" s="252"/>
      <c r="D1240" s="109"/>
      <c r="E1240" s="109"/>
      <c r="F1240" s="110"/>
      <c r="G1240" s="95"/>
      <c r="H1240" s="122"/>
      <c r="I1240" s="109"/>
      <c r="J1240" s="120"/>
      <c r="K1240" s="120"/>
      <c r="L1240" s="93"/>
      <c r="M1240" s="93"/>
      <c r="N1240" s="93"/>
      <c r="O1240" s="56"/>
      <c r="P1240" s="56"/>
      <c r="Q1240" s="56"/>
      <c r="R1240" s="56"/>
      <c r="S1240" s="56"/>
      <c r="T1240" s="56"/>
      <c r="U1240" s="56"/>
      <c r="V1240" s="56"/>
    </row>
    <row r="1241" ht="18.75" customHeight="1">
      <c r="A1241" s="90"/>
      <c r="B1241" s="126"/>
      <c r="C1241" s="252"/>
      <c r="D1241" s="109"/>
      <c r="E1241" s="109"/>
      <c r="F1241" s="110"/>
      <c r="G1241" s="95"/>
      <c r="H1241" s="122"/>
      <c r="I1241" s="109"/>
      <c r="J1241" s="120"/>
      <c r="K1241" s="120"/>
      <c r="L1241" s="93"/>
      <c r="M1241" s="93"/>
      <c r="N1241" s="93"/>
      <c r="O1241" s="56"/>
      <c r="P1241" s="56"/>
      <c r="Q1241" s="56"/>
      <c r="R1241" s="56"/>
      <c r="S1241" s="56"/>
      <c r="T1241" s="56"/>
      <c r="U1241" s="56"/>
      <c r="V1241" s="56"/>
    </row>
    <row r="1242" ht="18.75" customHeight="1">
      <c r="A1242" s="90"/>
      <c r="B1242" s="126"/>
      <c r="C1242" s="252"/>
      <c r="D1242" s="109"/>
      <c r="E1242" s="109"/>
      <c r="F1242" s="110"/>
      <c r="G1242" s="95"/>
      <c r="H1242" s="122"/>
      <c r="I1242" s="109"/>
      <c r="J1242" s="120"/>
      <c r="K1242" s="120"/>
      <c r="L1242" s="93"/>
      <c r="M1242" s="93"/>
      <c r="N1242" s="93"/>
      <c r="O1242" s="56"/>
      <c r="P1242" s="56"/>
      <c r="Q1242" s="56"/>
      <c r="R1242" s="56"/>
      <c r="S1242" s="56"/>
      <c r="T1242" s="56"/>
      <c r="U1242" s="56"/>
      <c r="V1242" s="56"/>
    </row>
    <row r="1243" ht="18.75" customHeight="1">
      <c r="A1243" s="90"/>
      <c r="B1243" s="126"/>
      <c r="C1243" s="252"/>
      <c r="D1243" s="109"/>
      <c r="E1243" s="109"/>
      <c r="F1243" s="110"/>
      <c r="G1243" s="95"/>
      <c r="H1243" s="122"/>
      <c r="I1243" s="109"/>
      <c r="J1243" s="120"/>
      <c r="K1243" s="120"/>
      <c r="L1243" s="93"/>
      <c r="M1243" s="93"/>
      <c r="N1243" s="93"/>
      <c r="O1243" s="56"/>
      <c r="P1243" s="56"/>
      <c r="Q1243" s="56"/>
      <c r="R1243" s="56"/>
      <c r="S1243" s="56"/>
      <c r="T1243" s="56"/>
      <c r="U1243" s="56"/>
      <c r="V1243" s="56"/>
    </row>
    <row r="1244" ht="18.75" customHeight="1">
      <c r="A1244" s="90"/>
      <c r="B1244" s="126"/>
      <c r="C1244" s="252"/>
      <c r="D1244" s="109"/>
      <c r="E1244" s="109"/>
      <c r="F1244" s="110"/>
      <c r="G1244" s="95"/>
      <c r="H1244" s="122"/>
      <c r="I1244" s="109"/>
      <c r="J1244" s="120"/>
      <c r="K1244" s="120"/>
      <c r="L1244" s="93"/>
      <c r="M1244" s="93"/>
      <c r="N1244" s="93"/>
      <c r="O1244" s="56"/>
      <c r="P1244" s="56"/>
      <c r="Q1244" s="56"/>
      <c r="R1244" s="56"/>
      <c r="S1244" s="56"/>
      <c r="T1244" s="56"/>
      <c r="U1244" s="56"/>
      <c r="V1244" s="56"/>
    </row>
    <row r="1245" ht="18.75" customHeight="1">
      <c r="A1245" s="90"/>
      <c r="B1245" s="126"/>
      <c r="C1245" s="252"/>
      <c r="D1245" s="109"/>
      <c r="E1245" s="109"/>
      <c r="F1245" s="110"/>
      <c r="G1245" s="95"/>
      <c r="H1245" s="122"/>
      <c r="I1245" s="109"/>
      <c r="J1245" s="120"/>
      <c r="K1245" s="120"/>
      <c r="L1245" s="93"/>
      <c r="M1245" s="93"/>
      <c r="N1245" s="93"/>
      <c r="O1245" s="56"/>
      <c r="P1245" s="56"/>
      <c r="Q1245" s="56"/>
      <c r="R1245" s="56"/>
      <c r="S1245" s="56"/>
      <c r="T1245" s="56"/>
      <c r="U1245" s="56"/>
      <c r="V1245" s="56"/>
    </row>
    <row r="1246" ht="18.75" customHeight="1">
      <c r="A1246" s="90"/>
      <c r="B1246" s="126"/>
      <c r="C1246" s="252"/>
      <c r="D1246" s="109"/>
      <c r="E1246" s="109"/>
      <c r="F1246" s="110"/>
      <c r="G1246" s="95"/>
      <c r="H1246" s="122"/>
      <c r="I1246" s="109"/>
      <c r="J1246" s="120"/>
      <c r="K1246" s="120"/>
      <c r="L1246" s="93"/>
      <c r="M1246" s="93"/>
      <c r="N1246" s="93"/>
      <c r="O1246" s="56"/>
      <c r="P1246" s="56"/>
      <c r="Q1246" s="56"/>
      <c r="R1246" s="56"/>
      <c r="S1246" s="56"/>
      <c r="T1246" s="56"/>
      <c r="U1246" s="56"/>
      <c r="V1246" s="56"/>
    </row>
    <row r="1247" ht="18.75" customHeight="1">
      <c r="A1247" s="90"/>
      <c r="B1247" s="126"/>
      <c r="C1247" s="252"/>
      <c r="D1247" s="109"/>
      <c r="E1247" s="109"/>
      <c r="F1247" s="110"/>
      <c r="G1247" s="95"/>
      <c r="H1247" s="122"/>
      <c r="I1247" s="109"/>
      <c r="J1247" s="120"/>
      <c r="K1247" s="120"/>
      <c r="L1247" s="93"/>
      <c r="M1247" s="93"/>
      <c r="N1247" s="93"/>
      <c r="O1247" s="56"/>
      <c r="P1247" s="56"/>
      <c r="Q1247" s="56"/>
      <c r="R1247" s="56"/>
      <c r="S1247" s="56"/>
      <c r="T1247" s="56"/>
      <c r="U1247" s="56"/>
      <c r="V1247" s="56"/>
    </row>
    <row r="1248" ht="18.75" customHeight="1">
      <c r="A1248" s="90"/>
      <c r="B1248" s="126"/>
      <c r="C1248" s="252"/>
      <c r="D1248" s="109"/>
      <c r="E1248" s="109"/>
      <c r="F1248" s="110"/>
      <c r="G1248" s="95"/>
      <c r="H1248" s="122"/>
      <c r="I1248" s="109"/>
      <c r="J1248" s="120"/>
      <c r="K1248" s="120"/>
      <c r="L1248" s="93"/>
      <c r="M1248" s="93"/>
      <c r="N1248" s="93"/>
      <c r="O1248" s="56"/>
      <c r="P1248" s="56"/>
      <c r="Q1248" s="56"/>
      <c r="R1248" s="56"/>
      <c r="S1248" s="56"/>
      <c r="T1248" s="56"/>
      <c r="U1248" s="56"/>
      <c r="V1248" s="56"/>
    </row>
    <row r="1249" ht="18.75" customHeight="1">
      <c r="A1249" s="90"/>
      <c r="B1249" s="126"/>
      <c r="C1249" s="252"/>
      <c r="D1249" s="109"/>
      <c r="E1249" s="109"/>
      <c r="F1249" s="110"/>
      <c r="G1249" s="95"/>
      <c r="H1249" s="122"/>
      <c r="I1249" s="109"/>
      <c r="J1249" s="120"/>
      <c r="K1249" s="120"/>
      <c r="L1249" s="93"/>
      <c r="M1249" s="93"/>
      <c r="N1249" s="93"/>
      <c r="O1249" s="56"/>
      <c r="P1249" s="56"/>
      <c r="Q1249" s="56"/>
      <c r="R1249" s="56"/>
      <c r="S1249" s="56"/>
      <c r="T1249" s="56"/>
      <c r="U1249" s="56"/>
      <c r="V1249" s="56"/>
    </row>
    <row r="1250" ht="18.75" customHeight="1">
      <c r="A1250" s="90"/>
      <c r="B1250" s="126"/>
      <c r="C1250" s="252"/>
      <c r="D1250" s="109"/>
      <c r="E1250" s="109"/>
      <c r="F1250" s="110"/>
      <c r="G1250" s="95"/>
      <c r="H1250" s="122"/>
      <c r="I1250" s="109"/>
      <c r="J1250" s="120"/>
      <c r="K1250" s="120"/>
      <c r="L1250" s="93"/>
      <c r="M1250" s="93"/>
      <c r="N1250" s="93"/>
      <c r="O1250" s="56"/>
      <c r="P1250" s="56"/>
      <c r="Q1250" s="56"/>
      <c r="R1250" s="56"/>
      <c r="S1250" s="56"/>
      <c r="T1250" s="56"/>
      <c r="U1250" s="56"/>
      <c r="V1250" s="56"/>
    </row>
    <row r="1251" ht="18.75" customHeight="1">
      <c r="A1251" s="90"/>
      <c r="B1251" s="126"/>
      <c r="C1251" s="252"/>
      <c r="D1251" s="109"/>
      <c r="E1251" s="109"/>
      <c r="F1251" s="110"/>
      <c r="G1251" s="95"/>
      <c r="H1251" s="122"/>
      <c r="I1251" s="109"/>
      <c r="J1251" s="120"/>
      <c r="K1251" s="120"/>
      <c r="L1251" s="93"/>
      <c r="M1251" s="93"/>
      <c r="N1251" s="93"/>
      <c r="O1251" s="56"/>
      <c r="P1251" s="56"/>
      <c r="Q1251" s="56"/>
      <c r="R1251" s="56"/>
      <c r="S1251" s="56"/>
      <c r="T1251" s="56"/>
      <c r="U1251" s="56"/>
      <c r="V1251" s="56"/>
    </row>
    <row r="1252" ht="18.75" customHeight="1">
      <c r="A1252" s="90"/>
      <c r="B1252" s="126"/>
      <c r="C1252" s="252"/>
      <c r="D1252" s="109"/>
      <c r="E1252" s="109"/>
      <c r="F1252" s="110"/>
      <c r="G1252" s="95"/>
      <c r="H1252" s="122"/>
      <c r="I1252" s="109"/>
      <c r="J1252" s="120"/>
      <c r="K1252" s="120"/>
      <c r="L1252" s="93"/>
      <c r="M1252" s="93"/>
      <c r="N1252" s="93"/>
      <c r="O1252" s="56"/>
      <c r="P1252" s="56"/>
      <c r="Q1252" s="56"/>
      <c r="R1252" s="56"/>
      <c r="S1252" s="56"/>
      <c r="T1252" s="56"/>
      <c r="U1252" s="56"/>
      <c r="V1252" s="56"/>
    </row>
    <row r="1253" ht="18.75" customHeight="1">
      <c r="A1253" s="90"/>
      <c r="B1253" s="126"/>
      <c r="C1253" s="252"/>
      <c r="D1253" s="109"/>
      <c r="E1253" s="109"/>
      <c r="F1253" s="110"/>
      <c r="G1253" s="95"/>
      <c r="H1253" s="122"/>
      <c r="I1253" s="109"/>
      <c r="J1253" s="120"/>
      <c r="K1253" s="120"/>
      <c r="L1253" s="93"/>
      <c r="M1253" s="93"/>
      <c r="N1253" s="93"/>
      <c r="O1253" s="56"/>
      <c r="P1253" s="56"/>
      <c r="Q1253" s="56"/>
      <c r="R1253" s="56"/>
      <c r="S1253" s="56"/>
      <c r="T1253" s="56"/>
      <c r="U1253" s="56"/>
      <c r="V1253" s="56"/>
    </row>
    <row r="1254" ht="18.75" customHeight="1">
      <c r="A1254" s="90"/>
      <c r="B1254" s="126"/>
      <c r="C1254" s="252"/>
      <c r="D1254" s="109"/>
      <c r="E1254" s="109"/>
      <c r="F1254" s="110"/>
      <c r="G1254" s="95"/>
      <c r="H1254" s="122"/>
      <c r="I1254" s="109"/>
      <c r="J1254" s="120"/>
      <c r="K1254" s="120"/>
      <c r="L1254" s="93"/>
      <c r="M1254" s="93"/>
      <c r="N1254" s="93"/>
      <c r="O1254" s="56"/>
      <c r="P1254" s="56"/>
      <c r="Q1254" s="56"/>
      <c r="R1254" s="56"/>
      <c r="S1254" s="56"/>
      <c r="T1254" s="56"/>
      <c r="U1254" s="56"/>
      <c r="V1254" s="56"/>
    </row>
    <row r="1255" ht="18.75" customHeight="1">
      <c r="A1255" s="90"/>
      <c r="B1255" s="126"/>
      <c r="C1255" s="252"/>
      <c r="D1255" s="109"/>
      <c r="E1255" s="109"/>
      <c r="F1255" s="110"/>
      <c r="G1255" s="95"/>
      <c r="H1255" s="122"/>
      <c r="I1255" s="109"/>
      <c r="J1255" s="120"/>
      <c r="K1255" s="120"/>
      <c r="L1255" s="93"/>
      <c r="M1255" s="93"/>
      <c r="N1255" s="93"/>
      <c r="O1255" s="56"/>
      <c r="P1255" s="56"/>
      <c r="Q1255" s="56"/>
      <c r="R1255" s="56"/>
      <c r="S1255" s="56"/>
      <c r="T1255" s="56"/>
      <c r="U1255" s="56"/>
      <c r="V1255" s="56"/>
    </row>
    <row r="1256" ht="18.75" customHeight="1">
      <c r="A1256" s="90"/>
      <c r="B1256" s="126"/>
      <c r="C1256" s="252"/>
      <c r="D1256" s="109"/>
      <c r="E1256" s="109"/>
      <c r="F1256" s="110"/>
      <c r="G1256" s="95"/>
      <c r="H1256" s="122"/>
      <c r="I1256" s="109"/>
      <c r="J1256" s="120"/>
      <c r="K1256" s="120"/>
      <c r="L1256" s="93"/>
      <c r="M1256" s="93"/>
      <c r="N1256" s="93"/>
      <c r="O1256" s="56"/>
      <c r="P1256" s="56"/>
      <c r="Q1256" s="56"/>
      <c r="R1256" s="56"/>
      <c r="S1256" s="56"/>
      <c r="T1256" s="56"/>
      <c r="U1256" s="56"/>
      <c r="V1256" s="56"/>
    </row>
    <row r="1257" ht="18.75" customHeight="1">
      <c r="A1257" s="90"/>
      <c r="B1257" s="126"/>
      <c r="C1257" s="252"/>
      <c r="D1257" s="109"/>
      <c r="E1257" s="109"/>
      <c r="F1257" s="110"/>
      <c r="G1257" s="95"/>
      <c r="H1257" s="122"/>
      <c r="I1257" s="109"/>
      <c r="J1257" s="120"/>
      <c r="K1257" s="120"/>
      <c r="L1257" s="93"/>
      <c r="M1257" s="93"/>
      <c r="N1257" s="93"/>
      <c r="O1257" s="56"/>
      <c r="P1257" s="56"/>
      <c r="Q1257" s="56"/>
      <c r="R1257" s="56"/>
      <c r="S1257" s="56"/>
      <c r="T1257" s="56"/>
      <c r="U1257" s="56"/>
      <c r="V1257" s="56"/>
    </row>
    <row r="1258" ht="18.75" customHeight="1">
      <c r="A1258" s="90"/>
      <c r="B1258" s="126"/>
      <c r="C1258" s="252"/>
      <c r="D1258" s="109"/>
      <c r="E1258" s="109"/>
      <c r="F1258" s="110"/>
      <c r="G1258" s="95"/>
      <c r="H1258" s="122"/>
      <c r="I1258" s="109"/>
      <c r="J1258" s="120"/>
      <c r="K1258" s="120"/>
      <c r="L1258" s="93"/>
      <c r="M1258" s="93"/>
      <c r="N1258" s="93"/>
      <c r="O1258" s="56"/>
      <c r="P1258" s="56"/>
      <c r="Q1258" s="56"/>
      <c r="R1258" s="56"/>
      <c r="S1258" s="56"/>
      <c r="T1258" s="56"/>
      <c r="U1258" s="56"/>
      <c r="V1258" s="56"/>
    </row>
    <row r="1259" ht="18.75" customHeight="1">
      <c r="A1259" s="90"/>
      <c r="B1259" s="126"/>
      <c r="C1259" s="252"/>
      <c r="D1259" s="109"/>
      <c r="E1259" s="109"/>
      <c r="F1259" s="110"/>
      <c r="G1259" s="95"/>
      <c r="H1259" s="122"/>
      <c r="I1259" s="109"/>
      <c r="J1259" s="120"/>
      <c r="K1259" s="120"/>
      <c r="L1259" s="93"/>
      <c r="M1259" s="93"/>
      <c r="N1259" s="93"/>
      <c r="O1259" s="56"/>
      <c r="P1259" s="56"/>
      <c r="Q1259" s="56"/>
      <c r="R1259" s="56"/>
      <c r="S1259" s="56"/>
      <c r="T1259" s="56"/>
      <c r="U1259" s="56"/>
      <c r="V1259" s="56"/>
    </row>
    <row r="1260" ht="18.75" customHeight="1">
      <c r="A1260" s="90"/>
      <c r="B1260" s="126"/>
      <c r="C1260" s="252"/>
      <c r="D1260" s="109"/>
      <c r="E1260" s="109"/>
      <c r="F1260" s="110"/>
      <c r="G1260" s="95"/>
      <c r="H1260" s="122"/>
      <c r="I1260" s="109"/>
      <c r="J1260" s="120"/>
      <c r="K1260" s="120"/>
      <c r="L1260" s="93"/>
      <c r="M1260" s="93"/>
      <c r="N1260" s="93"/>
      <c r="O1260" s="56"/>
      <c r="P1260" s="56"/>
      <c r="Q1260" s="56"/>
      <c r="R1260" s="56"/>
      <c r="S1260" s="56"/>
      <c r="T1260" s="56"/>
      <c r="U1260" s="56"/>
      <c r="V1260" s="56"/>
    </row>
    <row r="1261" ht="18.75" customHeight="1">
      <c r="A1261" s="90"/>
      <c r="B1261" s="126"/>
      <c r="C1261" s="252"/>
      <c r="D1261" s="109"/>
      <c r="E1261" s="109"/>
      <c r="F1261" s="110"/>
      <c r="G1261" s="95"/>
      <c r="H1261" s="122"/>
      <c r="I1261" s="109"/>
      <c r="J1261" s="120"/>
      <c r="K1261" s="120"/>
      <c r="L1261" s="93"/>
      <c r="M1261" s="93"/>
      <c r="N1261" s="93"/>
      <c r="O1261" s="56"/>
      <c r="P1261" s="56"/>
      <c r="Q1261" s="56"/>
      <c r="R1261" s="56"/>
      <c r="S1261" s="56"/>
      <c r="T1261" s="56"/>
      <c r="U1261" s="56"/>
      <c r="V1261" s="56"/>
    </row>
    <row r="1262" ht="18.75" customHeight="1">
      <c r="A1262" s="90"/>
      <c r="B1262" s="126"/>
      <c r="C1262" s="252"/>
      <c r="D1262" s="109"/>
      <c r="E1262" s="109"/>
      <c r="F1262" s="110"/>
      <c r="G1262" s="95"/>
      <c r="H1262" s="122"/>
      <c r="I1262" s="109"/>
      <c r="J1262" s="120"/>
      <c r="K1262" s="120"/>
      <c r="L1262" s="93"/>
      <c r="M1262" s="93"/>
      <c r="N1262" s="93"/>
      <c r="O1262" s="56"/>
      <c r="P1262" s="56"/>
      <c r="Q1262" s="56"/>
      <c r="R1262" s="56"/>
      <c r="S1262" s="56"/>
      <c r="T1262" s="56"/>
      <c r="U1262" s="56"/>
      <c r="V1262" s="56"/>
    </row>
    <row r="1263" ht="18.75" customHeight="1">
      <c r="A1263" s="90"/>
      <c r="B1263" s="126"/>
      <c r="C1263" s="252"/>
      <c r="D1263" s="109"/>
      <c r="E1263" s="109"/>
      <c r="F1263" s="110"/>
      <c r="G1263" s="95"/>
      <c r="H1263" s="122"/>
      <c r="I1263" s="109"/>
      <c r="J1263" s="120"/>
      <c r="K1263" s="120"/>
      <c r="L1263" s="93"/>
      <c r="M1263" s="93"/>
      <c r="N1263" s="93"/>
      <c r="O1263" s="56"/>
      <c r="P1263" s="56"/>
      <c r="Q1263" s="56"/>
      <c r="R1263" s="56"/>
      <c r="S1263" s="56"/>
      <c r="T1263" s="56"/>
      <c r="U1263" s="56"/>
      <c r="V1263" s="56"/>
    </row>
    <row r="1264" ht="18.75" customHeight="1">
      <c r="A1264" s="90"/>
      <c r="B1264" s="126"/>
      <c r="C1264" s="252"/>
      <c r="D1264" s="109"/>
      <c r="E1264" s="109"/>
      <c r="F1264" s="110"/>
      <c r="G1264" s="95"/>
      <c r="H1264" s="122"/>
      <c r="I1264" s="109"/>
      <c r="J1264" s="120"/>
      <c r="K1264" s="120"/>
      <c r="L1264" s="93"/>
      <c r="M1264" s="93"/>
      <c r="N1264" s="93"/>
      <c r="O1264" s="56"/>
      <c r="P1264" s="56"/>
      <c r="Q1264" s="56"/>
      <c r="R1264" s="56"/>
      <c r="S1264" s="56"/>
      <c r="T1264" s="56"/>
      <c r="U1264" s="56"/>
      <c r="V1264" s="56"/>
    </row>
    <row r="1265" ht="18.75" customHeight="1">
      <c r="A1265" s="90"/>
      <c r="B1265" s="126"/>
      <c r="C1265" s="252"/>
      <c r="D1265" s="109"/>
      <c r="E1265" s="109"/>
      <c r="F1265" s="110"/>
      <c r="G1265" s="95"/>
      <c r="H1265" s="122"/>
      <c r="I1265" s="109"/>
      <c r="J1265" s="120"/>
      <c r="K1265" s="120"/>
      <c r="L1265" s="93"/>
      <c r="M1265" s="93"/>
      <c r="N1265" s="93"/>
      <c r="O1265" s="56"/>
      <c r="P1265" s="56"/>
      <c r="Q1265" s="56"/>
      <c r="R1265" s="56"/>
      <c r="S1265" s="56"/>
      <c r="T1265" s="56"/>
      <c r="U1265" s="56"/>
      <c r="V1265" s="56"/>
    </row>
    <row r="1266" ht="18.75" customHeight="1">
      <c r="A1266" s="90"/>
      <c r="B1266" s="126"/>
      <c r="C1266" s="252"/>
      <c r="D1266" s="109"/>
      <c r="E1266" s="109"/>
      <c r="F1266" s="110"/>
      <c r="G1266" s="95"/>
      <c r="H1266" s="122"/>
      <c r="I1266" s="109"/>
      <c r="J1266" s="120"/>
      <c r="K1266" s="120"/>
      <c r="L1266" s="93"/>
      <c r="M1266" s="93"/>
      <c r="N1266" s="93"/>
      <c r="O1266" s="56"/>
      <c r="P1266" s="56"/>
      <c r="Q1266" s="56"/>
      <c r="R1266" s="56"/>
      <c r="S1266" s="56"/>
      <c r="T1266" s="56"/>
      <c r="U1266" s="56"/>
      <c r="V1266" s="56"/>
    </row>
    <row r="1267" ht="18.75" customHeight="1">
      <c r="A1267" s="90"/>
      <c r="B1267" s="126"/>
      <c r="C1267" s="252"/>
      <c r="D1267" s="109"/>
      <c r="E1267" s="109"/>
      <c r="F1267" s="110"/>
      <c r="G1267" s="95"/>
      <c r="H1267" s="122"/>
      <c r="I1267" s="109"/>
      <c r="J1267" s="120"/>
      <c r="K1267" s="120"/>
      <c r="L1267" s="93"/>
      <c r="M1267" s="93"/>
      <c r="N1267" s="93"/>
      <c r="O1267" s="56"/>
      <c r="P1267" s="56"/>
      <c r="Q1267" s="56"/>
      <c r="R1267" s="56"/>
      <c r="S1267" s="56"/>
      <c r="T1267" s="56"/>
      <c r="U1267" s="56"/>
      <c r="V1267" s="56"/>
    </row>
    <row r="1268" ht="18.75" customHeight="1">
      <c r="A1268" s="90"/>
      <c r="B1268" s="126"/>
      <c r="C1268" s="252"/>
      <c r="D1268" s="109"/>
      <c r="E1268" s="109"/>
      <c r="F1268" s="110"/>
      <c r="G1268" s="95"/>
      <c r="H1268" s="122"/>
      <c r="I1268" s="109"/>
      <c r="J1268" s="120"/>
      <c r="K1268" s="120"/>
      <c r="L1268" s="93"/>
      <c r="M1268" s="93"/>
      <c r="N1268" s="93"/>
      <c r="O1268" s="56"/>
      <c r="P1268" s="56"/>
      <c r="Q1268" s="56"/>
      <c r="R1268" s="56"/>
      <c r="S1268" s="56"/>
      <c r="T1268" s="56"/>
      <c r="U1268" s="56"/>
      <c r="V1268" s="56"/>
    </row>
    <row r="1269" ht="18.75" customHeight="1">
      <c r="A1269" s="90"/>
      <c r="B1269" s="126"/>
      <c r="C1269" s="252"/>
      <c r="D1269" s="109"/>
      <c r="E1269" s="109"/>
      <c r="F1269" s="110"/>
      <c r="G1269" s="95"/>
      <c r="H1269" s="122"/>
      <c r="I1269" s="109"/>
      <c r="J1269" s="120"/>
      <c r="K1269" s="120"/>
      <c r="L1269" s="93"/>
      <c r="M1269" s="93"/>
      <c r="N1269" s="93"/>
      <c r="O1269" s="56"/>
      <c r="P1269" s="56"/>
      <c r="Q1269" s="56"/>
      <c r="R1269" s="56"/>
      <c r="S1269" s="56"/>
      <c r="T1269" s="56"/>
      <c r="U1269" s="56"/>
      <c r="V1269" s="56"/>
    </row>
    <row r="1270" ht="18.75" customHeight="1">
      <c r="A1270" s="90"/>
      <c r="B1270" s="126"/>
      <c r="C1270" s="252"/>
      <c r="D1270" s="109"/>
      <c r="E1270" s="109"/>
      <c r="F1270" s="110"/>
      <c r="G1270" s="95"/>
      <c r="H1270" s="122"/>
      <c r="I1270" s="109"/>
      <c r="J1270" s="120"/>
      <c r="K1270" s="120"/>
      <c r="L1270" s="93"/>
      <c r="M1270" s="93"/>
      <c r="N1270" s="93"/>
      <c r="O1270" s="56"/>
      <c r="P1270" s="56"/>
      <c r="Q1270" s="56"/>
      <c r="R1270" s="56"/>
      <c r="S1270" s="56"/>
      <c r="T1270" s="56"/>
      <c r="U1270" s="56"/>
      <c r="V1270" s="56"/>
    </row>
    <row r="1271" ht="18.75" customHeight="1">
      <c r="A1271" s="90"/>
      <c r="B1271" s="126"/>
      <c r="C1271" s="252"/>
      <c r="D1271" s="109"/>
      <c r="E1271" s="109"/>
      <c r="F1271" s="110"/>
      <c r="G1271" s="95"/>
      <c r="H1271" s="122"/>
      <c r="I1271" s="109"/>
      <c r="J1271" s="120"/>
      <c r="K1271" s="120"/>
      <c r="L1271" s="93"/>
      <c r="M1271" s="93"/>
      <c r="N1271" s="93"/>
      <c r="O1271" s="56"/>
      <c r="P1271" s="56"/>
      <c r="Q1271" s="56"/>
      <c r="R1271" s="56"/>
      <c r="S1271" s="56"/>
      <c r="T1271" s="56"/>
      <c r="U1271" s="56"/>
      <c r="V1271" s="56"/>
    </row>
    <row r="1272" ht="18.75" customHeight="1">
      <c r="A1272" s="90"/>
      <c r="B1272" s="126"/>
      <c r="C1272" s="252"/>
      <c r="D1272" s="109"/>
      <c r="E1272" s="109"/>
      <c r="F1272" s="110"/>
      <c r="G1272" s="95"/>
      <c r="H1272" s="122"/>
      <c r="I1272" s="109"/>
      <c r="J1272" s="120"/>
      <c r="K1272" s="120"/>
      <c r="L1272" s="93"/>
      <c r="M1272" s="93"/>
      <c r="N1272" s="93"/>
      <c r="O1272" s="56"/>
      <c r="P1272" s="56"/>
      <c r="Q1272" s="56"/>
      <c r="R1272" s="56"/>
      <c r="S1272" s="56"/>
      <c r="T1272" s="56"/>
      <c r="U1272" s="56"/>
      <c r="V1272" s="56"/>
    </row>
    <row r="1273" ht="18.75" customHeight="1">
      <c r="A1273" s="90"/>
      <c r="B1273" s="126"/>
      <c r="C1273" s="252"/>
      <c r="D1273" s="109"/>
      <c r="E1273" s="109"/>
      <c r="F1273" s="110"/>
      <c r="G1273" s="95"/>
      <c r="H1273" s="122"/>
      <c r="I1273" s="109"/>
      <c r="J1273" s="120"/>
      <c r="K1273" s="120"/>
      <c r="L1273" s="93"/>
      <c r="M1273" s="93"/>
      <c r="N1273" s="93"/>
      <c r="O1273" s="56"/>
      <c r="P1273" s="56"/>
      <c r="Q1273" s="56"/>
      <c r="R1273" s="56"/>
      <c r="S1273" s="56"/>
      <c r="T1273" s="56"/>
      <c r="U1273" s="56"/>
      <c r="V1273" s="56"/>
    </row>
    <row r="1274" ht="18.75" customHeight="1">
      <c r="A1274" s="90"/>
      <c r="B1274" s="126"/>
      <c r="C1274" s="252"/>
      <c r="D1274" s="109"/>
      <c r="E1274" s="109"/>
      <c r="F1274" s="110"/>
      <c r="G1274" s="95"/>
      <c r="H1274" s="122"/>
      <c r="I1274" s="109"/>
      <c r="J1274" s="120"/>
      <c r="K1274" s="120"/>
      <c r="L1274" s="93"/>
      <c r="M1274" s="93"/>
      <c r="N1274" s="93"/>
      <c r="O1274" s="56"/>
      <c r="P1274" s="56"/>
      <c r="Q1274" s="56"/>
      <c r="R1274" s="56"/>
      <c r="S1274" s="56"/>
      <c r="T1274" s="56"/>
      <c r="U1274" s="56"/>
      <c r="V1274" s="56"/>
    </row>
    <row r="1275" ht="18.75" customHeight="1">
      <c r="A1275" s="90"/>
      <c r="B1275" s="126"/>
      <c r="C1275" s="252"/>
      <c r="D1275" s="109"/>
      <c r="E1275" s="109"/>
      <c r="F1275" s="110"/>
      <c r="G1275" s="95"/>
      <c r="H1275" s="122"/>
      <c r="I1275" s="109"/>
      <c r="J1275" s="120"/>
      <c r="K1275" s="120"/>
      <c r="L1275" s="93"/>
      <c r="M1275" s="93"/>
      <c r="N1275" s="93"/>
      <c r="O1275" s="56"/>
      <c r="P1275" s="56"/>
      <c r="Q1275" s="56"/>
      <c r="R1275" s="56"/>
      <c r="S1275" s="56"/>
      <c r="T1275" s="56"/>
      <c r="U1275" s="56"/>
      <c r="V1275" s="56"/>
    </row>
    <row r="1276" ht="18.75" customHeight="1">
      <c r="A1276" s="90"/>
      <c r="B1276" s="126"/>
      <c r="C1276" s="252"/>
      <c r="D1276" s="109"/>
      <c r="E1276" s="109"/>
      <c r="F1276" s="110"/>
      <c r="G1276" s="95"/>
      <c r="H1276" s="122"/>
      <c r="I1276" s="109"/>
      <c r="J1276" s="120"/>
      <c r="K1276" s="120"/>
      <c r="L1276" s="93"/>
      <c r="M1276" s="93"/>
      <c r="N1276" s="93"/>
      <c r="O1276" s="56"/>
      <c r="P1276" s="56"/>
      <c r="Q1276" s="56"/>
      <c r="R1276" s="56"/>
      <c r="S1276" s="56"/>
      <c r="T1276" s="56"/>
      <c r="U1276" s="56"/>
      <c r="V1276" s="56"/>
    </row>
    <row r="1277" ht="18.75" customHeight="1">
      <c r="A1277" s="90"/>
      <c r="B1277" s="126"/>
      <c r="C1277" s="252"/>
      <c r="D1277" s="109"/>
      <c r="E1277" s="109"/>
      <c r="F1277" s="110"/>
      <c r="G1277" s="95"/>
      <c r="H1277" s="122"/>
      <c r="I1277" s="109"/>
      <c r="J1277" s="120"/>
      <c r="K1277" s="120"/>
      <c r="L1277" s="93"/>
      <c r="M1277" s="93"/>
      <c r="N1277" s="93"/>
      <c r="O1277" s="56"/>
      <c r="P1277" s="56"/>
      <c r="Q1277" s="56"/>
      <c r="R1277" s="56"/>
      <c r="S1277" s="56"/>
      <c r="T1277" s="56"/>
      <c r="U1277" s="56"/>
      <c r="V1277" s="56"/>
    </row>
    <row r="1278" ht="18.75" customHeight="1">
      <c r="A1278" s="90"/>
      <c r="B1278" s="126"/>
      <c r="C1278" s="252"/>
      <c r="D1278" s="109"/>
      <c r="E1278" s="109"/>
      <c r="F1278" s="110"/>
      <c r="G1278" s="95"/>
      <c r="H1278" s="122"/>
      <c r="I1278" s="109"/>
      <c r="J1278" s="120"/>
      <c r="K1278" s="120"/>
      <c r="L1278" s="93"/>
      <c r="M1278" s="93"/>
      <c r="N1278" s="93"/>
      <c r="O1278" s="56"/>
      <c r="P1278" s="56"/>
      <c r="Q1278" s="56"/>
      <c r="R1278" s="56"/>
      <c r="S1278" s="56"/>
      <c r="T1278" s="56"/>
      <c r="U1278" s="56"/>
      <c r="V1278" s="56"/>
    </row>
    <row r="1279" ht="18.75" customHeight="1">
      <c r="A1279" s="90"/>
      <c r="B1279" s="126"/>
      <c r="C1279" s="252"/>
      <c r="D1279" s="109"/>
      <c r="E1279" s="109"/>
      <c r="F1279" s="110"/>
      <c r="G1279" s="95"/>
      <c r="H1279" s="122"/>
      <c r="I1279" s="109"/>
      <c r="J1279" s="120"/>
      <c r="K1279" s="120"/>
      <c r="L1279" s="93"/>
      <c r="M1279" s="93"/>
      <c r="N1279" s="93"/>
      <c r="O1279" s="56"/>
      <c r="P1279" s="56"/>
      <c r="Q1279" s="56"/>
      <c r="R1279" s="56"/>
      <c r="S1279" s="56"/>
      <c r="T1279" s="56"/>
      <c r="U1279" s="56"/>
      <c r="V1279" s="56"/>
    </row>
    <row r="1280" ht="18.75" customHeight="1">
      <c r="A1280" s="90"/>
      <c r="B1280" s="126"/>
      <c r="C1280" s="252"/>
      <c r="D1280" s="109"/>
      <c r="E1280" s="109"/>
      <c r="F1280" s="110"/>
      <c r="G1280" s="95"/>
      <c r="H1280" s="122"/>
      <c r="I1280" s="109"/>
      <c r="J1280" s="120"/>
      <c r="K1280" s="120"/>
      <c r="L1280" s="93"/>
      <c r="M1280" s="93"/>
      <c r="N1280" s="93"/>
      <c r="O1280" s="56"/>
      <c r="P1280" s="56"/>
      <c r="Q1280" s="56"/>
      <c r="R1280" s="56"/>
      <c r="S1280" s="56"/>
      <c r="T1280" s="56"/>
      <c r="U1280" s="56"/>
      <c r="V1280" s="56"/>
    </row>
    <row r="1281" ht="18.75" customHeight="1">
      <c r="A1281" s="90"/>
      <c r="B1281" s="126"/>
      <c r="C1281" s="252"/>
      <c r="D1281" s="109"/>
      <c r="E1281" s="109"/>
      <c r="F1281" s="110"/>
      <c r="G1281" s="95"/>
      <c r="H1281" s="122"/>
      <c r="I1281" s="109"/>
      <c r="J1281" s="120"/>
      <c r="K1281" s="120"/>
      <c r="L1281" s="93"/>
      <c r="M1281" s="93"/>
      <c r="N1281" s="93"/>
      <c r="O1281" s="56"/>
      <c r="P1281" s="56"/>
      <c r="Q1281" s="56"/>
      <c r="R1281" s="56"/>
      <c r="S1281" s="56"/>
      <c r="T1281" s="56"/>
      <c r="U1281" s="56"/>
      <c r="V1281" s="56"/>
    </row>
    <row r="1282" ht="18.75" customHeight="1">
      <c r="A1282" s="90"/>
      <c r="B1282" s="126"/>
      <c r="C1282" s="252"/>
      <c r="D1282" s="109"/>
      <c r="E1282" s="109"/>
      <c r="F1282" s="110"/>
      <c r="G1282" s="95"/>
      <c r="H1282" s="122"/>
      <c r="I1282" s="109"/>
      <c r="J1282" s="120"/>
      <c r="K1282" s="120"/>
      <c r="L1282" s="93"/>
      <c r="M1282" s="93"/>
      <c r="N1282" s="93"/>
      <c r="O1282" s="56"/>
      <c r="P1282" s="56"/>
      <c r="Q1282" s="56"/>
      <c r="R1282" s="56"/>
      <c r="S1282" s="56"/>
      <c r="T1282" s="56"/>
      <c r="U1282" s="56"/>
      <c r="V1282" s="56"/>
    </row>
    <row r="1283" ht="18.75" customHeight="1">
      <c r="A1283" s="90"/>
      <c r="B1283" s="126"/>
      <c r="C1283" s="252"/>
      <c r="D1283" s="109"/>
      <c r="E1283" s="109"/>
      <c r="F1283" s="110"/>
      <c r="G1283" s="95"/>
      <c r="H1283" s="122"/>
      <c r="I1283" s="109"/>
      <c r="J1283" s="120"/>
      <c r="K1283" s="120"/>
      <c r="L1283" s="93"/>
      <c r="M1283" s="93"/>
      <c r="N1283" s="93"/>
      <c r="O1283" s="56"/>
      <c r="P1283" s="56"/>
      <c r="Q1283" s="56"/>
      <c r="R1283" s="56"/>
      <c r="S1283" s="56"/>
      <c r="T1283" s="56"/>
      <c r="U1283" s="56"/>
      <c r="V1283" s="56"/>
    </row>
    <row r="1284" ht="18.75" customHeight="1">
      <c r="A1284" s="90"/>
      <c r="B1284" s="126"/>
      <c r="C1284" s="252"/>
      <c r="D1284" s="109"/>
      <c r="E1284" s="109"/>
      <c r="F1284" s="110"/>
      <c r="G1284" s="95"/>
      <c r="H1284" s="122"/>
      <c r="I1284" s="109"/>
      <c r="J1284" s="120"/>
      <c r="K1284" s="120"/>
      <c r="L1284" s="93"/>
      <c r="M1284" s="93"/>
      <c r="N1284" s="93"/>
      <c r="O1284" s="56"/>
      <c r="P1284" s="56"/>
      <c r="Q1284" s="56"/>
      <c r="R1284" s="56"/>
      <c r="S1284" s="56"/>
      <c r="T1284" s="56"/>
      <c r="U1284" s="56"/>
      <c r="V1284" s="56"/>
    </row>
    <row r="1285" ht="18.75" customHeight="1">
      <c r="A1285" s="90"/>
      <c r="B1285" s="126"/>
      <c r="C1285" s="252"/>
      <c r="D1285" s="109"/>
      <c r="E1285" s="109"/>
      <c r="F1285" s="110"/>
      <c r="G1285" s="95"/>
      <c r="H1285" s="122"/>
      <c r="I1285" s="109"/>
      <c r="J1285" s="120"/>
      <c r="K1285" s="120"/>
      <c r="L1285" s="93"/>
      <c r="M1285" s="93"/>
      <c r="N1285" s="93"/>
      <c r="O1285" s="56"/>
      <c r="P1285" s="56"/>
      <c r="Q1285" s="56"/>
      <c r="R1285" s="56"/>
      <c r="S1285" s="56"/>
      <c r="T1285" s="56"/>
      <c r="U1285" s="56"/>
      <c r="V1285" s="56"/>
    </row>
    <row r="1286" ht="18.75" customHeight="1">
      <c r="A1286" s="90"/>
      <c r="B1286" s="126"/>
      <c r="C1286" s="252"/>
      <c r="D1286" s="109"/>
      <c r="E1286" s="109"/>
      <c r="F1286" s="110"/>
      <c r="G1286" s="95"/>
      <c r="H1286" s="122"/>
      <c r="I1286" s="109"/>
      <c r="J1286" s="120"/>
      <c r="K1286" s="120"/>
      <c r="L1286" s="93"/>
      <c r="M1286" s="93"/>
      <c r="N1286" s="93"/>
      <c r="O1286" s="56"/>
      <c r="P1286" s="56"/>
      <c r="Q1286" s="56"/>
      <c r="R1286" s="56"/>
      <c r="S1286" s="56"/>
      <c r="T1286" s="56"/>
      <c r="U1286" s="56"/>
      <c r="V1286" s="56"/>
    </row>
    <row r="1287" ht="18.75" customHeight="1">
      <c r="A1287" s="90"/>
      <c r="B1287" s="126"/>
      <c r="C1287" s="252"/>
      <c r="D1287" s="109"/>
      <c r="E1287" s="109"/>
      <c r="F1287" s="110"/>
      <c r="G1287" s="95"/>
      <c r="H1287" s="122"/>
      <c r="I1287" s="109"/>
      <c r="J1287" s="120"/>
      <c r="K1287" s="120"/>
      <c r="L1287" s="93"/>
      <c r="M1287" s="93"/>
      <c r="N1287" s="93"/>
      <c r="O1287" s="56"/>
      <c r="P1287" s="56"/>
      <c r="Q1287" s="56"/>
      <c r="R1287" s="56"/>
      <c r="S1287" s="56"/>
      <c r="T1287" s="56"/>
      <c r="U1287" s="56"/>
      <c r="V1287" s="56"/>
    </row>
    <row r="1288" ht="18.75" customHeight="1">
      <c r="A1288" s="90"/>
      <c r="B1288" s="126"/>
      <c r="C1288" s="252"/>
      <c r="D1288" s="109"/>
      <c r="E1288" s="109"/>
      <c r="F1288" s="110"/>
      <c r="G1288" s="95"/>
      <c r="H1288" s="122"/>
      <c r="I1288" s="109"/>
      <c r="J1288" s="120"/>
      <c r="K1288" s="120"/>
      <c r="L1288" s="93"/>
      <c r="M1288" s="93"/>
      <c r="N1288" s="93"/>
      <c r="O1288" s="56"/>
      <c r="P1288" s="56"/>
      <c r="Q1288" s="56"/>
      <c r="R1288" s="56"/>
      <c r="S1288" s="56"/>
      <c r="T1288" s="56"/>
      <c r="U1288" s="56"/>
      <c r="V1288" s="56"/>
    </row>
    <row r="1289" ht="18.75" customHeight="1">
      <c r="A1289" s="90"/>
      <c r="B1289" s="126"/>
      <c r="C1289" s="252"/>
      <c r="D1289" s="109"/>
      <c r="E1289" s="109"/>
      <c r="F1289" s="110"/>
      <c r="G1289" s="95"/>
      <c r="H1289" s="122"/>
      <c r="I1289" s="109"/>
      <c r="J1289" s="120"/>
      <c r="K1289" s="120"/>
      <c r="L1289" s="93"/>
      <c r="M1289" s="93"/>
      <c r="N1289" s="93"/>
      <c r="O1289" s="56"/>
      <c r="P1289" s="56"/>
      <c r="Q1289" s="56"/>
      <c r="R1289" s="56"/>
      <c r="S1289" s="56"/>
      <c r="T1289" s="56"/>
      <c r="U1289" s="56"/>
      <c r="V1289" s="56"/>
    </row>
    <row r="1290" ht="18.75" customHeight="1">
      <c r="A1290" s="90"/>
      <c r="B1290" s="126"/>
      <c r="C1290" s="252"/>
      <c r="D1290" s="109"/>
      <c r="E1290" s="109"/>
      <c r="F1290" s="110"/>
      <c r="G1290" s="95"/>
      <c r="H1290" s="122"/>
      <c r="I1290" s="109"/>
      <c r="J1290" s="120"/>
      <c r="K1290" s="120"/>
      <c r="L1290" s="93"/>
      <c r="M1290" s="93"/>
      <c r="N1290" s="93"/>
      <c r="O1290" s="56"/>
      <c r="P1290" s="56"/>
      <c r="Q1290" s="56"/>
      <c r="R1290" s="56"/>
      <c r="S1290" s="56"/>
      <c r="T1290" s="56"/>
      <c r="U1290" s="56"/>
      <c r="V1290" s="56"/>
    </row>
    <row r="1291" ht="18.75" customHeight="1">
      <c r="A1291" s="90"/>
      <c r="B1291" s="126"/>
      <c r="C1291" s="252"/>
      <c r="D1291" s="109"/>
      <c r="E1291" s="109"/>
      <c r="F1291" s="110"/>
      <c r="G1291" s="95"/>
      <c r="H1291" s="122"/>
      <c r="I1291" s="109"/>
      <c r="J1291" s="120"/>
      <c r="K1291" s="120"/>
      <c r="L1291" s="93"/>
      <c r="M1291" s="93"/>
      <c r="N1291" s="93"/>
      <c r="O1291" s="56"/>
      <c r="P1291" s="56"/>
      <c r="Q1291" s="56"/>
      <c r="R1291" s="56"/>
      <c r="S1291" s="56"/>
      <c r="T1291" s="56"/>
      <c r="U1291" s="56"/>
      <c r="V1291" s="56"/>
    </row>
    <row r="1292" ht="18.75" customHeight="1">
      <c r="A1292" s="90"/>
      <c r="B1292" s="126"/>
      <c r="C1292" s="252"/>
      <c r="D1292" s="109"/>
      <c r="E1292" s="109"/>
      <c r="F1292" s="110"/>
      <c r="G1292" s="95"/>
      <c r="H1292" s="122"/>
      <c r="I1292" s="109"/>
      <c r="J1292" s="120"/>
      <c r="K1292" s="120"/>
      <c r="L1292" s="93"/>
      <c r="M1292" s="93"/>
      <c r="N1292" s="93"/>
      <c r="O1292" s="56"/>
      <c r="P1292" s="56"/>
      <c r="Q1292" s="56"/>
      <c r="R1292" s="56"/>
      <c r="S1292" s="56"/>
      <c r="T1292" s="56"/>
      <c r="U1292" s="56"/>
      <c r="V1292" s="56"/>
    </row>
    <row r="1293" ht="18.75" customHeight="1">
      <c r="A1293" s="90"/>
      <c r="B1293" s="126"/>
      <c r="C1293" s="252"/>
      <c r="D1293" s="109"/>
      <c r="E1293" s="109"/>
      <c r="F1293" s="110"/>
      <c r="G1293" s="95"/>
      <c r="H1293" s="122"/>
      <c r="I1293" s="109"/>
      <c r="J1293" s="120"/>
      <c r="K1293" s="120"/>
      <c r="L1293" s="93"/>
      <c r="M1293" s="93"/>
      <c r="N1293" s="93"/>
      <c r="O1293" s="56"/>
      <c r="P1293" s="56"/>
      <c r="Q1293" s="56"/>
      <c r="R1293" s="56"/>
      <c r="S1293" s="56"/>
      <c r="T1293" s="56"/>
      <c r="U1293" s="56"/>
      <c r="V1293" s="56"/>
    </row>
    <row r="1294" ht="18.75" customHeight="1">
      <c r="A1294" s="90"/>
      <c r="B1294" s="126"/>
      <c r="C1294" s="252"/>
      <c r="D1294" s="109"/>
      <c r="E1294" s="109"/>
      <c r="F1294" s="110"/>
      <c r="G1294" s="95"/>
      <c r="H1294" s="122"/>
      <c r="I1294" s="109"/>
      <c r="J1294" s="120"/>
      <c r="K1294" s="120"/>
      <c r="L1294" s="93"/>
      <c r="M1294" s="93"/>
      <c r="N1294" s="93"/>
      <c r="O1294" s="56"/>
      <c r="P1294" s="56"/>
      <c r="Q1294" s="56"/>
      <c r="R1294" s="56"/>
      <c r="S1294" s="56"/>
      <c r="T1294" s="56"/>
      <c r="U1294" s="56"/>
      <c r="V1294" s="56"/>
    </row>
    <row r="1295" ht="18.75" customHeight="1">
      <c r="A1295" s="90"/>
      <c r="B1295" s="126"/>
      <c r="C1295" s="252"/>
      <c r="D1295" s="109"/>
      <c r="E1295" s="109"/>
      <c r="F1295" s="110"/>
      <c r="G1295" s="95"/>
      <c r="H1295" s="122"/>
      <c r="I1295" s="109"/>
      <c r="J1295" s="120"/>
      <c r="K1295" s="120"/>
      <c r="L1295" s="93"/>
      <c r="M1295" s="93"/>
      <c r="N1295" s="93"/>
      <c r="O1295" s="56"/>
      <c r="P1295" s="56"/>
      <c r="Q1295" s="56"/>
      <c r="R1295" s="56"/>
      <c r="S1295" s="56"/>
      <c r="T1295" s="56"/>
      <c r="U1295" s="56"/>
      <c r="V1295" s="56"/>
    </row>
    <row r="1296" ht="18.75" customHeight="1">
      <c r="A1296" s="90"/>
      <c r="B1296" s="126"/>
      <c r="C1296" s="252"/>
      <c r="D1296" s="109"/>
      <c r="E1296" s="109"/>
      <c r="F1296" s="110"/>
      <c r="G1296" s="95"/>
      <c r="H1296" s="122"/>
      <c r="I1296" s="109"/>
      <c r="J1296" s="120"/>
      <c r="K1296" s="120"/>
      <c r="L1296" s="93"/>
      <c r="M1296" s="93"/>
      <c r="N1296" s="93"/>
      <c r="O1296" s="56"/>
      <c r="P1296" s="56"/>
      <c r="Q1296" s="56"/>
      <c r="R1296" s="56"/>
      <c r="S1296" s="56"/>
      <c r="T1296" s="56"/>
      <c r="U1296" s="56"/>
      <c r="V1296" s="56"/>
    </row>
    <row r="1297" ht="18.75" customHeight="1">
      <c r="A1297" s="90"/>
      <c r="B1297" s="126"/>
      <c r="C1297" s="252"/>
      <c r="D1297" s="109"/>
      <c r="E1297" s="109"/>
      <c r="F1297" s="110"/>
      <c r="G1297" s="95"/>
      <c r="H1297" s="122"/>
      <c r="I1297" s="109"/>
      <c r="J1297" s="120"/>
      <c r="K1297" s="120"/>
      <c r="L1297" s="93"/>
      <c r="M1297" s="93"/>
      <c r="N1297" s="93"/>
      <c r="O1297" s="56"/>
      <c r="P1297" s="56"/>
      <c r="Q1297" s="56"/>
      <c r="R1297" s="56"/>
      <c r="S1297" s="56"/>
      <c r="T1297" s="56"/>
      <c r="U1297" s="56"/>
      <c r="V1297" s="56"/>
    </row>
    <row r="1298" ht="18.75" customHeight="1">
      <c r="A1298" s="90"/>
      <c r="B1298" s="126"/>
      <c r="C1298" s="252"/>
      <c r="D1298" s="109"/>
      <c r="E1298" s="109"/>
      <c r="F1298" s="110"/>
      <c r="G1298" s="95"/>
      <c r="H1298" s="122"/>
      <c r="I1298" s="109"/>
      <c r="J1298" s="120"/>
      <c r="K1298" s="120"/>
      <c r="L1298" s="93"/>
      <c r="M1298" s="93"/>
      <c r="N1298" s="93"/>
      <c r="O1298" s="56"/>
      <c r="P1298" s="56"/>
      <c r="Q1298" s="56"/>
      <c r="R1298" s="56"/>
      <c r="S1298" s="56"/>
      <c r="T1298" s="56"/>
      <c r="U1298" s="56"/>
      <c r="V1298" s="56"/>
    </row>
    <row r="1299" ht="18.75" customHeight="1">
      <c r="A1299" s="90"/>
      <c r="B1299" s="126"/>
      <c r="C1299" s="252"/>
      <c r="D1299" s="109"/>
      <c r="E1299" s="109"/>
      <c r="F1299" s="110"/>
      <c r="G1299" s="95"/>
      <c r="H1299" s="122"/>
      <c r="I1299" s="109"/>
      <c r="J1299" s="120"/>
      <c r="K1299" s="120"/>
      <c r="L1299" s="93"/>
      <c r="M1299" s="93"/>
      <c r="N1299" s="93"/>
      <c r="O1299" s="56"/>
      <c r="P1299" s="56"/>
      <c r="Q1299" s="56"/>
      <c r="R1299" s="56"/>
      <c r="S1299" s="56"/>
      <c r="T1299" s="56"/>
      <c r="U1299" s="56"/>
      <c r="V1299" s="56"/>
    </row>
    <row r="1300" ht="18.75" customHeight="1">
      <c r="A1300" s="90"/>
      <c r="B1300" s="126"/>
      <c r="C1300" s="252"/>
      <c r="D1300" s="109"/>
      <c r="E1300" s="109"/>
      <c r="F1300" s="110"/>
      <c r="G1300" s="95"/>
      <c r="H1300" s="122"/>
      <c r="I1300" s="109"/>
      <c r="J1300" s="120"/>
      <c r="K1300" s="120"/>
      <c r="L1300" s="93"/>
      <c r="M1300" s="93"/>
      <c r="N1300" s="93"/>
      <c r="O1300" s="56"/>
      <c r="P1300" s="56"/>
      <c r="Q1300" s="56"/>
      <c r="R1300" s="56"/>
      <c r="S1300" s="56"/>
      <c r="T1300" s="56"/>
      <c r="U1300" s="56"/>
      <c r="V1300" s="56"/>
    </row>
    <row r="1301" ht="18.75" customHeight="1">
      <c r="A1301" s="90"/>
      <c r="B1301" s="126"/>
      <c r="C1301" s="252"/>
      <c r="D1301" s="109"/>
      <c r="E1301" s="109"/>
      <c r="F1301" s="110"/>
      <c r="G1301" s="95"/>
      <c r="H1301" s="122"/>
      <c r="I1301" s="109"/>
      <c r="J1301" s="120"/>
      <c r="K1301" s="120"/>
      <c r="L1301" s="93"/>
      <c r="M1301" s="93"/>
      <c r="N1301" s="93"/>
      <c r="O1301" s="56"/>
      <c r="P1301" s="56"/>
      <c r="Q1301" s="56"/>
      <c r="R1301" s="56"/>
      <c r="S1301" s="56"/>
      <c r="T1301" s="56"/>
      <c r="U1301" s="56"/>
      <c r="V1301" s="56"/>
    </row>
    <row r="1302" ht="18.75" customHeight="1">
      <c r="A1302" s="90"/>
      <c r="B1302" s="126"/>
      <c r="C1302" s="252"/>
      <c r="D1302" s="109"/>
      <c r="E1302" s="109"/>
      <c r="F1302" s="110"/>
      <c r="G1302" s="95"/>
      <c r="H1302" s="122"/>
      <c r="I1302" s="109"/>
      <c r="J1302" s="120"/>
      <c r="K1302" s="120"/>
      <c r="L1302" s="93"/>
      <c r="M1302" s="93"/>
      <c r="N1302" s="93"/>
      <c r="O1302" s="56"/>
      <c r="P1302" s="56"/>
      <c r="Q1302" s="56"/>
      <c r="R1302" s="56"/>
      <c r="S1302" s="56"/>
      <c r="T1302" s="56"/>
      <c r="U1302" s="56"/>
      <c r="V1302" s="56"/>
    </row>
    <row r="1303" ht="18.75" customHeight="1">
      <c r="A1303" s="90"/>
      <c r="B1303" s="126"/>
      <c r="C1303" s="252"/>
      <c r="D1303" s="109"/>
      <c r="E1303" s="109"/>
      <c r="F1303" s="110"/>
      <c r="G1303" s="95"/>
      <c r="H1303" s="122"/>
      <c r="I1303" s="109"/>
      <c r="J1303" s="120"/>
      <c r="K1303" s="120"/>
      <c r="L1303" s="93"/>
      <c r="M1303" s="93"/>
      <c r="N1303" s="93"/>
      <c r="O1303" s="56"/>
      <c r="P1303" s="56"/>
      <c r="Q1303" s="56"/>
      <c r="R1303" s="56"/>
      <c r="S1303" s="56"/>
      <c r="T1303" s="56"/>
      <c r="U1303" s="56"/>
      <c r="V1303" s="56"/>
    </row>
    <row r="1304" ht="18.75" customHeight="1">
      <c r="A1304" s="90"/>
      <c r="B1304" s="126"/>
      <c r="C1304" s="252"/>
      <c r="D1304" s="109"/>
      <c r="E1304" s="109"/>
      <c r="F1304" s="110"/>
      <c r="G1304" s="95"/>
      <c r="H1304" s="122"/>
      <c r="I1304" s="109"/>
      <c r="J1304" s="120"/>
      <c r="K1304" s="120"/>
      <c r="L1304" s="93"/>
      <c r="M1304" s="93"/>
      <c r="N1304" s="93"/>
      <c r="O1304" s="56"/>
      <c r="P1304" s="56"/>
      <c r="Q1304" s="56"/>
      <c r="R1304" s="56"/>
      <c r="S1304" s="56"/>
      <c r="T1304" s="56"/>
      <c r="U1304" s="56"/>
      <c r="V1304" s="56"/>
    </row>
    <row r="1305" ht="18.75" customHeight="1">
      <c r="A1305" s="90"/>
      <c r="B1305" s="126"/>
      <c r="C1305" s="252"/>
      <c r="D1305" s="109"/>
      <c r="E1305" s="109"/>
      <c r="F1305" s="110"/>
      <c r="G1305" s="95"/>
      <c r="H1305" s="122"/>
      <c r="I1305" s="109"/>
      <c r="J1305" s="120"/>
      <c r="K1305" s="120"/>
      <c r="L1305" s="93"/>
      <c r="M1305" s="93"/>
      <c r="N1305" s="93"/>
      <c r="O1305" s="56"/>
      <c r="P1305" s="56"/>
      <c r="Q1305" s="56"/>
      <c r="R1305" s="56"/>
      <c r="S1305" s="56"/>
      <c r="T1305" s="56"/>
      <c r="U1305" s="56"/>
      <c r="V1305" s="56"/>
    </row>
    <row r="1306" ht="18.75" customHeight="1">
      <c r="A1306" s="90"/>
      <c r="B1306" s="126"/>
      <c r="C1306" s="252"/>
      <c r="D1306" s="109"/>
      <c r="E1306" s="109"/>
      <c r="F1306" s="110"/>
      <c r="G1306" s="95"/>
      <c r="H1306" s="122"/>
      <c r="I1306" s="109"/>
      <c r="J1306" s="120"/>
      <c r="K1306" s="120"/>
      <c r="L1306" s="93"/>
      <c r="M1306" s="93"/>
      <c r="N1306" s="93"/>
      <c r="O1306" s="56"/>
      <c r="P1306" s="56"/>
      <c r="Q1306" s="56"/>
      <c r="R1306" s="56"/>
      <c r="S1306" s="56"/>
      <c r="T1306" s="56"/>
      <c r="U1306" s="56"/>
      <c r="V1306" s="56"/>
    </row>
    <row r="1307" ht="18.75" customHeight="1">
      <c r="A1307" s="90"/>
      <c r="B1307" s="126"/>
      <c r="C1307" s="252"/>
      <c r="D1307" s="109"/>
      <c r="E1307" s="109"/>
      <c r="F1307" s="110"/>
      <c r="G1307" s="95"/>
      <c r="H1307" s="122"/>
      <c r="I1307" s="109"/>
      <c r="J1307" s="120"/>
      <c r="K1307" s="120"/>
      <c r="L1307" s="93"/>
      <c r="M1307" s="93"/>
      <c r="N1307" s="93"/>
      <c r="O1307" s="56"/>
      <c r="P1307" s="56"/>
      <c r="Q1307" s="56"/>
      <c r="R1307" s="56"/>
      <c r="S1307" s="56"/>
      <c r="T1307" s="56"/>
      <c r="U1307" s="56"/>
      <c r="V1307" s="56"/>
    </row>
    <row r="1308" ht="18.75" customHeight="1">
      <c r="A1308" s="90"/>
      <c r="B1308" s="126"/>
      <c r="C1308" s="252"/>
      <c r="D1308" s="109"/>
      <c r="E1308" s="109"/>
      <c r="F1308" s="110"/>
      <c r="G1308" s="95"/>
      <c r="H1308" s="122"/>
      <c r="I1308" s="109"/>
      <c r="J1308" s="120"/>
      <c r="K1308" s="120"/>
      <c r="L1308" s="93"/>
      <c r="M1308" s="93"/>
      <c r="N1308" s="93"/>
      <c r="O1308" s="56"/>
      <c r="P1308" s="56"/>
      <c r="Q1308" s="56"/>
      <c r="R1308" s="56"/>
      <c r="S1308" s="56"/>
      <c r="T1308" s="56"/>
      <c r="U1308" s="56"/>
      <c r="V1308" s="56"/>
    </row>
    <row r="1309" ht="18.75" customHeight="1">
      <c r="A1309" s="90"/>
      <c r="B1309" s="126"/>
      <c r="C1309" s="252"/>
      <c r="D1309" s="109"/>
      <c r="E1309" s="109"/>
      <c r="F1309" s="110"/>
      <c r="G1309" s="95"/>
      <c r="H1309" s="122"/>
      <c r="I1309" s="109"/>
      <c r="J1309" s="120"/>
      <c r="K1309" s="120"/>
      <c r="L1309" s="93"/>
      <c r="M1309" s="93"/>
      <c r="N1309" s="93"/>
      <c r="O1309" s="56"/>
      <c r="P1309" s="56"/>
      <c r="Q1309" s="56"/>
      <c r="R1309" s="56"/>
      <c r="S1309" s="56"/>
      <c r="T1309" s="56"/>
      <c r="U1309" s="56"/>
      <c r="V1309" s="56"/>
    </row>
    <row r="1310" ht="18.75" customHeight="1">
      <c r="A1310" s="90"/>
      <c r="B1310" s="126"/>
      <c r="C1310" s="252"/>
      <c r="D1310" s="109"/>
      <c r="E1310" s="109"/>
      <c r="F1310" s="110"/>
      <c r="G1310" s="95"/>
      <c r="H1310" s="122"/>
      <c r="I1310" s="109"/>
      <c r="J1310" s="120"/>
      <c r="K1310" s="120"/>
      <c r="L1310" s="93"/>
      <c r="M1310" s="93"/>
      <c r="N1310" s="93"/>
      <c r="O1310" s="56"/>
      <c r="P1310" s="56"/>
      <c r="Q1310" s="56"/>
      <c r="R1310" s="56"/>
      <c r="S1310" s="56"/>
      <c r="T1310" s="56"/>
      <c r="U1310" s="56"/>
      <c r="V1310" s="56"/>
    </row>
    <row r="1311" ht="18.75" customHeight="1">
      <c r="A1311" s="90"/>
      <c r="B1311" s="126"/>
      <c r="C1311" s="252"/>
      <c r="D1311" s="109"/>
      <c r="E1311" s="109"/>
      <c r="F1311" s="110"/>
      <c r="G1311" s="95"/>
      <c r="H1311" s="122"/>
      <c r="I1311" s="109"/>
      <c r="J1311" s="120"/>
      <c r="K1311" s="120"/>
      <c r="L1311" s="93"/>
      <c r="M1311" s="93"/>
      <c r="N1311" s="93"/>
      <c r="O1311" s="56"/>
      <c r="P1311" s="56"/>
      <c r="Q1311" s="56"/>
      <c r="R1311" s="56"/>
      <c r="S1311" s="56"/>
      <c r="T1311" s="56"/>
      <c r="U1311" s="56"/>
      <c r="V1311" s="56"/>
    </row>
    <row r="1312" ht="18.75" customHeight="1">
      <c r="A1312" s="90"/>
      <c r="B1312" s="126"/>
      <c r="C1312" s="252"/>
      <c r="D1312" s="109"/>
      <c r="E1312" s="109"/>
      <c r="F1312" s="110"/>
      <c r="G1312" s="95"/>
      <c r="H1312" s="122"/>
      <c r="I1312" s="109"/>
      <c r="J1312" s="120"/>
      <c r="K1312" s="120"/>
      <c r="L1312" s="93"/>
      <c r="M1312" s="93"/>
      <c r="N1312" s="93"/>
      <c r="O1312" s="56"/>
      <c r="P1312" s="56"/>
      <c r="Q1312" s="56"/>
      <c r="R1312" s="56"/>
      <c r="S1312" s="56"/>
      <c r="T1312" s="56"/>
      <c r="U1312" s="56"/>
      <c r="V1312" s="56"/>
    </row>
    <row r="1313" ht="18.75" customHeight="1">
      <c r="A1313" s="90"/>
      <c r="B1313" s="126"/>
      <c r="C1313" s="252"/>
      <c r="D1313" s="109"/>
      <c r="E1313" s="109"/>
      <c r="F1313" s="110"/>
      <c r="G1313" s="95"/>
      <c r="H1313" s="122"/>
      <c r="I1313" s="109"/>
      <c r="J1313" s="120"/>
      <c r="K1313" s="120"/>
      <c r="L1313" s="93"/>
      <c r="M1313" s="93"/>
      <c r="N1313" s="93"/>
      <c r="O1313" s="56"/>
      <c r="P1313" s="56"/>
      <c r="Q1313" s="56"/>
      <c r="R1313" s="56"/>
      <c r="S1313" s="56"/>
      <c r="T1313" s="56"/>
      <c r="U1313" s="56"/>
      <c r="V1313" s="56"/>
    </row>
    <row r="1314" ht="18.75" customHeight="1">
      <c r="A1314" s="90"/>
      <c r="B1314" s="126"/>
      <c r="C1314" s="252"/>
      <c r="D1314" s="109"/>
      <c r="E1314" s="109"/>
      <c r="F1314" s="110"/>
      <c r="G1314" s="95"/>
      <c r="H1314" s="122"/>
      <c r="I1314" s="109"/>
      <c r="J1314" s="120"/>
      <c r="K1314" s="120"/>
      <c r="L1314" s="93"/>
      <c r="M1314" s="93"/>
      <c r="N1314" s="93"/>
      <c r="O1314" s="56"/>
      <c r="P1314" s="56"/>
      <c r="Q1314" s="56"/>
      <c r="R1314" s="56"/>
      <c r="S1314" s="56"/>
      <c r="T1314" s="56"/>
      <c r="U1314" s="56"/>
      <c r="V1314" s="56"/>
    </row>
    <row r="1315" ht="18.75" customHeight="1">
      <c r="A1315" s="90"/>
      <c r="B1315" s="126"/>
      <c r="C1315" s="252"/>
      <c r="D1315" s="109"/>
      <c r="E1315" s="109"/>
      <c r="F1315" s="110"/>
      <c r="G1315" s="95"/>
      <c r="H1315" s="122"/>
      <c r="I1315" s="109"/>
      <c r="J1315" s="120"/>
      <c r="K1315" s="120"/>
      <c r="L1315" s="93"/>
      <c r="M1315" s="93"/>
      <c r="N1315" s="93"/>
      <c r="O1315" s="56"/>
      <c r="P1315" s="56"/>
      <c r="Q1315" s="56"/>
      <c r="R1315" s="56"/>
      <c r="S1315" s="56"/>
      <c r="T1315" s="56"/>
      <c r="U1315" s="56"/>
      <c r="V1315" s="56"/>
    </row>
    <row r="1316" ht="18.75" customHeight="1">
      <c r="A1316" s="90"/>
      <c r="B1316" s="126"/>
      <c r="C1316" s="252"/>
      <c r="D1316" s="109"/>
      <c r="E1316" s="109"/>
      <c r="F1316" s="110"/>
      <c r="G1316" s="95"/>
      <c r="H1316" s="122"/>
      <c r="I1316" s="109"/>
      <c r="J1316" s="120"/>
      <c r="K1316" s="120"/>
      <c r="L1316" s="93"/>
      <c r="M1316" s="93"/>
      <c r="N1316" s="93"/>
      <c r="O1316" s="56"/>
      <c r="P1316" s="56"/>
      <c r="Q1316" s="56"/>
      <c r="R1316" s="56"/>
      <c r="S1316" s="56"/>
      <c r="T1316" s="56"/>
      <c r="U1316" s="56"/>
      <c r="V1316" s="56"/>
    </row>
    <row r="1317" ht="18.75" customHeight="1">
      <c r="A1317" s="90"/>
      <c r="B1317" s="126"/>
      <c r="C1317" s="252"/>
      <c r="D1317" s="109"/>
      <c r="E1317" s="109"/>
      <c r="F1317" s="110"/>
      <c r="G1317" s="95"/>
      <c r="H1317" s="122"/>
      <c r="I1317" s="109"/>
      <c r="J1317" s="120"/>
      <c r="K1317" s="120"/>
      <c r="L1317" s="93"/>
      <c r="M1317" s="93"/>
      <c r="N1317" s="93"/>
      <c r="O1317" s="56"/>
      <c r="P1317" s="56"/>
      <c r="Q1317" s="56"/>
      <c r="R1317" s="56"/>
      <c r="S1317" s="56"/>
      <c r="T1317" s="56"/>
      <c r="U1317" s="56"/>
      <c r="V1317" s="56"/>
    </row>
    <row r="1318" ht="18.75" customHeight="1">
      <c r="A1318" s="90"/>
      <c r="B1318" s="126"/>
      <c r="C1318" s="252"/>
      <c r="D1318" s="109"/>
      <c r="E1318" s="109"/>
      <c r="F1318" s="110"/>
      <c r="G1318" s="95"/>
      <c r="H1318" s="122"/>
      <c r="I1318" s="109"/>
      <c r="J1318" s="120"/>
      <c r="K1318" s="120"/>
      <c r="L1318" s="93"/>
      <c r="M1318" s="93"/>
      <c r="N1318" s="93"/>
      <c r="O1318" s="56"/>
      <c r="P1318" s="56"/>
      <c r="Q1318" s="56"/>
      <c r="R1318" s="56"/>
      <c r="S1318" s="56"/>
      <c r="T1318" s="56"/>
      <c r="U1318" s="56"/>
      <c r="V1318" s="56"/>
    </row>
    <row r="1319" ht="18.75" customHeight="1">
      <c r="A1319" s="90"/>
      <c r="B1319" s="126"/>
      <c r="C1319" s="252"/>
      <c r="D1319" s="109"/>
      <c r="E1319" s="109"/>
      <c r="F1319" s="110"/>
      <c r="G1319" s="95"/>
      <c r="H1319" s="122"/>
      <c r="I1319" s="109"/>
      <c r="J1319" s="120"/>
      <c r="K1319" s="120"/>
      <c r="L1319" s="93"/>
      <c r="M1319" s="93"/>
      <c r="N1319" s="93"/>
      <c r="O1319" s="56"/>
      <c r="P1319" s="56"/>
      <c r="Q1319" s="56"/>
      <c r="R1319" s="56"/>
      <c r="S1319" s="56"/>
      <c r="T1319" s="56"/>
      <c r="U1319" s="56"/>
      <c r="V1319" s="56"/>
    </row>
    <row r="1320" ht="18.75" customHeight="1">
      <c r="A1320" s="90"/>
      <c r="B1320" s="126"/>
      <c r="C1320" s="252"/>
      <c r="D1320" s="109"/>
      <c r="E1320" s="109"/>
      <c r="F1320" s="110"/>
      <c r="G1320" s="95"/>
      <c r="H1320" s="122"/>
      <c r="I1320" s="109"/>
      <c r="J1320" s="120"/>
      <c r="K1320" s="120"/>
      <c r="L1320" s="93"/>
      <c r="M1320" s="93"/>
      <c r="N1320" s="93"/>
      <c r="O1320" s="56"/>
      <c r="P1320" s="56"/>
      <c r="Q1320" s="56"/>
      <c r="R1320" s="56"/>
      <c r="S1320" s="56"/>
      <c r="T1320" s="56"/>
      <c r="U1320" s="56"/>
      <c r="V1320" s="56"/>
    </row>
    <row r="1321" ht="18.75" customHeight="1">
      <c r="A1321" s="90"/>
      <c r="B1321" s="126"/>
      <c r="C1321" s="252"/>
      <c r="D1321" s="109"/>
      <c r="E1321" s="109"/>
      <c r="F1321" s="110"/>
      <c r="G1321" s="95"/>
      <c r="H1321" s="122"/>
      <c r="I1321" s="109"/>
      <c r="J1321" s="120"/>
      <c r="K1321" s="120"/>
      <c r="L1321" s="93"/>
      <c r="M1321" s="93"/>
      <c r="N1321" s="93"/>
      <c r="O1321" s="56"/>
      <c r="P1321" s="56"/>
      <c r="Q1321" s="56"/>
      <c r="R1321" s="56"/>
      <c r="S1321" s="56"/>
      <c r="T1321" s="56"/>
      <c r="U1321" s="56"/>
      <c r="V1321" s="56"/>
    </row>
    <row r="1322" ht="18.75" customHeight="1">
      <c r="A1322" s="90"/>
      <c r="B1322" s="126"/>
      <c r="C1322" s="252"/>
      <c r="D1322" s="109"/>
      <c r="E1322" s="109"/>
      <c r="F1322" s="110"/>
      <c r="G1322" s="95"/>
      <c r="H1322" s="122"/>
      <c r="I1322" s="109"/>
      <c r="J1322" s="120"/>
      <c r="K1322" s="120"/>
      <c r="L1322" s="93"/>
      <c r="M1322" s="93"/>
      <c r="N1322" s="93"/>
      <c r="O1322" s="56"/>
      <c r="P1322" s="56"/>
      <c r="Q1322" s="56"/>
      <c r="R1322" s="56"/>
      <c r="S1322" s="56"/>
      <c r="T1322" s="56"/>
      <c r="U1322" s="56"/>
      <c r="V1322" s="56"/>
    </row>
    <row r="1323" ht="18.75" customHeight="1">
      <c r="A1323" s="90"/>
      <c r="B1323" s="126"/>
      <c r="C1323" s="252"/>
      <c r="D1323" s="109"/>
      <c r="E1323" s="109"/>
      <c r="F1323" s="110"/>
      <c r="G1323" s="95"/>
      <c r="H1323" s="122"/>
      <c r="I1323" s="109"/>
      <c r="J1323" s="120"/>
      <c r="K1323" s="120"/>
      <c r="L1323" s="93"/>
      <c r="M1323" s="93"/>
      <c r="N1323" s="93"/>
      <c r="O1323" s="56"/>
      <c r="P1323" s="56"/>
      <c r="Q1323" s="56"/>
      <c r="R1323" s="56"/>
      <c r="S1323" s="56"/>
      <c r="T1323" s="56"/>
      <c r="U1323" s="56"/>
      <c r="V1323" s="56"/>
    </row>
    <row r="1324" ht="18.75" customHeight="1">
      <c r="A1324" s="90"/>
      <c r="B1324" s="126"/>
      <c r="C1324" s="252"/>
      <c r="D1324" s="109"/>
      <c r="E1324" s="109"/>
      <c r="F1324" s="110"/>
      <c r="G1324" s="95"/>
      <c r="H1324" s="122"/>
      <c r="I1324" s="109"/>
      <c r="J1324" s="120"/>
      <c r="K1324" s="120"/>
      <c r="L1324" s="93"/>
      <c r="M1324" s="93"/>
      <c r="N1324" s="93"/>
      <c r="O1324" s="56"/>
      <c r="P1324" s="56"/>
      <c r="Q1324" s="56"/>
      <c r="R1324" s="56"/>
      <c r="S1324" s="56"/>
      <c r="T1324" s="56"/>
      <c r="U1324" s="56"/>
      <c r="V1324" s="56"/>
    </row>
    <row r="1325" ht="18.75" customHeight="1">
      <c r="A1325" s="90"/>
      <c r="B1325" s="126"/>
      <c r="C1325" s="252"/>
      <c r="D1325" s="109"/>
      <c r="E1325" s="109"/>
      <c r="F1325" s="110"/>
      <c r="G1325" s="95"/>
      <c r="H1325" s="122"/>
      <c r="I1325" s="109"/>
      <c r="J1325" s="120"/>
      <c r="K1325" s="120"/>
      <c r="L1325" s="93"/>
      <c r="M1325" s="93"/>
      <c r="N1325" s="93"/>
      <c r="O1325" s="56"/>
      <c r="P1325" s="56"/>
      <c r="Q1325" s="56"/>
      <c r="R1325" s="56"/>
      <c r="S1325" s="56"/>
      <c r="T1325" s="56"/>
      <c r="U1325" s="56"/>
      <c r="V1325" s="56"/>
    </row>
    <row r="1326" ht="18.75" customHeight="1">
      <c r="A1326" s="90"/>
      <c r="B1326" s="126"/>
      <c r="C1326" s="252"/>
      <c r="D1326" s="109"/>
      <c r="E1326" s="109"/>
      <c r="F1326" s="110"/>
      <c r="G1326" s="95"/>
      <c r="H1326" s="122"/>
      <c r="I1326" s="109"/>
      <c r="J1326" s="120"/>
      <c r="K1326" s="120"/>
      <c r="L1326" s="93"/>
      <c r="M1326" s="93"/>
      <c r="N1326" s="93"/>
      <c r="O1326" s="56"/>
      <c r="P1326" s="56"/>
      <c r="Q1326" s="56"/>
      <c r="R1326" s="56"/>
      <c r="S1326" s="56"/>
      <c r="T1326" s="56"/>
      <c r="U1326" s="56"/>
      <c r="V1326" s="56"/>
    </row>
    <row r="1327" ht="18.75" customHeight="1">
      <c r="A1327" s="90"/>
      <c r="B1327" s="126"/>
      <c r="C1327" s="252"/>
      <c r="D1327" s="109"/>
      <c r="E1327" s="109"/>
      <c r="F1327" s="110"/>
      <c r="G1327" s="95"/>
      <c r="H1327" s="122"/>
      <c r="I1327" s="109"/>
      <c r="J1327" s="120"/>
      <c r="K1327" s="120"/>
      <c r="L1327" s="93"/>
      <c r="M1327" s="93"/>
      <c r="N1327" s="93"/>
      <c r="O1327" s="56"/>
      <c r="P1327" s="56"/>
      <c r="Q1327" s="56"/>
      <c r="R1327" s="56"/>
      <c r="S1327" s="56"/>
      <c r="T1327" s="56"/>
      <c r="U1327" s="56"/>
      <c r="V1327" s="56"/>
    </row>
    <row r="1328" ht="18.75" customHeight="1">
      <c r="A1328" s="90"/>
      <c r="B1328" s="126"/>
      <c r="C1328" s="252"/>
      <c r="D1328" s="109"/>
      <c r="E1328" s="109"/>
      <c r="F1328" s="110"/>
      <c r="G1328" s="95"/>
      <c r="H1328" s="122"/>
      <c r="I1328" s="109"/>
      <c r="J1328" s="120"/>
      <c r="K1328" s="120"/>
      <c r="L1328" s="93"/>
      <c r="M1328" s="93"/>
      <c r="N1328" s="93"/>
      <c r="O1328" s="56"/>
      <c r="P1328" s="56"/>
      <c r="Q1328" s="56"/>
      <c r="R1328" s="56"/>
      <c r="S1328" s="56"/>
      <c r="T1328" s="56"/>
      <c r="U1328" s="56"/>
      <c r="V1328" s="56"/>
    </row>
    <row r="1329" ht="18.75" customHeight="1">
      <c r="A1329" s="90"/>
      <c r="B1329" s="126"/>
      <c r="C1329" s="252"/>
      <c r="D1329" s="109"/>
      <c r="E1329" s="109"/>
      <c r="F1329" s="110"/>
      <c r="G1329" s="95"/>
      <c r="H1329" s="122"/>
      <c r="I1329" s="109"/>
      <c r="J1329" s="120"/>
      <c r="K1329" s="120"/>
      <c r="L1329" s="93"/>
      <c r="M1329" s="93"/>
      <c r="N1329" s="93"/>
      <c r="O1329" s="56"/>
      <c r="P1329" s="56"/>
      <c r="Q1329" s="56"/>
      <c r="R1329" s="56"/>
      <c r="S1329" s="56"/>
      <c r="T1329" s="56"/>
      <c r="U1329" s="56"/>
      <c r="V1329" s="56"/>
    </row>
    <row r="1330" ht="18.75" customHeight="1">
      <c r="A1330" s="90"/>
      <c r="B1330" s="126"/>
      <c r="C1330" s="252"/>
      <c r="D1330" s="109"/>
      <c r="E1330" s="109"/>
      <c r="F1330" s="110"/>
      <c r="G1330" s="95"/>
      <c r="H1330" s="122"/>
      <c r="I1330" s="109"/>
      <c r="J1330" s="120"/>
      <c r="K1330" s="120"/>
      <c r="L1330" s="93"/>
      <c r="M1330" s="93"/>
      <c r="N1330" s="93"/>
      <c r="O1330" s="56"/>
      <c r="P1330" s="56"/>
      <c r="Q1330" s="56"/>
      <c r="R1330" s="56"/>
      <c r="S1330" s="56"/>
      <c r="T1330" s="56"/>
      <c r="U1330" s="56"/>
      <c r="V1330" s="56"/>
    </row>
    <row r="1331" ht="18.75" customHeight="1">
      <c r="A1331" s="90"/>
      <c r="B1331" s="126"/>
      <c r="C1331" s="252"/>
      <c r="D1331" s="109"/>
      <c r="E1331" s="109"/>
      <c r="F1331" s="110"/>
      <c r="G1331" s="95"/>
      <c r="H1331" s="122"/>
      <c r="I1331" s="109"/>
      <c r="J1331" s="120"/>
      <c r="K1331" s="120"/>
      <c r="L1331" s="93"/>
      <c r="M1331" s="93"/>
      <c r="N1331" s="93"/>
      <c r="O1331" s="56"/>
      <c r="P1331" s="56"/>
      <c r="Q1331" s="56"/>
      <c r="R1331" s="56"/>
      <c r="S1331" s="56"/>
      <c r="T1331" s="56"/>
      <c r="U1331" s="56"/>
      <c r="V1331" s="56"/>
    </row>
    <row r="1332" ht="18.75" customHeight="1">
      <c r="A1332" s="90"/>
      <c r="B1332" s="126"/>
      <c r="C1332" s="252"/>
      <c r="D1332" s="109"/>
      <c r="E1332" s="109"/>
      <c r="F1332" s="110"/>
      <c r="G1332" s="95"/>
      <c r="H1332" s="122"/>
      <c r="I1332" s="109"/>
      <c r="J1332" s="120"/>
      <c r="K1332" s="120"/>
      <c r="L1332" s="93"/>
      <c r="M1332" s="93"/>
      <c r="N1332" s="93"/>
      <c r="O1332" s="56"/>
      <c r="P1332" s="56"/>
      <c r="Q1332" s="56"/>
      <c r="R1332" s="56"/>
      <c r="S1332" s="56"/>
      <c r="T1332" s="56"/>
      <c r="U1332" s="56"/>
      <c r="V1332" s="56"/>
    </row>
    <row r="1333" ht="18.75" customHeight="1">
      <c r="A1333" s="90"/>
      <c r="B1333" s="126"/>
      <c r="C1333" s="252"/>
      <c r="D1333" s="109"/>
      <c r="E1333" s="109"/>
      <c r="F1333" s="110"/>
      <c r="G1333" s="95"/>
      <c r="H1333" s="122"/>
      <c r="I1333" s="109"/>
      <c r="J1333" s="120"/>
      <c r="K1333" s="120"/>
      <c r="L1333" s="93"/>
      <c r="M1333" s="93"/>
      <c r="N1333" s="93"/>
      <c r="O1333" s="56"/>
      <c r="P1333" s="56"/>
      <c r="Q1333" s="56"/>
      <c r="R1333" s="56"/>
      <c r="S1333" s="56"/>
      <c r="T1333" s="56"/>
      <c r="U1333" s="56"/>
      <c r="V1333" s="56"/>
    </row>
    <row r="1334" ht="18.75" customHeight="1">
      <c r="A1334" s="90"/>
      <c r="B1334" s="126"/>
      <c r="C1334" s="252"/>
      <c r="D1334" s="109"/>
      <c r="E1334" s="109"/>
      <c r="F1334" s="110"/>
      <c r="G1334" s="95"/>
      <c r="H1334" s="122"/>
      <c r="I1334" s="109"/>
      <c r="J1334" s="120"/>
      <c r="K1334" s="120"/>
      <c r="L1334" s="93"/>
      <c r="M1334" s="93"/>
      <c r="N1334" s="93"/>
      <c r="O1334" s="56"/>
      <c r="P1334" s="56"/>
      <c r="Q1334" s="56"/>
      <c r="R1334" s="56"/>
      <c r="S1334" s="56"/>
      <c r="T1334" s="56"/>
      <c r="U1334" s="56"/>
      <c r="V1334" s="56"/>
    </row>
    <row r="1335" ht="18.75" customHeight="1">
      <c r="A1335" s="90"/>
      <c r="B1335" s="126"/>
      <c r="C1335" s="252"/>
      <c r="D1335" s="109"/>
      <c r="E1335" s="109"/>
      <c r="F1335" s="110"/>
      <c r="G1335" s="95"/>
      <c r="H1335" s="122"/>
      <c r="I1335" s="109"/>
      <c r="J1335" s="120"/>
      <c r="K1335" s="120"/>
      <c r="L1335" s="93"/>
      <c r="M1335" s="93"/>
      <c r="N1335" s="93"/>
      <c r="O1335" s="56"/>
      <c r="P1335" s="56"/>
      <c r="Q1335" s="56"/>
      <c r="R1335" s="56"/>
      <c r="S1335" s="56"/>
      <c r="T1335" s="56"/>
      <c r="U1335" s="56"/>
      <c r="V1335" s="56"/>
    </row>
    <row r="1336" ht="18.75" customHeight="1">
      <c r="A1336" s="90"/>
      <c r="B1336" s="126"/>
      <c r="C1336" s="252"/>
      <c r="D1336" s="109"/>
      <c r="E1336" s="109"/>
      <c r="F1336" s="110"/>
      <c r="G1336" s="95"/>
      <c r="H1336" s="122"/>
      <c r="I1336" s="109"/>
      <c r="J1336" s="120"/>
      <c r="K1336" s="120"/>
      <c r="L1336" s="93"/>
      <c r="M1336" s="93"/>
      <c r="N1336" s="93"/>
      <c r="O1336" s="56"/>
      <c r="P1336" s="56"/>
      <c r="Q1336" s="56"/>
      <c r="R1336" s="56"/>
      <c r="S1336" s="56"/>
      <c r="T1336" s="56"/>
      <c r="U1336" s="56"/>
      <c r="V1336" s="56"/>
    </row>
    <row r="1337" ht="18.75" customHeight="1">
      <c r="A1337" s="90"/>
      <c r="B1337" s="126"/>
      <c r="C1337" s="252"/>
      <c r="D1337" s="109"/>
      <c r="E1337" s="109"/>
      <c r="F1337" s="110"/>
      <c r="G1337" s="95"/>
      <c r="H1337" s="122"/>
      <c r="I1337" s="109"/>
      <c r="J1337" s="120"/>
      <c r="K1337" s="120"/>
      <c r="L1337" s="93"/>
      <c r="M1337" s="93"/>
      <c r="N1337" s="93"/>
      <c r="O1337" s="56"/>
      <c r="P1337" s="56"/>
      <c r="Q1337" s="56"/>
      <c r="R1337" s="56"/>
      <c r="S1337" s="56"/>
      <c r="T1337" s="56"/>
      <c r="U1337" s="56"/>
      <c r="V1337" s="56"/>
    </row>
    <row r="1338" ht="18.75" customHeight="1">
      <c r="A1338" s="90"/>
      <c r="B1338" s="126"/>
      <c r="C1338" s="252"/>
      <c r="D1338" s="109"/>
      <c r="E1338" s="109"/>
      <c r="F1338" s="110"/>
      <c r="G1338" s="95"/>
      <c r="H1338" s="122"/>
      <c r="I1338" s="109"/>
      <c r="J1338" s="120"/>
      <c r="K1338" s="120"/>
      <c r="L1338" s="93"/>
      <c r="M1338" s="93"/>
      <c r="N1338" s="93"/>
      <c r="O1338" s="56"/>
      <c r="P1338" s="56"/>
      <c r="Q1338" s="56"/>
      <c r="R1338" s="56"/>
      <c r="S1338" s="56"/>
      <c r="T1338" s="56"/>
      <c r="U1338" s="56"/>
      <c r="V1338" s="56"/>
    </row>
    <row r="1339" ht="18.75" customHeight="1">
      <c r="A1339" s="90"/>
      <c r="B1339" s="126"/>
      <c r="C1339" s="252"/>
      <c r="D1339" s="109"/>
      <c r="E1339" s="109"/>
      <c r="F1339" s="110"/>
      <c r="G1339" s="95"/>
      <c r="H1339" s="122"/>
      <c r="I1339" s="109"/>
      <c r="J1339" s="120"/>
      <c r="K1339" s="120"/>
      <c r="L1339" s="93"/>
      <c r="M1339" s="93"/>
      <c r="N1339" s="93"/>
      <c r="O1339" s="56"/>
      <c r="P1339" s="56"/>
      <c r="Q1339" s="56"/>
      <c r="R1339" s="56"/>
      <c r="S1339" s="56"/>
      <c r="T1339" s="56"/>
      <c r="U1339" s="56"/>
      <c r="V1339" s="56"/>
    </row>
    <row r="1340" ht="18.75" customHeight="1">
      <c r="A1340" s="90"/>
      <c r="B1340" s="126"/>
      <c r="C1340" s="252"/>
      <c r="D1340" s="109"/>
      <c r="E1340" s="109"/>
      <c r="F1340" s="110"/>
      <c r="G1340" s="95"/>
      <c r="H1340" s="122"/>
      <c r="I1340" s="109"/>
      <c r="J1340" s="120"/>
      <c r="K1340" s="120"/>
      <c r="L1340" s="93"/>
      <c r="M1340" s="93"/>
      <c r="N1340" s="93"/>
      <c r="O1340" s="56"/>
      <c r="P1340" s="56"/>
      <c r="Q1340" s="56"/>
      <c r="R1340" s="56"/>
      <c r="S1340" s="56"/>
      <c r="T1340" s="56"/>
      <c r="U1340" s="56"/>
      <c r="V1340" s="56"/>
    </row>
    <row r="1341" ht="18.75" customHeight="1">
      <c r="A1341" s="90"/>
      <c r="B1341" s="126"/>
      <c r="C1341" s="252"/>
      <c r="D1341" s="109"/>
      <c r="E1341" s="109"/>
      <c r="F1341" s="110"/>
      <c r="G1341" s="95"/>
      <c r="H1341" s="122"/>
      <c r="I1341" s="109"/>
      <c r="J1341" s="120"/>
      <c r="K1341" s="120"/>
      <c r="L1341" s="93"/>
      <c r="M1341" s="93"/>
      <c r="N1341" s="93"/>
      <c r="O1341" s="56"/>
      <c r="P1341" s="56"/>
      <c r="Q1341" s="56"/>
      <c r="R1341" s="56"/>
      <c r="S1341" s="56"/>
      <c r="T1341" s="56"/>
      <c r="U1341" s="56"/>
      <c r="V1341" s="56"/>
    </row>
    <row r="1342" ht="18.75" customHeight="1">
      <c r="A1342" s="90"/>
      <c r="B1342" s="126"/>
      <c r="C1342" s="252"/>
      <c r="D1342" s="109"/>
      <c r="E1342" s="109"/>
      <c r="F1342" s="110"/>
      <c r="G1342" s="95"/>
      <c r="H1342" s="122"/>
      <c r="I1342" s="109"/>
      <c r="J1342" s="120"/>
      <c r="K1342" s="120"/>
      <c r="L1342" s="93"/>
      <c r="M1342" s="93"/>
      <c r="N1342" s="93"/>
      <c r="O1342" s="56"/>
      <c r="P1342" s="56"/>
      <c r="Q1342" s="56"/>
      <c r="R1342" s="56"/>
      <c r="S1342" s="56"/>
      <c r="T1342" s="56"/>
      <c r="U1342" s="56"/>
      <c r="V1342" s="56"/>
    </row>
    <row r="1343" ht="18.75" customHeight="1">
      <c r="A1343" s="90"/>
      <c r="B1343" s="126"/>
      <c r="C1343" s="252"/>
      <c r="D1343" s="109"/>
      <c r="E1343" s="109"/>
      <c r="F1343" s="110"/>
      <c r="G1343" s="95"/>
      <c r="H1343" s="122"/>
      <c r="I1343" s="109"/>
      <c r="J1343" s="120"/>
      <c r="K1343" s="120"/>
      <c r="L1343" s="93"/>
      <c r="M1343" s="93"/>
      <c r="N1343" s="93"/>
      <c r="O1343" s="56"/>
      <c r="P1343" s="56"/>
      <c r="Q1343" s="56"/>
      <c r="R1343" s="56"/>
      <c r="S1343" s="56"/>
      <c r="T1343" s="56"/>
      <c r="U1343" s="56"/>
      <c r="V1343" s="56"/>
    </row>
    <row r="1344" ht="18.75" customHeight="1">
      <c r="A1344" s="90"/>
      <c r="B1344" s="126"/>
      <c r="C1344" s="252"/>
      <c r="D1344" s="109"/>
      <c r="E1344" s="109"/>
      <c r="F1344" s="110"/>
      <c r="G1344" s="95"/>
      <c r="H1344" s="122"/>
      <c r="I1344" s="109"/>
      <c r="J1344" s="120"/>
      <c r="K1344" s="120"/>
      <c r="L1344" s="93"/>
      <c r="M1344" s="93"/>
      <c r="N1344" s="93"/>
      <c r="O1344" s="56"/>
      <c r="P1344" s="56"/>
      <c r="Q1344" s="56"/>
      <c r="R1344" s="56"/>
      <c r="S1344" s="56"/>
      <c r="T1344" s="56"/>
      <c r="U1344" s="56"/>
      <c r="V1344" s="56"/>
    </row>
    <row r="1345" ht="18.75" customHeight="1">
      <c r="A1345" s="90"/>
      <c r="B1345" s="126"/>
      <c r="C1345" s="252"/>
      <c r="D1345" s="109"/>
      <c r="E1345" s="109"/>
      <c r="F1345" s="110"/>
      <c r="G1345" s="95"/>
      <c r="H1345" s="122"/>
      <c r="I1345" s="109"/>
      <c r="J1345" s="120"/>
      <c r="K1345" s="120"/>
      <c r="L1345" s="93"/>
      <c r="M1345" s="93"/>
      <c r="N1345" s="93"/>
      <c r="O1345" s="56"/>
      <c r="P1345" s="56"/>
      <c r="Q1345" s="56"/>
      <c r="R1345" s="56"/>
      <c r="S1345" s="56"/>
      <c r="T1345" s="56"/>
      <c r="U1345" s="56"/>
      <c r="V1345" s="56"/>
    </row>
    <row r="1346" ht="18.75" customHeight="1">
      <c r="A1346" s="90"/>
      <c r="B1346" s="126"/>
      <c r="C1346" s="252"/>
      <c r="D1346" s="109"/>
      <c r="E1346" s="109"/>
      <c r="F1346" s="110"/>
      <c r="G1346" s="95"/>
      <c r="H1346" s="122"/>
      <c r="I1346" s="109"/>
      <c r="J1346" s="120"/>
      <c r="K1346" s="120"/>
      <c r="L1346" s="93"/>
      <c r="M1346" s="93"/>
      <c r="N1346" s="93"/>
      <c r="O1346" s="56"/>
      <c r="P1346" s="56"/>
      <c r="Q1346" s="56"/>
      <c r="R1346" s="56"/>
      <c r="S1346" s="56"/>
      <c r="T1346" s="56"/>
      <c r="U1346" s="56"/>
      <c r="V1346" s="56"/>
    </row>
    <row r="1347" ht="18.75" customHeight="1">
      <c r="A1347" s="90"/>
      <c r="B1347" s="126"/>
      <c r="C1347" s="252"/>
      <c r="D1347" s="109"/>
      <c r="E1347" s="109"/>
      <c r="F1347" s="110"/>
      <c r="G1347" s="95"/>
      <c r="H1347" s="122"/>
      <c r="I1347" s="109"/>
      <c r="J1347" s="120"/>
      <c r="K1347" s="120"/>
      <c r="L1347" s="93"/>
      <c r="M1347" s="93"/>
      <c r="N1347" s="93"/>
      <c r="O1347" s="56"/>
      <c r="P1347" s="56"/>
      <c r="Q1347" s="56"/>
      <c r="R1347" s="56"/>
      <c r="S1347" s="56"/>
      <c r="T1347" s="56"/>
      <c r="U1347" s="56"/>
      <c r="V1347" s="56"/>
    </row>
    <row r="1348" ht="18.75" customHeight="1">
      <c r="A1348" s="90"/>
      <c r="B1348" s="126"/>
      <c r="C1348" s="252"/>
      <c r="D1348" s="109"/>
      <c r="E1348" s="109"/>
      <c r="F1348" s="110"/>
      <c r="G1348" s="95"/>
      <c r="H1348" s="122"/>
      <c r="I1348" s="109"/>
      <c r="J1348" s="120"/>
      <c r="K1348" s="120"/>
      <c r="L1348" s="93"/>
      <c r="M1348" s="93"/>
      <c r="N1348" s="93"/>
      <c r="O1348" s="56"/>
      <c r="P1348" s="56"/>
      <c r="Q1348" s="56"/>
      <c r="R1348" s="56"/>
      <c r="S1348" s="56"/>
      <c r="T1348" s="56"/>
      <c r="U1348" s="56"/>
      <c r="V1348" s="56"/>
    </row>
    <row r="1349" ht="18.75" customHeight="1">
      <c r="A1349" s="90"/>
      <c r="B1349" s="126"/>
      <c r="C1349" s="252"/>
      <c r="D1349" s="109"/>
      <c r="E1349" s="109"/>
      <c r="F1349" s="110"/>
      <c r="G1349" s="95"/>
      <c r="H1349" s="122"/>
      <c r="I1349" s="109"/>
      <c r="J1349" s="120"/>
      <c r="K1349" s="120"/>
      <c r="L1349" s="93"/>
      <c r="M1349" s="93"/>
      <c r="N1349" s="93"/>
      <c r="O1349" s="56"/>
      <c r="P1349" s="56"/>
      <c r="Q1349" s="56"/>
      <c r="R1349" s="56"/>
      <c r="S1349" s="56"/>
      <c r="T1349" s="56"/>
      <c r="U1349" s="56"/>
      <c r="V1349" s="56"/>
    </row>
    <row r="1350" ht="18.75" customHeight="1">
      <c r="A1350" s="90"/>
      <c r="B1350" s="126"/>
      <c r="C1350" s="252"/>
      <c r="D1350" s="109"/>
      <c r="E1350" s="109"/>
      <c r="F1350" s="110"/>
      <c r="G1350" s="95"/>
      <c r="H1350" s="122"/>
      <c r="I1350" s="109"/>
      <c r="J1350" s="120"/>
      <c r="K1350" s="120"/>
      <c r="L1350" s="93"/>
      <c r="M1350" s="93"/>
      <c r="N1350" s="93"/>
      <c r="O1350" s="56"/>
      <c r="P1350" s="56"/>
      <c r="Q1350" s="56"/>
      <c r="R1350" s="56"/>
      <c r="S1350" s="56"/>
      <c r="T1350" s="56"/>
      <c r="U1350" s="56"/>
      <c r="V1350" s="56"/>
    </row>
    <row r="1351" ht="18.75" customHeight="1">
      <c r="A1351" s="90"/>
      <c r="B1351" s="126"/>
      <c r="C1351" s="252"/>
      <c r="D1351" s="109"/>
      <c r="E1351" s="109"/>
      <c r="F1351" s="110"/>
      <c r="G1351" s="95"/>
      <c r="H1351" s="122"/>
      <c r="I1351" s="109"/>
      <c r="J1351" s="120"/>
      <c r="K1351" s="120"/>
      <c r="L1351" s="93"/>
      <c r="M1351" s="93"/>
      <c r="N1351" s="93"/>
      <c r="O1351" s="56"/>
      <c r="P1351" s="56"/>
      <c r="Q1351" s="56"/>
      <c r="R1351" s="56"/>
      <c r="S1351" s="56"/>
      <c r="T1351" s="56"/>
      <c r="U1351" s="56"/>
      <c r="V1351" s="56"/>
    </row>
    <row r="1352" ht="18.75" customHeight="1">
      <c r="A1352" s="90"/>
      <c r="B1352" s="126"/>
      <c r="C1352" s="252"/>
      <c r="D1352" s="109"/>
      <c r="E1352" s="109"/>
      <c r="F1352" s="110"/>
      <c r="G1352" s="95"/>
      <c r="H1352" s="122"/>
      <c r="I1352" s="109"/>
      <c r="J1352" s="120"/>
      <c r="K1352" s="120"/>
      <c r="L1352" s="93"/>
      <c r="M1352" s="93"/>
      <c r="N1352" s="93"/>
      <c r="O1352" s="56"/>
      <c r="P1352" s="56"/>
      <c r="Q1352" s="56"/>
      <c r="R1352" s="56"/>
      <c r="S1352" s="56"/>
      <c r="T1352" s="56"/>
      <c r="U1352" s="56"/>
      <c r="V1352" s="56"/>
    </row>
    <row r="1353" ht="18.75" customHeight="1">
      <c r="A1353" s="90"/>
      <c r="B1353" s="126"/>
      <c r="C1353" s="252"/>
      <c r="D1353" s="109"/>
      <c r="E1353" s="109"/>
      <c r="F1353" s="110"/>
      <c r="G1353" s="95"/>
      <c r="H1353" s="122"/>
      <c r="I1353" s="109"/>
      <c r="J1353" s="120"/>
      <c r="K1353" s="120"/>
      <c r="L1353" s="93"/>
      <c r="M1353" s="93"/>
      <c r="N1353" s="93"/>
      <c r="O1353" s="56"/>
      <c r="P1353" s="56"/>
      <c r="Q1353" s="56"/>
      <c r="R1353" s="56"/>
      <c r="S1353" s="56"/>
      <c r="T1353" s="56"/>
      <c r="U1353" s="56"/>
      <c r="V1353" s="56"/>
    </row>
    <row r="1354" ht="18.75" customHeight="1">
      <c r="A1354" s="90"/>
      <c r="B1354" s="126"/>
      <c r="C1354" s="252"/>
      <c r="D1354" s="109"/>
      <c r="E1354" s="109"/>
      <c r="F1354" s="110"/>
      <c r="G1354" s="95"/>
      <c r="H1354" s="122"/>
      <c r="I1354" s="109"/>
      <c r="J1354" s="120"/>
      <c r="K1354" s="120"/>
      <c r="L1354" s="93"/>
      <c r="M1354" s="93"/>
      <c r="N1354" s="93"/>
      <c r="O1354" s="56"/>
      <c r="P1354" s="56"/>
      <c r="Q1354" s="56"/>
      <c r="R1354" s="56"/>
      <c r="S1354" s="56"/>
      <c r="T1354" s="56"/>
      <c r="U1354" s="56"/>
      <c r="V1354" s="56"/>
    </row>
    <row r="1355" ht="18.75" customHeight="1">
      <c r="A1355" s="90"/>
      <c r="B1355" s="126"/>
      <c r="C1355" s="252"/>
      <c r="D1355" s="109"/>
      <c r="E1355" s="109"/>
      <c r="F1355" s="110"/>
      <c r="G1355" s="95"/>
      <c r="H1355" s="122"/>
      <c r="I1355" s="109"/>
      <c r="J1355" s="120"/>
      <c r="K1355" s="120"/>
      <c r="L1355" s="93"/>
      <c r="M1355" s="93"/>
      <c r="N1355" s="93"/>
      <c r="O1355" s="56"/>
      <c r="P1355" s="56"/>
      <c r="Q1355" s="56"/>
      <c r="R1355" s="56"/>
      <c r="S1355" s="56"/>
      <c r="T1355" s="56"/>
      <c r="U1355" s="56"/>
      <c r="V1355" s="56"/>
    </row>
    <row r="1356" ht="18.75" customHeight="1">
      <c r="A1356" s="90"/>
      <c r="B1356" s="126"/>
      <c r="C1356" s="252"/>
      <c r="D1356" s="109"/>
      <c r="E1356" s="109"/>
      <c r="F1356" s="110"/>
      <c r="G1356" s="95"/>
      <c r="H1356" s="122"/>
      <c r="I1356" s="109"/>
      <c r="J1356" s="120"/>
      <c r="K1356" s="120"/>
      <c r="L1356" s="93"/>
      <c r="M1356" s="93"/>
      <c r="N1356" s="93"/>
      <c r="O1356" s="56"/>
      <c r="P1356" s="56"/>
      <c r="Q1356" s="56"/>
      <c r="R1356" s="56"/>
      <c r="S1356" s="56"/>
      <c r="T1356" s="56"/>
      <c r="U1356" s="56"/>
      <c r="V1356" s="56"/>
    </row>
    <row r="1357" ht="18.75" customHeight="1">
      <c r="A1357" s="90"/>
      <c r="B1357" s="126"/>
      <c r="C1357" s="252"/>
      <c r="D1357" s="109"/>
      <c r="E1357" s="109"/>
      <c r="F1357" s="110"/>
      <c r="G1357" s="95"/>
      <c r="H1357" s="122"/>
      <c r="I1357" s="109"/>
      <c r="J1357" s="120"/>
      <c r="K1357" s="120"/>
      <c r="L1357" s="93"/>
      <c r="M1357" s="93"/>
      <c r="N1357" s="93"/>
      <c r="O1357" s="56"/>
      <c r="P1357" s="56"/>
      <c r="Q1357" s="56"/>
      <c r="R1357" s="56"/>
      <c r="S1357" s="56"/>
      <c r="T1357" s="56"/>
      <c r="U1357" s="56"/>
      <c r="V1357" s="56"/>
    </row>
    <row r="1358" ht="18.75" customHeight="1">
      <c r="A1358" s="90"/>
      <c r="B1358" s="126"/>
      <c r="C1358" s="252"/>
      <c r="D1358" s="109"/>
      <c r="E1358" s="109"/>
      <c r="F1358" s="110"/>
      <c r="G1358" s="95"/>
      <c r="H1358" s="122"/>
      <c r="I1358" s="109"/>
      <c r="J1358" s="120"/>
      <c r="K1358" s="120"/>
      <c r="L1358" s="93"/>
      <c r="M1358" s="93"/>
      <c r="N1358" s="93"/>
      <c r="O1358" s="56"/>
      <c r="P1358" s="56"/>
      <c r="Q1358" s="56"/>
      <c r="R1358" s="56"/>
      <c r="S1358" s="56"/>
      <c r="T1358" s="56"/>
      <c r="U1358" s="56"/>
      <c r="V1358" s="56"/>
    </row>
    <row r="1359" ht="18.75" customHeight="1">
      <c r="A1359" s="90"/>
      <c r="B1359" s="126"/>
      <c r="C1359" s="252"/>
      <c r="D1359" s="109"/>
      <c r="E1359" s="109"/>
      <c r="F1359" s="110"/>
      <c r="G1359" s="95"/>
      <c r="H1359" s="122"/>
      <c r="I1359" s="109"/>
      <c r="J1359" s="120"/>
      <c r="K1359" s="120"/>
      <c r="L1359" s="93"/>
      <c r="M1359" s="93"/>
      <c r="N1359" s="93"/>
      <c r="O1359" s="56"/>
      <c r="P1359" s="56"/>
      <c r="Q1359" s="56"/>
      <c r="R1359" s="56"/>
      <c r="S1359" s="56"/>
      <c r="T1359" s="56"/>
      <c r="U1359" s="56"/>
      <c r="V1359" s="56"/>
    </row>
    <row r="1360" ht="18.75" customHeight="1">
      <c r="A1360" s="90"/>
      <c r="B1360" s="126"/>
      <c r="C1360" s="252"/>
      <c r="D1360" s="109"/>
      <c r="E1360" s="109"/>
      <c r="F1360" s="110"/>
      <c r="G1360" s="95"/>
      <c r="H1360" s="122"/>
      <c r="I1360" s="109"/>
      <c r="J1360" s="120"/>
      <c r="K1360" s="120"/>
      <c r="L1360" s="93"/>
      <c r="M1360" s="93"/>
      <c r="N1360" s="93"/>
      <c r="O1360" s="56"/>
      <c r="P1360" s="56"/>
      <c r="Q1360" s="56"/>
      <c r="R1360" s="56"/>
      <c r="S1360" s="56"/>
      <c r="T1360" s="56"/>
      <c r="U1360" s="56"/>
      <c r="V1360" s="56"/>
    </row>
    <row r="1361" ht="18.75" customHeight="1">
      <c r="A1361" s="90"/>
      <c r="B1361" s="126"/>
      <c r="C1361" s="252"/>
      <c r="D1361" s="109"/>
      <c r="E1361" s="109"/>
      <c r="F1361" s="110"/>
      <c r="G1361" s="95"/>
      <c r="H1361" s="122"/>
      <c r="I1361" s="109"/>
      <c r="J1361" s="120"/>
      <c r="K1361" s="120"/>
      <c r="L1361" s="93"/>
      <c r="M1361" s="93"/>
      <c r="N1361" s="93"/>
      <c r="O1361" s="56"/>
      <c r="P1361" s="56"/>
      <c r="Q1361" s="56"/>
      <c r="R1361" s="56"/>
      <c r="S1361" s="56"/>
      <c r="T1361" s="56"/>
      <c r="U1361" s="56"/>
      <c r="V1361" s="56"/>
    </row>
    <row r="1362" ht="18.75" customHeight="1">
      <c r="A1362" s="90"/>
      <c r="B1362" s="126"/>
      <c r="C1362" s="252"/>
      <c r="D1362" s="109"/>
      <c r="E1362" s="109"/>
      <c r="F1362" s="110"/>
      <c r="G1362" s="95"/>
      <c r="H1362" s="122"/>
      <c r="I1362" s="109"/>
      <c r="J1362" s="120"/>
      <c r="K1362" s="120"/>
      <c r="L1362" s="93"/>
      <c r="M1362" s="93"/>
      <c r="N1362" s="93"/>
      <c r="O1362" s="56"/>
      <c r="P1362" s="56"/>
      <c r="Q1362" s="56"/>
      <c r="R1362" s="56"/>
      <c r="S1362" s="56"/>
      <c r="T1362" s="56"/>
      <c r="U1362" s="56"/>
      <c r="V1362" s="56"/>
    </row>
    <row r="1363" ht="18.75" customHeight="1">
      <c r="A1363" s="90"/>
      <c r="B1363" s="126"/>
      <c r="C1363" s="252"/>
      <c r="D1363" s="109"/>
      <c r="E1363" s="109"/>
      <c r="F1363" s="110"/>
      <c r="G1363" s="95"/>
      <c r="H1363" s="122"/>
      <c r="I1363" s="109"/>
      <c r="J1363" s="120"/>
      <c r="K1363" s="120"/>
      <c r="L1363" s="93"/>
      <c r="M1363" s="93"/>
      <c r="N1363" s="93"/>
      <c r="O1363" s="56"/>
      <c r="P1363" s="56"/>
      <c r="Q1363" s="56"/>
      <c r="R1363" s="56"/>
      <c r="S1363" s="56"/>
      <c r="T1363" s="56"/>
      <c r="U1363" s="56"/>
      <c r="V1363" s="56"/>
    </row>
    <row r="1364" ht="18.75" customHeight="1">
      <c r="A1364" s="90"/>
      <c r="B1364" s="126"/>
      <c r="C1364" s="252"/>
      <c r="D1364" s="109"/>
      <c r="E1364" s="109"/>
      <c r="F1364" s="110"/>
      <c r="G1364" s="95"/>
      <c r="H1364" s="122"/>
      <c r="I1364" s="109"/>
      <c r="J1364" s="120"/>
      <c r="K1364" s="120"/>
      <c r="L1364" s="93"/>
      <c r="M1364" s="93"/>
      <c r="N1364" s="93"/>
      <c r="O1364" s="56"/>
      <c r="P1364" s="56"/>
      <c r="Q1364" s="56"/>
      <c r="R1364" s="56"/>
      <c r="S1364" s="56"/>
      <c r="T1364" s="56"/>
      <c r="U1364" s="56"/>
      <c r="V1364" s="56"/>
    </row>
    <row r="1365" ht="18.75" customHeight="1">
      <c r="A1365" s="90"/>
      <c r="B1365" s="126"/>
      <c r="C1365" s="252"/>
      <c r="D1365" s="109"/>
      <c r="E1365" s="109"/>
      <c r="F1365" s="110"/>
      <c r="G1365" s="95"/>
      <c r="H1365" s="122"/>
      <c r="I1365" s="109"/>
      <c r="J1365" s="120"/>
      <c r="K1365" s="120"/>
      <c r="L1365" s="93"/>
      <c r="M1365" s="93"/>
      <c r="N1365" s="93"/>
      <c r="O1365" s="56"/>
      <c r="P1365" s="56"/>
      <c r="Q1365" s="56"/>
      <c r="R1365" s="56"/>
      <c r="S1365" s="56"/>
      <c r="T1365" s="56"/>
      <c r="U1365" s="56"/>
      <c r="V1365" s="56"/>
    </row>
    <row r="1366" ht="18.75" customHeight="1">
      <c r="A1366" s="90"/>
      <c r="B1366" s="126"/>
      <c r="C1366" s="252"/>
      <c r="D1366" s="109"/>
      <c r="E1366" s="109"/>
      <c r="F1366" s="110"/>
      <c r="G1366" s="95"/>
      <c r="H1366" s="122"/>
      <c r="I1366" s="109"/>
      <c r="J1366" s="120"/>
      <c r="K1366" s="120"/>
      <c r="L1366" s="93"/>
      <c r="M1366" s="93"/>
      <c r="N1366" s="93"/>
      <c r="O1366" s="56"/>
      <c r="P1366" s="56"/>
      <c r="Q1366" s="56"/>
      <c r="R1366" s="56"/>
      <c r="S1366" s="56"/>
      <c r="T1366" s="56"/>
      <c r="U1366" s="56"/>
      <c r="V1366" s="56"/>
    </row>
    <row r="1367" ht="18.75" customHeight="1">
      <c r="A1367" s="90"/>
      <c r="B1367" s="126"/>
      <c r="C1367" s="252"/>
      <c r="D1367" s="109"/>
      <c r="E1367" s="109"/>
      <c r="F1367" s="110"/>
      <c r="G1367" s="95"/>
      <c r="H1367" s="122"/>
      <c r="I1367" s="109"/>
      <c r="J1367" s="120"/>
      <c r="K1367" s="120"/>
      <c r="L1367" s="93"/>
      <c r="M1367" s="93"/>
      <c r="N1367" s="93"/>
      <c r="O1367" s="56"/>
      <c r="P1367" s="56"/>
      <c r="Q1367" s="56"/>
      <c r="R1367" s="56"/>
      <c r="S1367" s="56"/>
      <c r="T1367" s="56"/>
      <c r="U1367" s="56"/>
      <c r="V1367" s="56"/>
    </row>
    <row r="1368" ht="18.75" customHeight="1">
      <c r="A1368" s="90"/>
      <c r="B1368" s="126"/>
      <c r="C1368" s="252"/>
      <c r="D1368" s="109"/>
      <c r="E1368" s="109"/>
      <c r="F1368" s="110"/>
      <c r="G1368" s="95"/>
      <c r="H1368" s="122"/>
      <c r="I1368" s="109"/>
      <c r="J1368" s="120"/>
      <c r="K1368" s="120"/>
      <c r="L1368" s="93"/>
      <c r="M1368" s="93"/>
      <c r="N1368" s="93"/>
      <c r="O1368" s="56"/>
      <c r="P1368" s="56"/>
      <c r="Q1368" s="56"/>
      <c r="R1368" s="56"/>
      <c r="S1368" s="56"/>
      <c r="T1368" s="56"/>
      <c r="U1368" s="56"/>
      <c r="V1368" s="56"/>
    </row>
    <row r="1369" ht="18.75" customHeight="1">
      <c r="A1369" s="90"/>
      <c r="B1369" s="126"/>
      <c r="C1369" s="252"/>
      <c r="D1369" s="109"/>
      <c r="E1369" s="109"/>
      <c r="F1369" s="110"/>
      <c r="G1369" s="95"/>
      <c r="H1369" s="122"/>
      <c r="I1369" s="109"/>
      <c r="J1369" s="120"/>
      <c r="K1369" s="120"/>
      <c r="L1369" s="93"/>
      <c r="M1369" s="93"/>
      <c r="N1369" s="93"/>
      <c r="O1369" s="56"/>
      <c r="P1369" s="56"/>
      <c r="Q1369" s="56"/>
      <c r="R1369" s="56"/>
      <c r="S1369" s="56"/>
      <c r="T1369" s="56"/>
      <c r="U1369" s="56"/>
      <c r="V1369" s="56"/>
    </row>
    <row r="1370" ht="18.75" customHeight="1">
      <c r="A1370" s="90"/>
      <c r="B1370" s="126"/>
      <c r="C1370" s="252"/>
      <c r="D1370" s="109"/>
      <c r="E1370" s="109"/>
      <c r="F1370" s="110"/>
      <c r="G1370" s="95"/>
      <c r="H1370" s="122"/>
      <c r="I1370" s="109"/>
      <c r="J1370" s="120"/>
      <c r="K1370" s="120"/>
      <c r="L1370" s="93"/>
      <c r="M1370" s="93"/>
      <c r="N1370" s="93"/>
      <c r="O1370" s="56"/>
      <c r="P1370" s="56"/>
      <c r="Q1370" s="56"/>
      <c r="R1370" s="56"/>
      <c r="S1370" s="56"/>
      <c r="T1370" s="56"/>
      <c r="U1370" s="56"/>
      <c r="V1370" s="56"/>
    </row>
    <row r="1371" ht="18.75" customHeight="1">
      <c r="A1371" s="90"/>
      <c r="B1371" s="126"/>
      <c r="C1371" s="252"/>
      <c r="D1371" s="109"/>
      <c r="E1371" s="109"/>
      <c r="F1371" s="110"/>
      <c r="G1371" s="95"/>
      <c r="H1371" s="122"/>
      <c r="I1371" s="109"/>
      <c r="J1371" s="120"/>
      <c r="K1371" s="120"/>
      <c r="L1371" s="93"/>
      <c r="M1371" s="93"/>
      <c r="N1371" s="93"/>
      <c r="O1371" s="56"/>
      <c r="P1371" s="56"/>
      <c r="Q1371" s="56"/>
      <c r="R1371" s="56"/>
      <c r="S1371" s="56"/>
      <c r="T1371" s="56"/>
      <c r="U1371" s="56"/>
      <c r="V1371" s="56"/>
    </row>
    <row r="1372" ht="18.75" customHeight="1">
      <c r="A1372" s="90"/>
      <c r="B1372" s="126"/>
      <c r="C1372" s="252"/>
      <c r="D1372" s="109"/>
      <c r="E1372" s="109"/>
      <c r="F1372" s="110"/>
      <c r="G1372" s="95"/>
      <c r="H1372" s="122"/>
      <c r="I1372" s="109"/>
      <c r="J1372" s="120"/>
      <c r="K1372" s="120"/>
      <c r="L1372" s="93"/>
      <c r="M1372" s="93"/>
      <c r="N1372" s="93"/>
      <c r="O1372" s="56"/>
      <c r="P1372" s="56"/>
      <c r="Q1372" s="56"/>
      <c r="R1372" s="56"/>
      <c r="S1372" s="56"/>
      <c r="T1372" s="56"/>
      <c r="U1372" s="56"/>
      <c r="V1372" s="56"/>
    </row>
    <row r="1373" ht="18.75" customHeight="1">
      <c r="A1373" s="90"/>
      <c r="B1373" s="126"/>
      <c r="C1373" s="252"/>
      <c r="D1373" s="109"/>
      <c r="E1373" s="109"/>
      <c r="F1373" s="110"/>
      <c r="G1373" s="95"/>
      <c r="H1373" s="122"/>
      <c r="I1373" s="109"/>
      <c r="J1373" s="120"/>
      <c r="K1373" s="120"/>
      <c r="L1373" s="93"/>
      <c r="M1373" s="93"/>
      <c r="N1373" s="93"/>
      <c r="O1373" s="56"/>
      <c r="P1373" s="56"/>
      <c r="Q1373" s="56"/>
      <c r="R1373" s="56"/>
      <c r="S1373" s="56"/>
      <c r="T1373" s="56"/>
      <c r="U1373" s="56"/>
      <c r="V1373" s="56"/>
    </row>
    <row r="1374" ht="18.75" customHeight="1">
      <c r="A1374" s="90"/>
      <c r="B1374" s="126"/>
      <c r="C1374" s="252"/>
      <c r="D1374" s="109"/>
      <c r="E1374" s="109"/>
      <c r="F1374" s="110"/>
      <c r="G1374" s="95"/>
      <c r="H1374" s="122"/>
      <c r="I1374" s="109"/>
      <c r="J1374" s="120"/>
      <c r="K1374" s="120"/>
      <c r="L1374" s="93"/>
      <c r="M1374" s="93"/>
      <c r="N1374" s="93"/>
      <c r="O1374" s="56"/>
      <c r="P1374" s="56"/>
      <c r="Q1374" s="56"/>
      <c r="R1374" s="56"/>
      <c r="S1374" s="56"/>
      <c r="T1374" s="56"/>
      <c r="U1374" s="56"/>
      <c r="V1374" s="56"/>
    </row>
    <row r="1375" ht="18.75" customHeight="1">
      <c r="A1375" s="90"/>
      <c r="B1375" s="126"/>
      <c r="C1375" s="252"/>
      <c r="D1375" s="109"/>
      <c r="E1375" s="109"/>
      <c r="F1375" s="110"/>
      <c r="G1375" s="95"/>
      <c r="H1375" s="122"/>
      <c r="I1375" s="109"/>
      <c r="J1375" s="120"/>
      <c r="K1375" s="120"/>
      <c r="L1375" s="93"/>
      <c r="M1375" s="93"/>
      <c r="N1375" s="93"/>
      <c r="O1375" s="56"/>
      <c r="P1375" s="56"/>
      <c r="Q1375" s="56"/>
      <c r="R1375" s="56"/>
      <c r="S1375" s="56"/>
      <c r="T1375" s="56"/>
      <c r="U1375" s="56"/>
      <c r="V1375" s="56"/>
    </row>
    <row r="1376" ht="18.75" customHeight="1">
      <c r="A1376" s="90"/>
      <c r="B1376" s="126"/>
      <c r="C1376" s="252"/>
      <c r="D1376" s="109"/>
      <c r="E1376" s="109"/>
      <c r="F1376" s="110"/>
      <c r="G1376" s="95"/>
      <c r="H1376" s="122"/>
      <c r="I1376" s="109"/>
      <c r="J1376" s="120"/>
      <c r="K1376" s="120"/>
      <c r="L1376" s="93"/>
      <c r="M1376" s="93"/>
      <c r="N1376" s="93"/>
      <c r="O1376" s="56"/>
      <c r="P1376" s="56"/>
      <c r="Q1376" s="56"/>
      <c r="R1376" s="56"/>
      <c r="S1376" s="56"/>
      <c r="T1376" s="56"/>
      <c r="U1376" s="56"/>
      <c r="V1376" s="56"/>
    </row>
    <row r="1377" ht="18.75" customHeight="1">
      <c r="A1377" s="90"/>
      <c r="B1377" s="126"/>
      <c r="C1377" s="252"/>
      <c r="D1377" s="109"/>
      <c r="E1377" s="109"/>
      <c r="F1377" s="110"/>
      <c r="G1377" s="95"/>
      <c r="H1377" s="122"/>
      <c r="I1377" s="109"/>
      <c r="J1377" s="120"/>
      <c r="K1377" s="120"/>
      <c r="L1377" s="93"/>
      <c r="M1377" s="93"/>
      <c r="N1377" s="93"/>
      <c r="O1377" s="56"/>
      <c r="P1377" s="56"/>
      <c r="Q1377" s="56"/>
      <c r="R1377" s="56"/>
      <c r="S1377" s="56"/>
      <c r="T1377" s="56"/>
      <c r="U1377" s="56"/>
      <c r="V1377" s="56"/>
    </row>
    <row r="1378" ht="18.75" customHeight="1">
      <c r="A1378" s="90"/>
      <c r="B1378" s="126"/>
      <c r="C1378" s="252"/>
      <c r="D1378" s="109"/>
      <c r="E1378" s="109"/>
      <c r="F1378" s="110"/>
      <c r="G1378" s="95"/>
      <c r="H1378" s="122"/>
      <c r="I1378" s="109"/>
      <c r="J1378" s="120"/>
      <c r="K1378" s="120"/>
      <c r="L1378" s="93"/>
      <c r="M1378" s="93"/>
      <c r="N1378" s="93"/>
      <c r="O1378" s="56"/>
      <c r="P1378" s="56"/>
      <c r="Q1378" s="56"/>
      <c r="R1378" s="56"/>
      <c r="S1378" s="56"/>
      <c r="T1378" s="56"/>
      <c r="U1378" s="56"/>
      <c r="V1378" s="56"/>
    </row>
    <row r="1379" ht="18.75" customHeight="1">
      <c r="A1379" s="90"/>
      <c r="B1379" s="126"/>
      <c r="C1379" s="252"/>
      <c r="D1379" s="109"/>
      <c r="E1379" s="109"/>
      <c r="F1379" s="110"/>
      <c r="G1379" s="95"/>
      <c r="H1379" s="122"/>
      <c r="I1379" s="109"/>
      <c r="J1379" s="120"/>
      <c r="K1379" s="120"/>
      <c r="L1379" s="93"/>
      <c r="M1379" s="93"/>
      <c r="N1379" s="93"/>
      <c r="O1379" s="56"/>
      <c r="P1379" s="56"/>
      <c r="Q1379" s="56"/>
      <c r="R1379" s="56"/>
      <c r="S1379" s="56"/>
      <c r="T1379" s="56"/>
      <c r="U1379" s="56"/>
      <c r="V1379" s="56"/>
    </row>
    <row r="1380" ht="18.75" customHeight="1">
      <c r="A1380" s="90"/>
      <c r="B1380" s="126"/>
      <c r="C1380" s="252"/>
      <c r="D1380" s="109"/>
      <c r="E1380" s="109"/>
      <c r="F1380" s="110"/>
      <c r="G1380" s="95"/>
      <c r="H1380" s="122"/>
      <c r="I1380" s="109"/>
      <c r="J1380" s="120"/>
      <c r="K1380" s="120"/>
      <c r="L1380" s="93"/>
      <c r="M1380" s="93"/>
      <c r="N1380" s="93"/>
      <c r="O1380" s="56"/>
      <c r="P1380" s="56"/>
      <c r="Q1380" s="56"/>
      <c r="R1380" s="56"/>
      <c r="S1380" s="56"/>
      <c r="T1380" s="56"/>
      <c r="U1380" s="56"/>
      <c r="V1380" s="56"/>
    </row>
    <row r="1381" ht="18.75" customHeight="1">
      <c r="A1381" s="90"/>
      <c r="B1381" s="126"/>
      <c r="C1381" s="252"/>
      <c r="D1381" s="109"/>
      <c r="E1381" s="109"/>
      <c r="F1381" s="110"/>
      <c r="G1381" s="95"/>
      <c r="H1381" s="122"/>
      <c r="I1381" s="109"/>
      <c r="J1381" s="120"/>
      <c r="K1381" s="120"/>
      <c r="L1381" s="93"/>
      <c r="M1381" s="93"/>
      <c r="N1381" s="93"/>
      <c r="O1381" s="56"/>
      <c r="P1381" s="56"/>
      <c r="Q1381" s="56"/>
      <c r="R1381" s="56"/>
      <c r="S1381" s="56"/>
      <c r="T1381" s="56"/>
      <c r="U1381" s="56"/>
      <c r="V1381" s="56"/>
    </row>
    <row r="1382" ht="18.75" customHeight="1">
      <c r="A1382" s="90"/>
      <c r="B1382" s="126"/>
      <c r="C1382" s="252"/>
      <c r="D1382" s="109"/>
      <c r="E1382" s="109"/>
      <c r="F1382" s="110"/>
      <c r="G1382" s="95"/>
      <c r="H1382" s="122"/>
      <c r="I1382" s="109"/>
      <c r="J1382" s="120"/>
      <c r="K1382" s="120"/>
      <c r="L1382" s="93"/>
      <c r="M1382" s="93"/>
      <c r="N1382" s="93"/>
      <c r="O1382" s="56"/>
      <c r="P1382" s="56"/>
      <c r="Q1382" s="56"/>
      <c r="R1382" s="56"/>
      <c r="S1382" s="56"/>
      <c r="T1382" s="56"/>
      <c r="U1382" s="56"/>
      <c r="V1382" s="56"/>
    </row>
    <row r="1383" ht="18.75" customHeight="1">
      <c r="A1383" s="90"/>
      <c r="B1383" s="126"/>
      <c r="C1383" s="252"/>
      <c r="D1383" s="109"/>
      <c r="E1383" s="109"/>
      <c r="F1383" s="110"/>
      <c r="G1383" s="95"/>
      <c r="H1383" s="122"/>
      <c r="I1383" s="109"/>
      <c r="J1383" s="120"/>
      <c r="K1383" s="120"/>
      <c r="L1383" s="93"/>
      <c r="M1383" s="93"/>
      <c r="N1383" s="93"/>
      <c r="O1383" s="56"/>
      <c r="P1383" s="56"/>
      <c r="Q1383" s="56"/>
      <c r="R1383" s="56"/>
      <c r="S1383" s="56"/>
      <c r="T1383" s="56"/>
      <c r="U1383" s="56"/>
      <c r="V1383" s="56"/>
    </row>
    <row r="1384" ht="18.75" customHeight="1">
      <c r="A1384" s="90"/>
      <c r="B1384" s="126"/>
      <c r="C1384" s="252"/>
      <c r="D1384" s="109"/>
      <c r="E1384" s="109"/>
      <c r="F1384" s="110"/>
      <c r="G1384" s="95"/>
      <c r="H1384" s="122"/>
      <c r="I1384" s="109"/>
      <c r="J1384" s="120"/>
      <c r="K1384" s="120"/>
      <c r="L1384" s="93"/>
      <c r="M1384" s="93"/>
      <c r="N1384" s="93"/>
      <c r="O1384" s="56"/>
      <c r="P1384" s="56"/>
      <c r="Q1384" s="56"/>
      <c r="R1384" s="56"/>
      <c r="S1384" s="56"/>
      <c r="T1384" s="56"/>
      <c r="U1384" s="56"/>
      <c r="V1384" s="56"/>
    </row>
    <row r="1385" ht="18.75" customHeight="1">
      <c r="A1385" s="90"/>
      <c r="B1385" s="126"/>
      <c r="C1385" s="252"/>
      <c r="D1385" s="109"/>
      <c r="E1385" s="109"/>
      <c r="F1385" s="110"/>
      <c r="G1385" s="95"/>
      <c r="H1385" s="122"/>
      <c r="I1385" s="109"/>
      <c r="J1385" s="120"/>
      <c r="K1385" s="120"/>
      <c r="L1385" s="93"/>
      <c r="M1385" s="93"/>
      <c r="N1385" s="93"/>
      <c r="O1385" s="56"/>
      <c r="P1385" s="56"/>
      <c r="Q1385" s="56"/>
      <c r="R1385" s="56"/>
      <c r="S1385" s="56"/>
      <c r="T1385" s="56"/>
      <c r="U1385" s="56"/>
      <c r="V1385" s="56"/>
    </row>
    <row r="1386" ht="18.75" customHeight="1">
      <c r="A1386" s="90"/>
      <c r="B1386" s="126"/>
      <c r="C1386" s="252"/>
      <c r="D1386" s="109"/>
      <c r="E1386" s="109"/>
      <c r="F1386" s="110"/>
      <c r="G1386" s="95"/>
      <c r="H1386" s="122"/>
      <c r="I1386" s="109"/>
      <c r="J1386" s="120"/>
      <c r="K1386" s="120"/>
      <c r="L1386" s="93"/>
      <c r="M1386" s="93"/>
      <c r="N1386" s="93"/>
      <c r="O1386" s="56"/>
      <c r="P1386" s="56"/>
      <c r="Q1386" s="56"/>
      <c r="R1386" s="56"/>
      <c r="S1386" s="56"/>
      <c r="T1386" s="56"/>
      <c r="U1386" s="56"/>
      <c r="V1386" s="56"/>
    </row>
    <row r="1387" ht="18.75" customHeight="1">
      <c r="A1387" s="90"/>
      <c r="B1387" s="126"/>
      <c r="C1387" s="252"/>
      <c r="D1387" s="109"/>
      <c r="E1387" s="109"/>
      <c r="F1387" s="110"/>
      <c r="G1387" s="95"/>
      <c r="H1387" s="122"/>
      <c r="I1387" s="109"/>
      <c r="J1387" s="120"/>
      <c r="K1387" s="120"/>
      <c r="L1387" s="93"/>
      <c r="M1387" s="93"/>
      <c r="N1387" s="93"/>
      <c r="O1387" s="56"/>
      <c r="P1387" s="56"/>
      <c r="Q1387" s="56"/>
      <c r="R1387" s="56"/>
      <c r="S1387" s="56"/>
      <c r="T1387" s="56"/>
      <c r="U1387" s="56"/>
      <c r="V1387" s="56"/>
    </row>
    <row r="1388" ht="18.75" customHeight="1">
      <c r="A1388" s="90"/>
      <c r="B1388" s="126"/>
      <c r="C1388" s="252"/>
      <c r="D1388" s="109"/>
      <c r="E1388" s="109"/>
      <c r="F1388" s="110"/>
      <c r="G1388" s="95"/>
      <c r="H1388" s="122"/>
      <c r="I1388" s="109"/>
      <c r="J1388" s="120"/>
      <c r="K1388" s="120"/>
      <c r="L1388" s="93"/>
      <c r="M1388" s="93"/>
      <c r="N1388" s="93"/>
      <c r="O1388" s="56"/>
      <c r="P1388" s="56"/>
      <c r="Q1388" s="56"/>
      <c r="R1388" s="56"/>
      <c r="S1388" s="56"/>
      <c r="T1388" s="56"/>
      <c r="U1388" s="56"/>
      <c r="V1388" s="56"/>
    </row>
    <row r="1389" ht="18.75" customHeight="1">
      <c r="A1389" s="90"/>
      <c r="B1389" s="126"/>
      <c r="C1389" s="252"/>
      <c r="D1389" s="109"/>
      <c r="E1389" s="109"/>
      <c r="F1389" s="110"/>
      <c r="G1389" s="95"/>
      <c r="H1389" s="122"/>
      <c r="I1389" s="109"/>
      <c r="J1389" s="120"/>
      <c r="K1389" s="120"/>
      <c r="L1389" s="93"/>
      <c r="M1389" s="93"/>
      <c r="N1389" s="93"/>
      <c r="O1389" s="56"/>
      <c r="P1389" s="56"/>
      <c r="Q1389" s="56"/>
      <c r="R1389" s="56"/>
      <c r="S1389" s="56"/>
      <c r="T1389" s="56"/>
      <c r="U1389" s="56"/>
      <c r="V1389" s="56"/>
    </row>
    <row r="1390" ht="18.75" customHeight="1">
      <c r="A1390" s="90"/>
      <c r="B1390" s="126"/>
      <c r="C1390" s="252"/>
      <c r="D1390" s="109"/>
      <c r="E1390" s="109"/>
      <c r="F1390" s="110"/>
      <c r="G1390" s="95"/>
      <c r="H1390" s="122"/>
      <c r="I1390" s="109"/>
      <c r="J1390" s="120"/>
      <c r="K1390" s="120"/>
      <c r="L1390" s="93"/>
      <c r="M1390" s="93"/>
      <c r="N1390" s="93"/>
      <c r="O1390" s="56"/>
      <c r="P1390" s="56"/>
      <c r="Q1390" s="56"/>
      <c r="R1390" s="56"/>
      <c r="S1390" s="56"/>
      <c r="T1390" s="56"/>
      <c r="U1390" s="56"/>
      <c r="V1390" s="56"/>
    </row>
    <row r="1391" ht="18.75" customHeight="1">
      <c r="A1391" s="90"/>
      <c r="B1391" s="126"/>
      <c r="C1391" s="252"/>
      <c r="D1391" s="109"/>
      <c r="E1391" s="109"/>
      <c r="F1391" s="110"/>
      <c r="G1391" s="95"/>
      <c r="H1391" s="122"/>
      <c r="I1391" s="109"/>
      <c r="J1391" s="120"/>
      <c r="K1391" s="120"/>
      <c r="L1391" s="93"/>
      <c r="M1391" s="93"/>
      <c r="N1391" s="93"/>
      <c r="O1391" s="56"/>
      <c r="P1391" s="56"/>
      <c r="Q1391" s="56"/>
      <c r="R1391" s="56"/>
      <c r="S1391" s="56"/>
      <c r="T1391" s="56"/>
      <c r="U1391" s="56"/>
      <c r="V1391" s="56"/>
    </row>
    <row r="1392" ht="18.75" customHeight="1">
      <c r="A1392" s="90"/>
      <c r="B1392" s="126"/>
      <c r="C1392" s="252"/>
      <c r="D1392" s="109"/>
      <c r="E1392" s="109"/>
      <c r="F1392" s="110"/>
      <c r="G1392" s="95"/>
      <c r="H1392" s="122"/>
      <c r="I1392" s="109"/>
      <c r="J1392" s="120"/>
      <c r="K1392" s="120"/>
      <c r="L1392" s="93"/>
      <c r="M1392" s="93"/>
      <c r="N1392" s="93"/>
      <c r="O1392" s="56"/>
      <c r="P1392" s="56"/>
      <c r="Q1392" s="56"/>
      <c r="R1392" s="56"/>
      <c r="S1392" s="56"/>
      <c r="T1392" s="56"/>
      <c r="U1392" s="56"/>
      <c r="V1392" s="56"/>
    </row>
    <row r="1393" ht="18.75" customHeight="1">
      <c r="A1393" s="90"/>
      <c r="B1393" s="126"/>
      <c r="C1393" s="252"/>
      <c r="D1393" s="109"/>
      <c r="E1393" s="109"/>
      <c r="F1393" s="110"/>
      <c r="G1393" s="95"/>
      <c r="H1393" s="122"/>
      <c r="I1393" s="109"/>
      <c r="J1393" s="120"/>
      <c r="K1393" s="120"/>
      <c r="L1393" s="93"/>
      <c r="M1393" s="93"/>
      <c r="N1393" s="93"/>
      <c r="O1393" s="56"/>
      <c r="P1393" s="56"/>
      <c r="Q1393" s="56"/>
      <c r="R1393" s="56"/>
      <c r="S1393" s="56"/>
      <c r="T1393" s="56"/>
      <c r="U1393" s="56"/>
      <c r="V1393" s="56"/>
    </row>
    <row r="1394" ht="18.75" customHeight="1">
      <c r="A1394" s="90"/>
      <c r="B1394" s="126"/>
      <c r="C1394" s="252"/>
      <c r="D1394" s="109"/>
      <c r="E1394" s="109"/>
      <c r="F1394" s="110"/>
      <c r="G1394" s="95"/>
      <c r="H1394" s="122"/>
      <c r="I1394" s="109"/>
      <c r="J1394" s="120"/>
      <c r="K1394" s="120"/>
      <c r="L1394" s="93"/>
      <c r="M1394" s="93"/>
      <c r="N1394" s="93"/>
      <c r="O1394" s="56"/>
      <c r="P1394" s="56"/>
      <c r="Q1394" s="56"/>
      <c r="R1394" s="56"/>
      <c r="S1394" s="56"/>
      <c r="T1394" s="56"/>
      <c r="U1394" s="56"/>
      <c r="V1394" s="56"/>
    </row>
    <row r="1395" ht="18.75" customHeight="1">
      <c r="A1395" s="90"/>
      <c r="B1395" s="126"/>
      <c r="C1395" s="252"/>
      <c r="D1395" s="109"/>
      <c r="E1395" s="109"/>
      <c r="F1395" s="110"/>
      <c r="G1395" s="95"/>
      <c r="H1395" s="122"/>
      <c r="I1395" s="109"/>
      <c r="J1395" s="120"/>
      <c r="K1395" s="120"/>
      <c r="L1395" s="93"/>
      <c r="M1395" s="93"/>
      <c r="N1395" s="93"/>
      <c r="O1395" s="56"/>
      <c r="P1395" s="56"/>
      <c r="Q1395" s="56"/>
      <c r="R1395" s="56"/>
      <c r="S1395" s="56"/>
      <c r="T1395" s="56"/>
      <c r="U1395" s="56"/>
      <c r="V1395" s="56"/>
    </row>
    <row r="1396" ht="18.75" customHeight="1">
      <c r="A1396" s="90"/>
      <c r="B1396" s="126"/>
      <c r="C1396" s="252"/>
      <c r="D1396" s="109"/>
      <c r="E1396" s="109"/>
      <c r="F1396" s="110"/>
      <c r="G1396" s="95"/>
      <c r="H1396" s="122"/>
      <c r="I1396" s="109"/>
      <c r="J1396" s="120"/>
      <c r="K1396" s="120"/>
      <c r="L1396" s="93"/>
      <c r="M1396" s="93"/>
      <c r="N1396" s="93"/>
      <c r="O1396" s="56"/>
      <c r="P1396" s="56"/>
      <c r="Q1396" s="56"/>
      <c r="R1396" s="56"/>
      <c r="S1396" s="56"/>
      <c r="T1396" s="56"/>
      <c r="U1396" s="56"/>
      <c r="V1396" s="56"/>
    </row>
    <row r="1397" ht="18.75" customHeight="1">
      <c r="A1397" s="90"/>
      <c r="B1397" s="126"/>
      <c r="C1397" s="252"/>
      <c r="D1397" s="109"/>
      <c r="E1397" s="109"/>
      <c r="F1397" s="110"/>
      <c r="G1397" s="95"/>
      <c r="H1397" s="122"/>
      <c r="I1397" s="109"/>
      <c r="J1397" s="120"/>
      <c r="K1397" s="120"/>
      <c r="L1397" s="93"/>
      <c r="M1397" s="93"/>
      <c r="N1397" s="93"/>
      <c r="O1397" s="56"/>
      <c r="P1397" s="56"/>
      <c r="Q1397" s="56"/>
      <c r="R1397" s="56"/>
      <c r="S1397" s="56"/>
      <c r="T1397" s="56"/>
      <c r="U1397" s="56"/>
      <c r="V1397" s="56"/>
    </row>
    <row r="1398" ht="18.75" customHeight="1">
      <c r="A1398" s="90"/>
      <c r="B1398" s="126"/>
      <c r="C1398" s="252"/>
      <c r="D1398" s="109"/>
      <c r="E1398" s="109"/>
      <c r="F1398" s="110"/>
      <c r="G1398" s="95"/>
      <c r="H1398" s="122"/>
      <c r="I1398" s="109"/>
      <c r="J1398" s="120"/>
      <c r="K1398" s="120"/>
      <c r="L1398" s="93"/>
      <c r="M1398" s="93"/>
      <c r="N1398" s="93"/>
      <c r="O1398" s="56"/>
      <c r="P1398" s="56"/>
      <c r="Q1398" s="56"/>
      <c r="R1398" s="56"/>
      <c r="S1398" s="56"/>
      <c r="T1398" s="56"/>
      <c r="U1398" s="56"/>
      <c r="V1398" s="56"/>
    </row>
    <row r="1399" ht="18.75" customHeight="1">
      <c r="A1399" s="90"/>
      <c r="B1399" s="126"/>
      <c r="C1399" s="252"/>
      <c r="D1399" s="109"/>
      <c r="E1399" s="109"/>
      <c r="F1399" s="110"/>
      <c r="G1399" s="95"/>
      <c r="H1399" s="122"/>
      <c r="I1399" s="109"/>
      <c r="J1399" s="120"/>
      <c r="K1399" s="120"/>
      <c r="L1399" s="93"/>
      <c r="M1399" s="93"/>
      <c r="N1399" s="93"/>
      <c r="O1399" s="56"/>
      <c r="P1399" s="56"/>
      <c r="Q1399" s="56"/>
      <c r="R1399" s="56"/>
      <c r="S1399" s="56"/>
      <c r="T1399" s="56"/>
      <c r="U1399" s="56"/>
      <c r="V1399" s="56"/>
    </row>
    <row r="1400" ht="18.75" customHeight="1">
      <c r="A1400" s="90"/>
      <c r="B1400" s="126"/>
      <c r="C1400" s="252"/>
      <c r="D1400" s="109"/>
      <c r="E1400" s="109"/>
      <c r="F1400" s="110"/>
      <c r="G1400" s="95"/>
      <c r="H1400" s="122"/>
      <c r="I1400" s="109"/>
      <c r="J1400" s="120"/>
      <c r="K1400" s="120"/>
      <c r="L1400" s="93"/>
      <c r="M1400" s="93"/>
      <c r="N1400" s="93"/>
      <c r="O1400" s="56"/>
      <c r="P1400" s="56"/>
      <c r="Q1400" s="56"/>
      <c r="R1400" s="56"/>
      <c r="S1400" s="56"/>
      <c r="T1400" s="56"/>
      <c r="U1400" s="56"/>
      <c r="V1400" s="56"/>
    </row>
    <row r="1401" ht="18.75" customHeight="1">
      <c r="A1401" s="90"/>
      <c r="B1401" s="126"/>
      <c r="C1401" s="252"/>
      <c r="D1401" s="109"/>
      <c r="E1401" s="109"/>
      <c r="F1401" s="110"/>
      <c r="G1401" s="95"/>
      <c r="H1401" s="122"/>
      <c r="I1401" s="109"/>
      <c r="J1401" s="120"/>
      <c r="K1401" s="120"/>
      <c r="L1401" s="93"/>
      <c r="M1401" s="93"/>
      <c r="N1401" s="93"/>
      <c r="O1401" s="56"/>
      <c r="P1401" s="56"/>
      <c r="Q1401" s="56"/>
      <c r="R1401" s="56"/>
      <c r="S1401" s="56"/>
      <c r="T1401" s="56"/>
      <c r="U1401" s="56"/>
      <c r="V1401" s="56"/>
    </row>
    <row r="1402" ht="18.75" customHeight="1">
      <c r="A1402" s="90"/>
      <c r="B1402" s="126"/>
      <c r="C1402" s="252"/>
      <c r="D1402" s="109"/>
      <c r="E1402" s="109"/>
      <c r="F1402" s="110"/>
      <c r="G1402" s="95"/>
      <c r="H1402" s="122"/>
      <c r="I1402" s="109"/>
      <c r="J1402" s="120"/>
      <c r="K1402" s="120"/>
      <c r="L1402" s="93"/>
      <c r="M1402" s="93"/>
      <c r="N1402" s="93"/>
      <c r="O1402" s="56"/>
      <c r="P1402" s="56"/>
      <c r="Q1402" s="56"/>
      <c r="R1402" s="56"/>
      <c r="S1402" s="56"/>
      <c r="T1402" s="56"/>
      <c r="U1402" s="56"/>
      <c r="V1402" s="56"/>
    </row>
    <row r="1403" ht="18.75" customHeight="1">
      <c r="A1403" s="90"/>
      <c r="B1403" s="126"/>
      <c r="C1403" s="252"/>
      <c r="D1403" s="109"/>
      <c r="E1403" s="109"/>
      <c r="F1403" s="110"/>
      <c r="G1403" s="95"/>
      <c r="H1403" s="122"/>
      <c r="I1403" s="109"/>
      <c r="J1403" s="120"/>
      <c r="K1403" s="120"/>
      <c r="L1403" s="93"/>
      <c r="M1403" s="93"/>
      <c r="N1403" s="93"/>
      <c r="O1403" s="56"/>
      <c r="P1403" s="56"/>
      <c r="Q1403" s="56"/>
      <c r="R1403" s="56"/>
      <c r="S1403" s="56"/>
      <c r="T1403" s="56"/>
      <c r="U1403" s="56"/>
      <c r="V1403" s="56"/>
    </row>
    <row r="1404" ht="18.75" customHeight="1">
      <c r="A1404" s="90"/>
      <c r="B1404" s="126"/>
      <c r="C1404" s="252"/>
      <c r="D1404" s="109"/>
      <c r="E1404" s="109"/>
      <c r="F1404" s="110"/>
      <c r="G1404" s="95"/>
      <c r="H1404" s="122"/>
      <c r="I1404" s="109"/>
      <c r="J1404" s="120"/>
      <c r="K1404" s="120"/>
      <c r="L1404" s="93"/>
      <c r="M1404" s="93"/>
      <c r="N1404" s="93"/>
      <c r="O1404" s="56"/>
      <c r="P1404" s="56"/>
      <c r="Q1404" s="56"/>
      <c r="R1404" s="56"/>
      <c r="S1404" s="56"/>
      <c r="T1404" s="56"/>
      <c r="U1404" s="56"/>
      <c r="V1404" s="56"/>
    </row>
    <row r="1405" ht="18.75" customHeight="1">
      <c r="A1405" s="90"/>
      <c r="B1405" s="126"/>
      <c r="C1405" s="252"/>
      <c r="D1405" s="109"/>
      <c r="E1405" s="109"/>
      <c r="F1405" s="110"/>
      <c r="G1405" s="95"/>
      <c r="H1405" s="122"/>
      <c r="I1405" s="109"/>
      <c r="J1405" s="120"/>
      <c r="K1405" s="120"/>
      <c r="L1405" s="93"/>
      <c r="M1405" s="93"/>
      <c r="N1405" s="93"/>
      <c r="O1405" s="56"/>
      <c r="P1405" s="56"/>
      <c r="Q1405" s="56"/>
      <c r="R1405" s="56"/>
      <c r="S1405" s="56"/>
      <c r="T1405" s="56"/>
      <c r="U1405" s="56"/>
      <c r="V1405" s="56"/>
    </row>
    <row r="1406" ht="18.75" customHeight="1">
      <c r="A1406" s="90"/>
      <c r="B1406" s="126"/>
      <c r="C1406" s="252"/>
      <c r="D1406" s="109"/>
      <c r="E1406" s="109"/>
      <c r="F1406" s="110"/>
      <c r="G1406" s="95"/>
      <c r="H1406" s="122"/>
      <c r="I1406" s="109"/>
      <c r="J1406" s="120"/>
      <c r="K1406" s="120"/>
      <c r="L1406" s="93"/>
      <c r="M1406" s="93"/>
      <c r="N1406" s="93"/>
      <c r="O1406" s="56"/>
      <c r="P1406" s="56"/>
      <c r="Q1406" s="56"/>
      <c r="R1406" s="56"/>
      <c r="S1406" s="56"/>
      <c r="T1406" s="56"/>
      <c r="U1406" s="56"/>
      <c r="V1406" s="56"/>
    </row>
    <row r="1407" ht="18.75" customHeight="1">
      <c r="A1407" s="90"/>
      <c r="B1407" s="126"/>
      <c r="C1407" s="252"/>
      <c r="D1407" s="109"/>
      <c r="E1407" s="109"/>
      <c r="F1407" s="110"/>
      <c r="G1407" s="95"/>
      <c r="H1407" s="122"/>
      <c r="I1407" s="109"/>
      <c r="J1407" s="120"/>
      <c r="K1407" s="120"/>
      <c r="L1407" s="93"/>
      <c r="M1407" s="93"/>
      <c r="N1407" s="93"/>
      <c r="O1407" s="56"/>
      <c r="P1407" s="56"/>
      <c r="Q1407" s="56"/>
      <c r="R1407" s="56"/>
      <c r="S1407" s="56"/>
      <c r="T1407" s="56"/>
      <c r="U1407" s="56"/>
      <c r="V1407" s="56"/>
    </row>
    <row r="1408" ht="18.75" customHeight="1">
      <c r="A1408" s="90"/>
      <c r="B1408" s="126"/>
      <c r="C1408" s="252"/>
      <c r="D1408" s="109"/>
      <c r="E1408" s="109"/>
      <c r="F1408" s="110"/>
      <c r="G1408" s="95"/>
      <c r="H1408" s="122"/>
      <c r="I1408" s="109"/>
      <c r="J1408" s="120"/>
      <c r="K1408" s="120"/>
      <c r="L1408" s="93"/>
      <c r="M1408" s="93"/>
      <c r="N1408" s="93"/>
      <c r="O1408" s="56"/>
      <c r="P1408" s="56"/>
      <c r="Q1408" s="56"/>
      <c r="R1408" s="56"/>
      <c r="S1408" s="56"/>
      <c r="T1408" s="56"/>
      <c r="U1408" s="56"/>
      <c r="V1408" s="56"/>
    </row>
    <row r="1409" ht="18.75" customHeight="1">
      <c r="A1409" s="90"/>
      <c r="B1409" s="126"/>
      <c r="C1409" s="252"/>
      <c r="D1409" s="109"/>
      <c r="E1409" s="109"/>
      <c r="F1409" s="110"/>
      <c r="G1409" s="95"/>
      <c r="H1409" s="122"/>
      <c r="I1409" s="109"/>
      <c r="J1409" s="120"/>
      <c r="K1409" s="120"/>
      <c r="L1409" s="93"/>
      <c r="M1409" s="93"/>
      <c r="N1409" s="93"/>
      <c r="O1409" s="56"/>
      <c r="P1409" s="56"/>
      <c r="Q1409" s="56"/>
      <c r="R1409" s="56"/>
      <c r="S1409" s="56"/>
      <c r="T1409" s="56"/>
      <c r="U1409" s="56"/>
      <c r="V1409" s="56"/>
    </row>
    <row r="1410" ht="18.75" customHeight="1">
      <c r="A1410" s="90"/>
      <c r="B1410" s="126"/>
      <c r="C1410" s="252"/>
      <c r="D1410" s="109"/>
      <c r="E1410" s="109"/>
      <c r="F1410" s="110"/>
      <c r="G1410" s="95"/>
      <c r="H1410" s="122"/>
      <c r="I1410" s="109"/>
      <c r="J1410" s="120"/>
      <c r="K1410" s="120"/>
      <c r="L1410" s="93"/>
      <c r="M1410" s="93"/>
      <c r="N1410" s="93"/>
      <c r="O1410" s="56"/>
      <c r="P1410" s="56"/>
      <c r="Q1410" s="56"/>
      <c r="R1410" s="56"/>
      <c r="S1410" s="56"/>
      <c r="T1410" s="56"/>
      <c r="U1410" s="56"/>
      <c r="V1410" s="56"/>
    </row>
    <row r="1411" ht="18.75" customHeight="1">
      <c r="A1411" s="90"/>
      <c r="B1411" s="126"/>
      <c r="C1411" s="252"/>
      <c r="D1411" s="109"/>
      <c r="E1411" s="109"/>
      <c r="F1411" s="110"/>
      <c r="G1411" s="95"/>
      <c r="H1411" s="122"/>
      <c r="I1411" s="109"/>
      <c r="J1411" s="120"/>
      <c r="K1411" s="120"/>
      <c r="L1411" s="93"/>
      <c r="M1411" s="93"/>
      <c r="N1411" s="93"/>
      <c r="O1411" s="56"/>
      <c r="P1411" s="56"/>
      <c r="Q1411" s="56"/>
      <c r="R1411" s="56"/>
      <c r="S1411" s="56"/>
      <c r="T1411" s="56"/>
      <c r="U1411" s="56"/>
      <c r="V1411" s="56"/>
    </row>
    <row r="1412" ht="18.75" customHeight="1">
      <c r="A1412" s="90"/>
      <c r="B1412" s="126"/>
      <c r="C1412" s="252"/>
      <c r="D1412" s="109"/>
      <c r="E1412" s="109"/>
      <c r="F1412" s="110"/>
      <c r="G1412" s="95"/>
      <c r="H1412" s="122"/>
      <c r="I1412" s="109"/>
      <c r="J1412" s="120"/>
      <c r="K1412" s="120"/>
      <c r="L1412" s="93"/>
      <c r="M1412" s="93"/>
      <c r="N1412" s="93"/>
      <c r="O1412" s="56"/>
      <c r="P1412" s="56"/>
      <c r="Q1412" s="56"/>
      <c r="R1412" s="56"/>
      <c r="S1412" s="56"/>
      <c r="T1412" s="56"/>
      <c r="U1412" s="56"/>
      <c r="V1412" s="56"/>
    </row>
    <row r="1413" ht="18.75" customHeight="1">
      <c r="A1413" s="90"/>
      <c r="B1413" s="126"/>
      <c r="C1413" s="252"/>
      <c r="D1413" s="109"/>
      <c r="E1413" s="109"/>
      <c r="F1413" s="110"/>
      <c r="G1413" s="95"/>
      <c r="H1413" s="122"/>
      <c r="I1413" s="109"/>
      <c r="J1413" s="120"/>
      <c r="K1413" s="120"/>
      <c r="L1413" s="93"/>
      <c r="M1413" s="93"/>
      <c r="N1413" s="93"/>
      <c r="O1413" s="56"/>
      <c r="P1413" s="56"/>
      <c r="Q1413" s="56"/>
      <c r="R1413" s="56"/>
      <c r="S1413" s="56"/>
      <c r="T1413" s="56"/>
      <c r="U1413" s="56"/>
      <c r="V1413" s="56"/>
    </row>
    <row r="1414" ht="18.75" customHeight="1">
      <c r="A1414" s="90"/>
      <c r="B1414" s="126"/>
      <c r="C1414" s="252"/>
      <c r="D1414" s="109"/>
      <c r="E1414" s="109"/>
      <c r="F1414" s="110"/>
      <c r="G1414" s="95"/>
      <c r="H1414" s="122"/>
      <c r="I1414" s="109"/>
      <c r="J1414" s="120"/>
      <c r="K1414" s="120"/>
      <c r="L1414" s="93"/>
      <c r="M1414" s="93"/>
      <c r="N1414" s="93"/>
      <c r="O1414" s="56"/>
      <c r="P1414" s="56"/>
      <c r="Q1414" s="56"/>
      <c r="R1414" s="56"/>
      <c r="S1414" s="56"/>
      <c r="T1414" s="56"/>
      <c r="U1414" s="56"/>
      <c r="V1414" s="56"/>
    </row>
    <row r="1415" ht="18.75" customHeight="1">
      <c r="A1415" s="90"/>
      <c r="B1415" s="126"/>
      <c r="C1415" s="252"/>
      <c r="D1415" s="109"/>
      <c r="E1415" s="109"/>
      <c r="F1415" s="110"/>
      <c r="G1415" s="95"/>
      <c r="H1415" s="122"/>
      <c r="I1415" s="109"/>
      <c r="J1415" s="120"/>
      <c r="K1415" s="120"/>
      <c r="L1415" s="93"/>
      <c r="M1415" s="93"/>
      <c r="N1415" s="93"/>
      <c r="O1415" s="56"/>
      <c r="P1415" s="56"/>
      <c r="Q1415" s="56"/>
      <c r="R1415" s="56"/>
      <c r="S1415" s="56"/>
      <c r="T1415" s="56"/>
      <c r="U1415" s="56"/>
      <c r="V1415" s="56"/>
    </row>
    <row r="1416" ht="18.75" customHeight="1">
      <c r="A1416" s="90"/>
      <c r="B1416" s="126"/>
      <c r="C1416" s="252"/>
      <c r="D1416" s="109"/>
      <c r="E1416" s="109"/>
      <c r="F1416" s="110"/>
      <c r="G1416" s="95"/>
      <c r="H1416" s="122"/>
      <c r="I1416" s="109"/>
      <c r="J1416" s="120"/>
      <c r="K1416" s="120"/>
      <c r="L1416" s="93"/>
      <c r="M1416" s="93"/>
      <c r="N1416" s="93"/>
      <c r="O1416" s="56"/>
      <c r="P1416" s="56"/>
      <c r="Q1416" s="56"/>
      <c r="R1416" s="56"/>
      <c r="S1416" s="56"/>
      <c r="T1416" s="56"/>
      <c r="U1416" s="56"/>
      <c r="V1416" s="56"/>
    </row>
    <row r="1417" ht="18.75" customHeight="1">
      <c r="A1417" s="90"/>
      <c r="B1417" s="126"/>
      <c r="C1417" s="252"/>
      <c r="D1417" s="109"/>
      <c r="E1417" s="109"/>
      <c r="F1417" s="110"/>
      <c r="G1417" s="95"/>
      <c r="H1417" s="122"/>
      <c r="I1417" s="109"/>
      <c r="J1417" s="120"/>
      <c r="K1417" s="120"/>
      <c r="L1417" s="93"/>
      <c r="M1417" s="93"/>
      <c r="N1417" s="93"/>
      <c r="O1417" s="56"/>
      <c r="P1417" s="56"/>
      <c r="Q1417" s="56"/>
      <c r="R1417" s="56"/>
      <c r="S1417" s="56"/>
      <c r="T1417" s="56"/>
      <c r="U1417" s="56"/>
      <c r="V1417" s="56"/>
    </row>
    <row r="1418" ht="18.75" customHeight="1">
      <c r="A1418" s="90"/>
      <c r="B1418" s="126"/>
      <c r="C1418" s="252"/>
      <c r="D1418" s="109"/>
      <c r="E1418" s="109"/>
      <c r="F1418" s="110"/>
      <c r="G1418" s="95"/>
      <c r="H1418" s="122"/>
      <c r="I1418" s="109"/>
      <c r="J1418" s="120"/>
      <c r="K1418" s="120"/>
      <c r="L1418" s="93"/>
      <c r="M1418" s="93"/>
      <c r="N1418" s="93"/>
      <c r="O1418" s="56"/>
      <c r="P1418" s="56"/>
      <c r="Q1418" s="56"/>
      <c r="R1418" s="56"/>
      <c r="S1418" s="56"/>
      <c r="T1418" s="56"/>
      <c r="U1418" s="56"/>
      <c r="V1418" s="56"/>
    </row>
    <row r="1419" ht="18.75" customHeight="1">
      <c r="A1419" s="90"/>
      <c r="B1419" s="126"/>
      <c r="C1419" s="252"/>
      <c r="D1419" s="109"/>
      <c r="E1419" s="109"/>
      <c r="F1419" s="110"/>
      <c r="G1419" s="95"/>
      <c r="H1419" s="122"/>
      <c r="I1419" s="109"/>
      <c r="J1419" s="120"/>
      <c r="K1419" s="120"/>
      <c r="L1419" s="93"/>
      <c r="M1419" s="93"/>
      <c r="N1419" s="93"/>
      <c r="O1419" s="56"/>
      <c r="P1419" s="56"/>
      <c r="Q1419" s="56"/>
      <c r="R1419" s="56"/>
      <c r="S1419" s="56"/>
      <c r="T1419" s="56"/>
      <c r="U1419" s="56"/>
      <c r="V1419" s="56"/>
    </row>
    <row r="1420" ht="18.75" customHeight="1">
      <c r="A1420" s="90"/>
      <c r="B1420" s="126"/>
      <c r="C1420" s="252"/>
      <c r="D1420" s="109"/>
      <c r="E1420" s="109"/>
      <c r="F1420" s="110"/>
      <c r="G1420" s="95"/>
      <c r="H1420" s="122"/>
      <c r="I1420" s="109"/>
      <c r="J1420" s="120"/>
      <c r="K1420" s="120"/>
      <c r="L1420" s="93"/>
      <c r="M1420" s="93"/>
      <c r="N1420" s="93"/>
      <c r="O1420" s="56"/>
      <c r="P1420" s="56"/>
      <c r="Q1420" s="56"/>
      <c r="R1420" s="56"/>
      <c r="S1420" s="56"/>
      <c r="T1420" s="56"/>
      <c r="U1420" s="56"/>
      <c r="V1420" s="56"/>
    </row>
    <row r="1421" ht="18.75" customHeight="1">
      <c r="A1421" s="90"/>
      <c r="B1421" s="126"/>
      <c r="C1421" s="252"/>
      <c r="D1421" s="109"/>
      <c r="E1421" s="109"/>
      <c r="F1421" s="110"/>
      <c r="G1421" s="95"/>
      <c r="H1421" s="122"/>
      <c r="I1421" s="109"/>
      <c r="J1421" s="120"/>
      <c r="K1421" s="120"/>
      <c r="L1421" s="93"/>
      <c r="M1421" s="93"/>
      <c r="N1421" s="93"/>
      <c r="O1421" s="56"/>
      <c r="P1421" s="56"/>
      <c r="Q1421" s="56"/>
      <c r="R1421" s="56"/>
      <c r="S1421" s="56"/>
      <c r="T1421" s="56"/>
      <c r="U1421" s="56"/>
      <c r="V1421" s="56"/>
    </row>
    <row r="1422" ht="18.75" customHeight="1">
      <c r="A1422" s="90"/>
      <c r="B1422" s="126"/>
      <c r="C1422" s="252"/>
      <c r="D1422" s="109"/>
      <c r="E1422" s="109"/>
      <c r="F1422" s="110"/>
      <c r="G1422" s="95"/>
      <c r="H1422" s="122"/>
      <c r="I1422" s="109"/>
      <c r="J1422" s="120"/>
      <c r="K1422" s="120"/>
      <c r="L1422" s="93"/>
      <c r="M1422" s="93"/>
      <c r="N1422" s="93"/>
      <c r="O1422" s="56"/>
      <c r="P1422" s="56"/>
      <c r="Q1422" s="56"/>
      <c r="R1422" s="56"/>
      <c r="S1422" s="56"/>
      <c r="T1422" s="56"/>
      <c r="U1422" s="56"/>
      <c r="V1422" s="56"/>
    </row>
    <row r="1423" ht="18.75" customHeight="1">
      <c r="A1423" s="90"/>
      <c r="B1423" s="126"/>
      <c r="C1423" s="252"/>
      <c r="D1423" s="109"/>
      <c r="E1423" s="109"/>
      <c r="F1423" s="110"/>
      <c r="G1423" s="95"/>
      <c r="H1423" s="122"/>
      <c r="I1423" s="109"/>
      <c r="J1423" s="120"/>
      <c r="K1423" s="120"/>
      <c r="L1423" s="93"/>
      <c r="M1423" s="93"/>
      <c r="N1423" s="93"/>
      <c r="O1423" s="56"/>
      <c r="P1423" s="56"/>
      <c r="Q1423" s="56"/>
      <c r="R1423" s="56"/>
      <c r="S1423" s="56"/>
      <c r="T1423" s="56"/>
      <c r="U1423" s="56"/>
      <c r="V1423" s="56"/>
    </row>
    <row r="1424" ht="18.75" customHeight="1">
      <c r="A1424" s="90"/>
      <c r="B1424" s="126"/>
      <c r="C1424" s="252"/>
      <c r="D1424" s="109"/>
      <c r="E1424" s="109"/>
      <c r="F1424" s="110"/>
      <c r="G1424" s="95"/>
      <c r="H1424" s="122"/>
      <c r="I1424" s="109"/>
      <c r="J1424" s="120"/>
      <c r="K1424" s="120"/>
      <c r="L1424" s="93"/>
      <c r="M1424" s="93"/>
      <c r="N1424" s="93"/>
      <c r="O1424" s="56"/>
      <c r="P1424" s="56"/>
      <c r="Q1424" s="56"/>
      <c r="R1424" s="56"/>
      <c r="S1424" s="56"/>
      <c r="T1424" s="56"/>
      <c r="U1424" s="56"/>
      <c r="V1424" s="56"/>
    </row>
    <row r="1425" ht="18.75" customHeight="1">
      <c r="A1425" s="90"/>
      <c r="B1425" s="126"/>
      <c r="C1425" s="252"/>
      <c r="D1425" s="109"/>
      <c r="E1425" s="109"/>
      <c r="F1425" s="110"/>
      <c r="G1425" s="95"/>
      <c r="H1425" s="122"/>
      <c r="I1425" s="109"/>
      <c r="J1425" s="120"/>
      <c r="K1425" s="120"/>
      <c r="L1425" s="93"/>
      <c r="M1425" s="93"/>
      <c r="N1425" s="93"/>
      <c r="O1425" s="56"/>
      <c r="P1425" s="56"/>
      <c r="Q1425" s="56"/>
      <c r="R1425" s="56"/>
      <c r="S1425" s="56"/>
      <c r="T1425" s="56"/>
      <c r="U1425" s="56"/>
      <c r="V1425" s="56"/>
    </row>
    <row r="1426" ht="18.75" customHeight="1">
      <c r="A1426" s="90"/>
      <c r="B1426" s="126"/>
      <c r="C1426" s="252"/>
      <c r="D1426" s="109"/>
      <c r="E1426" s="109"/>
      <c r="F1426" s="110"/>
      <c r="G1426" s="95"/>
      <c r="H1426" s="122"/>
      <c r="I1426" s="109"/>
      <c r="J1426" s="120"/>
      <c r="K1426" s="120"/>
      <c r="L1426" s="93"/>
      <c r="M1426" s="93"/>
      <c r="N1426" s="93"/>
      <c r="O1426" s="56"/>
      <c r="P1426" s="56"/>
      <c r="Q1426" s="56"/>
      <c r="R1426" s="56"/>
      <c r="S1426" s="56"/>
      <c r="T1426" s="56"/>
      <c r="U1426" s="56"/>
      <c r="V1426" s="56"/>
    </row>
    <row r="1427" ht="18.75" customHeight="1">
      <c r="A1427" s="90"/>
      <c r="B1427" s="126"/>
      <c r="C1427" s="252"/>
      <c r="D1427" s="109"/>
      <c r="E1427" s="109"/>
      <c r="F1427" s="110"/>
      <c r="G1427" s="95"/>
      <c r="H1427" s="122"/>
      <c r="I1427" s="109"/>
      <c r="J1427" s="120"/>
      <c r="K1427" s="120"/>
      <c r="L1427" s="93"/>
      <c r="M1427" s="93"/>
      <c r="N1427" s="93"/>
      <c r="O1427" s="56"/>
      <c r="P1427" s="56"/>
      <c r="Q1427" s="56"/>
      <c r="R1427" s="56"/>
      <c r="S1427" s="56"/>
      <c r="T1427" s="56"/>
      <c r="U1427" s="56"/>
      <c r="V1427" s="56"/>
    </row>
    <row r="1428" ht="18.75" customHeight="1">
      <c r="A1428" s="90"/>
      <c r="B1428" s="126"/>
      <c r="C1428" s="252"/>
      <c r="D1428" s="109"/>
      <c r="E1428" s="109"/>
      <c r="F1428" s="110"/>
      <c r="G1428" s="95"/>
      <c r="H1428" s="122"/>
      <c r="I1428" s="109"/>
      <c r="J1428" s="120"/>
      <c r="K1428" s="120"/>
      <c r="L1428" s="93"/>
      <c r="M1428" s="93"/>
      <c r="N1428" s="93"/>
      <c r="O1428" s="56"/>
      <c r="P1428" s="56"/>
      <c r="Q1428" s="56"/>
      <c r="R1428" s="56"/>
      <c r="S1428" s="56"/>
      <c r="T1428" s="56"/>
      <c r="U1428" s="56"/>
      <c r="V1428" s="56"/>
    </row>
    <row r="1429" ht="18.75" customHeight="1">
      <c r="A1429" s="90"/>
      <c r="B1429" s="126"/>
      <c r="C1429" s="252"/>
      <c r="D1429" s="109"/>
      <c r="E1429" s="109"/>
      <c r="F1429" s="110"/>
      <c r="G1429" s="95"/>
      <c r="H1429" s="122"/>
      <c r="I1429" s="109"/>
      <c r="J1429" s="120"/>
      <c r="K1429" s="120"/>
      <c r="L1429" s="93"/>
      <c r="M1429" s="93"/>
      <c r="N1429" s="93"/>
      <c r="O1429" s="56"/>
      <c r="P1429" s="56"/>
      <c r="Q1429" s="56"/>
      <c r="R1429" s="56"/>
      <c r="S1429" s="56"/>
      <c r="T1429" s="56"/>
      <c r="U1429" s="56"/>
      <c r="V1429" s="56"/>
    </row>
    <row r="1430" ht="18.75" customHeight="1">
      <c r="A1430" s="90"/>
      <c r="B1430" s="126"/>
      <c r="C1430" s="252"/>
      <c r="D1430" s="109"/>
      <c r="E1430" s="109"/>
      <c r="F1430" s="110"/>
      <c r="G1430" s="95"/>
      <c r="H1430" s="122"/>
      <c r="I1430" s="109"/>
      <c r="J1430" s="120"/>
      <c r="K1430" s="120"/>
      <c r="L1430" s="93"/>
      <c r="M1430" s="93"/>
      <c r="N1430" s="93"/>
      <c r="O1430" s="56"/>
      <c r="P1430" s="56"/>
      <c r="Q1430" s="56"/>
      <c r="R1430" s="56"/>
      <c r="S1430" s="56"/>
      <c r="T1430" s="56"/>
      <c r="U1430" s="56"/>
      <c r="V1430" s="56"/>
    </row>
    <row r="1431" ht="18.75" customHeight="1">
      <c r="A1431" s="90"/>
      <c r="B1431" s="126"/>
      <c r="C1431" s="252"/>
      <c r="D1431" s="109"/>
      <c r="E1431" s="109"/>
      <c r="F1431" s="110"/>
      <c r="G1431" s="95"/>
      <c r="H1431" s="122"/>
      <c r="I1431" s="109"/>
      <c r="J1431" s="120"/>
      <c r="K1431" s="120"/>
      <c r="L1431" s="93"/>
      <c r="M1431" s="93"/>
      <c r="N1431" s="93"/>
      <c r="O1431" s="56"/>
      <c r="P1431" s="56"/>
      <c r="Q1431" s="56"/>
      <c r="R1431" s="56"/>
      <c r="S1431" s="56"/>
      <c r="T1431" s="56"/>
      <c r="U1431" s="56"/>
      <c r="V1431" s="56"/>
    </row>
    <row r="1432" ht="18.75" customHeight="1">
      <c r="A1432" s="90"/>
      <c r="B1432" s="126"/>
      <c r="C1432" s="252"/>
      <c r="D1432" s="109"/>
      <c r="E1432" s="109"/>
      <c r="F1432" s="110"/>
      <c r="G1432" s="95"/>
      <c r="H1432" s="122"/>
      <c r="I1432" s="109"/>
      <c r="J1432" s="120"/>
      <c r="K1432" s="120"/>
      <c r="L1432" s="93"/>
      <c r="M1432" s="93"/>
      <c r="N1432" s="93"/>
      <c r="O1432" s="56"/>
      <c r="P1432" s="56"/>
      <c r="Q1432" s="56"/>
      <c r="R1432" s="56"/>
      <c r="S1432" s="56"/>
      <c r="T1432" s="56"/>
      <c r="U1432" s="56"/>
      <c r="V1432" s="56"/>
    </row>
    <row r="1433" ht="18.75" customHeight="1">
      <c r="A1433" s="90"/>
      <c r="B1433" s="126"/>
      <c r="C1433" s="252"/>
      <c r="D1433" s="109"/>
      <c r="E1433" s="109"/>
      <c r="F1433" s="110"/>
      <c r="G1433" s="95"/>
      <c r="H1433" s="122"/>
      <c r="I1433" s="109"/>
      <c r="J1433" s="120"/>
      <c r="K1433" s="120"/>
      <c r="L1433" s="93"/>
      <c r="M1433" s="93"/>
      <c r="N1433" s="93"/>
      <c r="O1433" s="56"/>
      <c r="P1433" s="56"/>
      <c r="Q1433" s="56"/>
      <c r="R1433" s="56"/>
      <c r="S1433" s="56"/>
      <c r="T1433" s="56"/>
      <c r="U1433" s="56"/>
      <c r="V1433" s="56"/>
    </row>
    <row r="1434" ht="18.75" customHeight="1">
      <c r="A1434" s="90"/>
      <c r="B1434" s="126"/>
      <c r="C1434" s="252"/>
      <c r="D1434" s="109"/>
      <c r="E1434" s="109"/>
      <c r="F1434" s="110"/>
      <c r="G1434" s="95"/>
      <c r="H1434" s="122"/>
      <c r="I1434" s="109"/>
      <c r="J1434" s="120"/>
      <c r="K1434" s="120"/>
      <c r="L1434" s="93"/>
      <c r="M1434" s="93"/>
      <c r="N1434" s="93"/>
      <c r="O1434" s="56"/>
      <c r="P1434" s="56"/>
      <c r="Q1434" s="56"/>
      <c r="R1434" s="56"/>
      <c r="S1434" s="56"/>
      <c r="T1434" s="56"/>
      <c r="U1434" s="56"/>
      <c r="V1434" s="56"/>
    </row>
    <row r="1435" ht="18.75" customHeight="1">
      <c r="A1435" s="90"/>
      <c r="B1435" s="126"/>
      <c r="C1435" s="252"/>
      <c r="D1435" s="109"/>
      <c r="E1435" s="109"/>
      <c r="F1435" s="110"/>
      <c r="G1435" s="95"/>
      <c r="H1435" s="122"/>
      <c r="I1435" s="109"/>
      <c r="J1435" s="120"/>
      <c r="K1435" s="120"/>
      <c r="L1435" s="93"/>
      <c r="M1435" s="93"/>
      <c r="N1435" s="93"/>
      <c r="O1435" s="56"/>
      <c r="P1435" s="56"/>
      <c r="Q1435" s="56"/>
      <c r="R1435" s="56"/>
      <c r="S1435" s="56"/>
      <c r="T1435" s="56"/>
      <c r="U1435" s="56"/>
      <c r="V1435" s="56"/>
    </row>
    <row r="1436" ht="18.75" customHeight="1">
      <c r="A1436" s="90"/>
      <c r="B1436" s="126"/>
      <c r="C1436" s="252"/>
      <c r="D1436" s="109"/>
      <c r="E1436" s="109"/>
      <c r="F1436" s="110"/>
      <c r="G1436" s="95"/>
      <c r="H1436" s="122"/>
      <c r="I1436" s="109"/>
      <c r="J1436" s="120"/>
      <c r="K1436" s="120"/>
      <c r="L1436" s="93"/>
      <c r="M1436" s="93"/>
      <c r="N1436" s="93"/>
      <c r="O1436" s="56"/>
      <c r="P1436" s="56"/>
      <c r="Q1436" s="56"/>
      <c r="R1436" s="56"/>
      <c r="S1436" s="56"/>
      <c r="T1436" s="56"/>
      <c r="U1436" s="56"/>
      <c r="V1436" s="56"/>
    </row>
    <row r="1437" ht="18.75" customHeight="1">
      <c r="A1437" s="90"/>
      <c r="B1437" s="126"/>
      <c r="C1437" s="252"/>
      <c r="D1437" s="109"/>
      <c r="E1437" s="109"/>
      <c r="F1437" s="110"/>
      <c r="G1437" s="95"/>
      <c r="H1437" s="122"/>
      <c r="I1437" s="109"/>
      <c r="J1437" s="120"/>
      <c r="K1437" s="120"/>
      <c r="L1437" s="93"/>
      <c r="M1437" s="93"/>
      <c r="N1437" s="93"/>
      <c r="O1437" s="56"/>
      <c r="P1437" s="56"/>
      <c r="Q1437" s="56"/>
      <c r="R1437" s="56"/>
      <c r="S1437" s="56"/>
      <c r="T1437" s="56"/>
      <c r="U1437" s="56"/>
      <c r="V1437" s="56"/>
    </row>
    <row r="1438" ht="18.75" customHeight="1">
      <c r="A1438" s="90"/>
      <c r="B1438" s="126"/>
      <c r="C1438" s="252"/>
      <c r="D1438" s="109"/>
      <c r="E1438" s="109"/>
      <c r="F1438" s="110"/>
      <c r="G1438" s="95"/>
      <c r="H1438" s="122"/>
      <c r="I1438" s="109"/>
      <c r="J1438" s="120"/>
      <c r="K1438" s="120"/>
      <c r="L1438" s="93"/>
      <c r="M1438" s="93"/>
      <c r="N1438" s="93"/>
      <c r="O1438" s="56"/>
      <c r="P1438" s="56"/>
      <c r="Q1438" s="56"/>
      <c r="R1438" s="56"/>
      <c r="S1438" s="56"/>
      <c r="T1438" s="56"/>
      <c r="U1438" s="56"/>
      <c r="V1438" s="56"/>
    </row>
    <row r="1439" ht="18.75" customHeight="1">
      <c r="A1439" s="90"/>
      <c r="B1439" s="126"/>
      <c r="C1439" s="252"/>
      <c r="D1439" s="109"/>
      <c r="E1439" s="109"/>
      <c r="F1439" s="110"/>
      <c r="G1439" s="95"/>
      <c r="H1439" s="122"/>
      <c r="I1439" s="109"/>
      <c r="J1439" s="120"/>
      <c r="K1439" s="120"/>
      <c r="L1439" s="93"/>
      <c r="M1439" s="93"/>
      <c r="N1439" s="93"/>
      <c r="O1439" s="56"/>
      <c r="P1439" s="56"/>
      <c r="Q1439" s="56"/>
      <c r="R1439" s="56"/>
      <c r="S1439" s="56"/>
      <c r="T1439" s="56"/>
      <c r="U1439" s="56"/>
      <c r="V1439" s="56"/>
    </row>
    <row r="1440" ht="18.75" customHeight="1">
      <c r="A1440" s="90"/>
      <c r="B1440" s="126"/>
      <c r="C1440" s="252"/>
      <c r="D1440" s="109"/>
      <c r="E1440" s="109"/>
      <c r="F1440" s="110"/>
      <c r="G1440" s="95"/>
      <c r="H1440" s="122"/>
      <c r="I1440" s="109"/>
      <c r="J1440" s="120"/>
      <c r="K1440" s="120"/>
      <c r="L1440" s="93"/>
      <c r="M1440" s="93"/>
      <c r="N1440" s="93"/>
      <c r="O1440" s="56"/>
      <c r="P1440" s="56"/>
      <c r="Q1440" s="56"/>
      <c r="R1440" s="56"/>
      <c r="S1440" s="56"/>
      <c r="T1440" s="56"/>
      <c r="U1440" s="56"/>
      <c r="V1440" s="56"/>
    </row>
    <row r="1441" ht="18.75" customHeight="1">
      <c r="A1441" s="90"/>
      <c r="B1441" s="126"/>
      <c r="C1441" s="252"/>
      <c r="D1441" s="109"/>
      <c r="E1441" s="109"/>
      <c r="F1441" s="110"/>
      <c r="G1441" s="95"/>
      <c r="H1441" s="122"/>
      <c r="I1441" s="109"/>
      <c r="J1441" s="120"/>
      <c r="K1441" s="120"/>
      <c r="L1441" s="93"/>
      <c r="M1441" s="93"/>
      <c r="N1441" s="93"/>
      <c r="O1441" s="56"/>
      <c r="P1441" s="56"/>
      <c r="Q1441" s="56"/>
      <c r="R1441" s="56"/>
      <c r="S1441" s="56"/>
      <c r="T1441" s="56"/>
      <c r="U1441" s="56"/>
      <c r="V1441" s="56"/>
    </row>
    <row r="1442" ht="18.75" customHeight="1">
      <c r="A1442" s="90"/>
      <c r="B1442" s="126"/>
      <c r="C1442" s="252"/>
      <c r="D1442" s="109"/>
      <c r="E1442" s="109"/>
      <c r="F1442" s="110"/>
      <c r="G1442" s="95"/>
      <c r="H1442" s="122"/>
      <c r="I1442" s="109"/>
      <c r="J1442" s="120"/>
      <c r="K1442" s="120"/>
      <c r="L1442" s="93"/>
      <c r="M1442" s="93"/>
      <c r="N1442" s="93"/>
      <c r="O1442" s="56"/>
      <c r="P1442" s="56"/>
      <c r="Q1442" s="56"/>
      <c r="R1442" s="56"/>
      <c r="S1442" s="56"/>
      <c r="T1442" s="56"/>
      <c r="U1442" s="56"/>
      <c r="V1442" s="56"/>
    </row>
    <row r="1443" ht="18.75" customHeight="1">
      <c r="A1443" s="90"/>
      <c r="B1443" s="126"/>
      <c r="C1443" s="252"/>
      <c r="D1443" s="109"/>
      <c r="E1443" s="109"/>
      <c r="F1443" s="110"/>
      <c r="G1443" s="95"/>
      <c r="H1443" s="122"/>
      <c r="I1443" s="109"/>
      <c r="J1443" s="120"/>
      <c r="K1443" s="120"/>
      <c r="L1443" s="93"/>
      <c r="M1443" s="93"/>
      <c r="N1443" s="93"/>
      <c r="O1443" s="56"/>
      <c r="P1443" s="56"/>
      <c r="Q1443" s="56"/>
      <c r="R1443" s="56"/>
      <c r="S1443" s="56"/>
      <c r="T1443" s="56"/>
      <c r="U1443" s="56"/>
      <c r="V1443" s="56"/>
    </row>
    <row r="1444" ht="18.75" customHeight="1">
      <c r="A1444" s="90"/>
      <c r="B1444" s="126"/>
      <c r="C1444" s="252"/>
      <c r="D1444" s="109"/>
      <c r="E1444" s="109"/>
      <c r="F1444" s="110"/>
      <c r="G1444" s="95"/>
      <c r="H1444" s="122"/>
      <c r="I1444" s="109"/>
      <c r="J1444" s="120"/>
      <c r="K1444" s="120"/>
      <c r="L1444" s="93"/>
      <c r="M1444" s="93"/>
      <c r="N1444" s="93"/>
      <c r="O1444" s="56"/>
      <c r="P1444" s="56"/>
      <c r="Q1444" s="56"/>
      <c r="R1444" s="56"/>
      <c r="S1444" s="56"/>
      <c r="T1444" s="56"/>
      <c r="U1444" s="56"/>
      <c r="V1444" s="56"/>
    </row>
    <row r="1445" ht="18.75" customHeight="1">
      <c r="A1445" s="90"/>
      <c r="B1445" s="126"/>
      <c r="C1445" s="252"/>
      <c r="D1445" s="109"/>
      <c r="E1445" s="109"/>
      <c r="F1445" s="110"/>
      <c r="G1445" s="95"/>
      <c r="H1445" s="122"/>
      <c r="I1445" s="109"/>
      <c r="J1445" s="120"/>
      <c r="K1445" s="120"/>
      <c r="L1445" s="93"/>
      <c r="M1445" s="93"/>
      <c r="N1445" s="93"/>
      <c r="O1445" s="56"/>
      <c r="P1445" s="56"/>
      <c r="Q1445" s="56"/>
      <c r="R1445" s="56"/>
      <c r="S1445" s="56"/>
      <c r="T1445" s="56"/>
      <c r="U1445" s="56"/>
      <c r="V1445" s="56"/>
    </row>
    <row r="1446" ht="18.75" customHeight="1">
      <c r="A1446" s="90"/>
      <c r="B1446" s="126"/>
      <c r="C1446" s="252"/>
      <c r="D1446" s="109"/>
      <c r="E1446" s="109"/>
      <c r="F1446" s="110"/>
      <c r="G1446" s="95"/>
      <c r="H1446" s="122"/>
      <c r="I1446" s="109"/>
      <c r="J1446" s="120"/>
      <c r="K1446" s="120"/>
      <c r="L1446" s="93"/>
      <c r="M1446" s="93"/>
      <c r="N1446" s="93"/>
      <c r="O1446" s="56"/>
      <c r="P1446" s="56"/>
      <c r="Q1446" s="56"/>
      <c r="R1446" s="56"/>
      <c r="S1446" s="56"/>
      <c r="T1446" s="56"/>
      <c r="U1446" s="56"/>
      <c r="V1446" s="56"/>
    </row>
    <row r="1447" ht="18.75" customHeight="1">
      <c r="A1447" s="90"/>
      <c r="B1447" s="126"/>
      <c r="C1447" s="252"/>
      <c r="D1447" s="109"/>
      <c r="E1447" s="109"/>
      <c r="F1447" s="110"/>
      <c r="G1447" s="95"/>
      <c r="H1447" s="122"/>
      <c r="I1447" s="109"/>
      <c r="J1447" s="120"/>
      <c r="K1447" s="120"/>
      <c r="L1447" s="93"/>
      <c r="M1447" s="93"/>
      <c r="N1447" s="93"/>
      <c r="O1447" s="56"/>
      <c r="P1447" s="56"/>
      <c r="Q1447" s="56"/>
      <c r="R1447" s="56"/>
      <c r="S1447" s="56"/>
      <c r="T1447" s="56"/>
      <c r="U1447" s="56"/>
      <c r="V1447" s="56"/>
    </row>
    <row r="1448" ht="18.75" customHeight="1">
      <c r="A1448" s="90"/>
      <c r="B1448" s="126"/>
      <c r="C1448" s="252"/>
      <c r="D1448" s="109"/>
      <c r="E1448" s="109"/>
      <c r="F1448" s="110"/>
      <c r="G1448" s="95"/>
      <c r="H1448" s="122"/>
      <c r="I1448" s="109"/>
      <c r="J1448" s="120"/>
      <c r="K1448" s="120"/>
      <c r="L1448" s="93"/>
      <c r="M1448" s="93"/>
      <c r="N1448" s="93"/>
      <c r="O1448" s="56"/>
      <c r="P1448" s="56"/>
      <c r="Q1448" s="56"/>
      <c r="R1448" s="56"/>
      <c r="S1448" s="56"/>
      <c r="T1448" s="56"/>
      <c r="U1448" s="56"/>
      <c r="V1448" s="56"/>
    </row>
    <row r="1449" ht="18.75" customHeight="1">
      <c r="A1449" s="90"/>
      <c r="B1449" s="126"/>
      <c r="C1449" s="252"/>
      <c r="D1449" s="109"/>
      <c r="E1449" s="109"/>
      <c r="F1449" s="110"/>
      <c r="G1449" s="95"/>
      <c r="H1449" s="122"/>
      <c r="I1449" s="109"/>
      <c r="J1449" s="120"/>
      <c r="K1449" s="120"/>
      <c r="L1449" s="93"/>
      <c r="M1449" s="93"/>
      <c r="N1449" s="93"/>
      <c r="O1449" s="56"/>
      <c r="P1449" s="56"/>
      <c r="Q1449" s="56"/>
      <c r="R1449" s="56"/>
      <c r="S1449" s="56"/>
      <c r="T1449" s="56"/>
      <c r="U1449" s="56"/>
      <c r="V1449" s="56"/>
    </row>
    <row r="1450" ht="18.75" customHeight="1">
      <c r="A1450" s="90"/>
      <c r="B1450" s="126"/>
      <c r="C1450" s="252"/>
      <c r="D1450" s="109"/>
      <c r="E1450" s="109"/>
      <c r="F1450" s="110"/>
      <c r="G1450" s="95"/>
      <c r="H1450" s="122"/>
      <c r="I1450" s="109"/>
      <c r="J1450" s="120"/>
      <c r="K1450" s="120"/>
      <c r="L1450" s="93"/>
      <c r="M1450" s="93"/>
      <c r="N1450" s="93"/>
      <c r="O1450" s="56"/>
      <c r="P1450" s="56"/>
      <c r="Q1450" s="56"/>
      <c r="R1450" s="56"/>
      <c r="S1450" s="56"/>
      <c r="T1450" s="56"/>
      <c r="U1450" s="56"/>
      <c r="V1450" s="56"/>
    </row>
    <row r="1451" ht="18.75" customHeight="1">
      <c r="A1451" s="90"/>
      <c r="B1451" s="126"/>
      <c r="C1451" s="252"/>
      <c r="D1451" s="109"/>
      <c r="E1451" s="109"/>
      <c r="F1451" s="110"/>
      <c r="G1451" s="95"/>
      <c r="H1451" s="122"/>
      <c r="I1451" s="109"/>
      <c r="J1451" s="120"/>
      <c r="K1451" s="120"/>
      <c r="L1451" s="93"/>
      <c r="M1451" s="93"/>
      <c r="N1451" s="93"/>
      <c r="O1451" s="56"/>
      <c r="P1451" s="56"/>
      <c r="Q1451" s="56"/>
      <c r="R1451" s="56"/>
      <c r="S1451" s="56"/>
      <c r="T1451" s="56"/>
      <c r="U1451" s="56"/>
      <c r="V1451" s="56"/>
    </row>
    <row r="1452" ht="18.75" customHeight="1">
      <c r="A1452" s="90"/>
      <c r="B1452" s="126"/>
      <c r="C1452" s="252"/>
      <c r="D1452" s="109"/>
      <c r="E1452" s="109"/>
      <c r="F1452" s="110"/>
      <c r="G1452" s="95"/>
      <c r="H1452" s="122"/>
      <c r="I1452" s="109"/>
      <c r="J1452" s="120"/>
      <c r="K1452" s="120"/>
      <c r="L1452" s="93"/>
      <c r="M1452" s="93"/>
      <c r="N1452" s="93"/>
      <c r="O1452" s="56"/>
      <c r="P1452" s="56"/>
      <c r="Q1452" s="56"/>
      <c r="R1452" s="56"/>
      <c r="S1452" s="56"/>
      <c r="T1452" s="56"/>
      <c r="U1452" s="56"/>
      <c r="V1452" s="56"/>
    </row>
    <row r="1453" ht="18.75" customHeight="1">
      <c r="A1453" s="90"/>
      <c r="B1453" s="126"/>
      <c r="C1453" s="252"/>
      <c r="D1453" s="109"/>
      <c r="E1453" s="109"/>
      <c r="F1453" s="110"/>
      <c r="G1453" s="95"/>
      <c r="H1453" s="122"/>
      <c r="I1453" s="109"/>
      <c r="J1453" s="120"/>
      <c r="K1453" s="120"/>
      <c r="L1453" s="93"/>
      <c r="M1453" s="93"/>
      <c r="N1453" s="93"/>
      <c r="O1453" s="56"/>
      <c r="P1453" s="56"/>
      <c r="Q1453" s="56"/>
      <c r="R1453" s="56"/>
      <c r="S1453" s="56"/>
      <c r="T1453" s="56"/>
      <c r="U1453" s="56"/>
      <c r="V1453" s="56"/>
    </row>
    <row r="1454" ht="18.75" customHeight="1">
      <c r="A1454" s="90"/>
      <c r="B1454" s="126"/>
      <c r="C1454" s="252"/>
      <c r="D1454" s="109"/>
      <c r="E1454" s="109"/>
      <c r="F1454" s="110"/>
      <c r="G1454" s="95"/>
      <c r="H1454" s="122"/>
      <c r="I1454" s="109"/>
      <c r="J1454" s="120"/>
      <c r="K1454" s="120"/>
      <c r="L1454" s="93"/>
      <c r="M1454" s="93"/>
      <c r="N1454" s="93"/>
      <c r="O1454" s="56"/>
      <c r="P1454" s="56"/>
      <c r="Q1454" s="56"/>
      <c r="R1454" s="56"/>
      <c r="S1454" s="56"/>
      <c r="T1454" s="56"/>
      <c r="U1454" s="56"/>
      <c r="V1454" s="56"/>
    </row>
    <row r="1455" ht="18.75" customHeight="1">
      <c r="A1455" s="90"/>
      <c r="B1455" s="126"/>
      <c r="C1455" s="252"/>
      <c r="D1455" s="109"/>
      <c r="E1455" s="109"/>
      <c r="F1455" s="110"/>
      <c r="G1455" s="95"/>
      <c r="H1455" s="122"/>
      <c r="I1455" s="109"/>
      <c r="J1455" s="120"/>
      <c r="K1455" s="120"/>
      <c r="L1455" s="93"/>
      <c r="M1455" s="93"/>
      <c r="N1455" s="93"/>
      <c r="O1455" s="56"/>
      <c r="P1455" s="56"/>
      <c r="Q1455" s="56"/>
      <c r="R1455" s="56"/>
      <c r="S1455" s="56"/>
      <c r="T1455" s="56"/>
      <c r="U1455" s="56"/>
      <c r="V1455" s="56"/>
    </row>
    <row r="1456" ht="18.75" customHeight="1">
      <c r="A1456" s="90"/>
      <c r="B1456" s="126"/>
      <c r="C1456" s="252"/>
      <c r="D1456" s="109"/>
      <c r="E1456" s="109"/>
      <c r="F1456" s="110"/>
      <c r="G1456" s="95"/>
      <c r="H1456" s="122"/>
      <c r="I1456" s="109"/>
      <c r="J1456" s="120"/>
      <c r="K1456" s="120"/>
      <c r="L1456" s="93"/>
      <c r="M1456" s="93"/>
      <c r="N1456" s="93"/>
      <c r="O1456" s="56"/>
      <c r="P1456" s="56"/>
      <c r="Q1456" s="56"/>
      <c r="R1456" s="56"/>
      <c r="S1456" s="56"/>
      <c r="T1456" s="56"/>
      <c r="U1456" s="56"/>
      <c r="V1456" s="56"/>
    </row>
    <row r="1457" ht="18.75" customHeight="1">
      <c r="A1457" s="90"/>
      <c r="B1457" s="126"/>
      <c r="C1457" s="252"/>
      <c r="D1457" s="109"/>
      <c r="E1457" s="109"/>
      <c r="F1457" s="110"/>
      <c r="G1457" s="95"/>
      <c r="H1457" s="122"/>
      <c r="I1457" s="109"/>
      <c r="J1457" s="120"/>
      <c r="K1457" s="120"/>
      <c r="L1457" s="93"/>
      <c r="M1457" s="93"/>
      <c r="N1457" s="93"/>
      <c r="O1457" s="56"/>
      <c r="P1457" s="56"/>
      <c r="Q1457" s="56"/>
      <c r="R1457" s="56"/>
      <c r="S1457" s="56"/>
      <c r="T1457" s="56"/>
      <c r="U1457" s="56"/>
      <c r="V1457" s="56"/>
    </row>
    <row r="1458" ht="18.75" customHeight="1">
      <c r="A1458" s="90"/>
      <c r="B1458" s="126"/>
      <c r="C1458" s="252"/>
      <c r="D1458" s="109"/>
      <c r="E1458" s="109"/>
      <c r="F1458" s="110"/>
      <c r="G1458" s="95"/>
      <c r="H1458" s="122"/>
      <c r="I1458" s="109"/>
      <c r="J1458" s="120"/>
      <c r="K1458" s="120"/>
      <c r="L1458" s="93"/>
      <c r="M1458" s="93"/>
      <c r="N1458" s="93"/>
      <c r="O1458" s="56"/>
      <c r="P1458" s="56"/>
      <c r="Q1458" s="56"/>
      <c r="R1458" s="56"/>
      <c r="S1458" s="56"/>
      <c r="T1458" s="56"/>
      <c r="U1458" s="56"/>
      <c r="V1458" s="56"/>
    </row>
    <row r="1459" ht="18.75" customHeight="1">
      <c r="A1459" s="90"/>
      <c r="B1459" s="126"/>
      <c r="C1459" s="252"/>
      <c r="D1459" s="109"/>
      <c r="E1459" s="109"/>
      <c r="F1459" s="110"/>
      <c r="G1459" s="95"/>
      <c r="H1459" s="122"/>
      <c r="I1459" s="109"/>
      <c r="J1459" s="120"/>
      <c r="K1459" s="120"/>
      <c r="L1459" s="93"/>
      <c r="M1459" s="93"/>
      <c r="N1459" s="93"/>
      <c r="O1459" s="56"/>
      <c r="P1459" s="56"/>
      <c r="Q1459" s="56"/>
      <c r="R1459" s="56"/>
      <c r="S1459" s="56"/>
      <c r="T1459" s="56"/>
      <c r="U1459" s="56"/>
      <c r="V1459" s="56"/>
    </row>
    <row r="1460" ht="18.75" customHeight="1">
      <c r="A1460" s="90"/>
      <c r="B1460" s="126"/>
      <c r="C1460" s="252"/>
      <c r="D1460" s="109"/>
      <c r="E1460" s="109"/>
      <c r="F1460" s="110"/>
      <c r="G1460" s="95"/>
      <c r="H1460" s="122"/>
      <c r="I1460" s="109"/>
      <c r="J1460" s="120"/>
      <c r="K1460" s="120"/>
      <c r="L1460" s="93"/>
      <c r="M1460" s="93"/>
      <c r="N1460" s="93"/>
      <c r="O1460" s="56"/>
      <c r="P1460" s="56"/>
      <c r="Q1460" s="56"/>
      <c r="R1460" s="56"/>
      <c r="S1460" s="56"/>
      <c r="T1460" s="56"/>
      <c r="U1460" s="56"/>
      <c r="V1460" s="56"/>
    </row>
    <row r="1461" ht="18.75" customHeight="1">
      <c r="A1461" s="90"/>
      <c r="B1461" s="126"/>
      <c r="C1461" s="252"/>
      <c r="D1461" s="109"/>
      <c r="E1461" s="109"/>
      <c r="F1461" s="110"/>
      <c r="G1461" s="95"/>
      <c r="H1461" s="122"/>
      <c r="I1461" s="109"/>
      <c r="J1461" s="120"/>
      <c r="K1461" s="120"/>
      <c r="L1461" s="93"/>
      <c r="M1461" s="93"/>
      <c r="N1461" s="93"/>
      <c r="O1461" s="56"/>
      <c r="P1461" s="56"/>
      <c r="Q1461" s="56"/>
      <c r="R1461" s="56"/>
      <c r="S1461" s="56"/>
      <c r="T1461" s="56"/>
      <c r="U1461" s="56"/>
      <c r="V1461" s="56"/>
    </row>
    <row r="1462" ht="18.75" customHeight="1">
      <c r="A1462" s="90"/>
      <c r="B1462" s="126"/>
      <c r="C1462" s="252"/>
      <c r="D1462" s="109"/>
      <c r="E1462" s="109"/>
      <c r="F1462" s="110"/>
      <c r="G1462" s="95"/>
      <c r="H1462" s="122"/>
      <c r="I1462" s="109"/>
      <c r="J1462" s="120"/>
      <c r="K1462" s="120"/>
      <c r="L1462" s="93"/>
      <c r="M1462" s="93"/>
      <c r="N1462" s="93"/>
      <c r="O1462" s="56"/>
      <c r="P1462" s="56"/>
      <c r="Q1462" s="56"/>
      <c r="R1462" s="56"/>
      <c r="S1462" s="56"/>
      <c r="T1462" s="56"/>
      <c r="U1462" s="56"/>
      <c r="V1462" s="56"/>
    </row>
    <row r="1463" ht="18.75" customHeight="1">
      <c r="A1463" s="90"/>
      <c r="B1463" s="126"/>
      <c r="C1463" s="252"/>
      <c r="D1463" s="109"/>
      <c r="E1463" s="109"/>
      <c r="F1463" s="110"/>
      <c r="G1463" s="95"/>
      <c r="H1463" s="122"/>
      <c r="I1463" s="109"/>
      <c r="J1463" s="120"/>
      <c r="K1463" s="120"/>
      <c r="L1463" s="93"/>
      <c r="M1463" s="93"/>
      <c r="N1463" s="93"/>
      <c r="O1463" s="56"/>
      <c r="P1463" s="56"/>
      <c r="Q1463" s="56"/>
      <c r="R1463" s="56"/>
      <c r="S1463" s="56"/>
      <c r="T1463" s="56"/>
      <c r="U1463" s="56"/>
      <c r="V1463" s="56"/>
    </row>
    <row r="1464" ht="18.75" customHeight="1">
      <c r="A1464" s="90"/>
      <c r="B1464" s="126"/>
      <c r="C1464" s="252"/>
      <c r="D1464" s="109"/>
      <c r="E1464" s="109"/>
      <c r="F1464" s="110"/>
      <c r="G1464" s="95"/>
      <c r="H1464" s="122"/>
      <c r="I1464" s="109"/>
      <c r="J1464" s="120"/>
      <c r="K1464" s="120"/>
      <c r="L1464" s="93"/>
      <c r="M1464" s="93"/>
      <c r="N1464" s="93"/>
      <c r="O1464" s="56"/>
      <c r="P1464" s="56"/>
      <c r="Q1464" s="56"/>
      <c r="R1464" s="56"/>
      <c r="S1464" s="56"/>
      <c r="T1464" s="56"/>
      <c r="U1464" s="56"/>
      <c r="V1464" s="56"/>
    </row>
    <row r="1465" ht="18.75" customHeight="1">
      <c r="A1465" s="90"/>
      <c r="B1465" s="126"/>
      <c r="C1465" s="252"/>
      <c r="D1465" s="109"/>
      <c r="E1465" s="109"/>
      <c r="F1465" s="110"/>
      <c r="G1465" s="95"/>
      <c r="H1465" s="122"/>
      <c r="I1465" s="109"/>
      <c r="J1465" s="120"/>
      <c r="K1465" s="120"/>
      <c r="L1465" s="93"/>
      <c r="M1465" s="93"/>
      <c r="N1465" s="93"/>
      <c r="O1465" s="56"/>
      <c r="P1465" s="56"/>
      <c r="Q1465" s="56"/>
      <c r="R1465" s="56"/>
      <c r="S1465" s="56"/>
      <c r="T1465" s="56"/>
      <c r="U1465" s="56"/>
      <c r="V1465" s="56"/>
    </row>
    <row r="1466" ht="18.75" customHeight="1">
      <c r="A1466" s="90"/>
      <c r="B1466" s="126"/>
      <c r="C1466" s="252"/>
      <c r="D1466" s="109"/>
      <c r="E1466" s="109"/>
      <c r="F1466" s="110"/>
      <c r="G1466" s="95"/>
      <c r="H1466" s="122"/>
      <c r="I1466" s="109"/>
      <c r="J1466" s="120"/>
      <c r="K1466" s="120"/>
      <c r="L1466" s="93"/>
      <c r="M1466" s="93"/>
      <c r="N1466" s="93"/>
      <c r="O1466" s="56"/>
      <c r="P1466" s="56"/>
      <c r="Q1466" s="56"/>
      <c r="R1466" s="56"/>
      <c r="S1466" s="56"/>
      <c r="T1466" s="56"/>
      <c r="U1466" s="56"/>
      <c r="V1466" s="56"/>
    </row>
    <row r="1467" ht="18.75" customHeight="1">
      <c r="A1467" s="90"/>
      <c r="B1467" s="126"/>
      <c r="C1467" s="252"/>
      <c r="D1467" s="109"/>
      <c r="E1467" s="109"/>
      <c r="F1467" s="110"/>
      <c r="G1467" s="95"/>
      <c r="H1467" s="122"/>
      <c r="I1467" s="109"/>
      <c r="J1467" s="120"/>
      <c r="K1467" s="120"/>
      <c r="L1467" s="93"/>
      <c r="M1467" s="93"/>
      <c r="N1467" s="93"/>
      <c r="O1467" s="56"/>
      <c r="P1467" s="56"/>
      <c r="Q1467" s="56"/>
      <c r="R1467" s="56"/>
      <c r="S1467" s="56"/>
      <c r="T1467" s="56"/>
      <c r="U1467" s="56"/>
      <c r="V1467" s="56"/>
    </row>
    <row r="1468" ht="18.75" customHeight="1">
      <c r="A1468" s="90"/>
      <c r="B1468" s="126"/>
      <c r="C1468" s="252"/>
      <c r="D1468" s="109"/>
      <c r="E1468" s="109"/>
      <c r="F1468" s="110"/>
      <c r="G1468" s="95"/>
      <c r="H1468" s="122"/>
      <c r="I1468" s="109"/>
      <c r="J1468" s="120"/>
      <c r="K1468" s="120"/>
      <c r="L1468" s="93"/>
      <c r="M1468" s="93"/>
      <c r="N1468" s="93"/>
      <c r="O1468" s="56"/>
      <c r="P1468" s="56"/>
      <c r="Q1468" s="56"/>
      <c r="R1468" s="56"/>
      <c r="S1468" s="56"/>
      <c r="T1468" s="56"/>
      <c r="U1468" s="56"/>
      <c r="V1468" s="56"/>
    </row>
    <row r="1469" ht="18.75" customHeight="1">
      <c r="A1469" s="90"/>
      <c r="B1469" s="126"/>
      <c r="C1469" s="252"/>
      <c r="D1469" s="109"/>
      <c r="E1469" s="109"/>
      <c r="F1469" s="110"/>
      <c r="G1469" s="95"/>
      <c r="H1469" s="122"/>
      <c r="I1469" s="109"/>
      <c r="J1469" s="120"/>
      <c r="K1469" s="120"/>
      <c r="L1469" s="93"/>
      <c r="M1469" s="93"/>
      <c r="N1469" s="93"/>
      <c r="O1469" s="56"/>
      <c r="P1469" s="56"/>
      <c r="Q1469" s="56"/>
      <c r="R1469" s="56"/>
      <c r="S1469" s="56"/>
      <c r="T1469" s="56"/>
      <c r="U1469" s="56"/>
      <c r="V1469" s="56"/>
    </row>
    <row r="1470" ht="18.75" customHeight="1">
      <c r="A1470" s="90"/>
      <c r="B1470" s="126"/>
      <c r="C1470" s="252"/>
      <c r="D1470" s="109"/>
      <c r="E1470" s="109"/>
      <c r="F1470" s="110"/>
      <c r="G1470" s="95"/>
      <c r="H1470" s="122"/>
      <c r="I1470" s="109"/>
      <c r="J1470" s="120"/>
      <c r="K1470" s="120"/>
      <c r="L1470" s="93"/>
      <c r="M1470" s="93"/>
      <c r="N1470" s="93"/>
      <c r="O1470" s="56"/>
      <c r="P1470" s="56"/>
      <c r="Q1470" s="56"/>
      <c r="R1470" s="56"/>
      <c r="S1470" s="56"/>
      <c r="T1470" s="56"/>
      <c r="U1470" s="56"/>
      <c r="V1470" s="56"/>
    </row>
    <row r="1471" ht="18.75" customHeight="1">
      <c r="A1471" s="90"/>
      <c r="B1471" s="126"/>
      <c r="C1471" s="252"/>
      <c r="D1471" s="109"/>
      <c r="E1471" s="109"/>
      <c r="F1471" s="110"/>
      <c r="G1471" s="95"/>
      <c r="H1471" s="122"/>
      <c r="I1471" s="109"/>
      <c r="J1471" s="120"/>
      <c r="K1471" s="120"/>
      <c r="L1471" s="93"/>
      <c r="M1471" s="93"/>
      <c r="N1471" s="93"/>
      <c r="O1471" s="56"/>
      <c r="P1471" s="56"/>
      <c r="Q1471" s="56"/>
      <c r="R1471" s="56"/>
      <c r="S1471" s="56"/>
      <c r="T1471" s="56"/>
      <c r="U1471" s="56"/>
      <c r="V1471" s="56"/>
    </row>
    <row r="1472" ht="18.75" customHeight="1">
      <c r="A1472" s="90"/>
      <c r="B1472" s="126"/>
      <c r="C1472" s="252"/>
      <c r="D1472" s="109"/>
      <c r="E1472" s="109"/>
      <c r="F1472" s="110"/>
      <c r="G1472" s="95"/>
      <c r="H1472" s="122"/>
      <c r="I1472" s="109"/>
      <c r="J1472" s="120"/>
      <c r="K1472" s="120"/>
      <c r="L1472" s="93"/>
      <c r="M1472" s="93"/>
      <c r="N1472" s="93"/>
      <c r="O1472" s="56"/>
      <c r="P1472" s="56"/>
      <c r="Q1472" s="56"/>
      <c r="R1472" s="56"/>
      <c r="S1472" s="56"/>
      <c r="T1472" s="56"/>
      <c r="U1472" s="56"/>
      <c r="V1472" s="56"/>
    </row>
    <row r="1473" ht="18.75" customHeight="1">
      <c r="A1473" s="90"/>
      <c r="B1473" s="126"/>
      <c r="C1473" s="252"/>
      <c r="D1473" s="109"/>
      <c r="E1473" s="109"/>
      <c r="F1473" s="110"/>
      <c r="G1473" s="95"/>
      <c r="H1473" s="122"/>
      <c r="I1473" s="109"/>
      <c r="J1473" s="120"/>
      <c r="K1473" s="120"/>
      <c r="L1473" s="93"/>
      <c r="M1473" s="93"/>
      <c r="N1473" s="93"/>
      <c r="O1473" s="56"/>
      <c r="P1473" s="56"/>
      <c r="Q1473" s="56"/>
      <c r="R1473" s="56"/>
      <c r="S1473" s="56"/>
      <c r="T1473" s="56"/>
      <c r="U1473" s="56"/>
      <c r="V1473" s="56"/>
    </row>
    <row r="1474" ht="18.75" customHeight="1">
      <c r="A1474" s="90"/>
      <c r="B1474" s="126"/>
      <c r="C1474" s="252"/>
      <c r="D1474" s="109"/>
      <c r="E1474" s="109"/>
      <c r="F1474" s="110"/>
      <c r="G1474" s="95"/>
      <c r="H1474" s="122"/>
      <c r="I1474" s="109"/>
      <c r="J1474" s="120"/>
      <c r="K1474" s="120"/>
      <c r="L1474" s="93"/>
      <c r="M1474" s="93"/>
      <c r="N1474" s="93"/>
      <c r="O1474" s="56"/>
      <c r="P1474" s="56"/>
      <c r="Q1474" s="56"/>
      <c r="R1474" s="56"/>
      <c r="S1474" s="56"/>
      <c r="T1474" s="56"/>
      <c r="U1474" s="56"/>
      <c r="V1474" s="56"/>
    </row>
    <row r="1475" ht="18.75" customHeight="1">
      <c r="A1475" s="90"/>
      <c r="B1475" s="126"/>
      <c r="C1475" s="252"/>
      <c r="D1475" s="109"/>
      <c r="E1475" s="109"/>
      <c r="F1475" s="110"/>
      <c r="G1475" s="95"/>
      <c r="H1475" s="122"/>
      <c r="I1475" s="109"/>
      <c r="J1475" s="120"/>
      <c r="K1475" s="120"/>
      <c r="L1475" s="93"/>
      <c r="M1475" s="93"/>
      <c r="N1475" s="93"/>
      <c r="O1475" s="56"/>
      <c r="P1475" s="56"/>
      <c r="Q1475" s="56"/>
      <c r="R1475" s="56"/>
      <c r="S1475" s="56"/>
      <c r="T1475" s="56"/>
      <c r="U1475" s="56"/>
      <c r="V1475" s="56"/>
    </row>
    <row r="1476" ht="18.75" customHeight="1">
      <c r="A1476" s="90"/>
      <c r="B1476" s="126"/>
      <c r="C1476" s="252"/>
      <c r="D1476" s="109"/>
      <c r="E1476" s="109"/>
      <c r="F1476" s="110"/>
      <c r="G1476" s="95"/>
      <c r="H1476" s="122"/>
      <c r="I1476" s="109"/>
      <c r="J1476" s="120"/>
      <c r="K1476" s="120"/>
      <c r="L1476" s="93"/>
      <c r="M1476" s="93"/>
      <c r="N1476" s="93"/>
      <c r="O1476" s="56"/>
      <c r="P1476" s="56"/>
      <c r="Q1476" s="56"/>
      <c r="R1476" s="56"/>
      <c r="S1476" s="56"/>
      <c r="T1476" s="56"/>
      <c r="U1476" s="56"/>
      <c r="V1476" s="56"/>
    </row>
    <row r="1477" ht="18.75" customHeight="1">
      <c r="A1477" s="90"/>
      <c r="B1477" s="126"/>
      <c r="C1477" s="252"/>
      <c r="D1477" s="109"/>
      <c r="E1477" s="109"/>
      <c r="F1477" s="110"/>
      <c r="G1477" s="95"/>
      <c r="H1477" s="122"/>
      <c r="I1477" s="109"/>
      <c r="J1477" s="120"/>
      <c r="K1477" s="120"/>
      <c r="L1477" s="93"/>
      <c r="M1477" s="93"/>
      <c r="N1477" s="93"/>
      <c r="O1477" s="56"/>
      <c r="P1477" s="56"/>
      <c r="Q1477" s="56"/>
      <c r="R1477" s="56"/>
      <c r="S1477" s="56"/>
      <c r="T1477" s="56"/>
      <c r="U1477" s="56"/>
      <c r="V1477" s="56"/>
    </row>
    <row r="1478" ht="18.75" customHeight="1">
      <c r="A1478" s="90"/>
      <c r="B1478" s="126"/>
      <c r="C1478" s="252"/>
      <c r="D1478" s="109"/>
      <c r="E1478" s="109"/>
      <c r="F1478" s="110"/>
      <c r="G1478" s="95"/>
      <c r="H1478" s="122"/>
      <c r="I1478" s="109"/>
      <c r="J1478" s="120"/>
      <c r="K1478" s="120"/>
      <c r="L1478" s="93"/>
      <c r="M1478" s="93"/>
      <c r="N1478" s="93"/>
      <c r="O1478" s="56"/>
      <c r="P1478" s="56"/>
      <c r="Q1478" s="56"/>
      <c r="R1478" s="56"/>
      <c r="S1478" s="56"/>
      <c r="T1478" s="56"/>
      <c r="U1478" s="56"/>
      <c r="V1478" s="56"/>
    </row>
    <row r="1479" ht="18.75" customHeight="1">
      <c r="A1479" s="90"/>
      <c r="B1479" s="126"/>
      <c r="C1479" s="252"/>
      <c r="D1479" s="109"/>
      <c r="E1479" s="109"/>
      <c r="F1479" s="110"/>
      <c r="G1479" s="95"/>
      <c r="H1479" s="122"/>
      <c r="I1479" s="109"/>
      <c r="J1479" s="120"/>
      <c r="K1479" s="120"/>
      <c r="L1479" s="93"/>
      <c r="M1479" s="93"/>
      <c r="N1479" s="93"/>
      <c r="O1479" s="56"/>
      <c r="P1479" s="56"/>
      <c r="Q1479" s="56"/>
      <c r="R1479" s="56"/>
      <c r="S1479" s="56"/>
      <c r="T1479" s="56"/>
      <c r="U1479" s="56"/>
      <c r="V1479" s="56"/>
    </row>
    <row r="1480" ht="18.75" customHeight="1">
      <c r="A1480" s="90"/>
      <c r="B1480" s="126"/>
      <c r="C1480" s="252"/>
      <c r="D1480" s="109"/>
      <c r="E1480" s="109"/>
      <c r="F1480" s="110"/>
      <c r="G1480" s="95"/>
      <c r="H1480" s="122"/>
      <c r="I1480" s="109"/>
      <c r="J1480" s="120"/>
      <c r="K1480" s="120"/>
      <c r="L1480" s="93"/>
      <c r="M1480" s="93"/>
      <c r="N1480" s="93"/>
      <c r="O1480" s="56"/>
      <c r="P1480" s="56"/>
      <c r="Q1480" s="56"/>
      <c r="R1480" s="56"/>
      <c r="S1480" s="56"/>
      <c r="T1480" s="56"/>
      <c r="U1480" s="56"/>
      <c r="V1480" s="56"/>
    </row>
    <row r="1481" ht="18.75" customHeight="1">
      <c r="A1481" s="90"/>
      <c r="B1481" s="126"/>
      <c r="C1481" s="252"/>
      <c r="D1481" s="109"/>
      <c r="E1481" s="109"/>
      <c r="F1481" s="110"/>
      <c r="G1481" s="95"/>
      <c r="H1481" s="122"/>
      <c r="I1481" s="109"/>
      <c r="J1481" s="120"/>
      <c r="K1481" s="120"/>
      <c r="L1481" s="93"/>
      <c r="M1481" s="93"/>
      <c r="N1481" s="93"/>
      <c r="O1481" s="56"/>
      <c r="P1481" s="56"/>
      <c r="Q1481" s="56"/>
      <c r="R1481" s="56"/>
      <c r="S1481" s="56"/>
      <c r="T1481" s="56"/>
      <c r="U1481" s="56"/>
      <c r="V1481" s="56"/>
    </row>
    <row r="1482" ht="18.75" customHeight="1">
      <c r="A1482" s="90"/>
      <c r="B1482" s="126"/>
      <c r="C1482" s="252"/>
      <c r="D1482" s="109"/>
      <c r="E1482" s="109"/>
      <c r="F1482" s="110"/>
      <c r="G1482" s="95"/>
      <c r="H1482" s="122"/>
      <c r="I1482" s="109"/>
      <c r="J1482" s="120"/>
      <c r="K1482" s="120"/>
      <c r="L1482" s="93"/>
      <c r="M1482" s="93"/>
      <c r="N1482" s="93"/>
      <c r="O1482" s="56"/>
      <c r="P1482" s="56"/>
      <c r="Q1482" s="56"/>
      <c r="R1482" s="56"/>
      <c r="S1482" s="56"/>
      <c r="T1482" s="56"/>
      <c r="U1482" s="56"/>
      <c r="V1482" s="56"/>
    </row>
    <row r="1483" ht="18.75" customHeight="1">
      <c r="A1483" s="90"/>
      <c r="B1483" s="126"/>
      <c r="C1483" s="252"/>
      <c r="D1483" s="109"/>
      <c r="E1483" s="109"/>
      <c r="F1483" s="110"/>
      <c r="G1483" s="95"/>
      <c r="H1483" s="122"/>
      <c r="I1483" s="109"/>
      <c r="J1483" s="120"/>
      <c r="K1483" s="120"/>
      <c r="L1483" s="93"/>
      <c r="M1483" s="93"/>
      <c r="N1483" s="93"/>
      <c r="O1483" s="56"/>
      <c r="P1483" s="56"/>
      <c r="Q1483" s="56"/>
      <c r="R1483" s="56"/>
      <c r="S1483" s="56"/>
      <c r="T1483" s="56"/>
      <c r="U1483" s="56"/>
      <c r="V1483" s="56"/>
    </row>
    <row r="1484" ht="18.75" customHeight="1">
      <c r="A1484" s="90"/>
      <c r="B1484" s="126"/>
      <c r="C1484" s="252"/>
      <c r="D1484" s="109"/>
      <c r="E1484" s="109"/>
      <c r="F1484" s="110"/>
      <c r="G1484" s="95"/>
      <c r="H1484" s="122"/>
      <c r="I1484" s="109"/>
      <c r="J1484" s="120"/>
      <c r="K1484" s="120"/>
      <c r="L1484" s="93"/>
      <c r="M1484" s="93"/>
      <c r="N1484" s="93"/>
      <c r="O1484" s="56"/>
      <c r="P1484" s="56"/>
      <c r="Q1484" s="56"/>
      <c r="R1484" s="56"/>
      <c r="S1484" s="56"/>
      <c r="T1484" s="56"/>
      <c r="U1484" s="56"/>
      <c r="V1484" s="56"/>
    </row>
    <row r="1485" ht="18.75" customHeight="1">
      <c r="A1485" s="90"/>
      <c r="B1485" s="126"/>
      <c r="C1485" s="252"/>
      <c r="D1485" s="109"/>
      <c r="E1485" s="109"/>
      <c r="F1485" s="110"/>
      <c r="G1485" s="95"/>
      <c r="H1485" s="122"/>
      <c r="I1485" s="109"/>
      <c r="J1485" s="120"/>
      <c r="K1485" s="120"/>
      <c r="L1485" s="93"/>
      <c r="M1485" s="93"/>
      <c r="N1485" s="93"/>
      <c r="O1485" s="56"/>
      <c r="P1485" s="56"/>
      <c r="Q1485" s="56"/>
      <c r="R1485" s="56"/>
      <c r="S1485" s="56"/>
      <c r="T1485" s="56"/>
      <c r="U1485" s="56"/>
      <c r="V1485" s="56"/>
    </row>
    <row r="1486" ht="18.75" customHeight="1">
      <c r="A1486" s="90"/>
      <c r="B1486" s="126"/>
      <c r="C1486" s="252"/>
      <c r="D1486" s="109"/>
      <c r="E1486" s="109"/>
      <c r="F1486" s="110"/>
      <c r="G1486" s="95"/>
      <c r="H1486" s="122"/>
      <c r="I1486" s="109"/>
      <c r="J1486" s="120"/>
      <c r="K1486" s="120"/>
      <c r="L1486" s="93"/>
      <c r="M1486" s="93"/>
      <c r="N1486" s="93"/>
      <c r="O1486" s="56"/>
      <c r="P1486" s="56"/>
      <c r="Q1486" s="56"/>
      <c r="R1486" s="56"/>
      <c r="S1486" s="56"/>
      <c r="T1486" s="56"/>
      <c r="U1486" s="56"/>
      <c r="V1486" s="56"/>
    </row>
    <row r="1487" ht="18.75" customHeight="1">
      <c r="A1487" s="90"/>
      <c r="B1487" s="126"/>
      <c r="C1487" s="252"/>
      <c r="D1487" s="109"/>
      <c r="E1487" s="109"/>
      <c r="F1487" s="110"/>
      <c r="G1487" s="95"/>
      <c r="H1487" s="122"/>
      <c r="I1487" s="109"/>
      <c r="J1487" s="120"/>
      <c r="K1487" s="120"/>
      <c r="L1487" s="93"/>
      <c r="M1487" s="93"/>
      <c r="N1487" s="93"/>
      <c r="O1487" s="56"/>
      <c r="P1487" s="56"/>
      <c r="Q1487" s="56"/>
      <c r="R1487" s="56"/>
      <c r="S1487" s="56"/>
      <c r="T1487" s="56"/>
      <c r="U1487" s="56"/>
      <c r="V1487" s="56"/>
    </row>
    <row r="1488" ht="18.75" customHeight="1">
      <c r="A1488" s="90"/>
      <c r="B1488" s="126"/>
      <c r="C1488" s="252"/>
      <c r="D1488" s="109"/>
      <c r="E1488" s="109"/>
      <c r="F1488" s="110"/>
      <c r="G1488" s="95"/>
      <c r="H1488" s="122"/>
      <c r="I1488" s="109"/>
      <c r="J1488" s="120"/>
      <c r="K1488" s="120"/>
      <c r="L1488" s="93"/>
      <c r="M1488" s="93"/>
      <c r="N1488" s="93"/>
      <c r="O1488" s="56"/>
      <c r="P1488" s="56"/>
      <c r="Q1488" s="56"/>
      <c r="R1488" s="56"/>
      <c r="S1488" s="56"/>
      <c r="T1488" s="56"/>
      <c r="U1488" s="56"/>
      <c r="V1488" s="56"/>
    </row>
    <row r="1489" ht="18.75" customHeight="1">
      <c r="A1489" s="90"/>
      <c r="B1489" s="126"/>
      <c r="C1489" s="252"/>
      <c r="D1489" s="109"/>
      <c r="E1489" s="109"/>
      <c r="F1489" s="110"/>
      <c r="G1489" s="95"/>
      <c r="H1489" s="122"/>
      <c r="I1489" s="109"/>
      <c r="J1489" s="120"/>
      <c r="K1489" s="120"/>
      <c r="L1489" s="93"/>
      <c r="M1489" s="93"/>
      <c r="N1489" s="93"/>
      <c r="O1489" s="56"/>
      <c r="P1489" s="56"/>
      <c r="Q1489" s="56"/>
      <c r="R1489" s="56"/>
      <c r="S1489" s="56"/>
      <c r="T1489" s="56"/>
      <c r="U1489" s="56"/>
      <c r="V1489" s="56"/>
    </row>
    <row r="1490" ht="18.75" customHeight="1">
      <c r="A1490" s="90"/>
      <c r="B1490" s="126"/>
      <c r="C1490" s="252"/>
      <c r="D1490" s="109"/>
      <c r="E1490" s="109"/>
      <c r="F1490" s="110"/>
      <c r="G1490" s="95"/>
      <c r="H1490" s="122"/>
      <c r="I1490" s="109"/>
      <c r="J1490" s="120"/>
      <c r="K1490" s="120"/>
      <c r="L1490" s="93"/>
      <c r="M1490" s="93"/>
      <c r="N1490" s="93"/>
      <c r="O1490" s="56"/>
      <c r="P1490" s="56"/>
      <c r="Q1490" s="56"/>
      <c r="R1490" s="56"/>
      <c r="S1490" s="56"/>
      <c r="T1490" s="56"/>
      <c r="U1490" s="56"/>
      <c r="V1490" s="56"/>
    </row>
    <row r="1491" ht="18.75" customHeight="1">
      <c r="A1491" s="90"/>
      <c r="B1491" s="126"/>
      <c r="C1491" s="252"/>
      <c r="D1491" s="109"/>
      <c r="E1491" s="109"/>
      <c r="F1491" s="110"/>
      <c r="G1491" s="95"/>
      <c r="H1491" s="122"/>
      <c r="I1491" s="109"/>
      <c r="J1491" s="120"/>
      <c r="K1491" s="120"/>
      <c r="L1491" s="93"/>
      <c r="M1491" s="93"/>
      <c r="N1491" s="93"/>
      <c r="O1491" s="56"/>
      <c r="P1491" s="56"/>
      <c r="Q1491" s="56"/>
      <c r="R1491" s="56"/>
      <c r="S1491" s="56"/>
      <c r="T1491" s="56"/>
      <c r="U1491" s="56"/>
      <c r="V1491" s="56"/>
    </row>
    <row r="1492" ht="18.75" customHeight="1">
      <c r="A1492" s="90"/>
      <c r="B1492" s="126"/>
      <c r="C1492" s="252"/>
      <c r="D1492" s="109"/>
      <c r="E1492" s="109"/>
      <c r="F1492" s="110"/>
      <c r="G1492" s="95"/>
      <c r="H1492" s="122"/>
      <c r="I1492" s="109"/>
      <c r="J1492" s="120"/>
      <c r="K1492" s="120"/>
      <c r="L1492" s="93"/>
      <c r="M1492" s="93"/>
      <c r="N1492" s="93"/>
      <c r="O1492" s="56"/>
      <c r="P1492" s="56"/>
      <c r="Q1492" s="56"/>
      <c r="R1492" s="56"/>
      <c r="S1492" s="56"/>
      <c r="T1492" s="56"/>
      <c r="U1492" s="56"/>
      <c r="V1492" s="56"/>
    </row>
    <row r="1493" ht="18.75" customHeight="1">
      <c r="A1493" s="90"/>
      <c r="B1493" s="126"/>
      <c r="C1493" s="252"/>
      <c r="D1493" s="109"/>
      <c r="E1493" s="109"/>
      <c r="F1493" s="110"/>
      <c r="G1493" s="95"/>
      <c r="H1493" s="122"/>
      <c r="I1493" s="109"/>
      <c r="J1493" s="120"/>
      <c r="K1493" s="120"/>
      <c r="L1493" s="93"/>
      <c r="M1493" s="93"/>
      <c r="N1493" s="93"/>
      <c r="O1493" s="56"/>
      <c r="P1493" s="56"/>
      <c r="Q1493" s="56"/>
      <c r="R1493" s="56"/>
      <c r="S1493" s="56"/>
      <c r="T1493" s="56"/>
      <c r="U1493" s="56"/>
      <c r="V1493" s="56"/>
    </row>
    <row r="1494" ht="18.75" customHeight="1">
      <c r="A1494" s="90"/>
      <c r="B1494" s="126"/>
      <c r="C1494" s="252"/>
      <c r="D1494" s="109"/>
      <c r="E1494" s="109"/>
      <c r="F1494" s="110"/>
      <c r="G1494" s="95"/>
      <c r="H1494" s="122"/>
      <c r="I1494" s="109"/>
      <c r="J1494" s="120"/>
      <c r="K1494" s="120"/>
      <c r="L1494" s="93"/>
      <c r="M1494" s="93"/>
      <c r="N1494" s="93"/>
      <c r="O1494" s="56"/>
      <c r="P1494" s="56"/>
      <c r="Q1494" s="56"/>
      <c r="R1494" s="56"/>
      <c r="S1494" s="56"/>
      <c r="T1494" s="56"/>
      <c r="U1494" s="56"/>
      <c r="V1494" s="56"/>
    </row>
    <row r="1495" ht="18.75" customHeight="1">
      <c r="A1495" s="90"/>
      <c r="B1495" s="126"/>
      <c r="C1495" s="252"/>
      <c r="D1495" s="109"/>
      <c r="E1495" s="109"/>
      <c r="F1495" s="110"/>
      <c r="G1495" s="95"/>
      <c r="H1495" s="122"/>
      <c r="I1495" s="109"/>
      <c r="J1495" s="120"/>
      <c r="K1495" s="120"/>
      <c r="L1495" s="93"/>
      <c r="M1495" s="93"/>
      <c r="N1495" s="93"/>
      <c r="O1495" s="56"/>
      <c r="P1495" s="56"/>
      <c r="Q1495" s="56"/>
      <c r="R1495" s="56"/>
      <c r="S1495" s="56"/>
      <c r="T1495" s="56"/>
      <c r="U1495" s="56"/>
      <c r="V1495" s="56"/>
    </row>
    <row r="1496" ht="18.75" customHeight="1">
      <c r="A1496" s="90"/>
      <c r="B1496" s="126"/>
      <c r="C1496" s="252"/>
      <c r="D1496" s="109"/>
      <c r="E1496" s="109"/>
      <c r="F1496" s="110"/>
      <c r="G1496" s="95"/>
      <c r="H1496" s="122"/>
      <c r="I1496" s="109"/>
      <c r="J1496" s="120"/>
      <c r="K1496" s="120"/>
      <c r="L1496" s="93"/>
      <c r="M1496" s="93"/>
      <c r="N1496" s="93"/>
      <c r="O1496" s="56"/>
      <c r="P1496" s="56"/>
      <c r="Q1496" s="56"/>
      <c r="R1496" s="56"/>
      <c r="S1496" s="56"/>
      <c r="T1496" s="56"/>
      <c r="U1496" s="56"/>
      <c r="V1496" s="56"/>
    </row>
    <row r="1497" ht="18.75" customHeight="1">
      <c r="A1497" s="90"/>
      <c r="B1497" s="126"/>
      <c r="C1497" s="252"/>
      <c r="D1497" s="109"/>
      <c r="E1497" s="109"/>
      <c r="F1497" s="110"/>
      <c r="G1497" s="95"/>
      <c r="H1497" s="122"/>
      <c r="I1497" s="109"/>
      <c r="J1497" s="120"/>
      <c r="K1497" s="120"/>
      <c r="L1497" s="93"/>
      <c r="M1497" s="93"/>
      <c r="N1497" s="93"/>
      <c r="O1497" s="56"/>
      <c r="P1497" s="56"/>
      <c r="Q1497" s="56"/>
      <c r="R1497" s="56"/>
      <c r="S1497" s="56"/>
      <c r="T1497" s="56"/>
      <c r="U1497" s="56"/>
      <c r="V1497" s="56"/>
    </row>
    <row r="1498" ht="18.75" customHeight="1">
      <c r="A1498" s="90"/>
      <c r="B1498" s="126"/>
      <c r="C1498" s="252"/>
      <c r="D1498" s="109"/>
      <c r="E1498" s="109"/>
      <c r="F1498" s="110"/>
      <c r="G1498" s="95"/>
      <c r="H1498" s="122"/>
      <c r="I1498" s="109"/>
      <c r="J1498" s="120"/>
      <c r="K1498" s="120"/>
      <c r="L1498" s="93"/>
      <c r="M1498" s="93"/>
      <c r="N1498" s="93"/>
      <c r="O1498" s="56"/>
      <c r="P1498" s="56"/>
      <c r="Q1498" s="56"/>
      <c r="R1498" s="56"/>
      <c r="S1498" s="56"/>
      <c r="T1498" s="56"/>
      <c r="U1498" s="56"/>
      <c r="V1498" s="56"/>
    </row>
    <row r="1499" ht="18.75" customHeight="1">
      <c r="A1499" s="90"/>
      <c r="B1499" s="126"/>
      <c r="C1499" s="252"/>
      <c r="D1499" s="109"/>
      <c r="E1499" s="109"/>
      <c r="F1499" s="110"/>
      <c r="G1499" s="95"/>
      <c r="H1499" s="122"/>
      <c r="I1499" s="109"/>
      <c r="J1499" s="120"/>
      <c r="K1499" s="120"/>
      <c r="L1499" s="93"/>
      <c r="M1499" s="93"/>
      <c r="N1499" s="93"/>
      <c r="O1499" s="56"/>
      <c r="P1499" s="56"/>
      <c r="Q1499" s="56"/>
      <c r="R1499" s="56"/>
      <c r="S1499" s="56"/>
      <c r="T1499" s="56"/>
      <c r="U1499" s="56"/>
      <c r="V1499" s="56"/>
    </row>
    <row r="1500" ht="18.75" customHeight="1">
      <c r="A1500" s="90"/>
      <c r="B1500" s="126"/>
      <c r="C1500" s="252"/>
      <c r="D1500" s="109"/>
      <c r="E1500" s="109"/>
      <c r="F1500" s="110"/>
      <c r="G1500" s="95"/>
      <c r="H1500" s="122"/>
      <c r="I1500" s="109"/>
      <c r="J1500" s="120"/>
      <c r="K1500" s="120"/>
      <c r="L1500" s="93"/>
      <c r="M1500" s="93"/>
      <c r="N1500" s="93"/>
      <c r="O1500" s="56"/>
      <c r="P1500" s="56"/>
      <c r="Q1500" s="56"/>
      <c r="R1500" s="56"/>
      <c r="S1500" s="56"/>
      <c r="T1500" s="56"/>
      <c r="U1500" s="56"/>
      <c r="V1500" s="56"/>
    </row>
    <row r="1501" ht="18.75" customHeight="1">
      <c r="A1501" s="90"/>
      <c r="B1501" s="126"/>
      <c r="C1501" s="252"/>
      <c r="D1501" s="109"/>
      <c r="E1501" s="109"/>
      <c r="F1501" s="110"/>
      <c r="G1501" s="95"/>
      <c r="H1501" s="122"/>
      <c r="I1501" s="109"/>
      <c r="J1501" s="120"/>
      <c r="K1501" s="120"/>
      <c r="L1501" s="93"/>
      <c r="M1501" s="93"/>
      <c r="N1501" s="93"/>
      <c r="O1501" s="56"/>
      <c r="P1501" s="56"/>
      <c r="Q1501" s="56"/>
      <c r="R1501" s="56"/>
      <c r="S1501" s="56"/>
      <c r="T1501" s="56"/>
      <c r="U1501" s="56"/>
      <c r="V1501" s="56"/>
    </row>
    <row r="1502" ht="18.75" customHeight="1">
      <c r="A1502" s="90"/>
      <c r="B1502" s="126"/>
      <c r="C1502" s="252"/>
      <c r="D1502" s="109"/>
      <c r="E1502" s="109"/>
      <c r="F1502" s="110"/>
      <c r="G1502" s="95"/>
      <c r="H1502" s="122"/>
      <c r="I1502" s="109"/>
      <c r="J1502" s="120"/>
      <c r="K1502" s="120"/>
      <c r="L1502" s="93"/>
      <c r="M1502" s="93"/>
      <c r="N1502" s="93"/>
      <c r="O1502" s="56"/>
      <c r="P1502" s="56"/>
      <c r="Q1502" s="56"/>
      <c r="R1502" s="56"/>
      <c r="S1502" s="56"/>
      <c r="T1502" s="56"/>
      <c r="U1502" s="56"/>
      <c r="V1502" s="56"/>
    </row>
    <row r="1503" ht="18.75" customHeight="1">
      <c r="A1503" s="90"/>
      <c r="B1503" s="126"/>
      <c r="C1503" s="252"/>
      <c r="D1503" s="109"/>
      <c r="E1503" s="109"/>
      <c r="F1503" s="110"/>
      <c r="G1503" s="95"/>
      <c r="H1503" s="122"/>
      <c r="I1503" s="109"/>
      <c r="J1503" s="120"/>
      <c r="K1503" s="120"/>
      <c r="L1503" s="93"/>
      <c r="M1503" s="93"/>
      <c r="N1503" s="93"/>
      <c r="O1503" s="56"/>
      <c r="P1503" s="56"/>
      <c r="Q1503" s="56"/>
      <c r="R1503" s="56"/>
      <c r="S1503" s="56"/>
      <c r="T1503" s="56"/>
      <c r="U1503" s="56"/>
      <c r="V1503" s="56"/>
    </row>
    <row r="1504" ht="18.75" customHeight="1">
      <c r="A1504" s="90"/>
      <c r="B1504" s="126"/>
      <c r="C1504" s="252"/>
      <c r="D1504" s="109"/>
      <c r="E1504" s="109"/>
      <c r="F1504" s="110"/>
      <c r="G1504" s="95"/>
      <c r="H1504" s="122"/>
      <c r="I1504" s="109"/>
      <c r="J1504" s="120"/>
      <c r="K1504" s="120"/>
      <c r="L1504" s="93"/>
      <c r="M1504" s="93"/>
      <c r="N1504" s="93"/>
      <c r="O1504" s="56"/>
      <c r="P1504" s="56"/>
      <c r="Q1504" s="56"/>
      <c r="R1504" s="56"/>
      <c r="S1504" s="56"/>
      <c r="T1504" s="56"/>
      <c r="U1504" s="56"/>
      <c r="V1504" s="56"/>
    </row>
    <row r="1505" ht="18.75" customHeight="1">
      <c r="A1505" s="90"/>
      <c r="B1505" s="126"/>
      <c r="C1505" s="252"/>
      <c r="D1505" s="109"/>
      <c r="E1505" s="109"/>
      <c r="F1505" s="110"/>
      <c r="G1505" s="95"/>
      <c r="H1505" s="122"/>
      <c r="I1505" s="109"/>
      <c r="J1505" s="120"/>
      <c r="K1505" s="120"/>
      <c r="L1505" s="93"/>
      <c r="M1505" s="93"/>
      <c r="N1505" s="93"/>
      <c r="O1505" s="56"/>
      <c r="P1505" s="56"/>
      <c r="Q1505" s="56"/>
      <c r="R1505" s="56"/>
      <c r="S1505" s="56"/>
      <c r="T1505" s="56"/>
      <c r="U1505" s="56"/>
      <c r="V1505" s="56"/>
    </row>
    <row r="1506" ht="18.75" customHeight="1">
      <c r="A1506" s="90"/>
      <c r="B1506" s="126"/>
      <c r="C1506" s="252"/>
      <c r="D1506" s="109"/>
      <c r="E1506" s="109"/>
      <c r="F1506" s="110"/>
      <c r="G1506" s="95"/>
      <c r="H1506" s="122"/>
      <c r="I1506" s="109"/>
      <c r="J1506" s="120"/>
      <c r="K1506" s="120"/>
      <c r="L1506" s="93"/>
      <c r="M1506" s="93"/>
      <c r="N1506" s="93"/>
      <c r="O1506" s="56"/>
      <c r="P1506" s="56"/>
      <c r="Q1506" s="56"/>
      <c r="R1506" s="56"/>
      <c r="S1506" s="56"/>
      <c r="T1506" s="56"/>
      <c r="U1506" s="56"/>
      <c r="V1506" s="56"/>
    </row>
    <row r="1507" ht="18.75" customHeight="1">
      <c r="A1507" s="90"/>
      <c r="B1507" s="126"/>
      <c r="C1507" s="252"/>
      <c r="D1507" s="109"/>
      <c r="E1507" s="109"/>
      <c r="F1507" s="110"/>
      <c r="G1507" s="95"/>
      <c r="H1507" s="122"/>
      <c r="I1507" s="109"/>
      <c r="J1507" s="120"/>
      <c r="K1507" s="120"/>
      <c r="L1507" s="93"/>
      <c r="M1507" s="93"/>
      <c r="N1507" s="93"/>
      <c r="O1507" s="56"/>
      <c r="P1507" s="56"/>
      <c r="Q1507" s="56"/>
      <c r="R1507" s="56"/>
      <c r="S1507" s="56"/>
      <c r="T1507" s="56"/>
      <c r="U1507" s="56"/>
      <c r="V1507" s="56"/>
    </row>
    <row r="1508" ht="18.75" customHeight="1">
      <c r="A1508" s="90"/>
      <c r="B1508" s="126"/>
      <c r="C1508" s="252"/>
      <c r="D1508" s="109"/>
      <c r="E1508" s="109"/>
      <c r="F1508" s="110"/>
      <c r="G1508" s="95"/>
      <c r="H1508" s="122"/>
      <c r="I1508" s="109"/>
      <c r="J1508" s="120"/>
      <c r="K1508" s="120"/>
      <c r="L1508" s="93"/>
      <c r="M1508" s="93"/>
      <c r="N1508" s="93"/>
      <c r="O1508" s="56"/>
      <c r="P1508" s="56"/>
      <c r="Q1508" s="56"/>
      <c r="R1508" s="56"/>
      <c r="S1508" s="56"/>
      <c r="T1508" s="56"/>
      <c r="U1508" s="56"/>
      <c r="V1508" s="56"/>
    </row>
    <row r="1509" ht="18.75" customHeight="1">
      <c r="A1509" s="90"/>
      <c r="B1509" s="126"/>
      <c r="C1509" s="252"/>
      <c r="D1509" s="109"/>
      <c r="E1509" s="109"/>
      <c r="F1509" s="110"/>
      <c r="G1509" s="95"/>
      <c r="H1509" s="122"/>
      <c r="I1509" s="109"/>
      <c r="J1509" s="120"/>
      <c r="K1509" s="120"/>
      <c r="L1509" s="93"/>
      <c r="M1509" s="93"/>
      <c r="N1509" s="93"/>
      <c r="O1509" s="56"/>
      <c r="P1509" s="56"/>
      <c r="Q1509" s="56"/>
      <c r="R1509" s="56"/>
      <c r="S1509" s="56"/>
      <c r="T1509" s="56"/>
      <c r="U1509" s="56"/>
      <c r="V1509" s="56"/>
    </row>
    <row r="1510" ht="18.75" customHeight="1">
      <c r="A1510" s="90"/>
      <c r="B1510" s="126"/>
      <c r="C1510" s="252"/>
      <c r="D1510" s="109"/>
      <c r="E1510" s="109"/>
      <c r="F1510" s="110"/>
      <c r="G1510" s="95"/>
      <c r="H1510" s="122"/>
      <c r="I1510" s="109"/>
      <c r="J1510" s="120"/>
      <c r="K1510" s="120"/>
      <c r="L1510" s="93"/>
      <c r="M1510" s="93"/>
      <c r="N1510" s="93"/>
      <c r="O1510" s="56"/>
      <c r="P1510" s="56"/>
      <c r="Q1510" s="56"/>
      <c r="R1510" s="56"/>
      <c r="S1510" s="56"/>
      <c r="T1510" s="56"/>
      <c r="U1510" s="56"/>
      <c r="V1510" s="56"/>
    </row>
    <row r="1511" ht="18.75" customHeight="1">
      <c r="A1511" s="90"/>
      <c r="B1511" s="126"/>
      <c r="C1511" s="252"/>
      <c r="D1511" s="109"/>
      <c r="E1511" s="109"/>
      <c r="F1511" s="110"/>
      <c r="G1511" s="95"/>
      <c r="H1511" s="122"/>
      <c r="I1511" s="109"/>
      <c r="J1511" s="120"/>
      <c r="K1511" s="120"/>
      <c r="L1511" s="93"/>
      <c r="M1511" s="93"/>
      <c r="N1511" s="93"/>
      <c r="O1511" s="56"/>
      <c r="P1511" s="56"/>
      <c r="Q1511" s="56"/>
      <c r="R1511" s="56"/>
      <c r="S1511" s="56"/>
      <c r="T1511" s="56"/>
      <c r="U1511" s="56"/>
      <c r="V1511" s="56"/>
    </row>
    <row r="1512" ht="18.75" customHeight="1">
      <c r="A1512" s="90"/>
      <c r="B1512" s="126"/>
      <c r="C1512" s="252"/>
      <c r="D1512" s="109"/>
      <c r="E1512" s="109"/>
      <c r="F1512" s="110"/>
      <c r="G1512" s="95"/>
      <c r="H1512" s="122"/>
      <c r="I1512" s="109"/>
      <c r="J1512" s="120"/>
      <c r="K1512" s="120"/>
      <c r="L1512" s="93"/>
      <c r="M1512" s="93"/>
      <c r="N1512" s="93"/>
      <c r="O1512" s="56"/>
      <c r="P1512" s="56"/>
      <c r="Q1512" s="56"/>
      <c r="R1512" s="56"/>
      <c r="S1512" s="56"/>
      <c r="T1512" s="56"/>
      <c r="U1512" s="56"/>
      <c r="V1512" s="56"/>
    </row>
    <row r="1513" ht="18.75" customHeight="1">
      <c r="A1513" s="90"/>
      <c r="B1513" s="126"/>
      <c r="C1513" s="252"/>
      <c r="D1513" s="109"/>
      <c r="E1513" s="109"/>
      <c r="F1513" s="110"/>
      <c r="G1513" s="95"/>
      <c r="H1513" s="122"/>
      <c r="I1513" s="109"/>
      <c r="J1513" s="120"/>
      <c r="K1513" s="120"/>
      <c r="L1513" s="93"/>
      <c r="M1513" s="93"/>
      <c r="N1513" s="93"/>
      <c r="O1513" s="56"/>
      <c r="P1513" s="56"/>
      <c r="Q1513" s="56"/>
      <c r="R1513" s="56"/>
      <c r="S1513" s="56"/>
      <c r="T1513" s="56"/>
      <c r="U1513" s="56"/>
      <c r="V1513" s="56"/>
    </row>
    <row r="1514" ht="18.75" customHeight="1">
      <c r="A1514" s="90"/>
      <c r="B1514" s="126"/>
      <c r="C1514" s="252"/>
      <c r="D1514" s="109"/>
      <c r="E1514" s="109"/>
      <c r="F1514" s="110"/>
      <c r="G1514" s="95"/>
      <c r="H1514" s="122"/>
      <c r="I1514" s="109"/>
      <c r="J1514" s="120"/>
      <c r="K1514" s="120"/>
      <c r="L1514" s="93"/>
      <c r="M1514" s="93"/>
      <c r="N1514" s="93"/>
      <c r="O1514" s="56"/>
      <c r="P1514" s="56"/>
      <c r="Q1514" s="56"/>
      <c r="R1514" s="56"/>
      <c r="S1514" s="56"/>
      <c r="T1514" s="56"/>
      <c r="U1514" s="56"/>
      <c r="V1514" s="56"/>
    </row>
    <row r="1515" ht="18.75" customHeight="1">
      <c r="A1515" s="90"/>
      <c r="B1515" s="126"/>
      <c r="C1515" s="252"/>
      <c r="D1515" s="109"/>
      <c r="E1515" s="109"/>
      <c r="F1515" s="110"/>
      <c r="G1515" s="95"/>
      <c r="H1515" s="122"/>
      <c r="I1515" s="109"/>
      <c r="J1515" s="120"/>
      <c r="K1515" s="120"/>
      <c r="L1515" s="93"/>
      <c r="M1515" s="93"/>
      <c r="N1515" s="93"/>
      <c r="O1515" s="56"/>
      <c r="P1515" s="56"/>
      <c r="Q1515" s="56"/>
      <c r="R1515" s="56"/>
      <c r="S1515" s="56"/>
      <c r="T1515" s="56"/>
      <c r="U1515" s="56"/>
      <c r="V1515" s="56"/>
    </row>
    <row r="1516" ht="18.75" customHeight="1">
      <c r="A1516" s="90"/>
      <c r="B1516" s="126"/>
      <c r="C1516" s="252"/>
      <c r="D1516" s="109"/>
      <c r="E1516" s="109"/>
      <c r="F1516" s="110"/>
      <c r="G1516" s="95"/>
      <c r="H1516" s="122"/>
      <c r="I1516" s="109"/>
      <c r="J1516" s="120"/>
      <c r="K1516" s="120"/>
      <c r="L1516" s="93"/>
      <c r="M1516" s="93"/>
      <c r="N1516" s="93"/>
      <c r="O1516" s="56"/>
      <c r="P1516" s="56"/>
      <c r="Q1516" s="56"/>
      <c r="R1516" s="56"/>
      <c r="S1516" s="56"/>
      <c r="T1516" s="56"/>
      <c r="U1516" s="56"/>
      <c r="V1516" s="56"/>
    </row>
    <row r="1517" ht="18.75" customHeight="1">
      <c r="A1517" s="90"/>
      <c r="B1517" s="126"/>
      <c r="C1517" s="252"/>
      <c r="D1517" s="109"/>
      <c r="E1517" s="109"/>
      <c r="F1517" s="110"/>
      <c r="G1517" s="95"/>
      <c r="H1517" s="122"/>
      <c r="I1517" s="109"/>
      <c r="J1517" s="120"/>
      <c r="K1517" s="120"/>
      <c r="L1517" s="93"/>
      <c r="M1517" s="93"/>
      <c r="N1517" s="93"/>
      <c r="O1517" s="56"/>
      <c r="P1517" s="56"/>
      <c r="Q1517" s="56"/>
      <c r="R1517" s="56"/>
      <c r="S1517" s="56"/>
      <c r="T1517" s="56"/>
      <c r="U1517" s="56"/>
      <c r="V1517" s="56"/>
    </row>
    <row r="1518" ht="18.75" customHeight="1">
      <c r="A1518" s="90"/>
      <c r="B1518" s="126"/>
      <c r="C1518" s="252"/>
      <c r="D1518" s="109"/>
      <c r="E1518" s="109"/>
      <c r="F1518" s="110"/>
      <c r="G1518" s="95"/>
      <c r="H1518" s="122"/>
      <c r="I1518" s="109"/>
      <c r="J1518" s="120"/>
      <c r="K1518" s="120"/>
      <c r="L1518" s="93"/>
      <c r="M1518" s="93"/>
      <c r="N1518" s="93"/>
      <c r="O1518" s="56"/>
      <c r="P1518" s="56"/>
      <c r="Q1518" s="56"/>
      <c r="R1518" s="56"/>
      <c r="S1518" s="56"/>
      <c r="T1518" s="56"/>
      <c r="U1518" s="56"/>
      <c r="V1518" s="56"/>
    </row>
    <row r="1519" ht="18.75" customHeight="1">
      <c r="A1519" s="90"/>
      <c r="B1519" s="126"/>
      <c r="C1519" s="252"/>
      <c r="D1519" s="109"/>
      <c r="E1519" s="109"/>
      <c r="F1519" s="110"/>
      <c r="G1519" s="95"/>
      <c r="H1519" s="122"/>
      <c r="I1519" s="109"/>
      <c r="J1519" s="120"/>
      <c r="K1519" s="120"/>
      <c r="L1519" s="93"/>
      <c r="M1519" s="93"/>
      <c r="N1519" s="93"/>
      <c r="O1519" s="56"/>
      <c r="P1519" s="56"/>
      <c r="Q1519" s="56"/>
      <c r="R1519" s="56"/>
      <c r="S1519" s="56"/>
      <c r="T1519" s="56"/>
      <c r="U1519" s="56"/>
      <c r="V1519" s="56"/>
    </row>
    <row r="1520" ht="18.75" customHeight="1">
      <c r="A1520" s="90"/>
      <c r="B1520" s="126"/>
      <c r="C1520" s="252"/>
      <c r="D1520" s="109"/>
      <c r="E1520" s="109"/>
      <c r="F1520" s="110"/>
      <c r="G1520" s="95"/>
      <c r="H1520" s="122"/>
      <c r="I1520" s="109"/>
      <c r="J1520" s="120"/>
      <c r="K1520" s="120"/>
      <c r="L1520" s="93"/>
      <c r="M1520" s="93"/>
      <c r="N1520" s="93"/>
      <c r="O1520" s="56"/>
      <c r="P1520" s="56"/>
      <c r="Q1520" s="56"/>
      <c r="R1520" s="56"/>
      <c r="S1520" s="56"/>
      <c r="T1520" s="56"/>
      <c r="U1520" s="56"/>
      <c r="V1520" s="56"/>
    </row>
    <row r="1521" ht="18.75" customHeight="1">
      <c r="A1521" s="90"/>
      <c r="B1521" s="126"/>
      <c r="C1521" s="252"/>
      <c r="D1521" s="109"/>
      <c r="E1521" s="109"/>
      <c r="F1521" s="110"/>
      <c r="G1521" s="95"/>
      <c r="H1521" s="122"/>
      <c r="I1521" s="109"/>
      <c r="J1521" s="120"/>
      <c r="K1521" s="120"/>
      <c r="L1521" s="93"/>
      <c r="M1521" s="93"/>
      <c r="N1521" s="93"/>
      <c r="O1521" s="56"/>
      <c r="P1521" s="56"/>
      <c r="Q1521" s="56"/>
      <c r="R1521" s="56"/>
      <c r="S1521" s="56"/>
      <c r="T1521" s="56"/>
      <c r="U1521" s="56"/>
      <c r="V1521" s="56"/>
    </row>
    <row r="1522" ht="18.75" customHeight="1">
      <c r="A1522" s="90"/>
      <c r="B1522" s="126"/>
      <c r="C1522" s="252"/>
      <c r="D1522" s="109"/>
      <c r="E1522" s="109"/>
      <c r="F1522" s="110"/>
      <c r="G1522" s="95"/>
      <c r="H1522" s="122"/>
      <c r="I1522" s="109"/>
      <c r="J1522" s="120"/>
      <c r="K1522" s="120"/>
      <c r="L1522" s="93"/>
      <c r="M1522" s="93"/>
      <c r="N1522" s="93"/>
      <c r="O1522" s="56"/>
      <c r="P1522" s="56"/>
      <c r="Q1522" s="56"/>
      <c r="R1522" s="56"/>
      <c r="S1522" s="56"/>
      <c r="T1522" s="56"/>
      <c r="U1522" s="56"/>
      <c r="V1522" s="56"/>
    </row>
    <row r="1523" ht="18.75" customHeight="1">
      <c r="A1523" s="90"/>
      <c r="B1523" s="126"/>
      <c r="C1523" s="252"/>
      <c r="D1523" s="109"/>
      <c r="E1523" s="109"/>
      <c r="F1523" s="110"/>
      <c r="G1523" s="95"/>
      <c r="H1523" s="122"/>
      <c r="I1523" s="109"/>
      <c r="J1523" s="120"/>
      <c r="K1523" s="120"/>
      <c r="L1523" s="93"/>
      <c r="M1523" s="93"/>
      <c r="N1523" s="93"/>
      <c r="O1523" s="56"/>
      <c r="P1523" s="56"/>
      <c r="Q1523" s="56"/>
      <c r="R1523" s="56"/>
      <c r="S1523" s="56"/>
      <c r="T1523" s="56"/>
      <c r="U1523" s="56"/>
      <c r="V1523" s="56"/>
    </row>
    <row r="1524" ht="18.75" customHeight="1">
      <c r="A1524" s="90"/>
      <c r="B1524" s="126"/>
      <c r="C1524" s="252"/>
      <c r="D1524" s="109"/>
      <c r="E1524" s="109"/>
      <c r="F1524" s="110"/>
      <c r="G1524" s="95"/>
      <c r="H1524" s="122"/>
      <c r="I1524" s="109"/>
      <c r="J1524" s="120"/>
      <c r="K1524" s="120"/>
      <c r="L1524" s="93"/>
      <c r="M1524" s="93"/>
      <c r="N1524" s="93"/>
      <c r="O1524" s="56"/>
      <c r="P1524" s="56"/>
      <c r="Q1524" s="56"/>
      <c r="R1524" s="56"/>
      <c r="S1524" s="56"/>
      <c r="T1524" s="56"/>
      <c r="U1524" s="56"/>
      <c r="V1524" s="56"/>
    </row>
    <row r="1525" ht="18.75" customHeight="1">
      <c r="A1525" s="90"/>
      <c r="B1525" s="126"/>
      <c r="C1525" s="252"/>
      <c r="D1525" s="109"/>
      <c r="E1525" s="109"/>
      <c r="F1525" s="110"/>
      <c r="G1525" s="95"/>
      <c r="H1525" s="122"/>
      <c r="I1525" s="109"/>
      <c r="J1525" s="120"/>
      <c r="K1525" s="120"/>
      <c r="L1525" s="93"/>
      <c r="M1525" s="93"/>
      <c r="N1525" s="93"/>
      <c r="O1525" s="56"/>
      <c r="P1525" s="56"/>
      <c r="Q1525" s="56"/>
      <c r="R1525" s="56"/>
      <c r="S1525" s="56"/>
      <c r="T1525" s="56"/>
      <c r="U1525" s="56"/>
      <c r="V1525" s="56"/>
    </row>
    <row r="1526" ht="18.75" customHeight="1">
      <c r="A1526" s="90"/>
      <c r="B1526" s="126"/>
      <c r="C1526" s="252"/>
      <c r="D1526" s="109"/>
      <c r="E1526" s="109"/>
      <c r="F1526" s="110"/>
      <c r="G1526" s="95"/>
      <c r="H1526" s="122"/>
      <c r="I1526" s="109"/>
      <c r="J1526" s="120"/>
      <c r="K1526" s="120"/>
      <c r="L1526" s="93"/>
      <c r="M1526" s="93"/>
      <c r="N1526" s="93"/>
      <c r="O1526" s="56"/>
      <c r="P1526" s="56"/>
      <c r="Q1526" s="56"/>
      <c r="R1526" s="56"/>
      <c r="S1526" s="56"/>
      <c r="T1526" s="56"/>
      <c r="U1526" s="56"/>
      <c r="V1526" s="56"/>
    </row>
    <row r="1527" ht="18.75" customHeight="1">
      <c r="A1527" s="90"/>
      <c r="B1527" s="126"/>
      <c r="C1527" s="252"/>
      <c r="D1527" s="109"/>
      <c r="E1527" s="109"/>
      <c r="F1527" s="110"/>
      <c r="G1527" s="95"/>
      <c r="H1527" s="122"/>
      <c r="I1527" s="109"/>
      <c r="J1527" s="120"/>
      <c r="K1527" s="120"/>
      <c r="L1527" s="93"/>
      <c r="M1527" s="93"/>
      <c r="N1527" s="93"/>
      <c r="O1527" s="56"/>
      <c r="P1527" s="56"/>
      <c r="Q1527" s="56"/>
      <c r="R1527" s="56"/>
      <c r="S1527" s="56"/>
      <c r="T1527" s="56"/>
      <c r="U1527" s="56"/>
      <c r="V1527" s="56"/>
    </row>
    <row r="1528" ht="18.75" customHeight="1">
      <c r="A1528" s="90"/>
      <c r="B1528" s="126"/>
      <c r="C1528" s="252"/>
      <c r="D1528" s="109"/>
      <c r="E1528" s="109"/>
      <c r="F1528" s="110"/>
      <c r="G1528" s="95"/>
      <c r="H1528" s="122"/>
      <c r="I1528" s="109"/>
      <c r="J1528" s="120"/>
      <c r="K1528" s="120"/>
      <c r="L1528" s="93"/>
      <c r="M1528" s="93"/>
      <c r="N1528" s="93"/>
      <c r="O1528" s="56"/>
      <c r="P1528" s="56"/>
      <c r="Q1528" s="56"/>
      <c r="R1528" s="56"/>
      <c r="S1528" s="56"/>
      <c r="T1528" s="56"/>
      <c r="U1528" s="56"/>
      <c r="V1528" s="56"/>
    </row>
    <row r="1529" ht="18.75" customHeight="1">
      <c r="A1529" s="90"/>
      <c r="B1529" s="126"/>
      <c r="C1529" s="252"/>
      <c r="D1529" s="109"/>
      <c r="E1529" s="109"/>
      <c r="F1529" s="110"/>
      <c r="G1529" s="95"/>
      <c r="H1529" s="122"/>
      <c r="I1529" s="109"/>
      <c r="J1529" s="120"/>
      <c r="K1529" s="120"/>
      <c r="L1529" s="93"/>
      <c r="M1529" s="93"/>
      <c r="N1529" s="93"/>
      <c r="O1529" s="56"/>
      <c r="P1529" s="56"/>
      <c r="Q1529" s="56"/>
      <c r="R1529" s="56"/>
      <c r="S1529" s="56"/>
      <c r="T1529" s="56"/>
      <c r="U1529" s="56"/>
      <c r="V1529" s="56"/>
    </row>
    <row r="1530" ht="18.75" customHeight="1">
      <c r="A1530" s="90"/>
      <c r="B1530" s="126"/>
      <c r="C1530" s="252"/>
      <c r="D1530" s="109"/>
      <c r="E1530" s="109"/>
      <c r="F1530" s="110"/>
      <c r="G1530" s="95"/>
      <c r="H1530" s="122"/>
      <c r="I1530" s="109"/>
      <c r="J1530" s="120"/>
      <c r="K1530" s="120"/>
      <c r="L1530" s="93"/>
      <c r="M1530" s="93"/>
      <c r="N1530" s="93"/>
      <c r="O1530" s="56"/>
      <c r="P1530" s="56"/>
      <c r="Q1530" s="56"/>
      <c r="R1530" s="56"/>
      <c r="S1530" s="56"/>
      <c r="T1530" s="56"/>
      <c r="U1530" s="56"/>
      <c r="V1530" s="56"/>
    </row>
    <row r="1531" ht="18.75" customHeight="1">
      <c r="A1531" s="90"/>
      <c r="B1531" s="126"/>
      <c r="C1531" s="252"/>
      <c r="D1531" s="109"/>
      <c r="E1531" s="109"/>
      <c r="F1531" s="110"/>
      <c r="G1531" s="95"/>
      <c r="H1531" s="122"/>
      <c r="I1531" s="109"/>
      <c r="J1531" s="120"/>
      <c r="K1531" s="120"/>
      <c r="L1531" s="93"/>
      <c r="M1531" s="93"/>
      <c r="N1531" s="93"/>
      <c r="O1531" s="56"/>
      <c r="P1531" s="56"/>
      <c r="Q1531" s="56"/>
      <c r="R1531" s="56"/>
      <c r="S1531" s="56"/>
      <c r="T1531" s="56"/>
      <c r="U1531" s="56"/>
      <c r="V1531" s="56"/>
    </row>
    <row r="1532" ht="18.75" customHeight="1">
      <c r="A1532" s="90"/>
      <c r="B1532" s="126"/>
      <c r="C1532" s="252"/>
      <c r="D1532" s="109"/>
      <c r="E1532" s="109"/>
      <c r="F1532" s="110"/>
      <c r="G1532" s="95"/>
      <c r="H1532" s="122"/>
      <c r="I1532" s="109"/>
      <c r="J1532" s="120"/>
      <c r="K1532" s="120"/>
      <c r="L1532" s="93"/>
      <c r="M1532" s="93"/>
      <c r="N1532" s="93"/>
      <c r="O1532" s="56"/>
      <c r="P1532" s="56"/>
      <c r="Q1532" s="56"/>
      <c r="R1532" s="56"/>
      <c r="S1532" s="56"/>
      <c r="T1532" s="56"/>
      <c r="U1532" s="56"/>
      <c r="V1532" s="56"/>
    </row>
    <row r="1533" ht="18.75" customHeight="1">
      <c r="A1533" s="90"/>
      <c r="B1533" s="126"/>
      <c r="C1533" s="252"/>
      <c r="D1533" s="109"/>
      <c r="E1533" s="109"/>
      <c r="F1533" s="110"/>
      <c r="G1533" s="95"/>
      <c r="H1533" s="122"/>
      <c r="I1533" s="109"/>
      <c r="J1533" s="120"/>
      <c r="K1533" s="120"/>
      <c r="L1533" s="93"/>
      <c r="M1533" s="93"/>
      <c r="N1533" s="93"/>
      <c r="O1533" s="56"/>
      <c r="P1533" s="56"/>
      <c r="Q1533" s="56"/>
      <c r="R1533" s="56"/>
      <c r="S1533" s="56"/>
      <c r="T1533" s="56"/>
      <c r="U1533" s="56"/>
      <c r="V1533" s="56"/>
    </row>
    <row r="1534" ht="18.75" customHeight="1">
      <c r="A1534" s="90"/>
      <c r="B1534" s="126"/>
      <c r="C1534" s="252"/>
      <c r="D1534" s="109"/>
      <c r="E1534" s="109"/>
      <c r="F1534" s="110"/>
      <c r="G1534" s="95"/>
      <c r="H1534" s="122"/>
      <c r="I1534" s="109"/>
      <c r="J1534" s="120"/>
      <c r="K1534" s="120"/>
      <c r="L1534" s="93"/>
      <c r="M1534" s="93"/>
      <c r="N1534" s="93"/>
      <c r="O1534" s="56"/>
      <c r="P1534" s="56"/>
      <c r="Q1534" s="56"/>
      <c r="R1534" s="56"/>
      <c r="S1534" s="56"/>
      <c r="T1534" s="56"/>
      <c r="U1534" s="56"/>
      <c r="V1534" s="56"/>
    </row>
    <row r="1535" ht="18.75" customHeight="1">
      <c r="A1535" s="90"/>
      <c r="B1535" s="126"/>
      <c r="C1535" s="252"/>
      <c r="D1535" s="109"/>
      <c r="E1535" s="109"/>
      <c r="F1535" s="110"/>
      <c r="G1535" s="95"/>
      <c r="H1535" s="122"/>
      <c r="I1535" s="109"/>
      <c r="J1535" s="120"/>
      <c r="K1535" s="120"/>
      <c r="L1535" s="93"/>
      <c r="M1535" s="93"/>
      <c r="N1535" s="93"/>
      <c r="O1535" s="56"/>
      <c r="P1535" s="56"/>
      <c r="Q1535" s="56"/>
      <c r="R1535" s="56"/>
      <c r="S1535" s="56"/>
      <c r="T1535" s="56"/>
      <c r="U1535" s="56"/>
      <c r="V1535" s="56"/>
    </row>
    <row r="1536" ht="18.75" customHeight="1">
      <c r="A1536" s="90"/>
      <c r="B1536" s="126"/>
      <c r="C1536" s="252"/>
      <c r="D1536" s="109"/>
      <c r="E1536" s="109"/>
      <c r="F1536" s="110"/>
      <c r="G1536" s="95"/>
      <c r="H1536" s="122"/>
      <c r="I1536" s="109"/>
      <c r="J1536" s="120"/>
      <c r="K1536" s="120"/>
      <c r="L1536" s="93"/>
      <c r="M1536" s="93"/>
      <c r="N1536" s="93"/>
      <c r="O1536" s="56"/>
      <c r="P1536" s="56"/>
      <c r="Q1536" s="56"/>
      <c r="R1536" s="56"/>
      <c r="S1536" s="56"/>
      <c r="T1536" s="56"/>
      <c r="U1536" s="56"/>
      <c r="V1536" s="56"/>
    </row>
    <row r="1537" ht="18.75" customHeight="1">
      <c r="A1537" s="90"/>
      <c r="B1537" s="126"/>
      <c r="C1537" s="252"/>
      <c r="D1537" s="109"/>
      <c r="E1537" s="109"/>
      <c r="F1537" s="110"/>
      <c r="G1537" s="95"/>
      <c r="H1537" s="122"/>
      <c r="I1537" s="109"/>
      <c r="J1537" s="120"/>
      <c r="K1537" s="120"/>
      <c r="L1537" s="93"/>
      <c r="M1537" s="93"/>
      <c r="N1537" s="93"/>
      <c r="O1537" s="56"/>
      <c r="P1537" s="56"/>
      <c r="Q1537" s="56"/>
      <c r="R1537" s="56"/>
      <c r="S1537" s="56"/>
      <c r="T1537" s="56"/>
      <c r="U1537" s="56"/>
      <c r="V1537" s="56"/>
    </row>
    <row r="1538" ht="18.75" customHeight="1">
      <c r="A1538" s="90"/>
      <c r="B1538" s="126"/>
      <c r="C1538" s="252"/>
      <c r="D1538" s="109"/>
      <c r="E1538" s="109"/>
      <c r="F1538" s="110"/>
      <c r="G1538" s="95"/>
      <c r="H1538" s="122"/>
      <c r="I1538" s="109"/>
      <c r="J1538" s="120"/>
      <c r="K1538" s="120"/>
      <c r="L1538" s="93"/>
      <c r="M1538" s="93"/>
      <c r="N1538" s="93"/>
      <c r="O1538" s="56"/>
      <c r="P1538" s="56"/>
      <c r="Q1538" s="56"/>
      <c r="R1538" s="56"/>
      <c r="S1538" s="56"/>
      <c r="T1538" s="56"/>
      <c r="U1538" s="56"/>
      <c r="V1538" s="56"/>
    </row>
    <row r="1539" ht="18.75" customHeight="1">
      <c r="A1539" s="90"/>
      <c r="B1539" s="126"/>
      <c r="C1539" s="252"/>
      <c r="D1539" s="109"/>
      <c r="E1539" s="109"/>
      <c r="F1539" s="110"/>
      <c r="G1539" s="95"/>
      <c r="H1539" s="122"/>
      <c r="I1539" s="109"/>
      <c r="J1539" s="120"/>
      <c r="K1539" s="120"/>
      <c r="L1539" s="93"/>
      <c r="M1539" s="93"/>
      <c r="N1539" s="93"/>
      <c r="O1539" s="56"/>
      <c r="P1539" s="56"/>
      <c r="Q1539" s="56"/>
      <c r="R1539" s="56"/>
      <c r="S1539" s="56"/>
      <c r="T1539" s="56"/>
      <c r="U1539" s="56"/>
      <c r="V1539" s="56"/>
    </row>
    <row r="1540" ht="18.75" customHeight="1">
      <c r="A1540" s="90"/>
      <c r="B1540" s="126"/>
      <c r="C1540" s="252"/>
      <c r="D1540" s="109"/>
      <c r="E1540" s="109"/>
      <c r="F1540" s="110"/>
      <c r="G1540" s="95"/>
      <c r="H1540" s="122"/>
      <c r="I1540" s="109"/>
      <c r="J1540" s="120"/>
      <c r="K1540" s="120"/>
      <c r="L1540" s="93"/>
      <c r="M1540" s="93"/>
      <c r="N1540" s="93"/>
      <c r="O1540" s="56"/>
      <c r="P1540" s="56"/>
      <c r="Q1540" s="56"/>
      <c r="R1540" s="56"/>
      <c r="S1540" s="56"/>
      <c r="T1540" s="56"/>
      <c r="U1540" s="56"/>
      <c r="V1540" s="56"/>
    </row>
    <row r="1541" ht="18.75" customHeight="1">
      <c r="A1541" s="90"/>
      <c r="B1541" s="126"/>
      <c r="C1541" s="252"/>
      <c r="D1541" s="109"/>
      <c r="E1541" s="109"/>
      <c r="F1541" s="110"/>
      <c r="G1541" s="95"/>
      <c r="H1541" s="122"/>
      <c r="I1541" s="109"/>
      <c r="J1541" s="120"/>
      <c r="K1541" s="120"/>
      <c r="L1541" s="93"/>
      <c r="M1541" s="93"/>
      <c r="N1541" s="93"/>
      <c r="O1541" s="56"/>
      <c r="P1541" s="56"/>
      <c r="Q1541" s="56"/>
      <c r="R1541" s="56"/>
      <c r="S1541" s="56"/>
      <c r="T1541" s="56"/>
      <c r="U1541" s="56"/>
      <c r="V1541" s="56"/>
    </row>
    <row r="1542" ht="18.75" customHeight="1">
      <c r="A1542" s="90"/>
      <c r="B1542" s="126"/>
      <c r="C1542" s="252"/>
      <c r="D1542" s="109"/>
      <c r="E1542" s="109"/>
      <c r="F1542" s="110"/>
      <c r="G1542" s="95"/>
      <c r="H1542" s="122"/>
      <c r="I1542" s="109"/>
      <c r="J1542" s="120"/>
      <c r="K1542" s="120"/>
      <c r="L1542" s="93"/>
      <c r="M1542" s="93"/>
      <c r="N1542" s="93"/>
      <c r="O1542" s="56"/>
      <c r="P1542" s="56"/>
      <c r="Q1542" s="56"/>
      <c r="R1542" s="56"/>
      <c r="S1542" s="56"/>
      <c r="T1542" s="56"/>
      <c r="U1542" s="56"/>
      <c r="V1542" s="56"/>
    </row>
    <row r="1543" ht="18.75" customHeight="1">
      <c r="A1543" s="90"/>
      <c r="B1543" s="126"/>
      <c r="C1543" s="252"/>
      <c r="D1543" s="109"/>
      <c r="E1543" s="109"/>
      <c r="F1543" s="110"/>
      <c r="G1543" s="95"/>
      <c r="H1543" s="122"/>
      <c r="I1543" s="109"/>
      <c r="J1543" s="120"/>
      <c r="K1543" s="120"/>
      <c r="L1543" s="93"/>
      <c r="M1543" s="93"/>
      <c r="N1543" s="93"/>
      <c r="O1543" s="56"/>
      <c r="P1543" s="56"/>
      <c r="Q1543" s="56"/>
      <c r="R1543" s="56"/>
      <c r="S1543" s="56"/>
      <c r="T1543" s="56"/>
      <c r="U1543" s="56"/>
      <c r="V1543" s="56"/>
    </row>
    <row r="1544" ht="18.75" customHeight="1">
      <c r="A1544" s="90"/>
      <c r="B1544" s="126"/>
      <c r="C1544" s="252"/>
      <c r="D1544" s="109"/>
      <c r="E1544" s="109"/>
      <c r="F1544" s="110"/>
      <c r="G1544" s="95"/>
      <c r="H1544" s="122"/>
      <c r="I1544" s="109"/>
      <c r="J1544" s="120"/>
      <c r="K1544" s="120"/>
      <c r="L1544" s="93"/>
      <c r="M1544" s="93"/>
      <c r="N1544" s="93"/>
      <c r="O1544" s="56"/>
      <c r="P1544" s="56"/>
      <c r="Q1544" s="56"/>
      <c r="R1544" s="56"/>
      <c r="S1544" s="56"/>
      <c r="T1544" s="56"/>
      <c r="U1544" s="56"/>
      <c r="V1544" s="56"/>
    </row>
    <row r="1545" ht="18.75" customHeight="1">
      <c r="A1545" s="90"/>
      <c r="B1545" s="126"/>
      <c r="C1545" s="252"/>
      <c r="D1545" s="109"/>
      <c r="E1545" s="109"/>
      <c r="F1545" s="110"/>
      <c r="G1545" s="95"/>
      <c r="H1545" s="122"/>
      <c r="I1545" s="109"/>
      <c r="J1545" s="120"/>
      <c r="K1545" s="120"/>
      <c r="L1545" s="93"/>
      <c r="M1545" s="93"/>
      <c r="N1545" s="93"/>
      <c r="O1545" s="56"/>
      <c r="P1545" s="56"/>
      <c r="Q1545" s="56"/>
      <c r="R1545" s="56"/>
      <c r="S1545" s="56"/>
      <c r="T1545" s="56"/>
      <c r="U1545" s="56"/>
      <c r="V1545" s="56"/>
    </row>
    <row r="1546" ht="18.75" customHeight="1">
      <c r="A1546" s="90"/>
      <c r="B1546" s="126"/>
      <c r="C1546" s="252"/>
      <c r="D1546" s="109"/>
      <c r="E1546" s="109"/>
      <c r="F1546" s="110"/>
      <c r="G1546" s="95"/>
      <c r="H1546" s="122"/>
      <c r="I1546" s="109"/>
      <c r="J1546" s="120"/>
      <c r="K1546" s="120"/>
      <c r="L1546" s="93"/>
      <c r="M1546" s="93"/>
      <c r="N1546" s="93"/>
      <c r="O1546" s="56"/>
      <c r="P1546" s="56"/>
      <c r="Q1546" s="56"/>
      <c r="R1546" s="56"/>
      <c r="S1546" s="56"/>
      <c r="T1546" s="56"/>
      <c r="U1546" s="56"/>
      <c r="V1546" s="56"/>
    </row>
    <row r="1547" ht="18.75" customHeight="1">
      <c r="A1547" s="90"/>
      <c r="B1547" s="126"/>
      <c r="C1547" s="252"/>
      <c r="D1547" s="109"/>
      <c r="E1547" s="109"/>
      <c r="F1547" s="110"/>
      <c r="G1547" s="95"/>
      <c r="H1547" s="122"/>
      <c r="I1547" s="109"/>
      <c r="J1547" s="120"/>
      <c r="K1547" s="120"/>
      <c r="L1547" s="93"/>
      <c r="M1547" s="93"/>
      <c r="N1547" s="93"/>
      <c r="O1547" s="56"/>
      <c r="P1547" s="56"/>
      <c r="Q1547" s="56"/>
      <c r="R1547" s="56"/>
      <c r="S1547" s="56"/>
      <c r="T1547" s="56"/>
      <c r="U1547" s="56"/>
      <c r="V1547" s="56"/>
    </row>
    <row r="1548" ht="18.75" customHeight="1">
      <c r="A1548" s="90"/>
      <c r="B1548" s="126"/>
      <c r="C1548" s="252"/>
      <c r="D1548" s="109"/>
      <c r="E1548" s="109"/>
      <c r="F1548" s="110"/>
      <c r="G1548" s="95"/>
      <c r="H1548" s="122"/>
      <c r="I1548" s="109"/>
      <c r="J1548" s="120"/>
      <c r="K1548" s="120"/>
      <c r="L1548" s="93"/>
      <c r="M1548" s="93"/>
      <c r="N1548" s="93"/>
      <c r="O1548" s="56"/>
      <c r="P1548" s="56"/>
      <c r="Q1548" s="56"/>
      <c r="R1548" s="56"/>
      <c r="S1548" s="56"/>
      <c r="T1548" s="56"/>
      <c r="U1548" s="56"/>
      <c r="V1548" s="56"/>
    </row>
    <row r="1549" ht="18.75" customHeight="1">
      <c r="A1549" s="90"/>
      <c r="B1549" s="126"/>
      <c r="C1549" s="252"/>
      <c r="D1549" s="109"/>
      <c r="E1549" s="109"/>
      <c r="F1549" s="110"/>
      <c r="G1549" s="95"/>
      <c r="H1549" s="122"/>
      <c r="I1549" s="109"/>
      <c r="J1549" s="120"/>
      <c r="K1549" s="120"/>
      <c r="L1549" s="93"/>
      <c r="M1549" s="93"/>
      <c r="N1549" s="93"/>
      <c r="O1549" s="56"/>
      <c r="P1549" s="56"/>
      <c r="Q1549" s="56"/>
      <c r="R1549" s="56"/>
      <c r="S1549" s="56"/>
      <c r="T1549" s="56"/>
      <c r="U1549" s="56"/>
      <c r="V1549" s="56"/>
    </row>
    <row r="1550" ht="18.75" customHeight="1">
      <c r="A1550" s="90"/>
      <c r="B1550" s="126"/>
      <c r="C1550" s="252"/>
      <c r="D1550" s="109"/>
      <c r="E1550" s="109"/>
      <c r="F1550" s="110"/>
      <c r="G1550" s="95"/>
      <c r="H1550" s="122"/>
      <c r="I1550" s="109"/>
      <c r="J1550" s="120"/>
      <c r="K1550" s="120"/>
      <c r="L1550" s="93"/>
      <c r="M1550" s="93"/>
      <c r="N1550" s="93"/>
      <c r="O1550" s="56"/>
      <c r="P1550" s="56"/>
      <c r="Q1550" s="56"/>
      <c r="R1550" s="56"/>
      <c r="S1550" s="56"/>
      <c r="T1550" s="56"/>
      <c r="U1550" s="56"/>
      <c r="V1550" s="56"/>
    </row>
    <row r="1551" ht="18.75" customHeight="1">
      <c r="A1551" s="90"/>
      <c r="B1551" s="126"/>
      <c r="C1551" s="252"/>
      <c r="D1551" s="109"/>
      <c r="E1551" s="109"/>
      <c r="F1551" s="110"/>
      <c r="G1551" s="95"/>
      <c r="H1551" s="122"/>
      <c r="I1551" s="109"/>
      <c r="J1551" s="120"/>
      <c r="K1551" s="120"/>
      <c r="L1551" s="93"/>
      <c r="M1551" s="93"/>
      <c r="N1551" s="93"/>
      <c r="O1551" s="56"/>
      <c r="P1551" s="56"/>
      <c r="Q1551" s="56"/>
      <c r="R1551" s="56"/>
      <c r="S1551" s="56"/>
      <c r="T1551" s="56"/>
      <c r="U1551" s="56"/>
      <c r="V1551" s="56"/>
    </row>
    <row r="1552" ht="18.75" customHeight="1">
      <c r="A1552" s="90"/>
      <c r="B1552" s="126"/>
      <c r="C1552" s="252"/>
      <c r="D1552" s="109"/>
      <c r="E1552" s="109"/>
      <c r="F1552" s="110"/>
      <c r="G1552" s="95"/>
      <c r="H1552" s="122"/>
      <c r="I1552" s="109"/>
      <c r="J1552" s="120"/>
      <c r="K1552" s="120"/>
      <c r="L1552" s="93"/>
      <c r="M1552" s="93"/>
      <c r="N1552" s="93"/>
      <c r="O1552" s="56"/>
      <c r="P1552" s="56"/>
      <c r="Q1552" s="56"/>
      <c r="R1552" s="56"/>
      <c r="S1552" s="56"/>
      <c r="T1552" s="56"/>
      <c r="U1552" s="56"/>
      <c r="V1552" s="56"/>
    </row>
    <row r="1553" ht="18.75" customHeight="1">
      <c r="A1553" s="90"/>
      <c r="B1553" s="126"/>
      <c r="C1553" s="252"/>
      <c r="D1553" s="109"/>
      <c r="E1553" s="109"/>
      <c r="F1553" s="110"/>
      <c r="G1553" s="95"/>
      <c r="H1553" s="122"/>
      <c r="I1553" s="109"/>
      <c r="J1553" s="120"/>
      <c r="K1553" s="120"/>
      <c r="L1553" s="93"/>
      <c r="M1553" s="93"/>
      <c r="N1553" s="93"/>
      <c r="O1553" s="56"/>
      <c r="P1553" s="56"/>
      <c r="Q1553" s="56"/>
      <c r="R1553" s="56"/>
      <c r="S1553" s="56"/>
      <c r="T1553" s="56"/>
      <c r="U1553" s="56"/>
      <c r="V1553" s="56"/>
    </row>
    <row r="1554" ht="18.75" customHeight="1">
      <c r="A1554" s="90"/>
      <c r="B1554" s="126"/>
      <c r="C1554" s="252"/>
      <c r="D1554" s="109"/>
      <c r="E1554" s="109"/>
      <c r="F1554" s="110"/>
      <c r="G1554" s="95"/>
      <c r="H1554" s="122"/>
      <c r="I1554" s="109"/>
      <c r="J1554" s="120"/>
      <c r="K1554" s="120"/>
      <c r="L1554" s="93"/>
      <c r="M1554" s="93"/>
      <c r="N1554" s="93"/>
      <c r="O1554" s="56"/>
      <c r="P1554" s="56"/>
      <c r="Q1554" s="56"/>
      <c r="R1554" s="56"/>
      <c r="S1554" s="56"/>
      <c r="T1554" s="56"/>
      <c r="U1554" s="56"/>
      <c r="V1554" s="56"/>
    </row>
    <row r="1555" ht="18.75" customHeight="1">
      <c r="A1555" s="90"/>
      <c r="B1555" s="126"/>
      <c r="C1555" s="252"/>
      <c r="D1555" s="109"/>
      <c r="E1555" s="109"/>
      <c r="F1555" s="110"/>
      <c r="G1555" s="95"/>
      <c r="H1555" s="122"/>
      <c r="I1555" s="109"/>
      <c r="J1555" s="120"/>
      <c r="K1555" s="120"/>
      <c r="L1555" s="93"/>
      <c r="M1555" s="93"/>
      <c r="N1555" s="93"/>
      <c r="O1555" s="56"/>
      <c r="P1555" s="56"/>
      <c r="Q1555" s="56"/>
      <c r="R1555" s="56"/>
      <c r="S1555" s="56"/>
      <c r="T1555" s="56"/>
      <c r="U1555" s="56"/>
      <c r="V1555" s="56"/>
    </row>
    <row r="1556" ht="18.75" customHeight="1">
      <c r="A1556" s="90"/>
      <c r="B1556" s="126"/>
      <c r="C1556" s="252"/>
      <c r="D1556" s="109"/>
      <c r="E1556" s="109"/>
      <c r="F1556" s="110"/>
      <c r="G1556" s="95"/>
      <c r="H1556" s="122"/>
      <c r="I1556" s="109"/>
      <c r="J1556" s="120"/>
      <c r="K1556" s="120"/>
      <c r="L1556" s="93"/>
      <c r="M1556" s="93"/>
      <c r="N1556" s="93"/>
      <c r="O1556" s="56"/>
      <c r="P1556" s="56"/>
      <c r="Q1556" s="56"/>
      <c r="R1556" s="56"/>
      <c r="S1556" s="56"/>
      <c r="T1556" s="56"/>
      <c r="U1556" s="56"/>
      <c r="V1556" s="56"/>
    </row>
    <row r="1557" ht="18.75" customHeight="1">
      <c r="A1557" s="90"/>
      <c r="B1557" s="126"/>
      <c r="C1557" s="252"/>
      <c r="D1557" s="109"/>
      <c r="E1557" s="109"/>
      <c r="F1557" s="110"/>
      <c r="G1557" s="95"/>
      <c r="H1557" s="122"/>
      <c r="I1557" s="109"/>
      <c r="J1557" s="120"/>
      <c r="K1557" s="120"/>
      <c r="L1557" s="93"/>
      <c r="M1557" s="93"/>
      <c r="N1557" s="93"/>
      <c r="O1557" s="56"/>
      <c r="P1557" s="56"/>
      <c r="Q1557" s="56"/>
      <c r="R1557" s="56"/>
      <c r="S1557" s="56"/>
      <c r="T1557" s="56"/>
      <c r="U1557" s="56"/>
      <c r="V1557" s="56"/>
    </row>
    <row r="1558" ht="18.75" customHeight="1">
      <c r="A1558" s="90"/>
      <c r="B1558" s="126"/>
      <c r="C1558" s="252"/>
      <c r="D1558" s="109"/>
      <c r="E1558" s="109"/>
      <c r="F1558" s="110"/>
      <c r="G1558" s="95"/>
      <c r="H1558" s="122"/>
      <c r="I1558" s="109"/>
      <c r="J1558" s="120"/>
      <c r="K1558" s="120"/>
      <c r="L1558" s="93"/>
      <c r="M1558" s="93"/>
      <c r="N1558" s="93"/>
      <c r="O1558" s="56"/>
      <c r="P1558" s="56"/>
      <c r="Q1558" s="56"/>
      <c r="R1558" s="56"/>
      <c r="S1558" s="56"/>
      <c r="T1558" s="56"/>
      <c r="U1558" s="56"/>
      <c r="V1558" s="56"/>
    </row>
    <row r="1559" ht="18.75" customHeight="1">
      <c r="A1559" s="90"/>
      <c r="B1559" s="126"/>
      <c r="C1559" s="252"/>
      <c r="D1559" s="109"/>
      <c r="E1559" s="109"/>
      <c r="F1559" s="110"/>
      <c r="G1559" s="95"/>
      <c r="H1559" s="122"/>
      <c r="I1559" s="109"/>
      <c r="J1559" s="120"/>
      <c r="K1559" s="120"/>
      <c r="L1559" s="93"/>
      <c r="M1559" s="93"/>
      <c r="N1559" s="93"/>
      <c r="O1559" s="56"/>
      <c r="P1559" s="56"/>
      <c r="Q1559" s="56"/>
      <c r="R1559" s="56"/>
      <c r="S1559" s="56"/>
      <c r="T1559" s="56"/>
      <c r="U1559" s="56"/>
      <c r="V1559" s="56"/>
    </row>
    <row r="1560" ht="18.75" customHeight="1">
      <c r="A1560" s="90"/>
      <c r="B1560" s="126"/>
      <c r="C1560" s="252"/>
      <c r="D1560" s="109"/>
      <c r="E1560" s="109"/>
      <c r="F1560" s="110"/>
      <c r="G1560" s="95"/>
      <c r="H1560" s="122"/>
      <c r="I1560" s="109"/>
      <c r="J1560" s="120"/>
      <c r="K1560" s="120"/>
      <c r="L1560" s="93"/>
      <c r="M1560" s="93"/>
      <c r="N1560" s="93"/>
      <c r="O1560" s="56"/>
      <c r="P1560" s="56"/>
      <c r="Q1560" s="56"/>
      <c r="R1560" s="56"/>
      <c r="S1560" s="56"/>
      <c r="T1560" s="56"/>
      <c r="U1560" s="56"/>
      <c r="V1560" s="56"/>
    </row>
    <row r="1561" ht="18.75" customHeight="1">
      <c r="A1561" s="90"/>
      <c r="B1561" s="126"/>
      <c r="C1561" s="252"/>
      <c r="D1561" s="109"/>
      <c r="E1561" s="109"/>
      <c r="F1561" s="110"/>
      <c r="G1561" s="95"/>
      <c r="H1561" s="122"/>
      <c r="I1561" s="109"/>
      <c r="J1561" s="120"/>
      <c r="K1561" s="120"/>
      <c r="L1561" s="93"/>
      <c r="M1561" s="93"/>
      <c r="N1561" s="93"/>
      <c r="O1561" s="56"/>
      <c r="P1561" s="56"/>
      <c r="Q1561" s="56"/>
      <c r="R1561" s="56"/>
      <c r="S1561" s="56"/>
      <c r="T1561" s="56"/>
      <c r="U1561" s="56"/>
      <c r="V1561" s="56"/>
    </row>
    <row r="1562" ht="18.75" customHeight="1">
      <c r="A1562" s="90"/>
      <c r="B1562" s="126"/>
      <c r="C1562" s="252"/>
      <c r="D1562" s="109"/>
      <c r="E1562" s="109"/>
      <c r="F1562" s="110"/>
      <c r="G1562" s="95"/>
      <c r="H1562" s="122"/>
      <c r="I1562" s="109"/>
      <c r="J1562" s="120"/>
      <c r="K1562" s="120"/>
      <c r="L1562" s="93"/>
      <c r="M1562" s="93"/>
      <c r="N1562" s="93"/>
      <c r="O1562" s="56"/>
      <c r="P1562" s="56"/>
      <c r="Q1562" s="56"/>
      <c r="R1562" s="56"/>
      <c r="S1562" s="56"/>
      <c r="T1562" s="56"/>
      <c r="U1562" s="56"/>
      <c r="V1562" s="56"/>
    </row>
    <row r="1563" ht="18.75" customHeight="1">
      <c r="A1563" s="90"/>
      <c r="B1563" s="126"/>
      <c r="C1563" s="252"/>
      <c r="D1563" s="109"/>
      <c r="E1563" s="109"/>
      <c r="F1563" s="110"/>
      <c r="G1563" s="95"/>
      <c r="H1563" s="122"/>
      <c r="I1563" s="109"/>
      <c r="J1563" s="120"/>
      <c r="K1563" s="120"/>
      <c r="L1563" s="93"/>
      <c r="M1563" s="93"/>
      <c r="N1563" s="93"/>
      <c r="O1563" s="56"/>
      <c r="P1563" s="56"/>
      <c r="Q1563" s="56"/>
      <c r="R1563" s="56"/>
      <c r="S1563" s="56"/>
      <c r="T1563" s="56"/>
      <c r="U1563" s="56"/>
      <c r="V1563" s="56"/>
    </row>
    <row r="1564" ht="18.75" customHeight="1">
      <c r="A1564" s="90"/>
      <c r="B1564" s="126"/>
      <c r="C1564" s="252"/>
      <c r="D1564" s="109"/>
      <c r="E1564" s="109"/>
      <c r="F1564" s="110"/>
      <c r="G1564" s="95"/>
      <c r="H1564" s="122"/>
      <c r="I1564" s="109"/>
      <c r="J1564" s="120"/>
      <c r="K1564" s="120"/>
      <c r="L1564" s="93"/>
      <c r="M1564" s="93"/>
      <c r="N1564" s="93"/>
      <c r="O1564" s="56"/>
      <c r="P1564" s="56"/>
      <c r="Q1564" s="56"/>
      <c r="R1564" s="56"/>
      <c r="S1564" s="56"/>
      <c r="T1564" s="56"/>
      <c r="U1564" s="56"/>
      <c r="V1564" s="56"/>
    </row>
    <row r="1565" ht="18.75" customHeight="1">
      <c r="A1565" s="90"/>
      <c r="B1565" s="126"/>
      <c r="C1565" s="252"/>
      <c r="D1565" s="109"/>
      <c r="E1565" s="109"/>
      <c r="F1565" s="110"/>
      <c r="G1565" s="95"/>
      <c r="H1565" s="122"/>
      <c r="I1565" s="109"/>
      <c r="J1565" s="120"/>
      <c r="K1565" s="120"/>
      <c r="L1565" s="93"/>
      <c r="M1565" s="93"/>
      <c r="N1565" s="93"/>
      <c r="O1565" s="56"/>
      <c r="P1565" s="56"/>
      <c r="Q1565" s="56"/>
      <c r="R1565" s="56"/>
      <c r="S1565" s="56"/>
      <c r="T1565" s="56"/>
      <c r="U1565" s="56"/>
      <c r="V1565" s="56"/>
    </row>
    <row r="1566" ht="18.75" customHeight="1">
      <c r="A1566" s="90"/>
      <c r="B1566" s="126"/>
      <c r="C1566" s="252"/>
      <c r="D1566" s="109"/>
      <c r="E1566" s="109"/>
      <c r="F1566" s="110"/>
      <c r="G1566" s="95"/>
      <c r="H1566" s="122"/>
      <c r="I1566" s="109"/>
      <c r="J1566" s="120"/>
      <c r="K1566" s="120"/>
      <c r="L1566" s="93"/>
      <c r="M1566" s="93"/>
      <c r="N1566" s="93"/>
      <c r="O1566" s="56"/>
      <c r="P1566" s="56"/>
      <c r="Q1566" s="56"/>
      <c r="R1566" s="56"/>
      <c r="S1566" s="56"/>
      <c r="T1566" s="56"/>
      <c r="U1566" s="56"/>
      <c r="V1566" s="56"/>
    </row>
    <row r="1567" ht="18.75" customHeight="1">
      <c r="A1567" s="90"/>
      <c r="B1567" s="126"/>
      <c r="C1567" s="252"/>
      <c r="D1567" s="109"/>
      <c r="E1567" s="109"/>
      <c r="F1567" s="110"/>
      <c r="G1567" s="95"/>
      <c r="H1567" s="122"/>
      <c r="I1567" s="109"/>
      <c r="J1567" s="120"/>
      <c r="K1567" s="120"/>
      <c r="L1567" s="93"/>
      <c r="M1567" s="93"/>
      <c r="N1567" s="93"/>
      <c r="O1567" s="56"/>
      <c r="P1567" s="56"/>
      <c r="Q1567" s="56"/>
      <c r="R1567" s="56"/>
      <c r="S1567" s="56"/>
      <c r="T1567" s="56"/>
      <c r="U1567" s="56"/>
      <c r="V1567" s="56"/>
    </row>
    <row r="1568" ht="18.75" customHeight="1">
      <c r="A1568" s="90"/>
      <c r="B1568" s="126"/>
      <c r="C1568" s="252"/>
      <c r="D1568" s="109"/>
      <c r="E1568" s="109"/>
      <c r="F1568" s="110"/>
      <c r="G1568" s="95"/>
      <c r="H1568" s="122"/>
      <c r="I1568" s="109"/>
      <c r="J1568" s="120"/>
      <c r="K1568" s="120"/>
      <c r="L1568" s="93"/>
      <c r="M1568" s="93"/>
      <c r="N1568" s="93"/>
      <c r="O1568" s="56"/>
      <c r="P1568" s="56"/>
      <c r="Q1568" s="56"/>
      <c r="R1568" s="56"/>
      <c r="S1568" s="56"/>
      <c r="T1568" s="56"/>
      <c r="U1568" s="56"/>
      <c r="V1568" s="56"/>
    </row>
    <row r="1569" ht="18.75" customHeight="1">
      <c r="A1569" s="90"/>
      <c r="B1569" s="126"/>
      <c r="C1569" s="252"/>
      <c r="D1569" s="109"/>
      <c r="E1569" s="109"/>
      <c r="F1569" s="110"/>
      <c r="G1569" s="95"/>
      <c r="H1569" s="122"/>
      <c r="I1569" s="109"/>
      <c r="J1569" s="120"/>
      <c r="K1569" s="120"/>
      <c r="L1569" s="93"/>
      <c r="M1569" s="93"/>
      <c r="N1569" s="93"/>
      <c r="O1569" s="56"/>
      <c r="P1569" s="56"/>
      <c r="Q1569" s="56"/>
      <c r="R1569" s="56"/>
      <c r="S1569" s="56"/>
      <c r="T1569" s="56"/>
      <c r="U1569" s="56"/>
      <c r="V1569" s="56"/>
    </row>
    <row r="1570" ht="18.75" customHeight="1">
      <c r="A1570" s="90"/>
      <c r="B1570" s="126"/>
      <c r="C1570" s="252"/>
      <c r="D1570" s="109"/>
      <c r="E1570" s="109"/>
      <c r="F1570" s="110"/>
      <c r="G1570" s="95"/>
      <c r="H1570" s="122"/>
      <c r="I1570" s="109"/>
      <c r="J1570" s="120"/>
      <c r="K1570" s="120"/>
      <c r="L1570" s="93"/>
      <c r="M1570" s="93"/>
      <c r="N1570" s="93"/>
      <c r="O1570" s="56"/>
      <c r="P1570" s="56"/>
      <c r="Q1570" s="56"/>
      <c r="R1570" s="56"/>
      <c r="S1570" s="56"/>
      <c r="T1570" s="56"/>
      <c r="U1570" s="56"/>
      <c r="V1570" s="56"/>
    </row>
    <row r="1571" ht="18.75" customHeight="1">
      <c r="A1571" s="90"/>
      <c r="B1571" s="126"/>
      <c r="C1571" s="252"/>
      <c r="D1571" s="109"/>
      <c r="E1571" s="109"/>
      <c r="F1571" s="110"/>
      <c r="G1571" s="95"/>
      <c r="H1571" s="122"/>
      <c r="I1571" s="109"/>
      <c r="J1571" s="120"/>
      <c r="K1571" s="120"/>
      <c r="L1571" s="93"/>
      <c r="M1571" s="93"/>
      <c r="N1571" s="93"/>
      <c r="O1571" s="56"/>
      <c r="P1571" s="56"/>
      <c r="Q1571" s="56"/>
      <c r="R1571" s="56"/>
      <c r="S1571" s="56"/>
      <c r="T1571" s="56"/>
      <c r="U1571" s="56"/>
      <c r="V1571" s="56"/>
    </row>
    <row r="1572" ht="18.75" customHeight="1">
      <c r="A1572" s="90"/>
      <c r="B1572" s="126"/>
      <c r="C1572" s="252"/>
      <c r="D1572" s="109"/>
      <c r="E1572" s="109"/>
      <c r="F1572" s="110"/>
      <c r="G1572" s="95"/>
      <c r="H1572" s="122"/>
      <c r="I1572" s="109"/>
      <c r="J1572" s="120"/>
      <c r="K1572" s="120"/>
      <c r="L1572" s="93"/>
      <c r="M1572" s="93"/>
      <c r="N1572" s="93"/>
      <c r="O1572" s="56"/>
      <c r="P1572" s="56"/>
      <c r="Q1572" s="56"/>
      <c r="R1572" s="56"/>
      <c r="S1572" s="56"/>
      <c r="T1572" s="56"/>
      <c r="U1572" s="56"/>
      <c r="V1572" s="56"/>
    </row>
    <row r="1573" ht="18.75" customHeight="1">
      <c r="A1573" s="90"/>
      <c r="B1573" s="126"/>
      <c r="C1573" s="252"/>
      <c r="D1573" s="109"/>
      <c r="E1573" s="109"/>
      <c r="F1573" s="110"/>
      <c r="G1573" s="95"/>
      <c r="H1573" s="122"/>
      <c r="I1573" s="109"/>
      <c r="J1573" s="120"/>
      <c r="K1573" s="120"/>
      <c r="L1573" s="93"/>
      <c r="M1573" s="93"/>
      <c r="N1573" s="93"/>
      <c r="O1573" s="56"/>
      <c r="P1573" s="56"/>
      <c r="Q1573" s="56"/>
      <c r="R1573" s="56"/>
      <c r="S1573" s="56"/>
      <c r="T1573" s="56"/>
      <c r="U1573" s="56"/>
      <c r="V1573" s="56"/>
    </row>
    <row r="1574" ht="18.75" customHeight="1">
      <c r="A1574" s="90"/>
      <c r="B1574" s="126"/>
      <c r="C1574" s="252"/>
      <c r="D1574" s="109"/>
      <c r="E1574" s="109"/>
      <c r="F1574" s="110"/>
      <c r="G1574" s="95"/>
      <c r="H1574" s="122"/>
      <c r="I1574" s="109"/>
      <c r="J1574" s="120"/>
      <c r="K1574" s="120"/>
      <c r="L1574" s="93"/>
      <c r="M1574" s="93"/>
      <c r="N1574" s="93"/>
      <c r="O1574" s="56"/>
      <c r="P1574" s="56"/>
      <c r="Q1574" s="56"/>
      <c r="R1574" s="56"/>
      <c r="S1574" s="56"/>
      <c r="T1574" s="56"/>
      <c r="U1574" s="56"/>
      <c r="V1574" s="56"/>
    </row>
    <row r="1575" ht="18.75" customHeight="1">
      <c r="A1575" s="90"/>
      <c r="B1575" s="126"/>
      <c r="C1575" s="252"/>
      <c r="D1575" s="109"/>
      <c r="E1575" s="109"/>
      <c r="F1575" s="110"/>
      <c r="G1575" s="95"/>
      <c r="H1575" s="122"/>
      <c r="I1575" s="109"/>
      <c r="J1575" s="120"/>
      <c r="K1575" s="120"/>
      <c r="L1575" s="93"/>
      <c r="M1575" s="93"/>
      <c r="N1575" s="93"/>
      <c r="O1575" s="56"/>
      <c r="P1575" s="56"/>
      <c r="Q1575" s="56"/>
      <c r="R1575" s="56"/>
      <c r="S1575" s="56"/>
      <c r="T1575" s="56"/>
      <c r="U1575" s="56"/>
      <c r="V1575" s="56"/>
    </row>
    <row r="1576" ht="18.75" customHeight="1">
      <c r="A1576" s="90"/>
      <c r="B1576" s="126"/>
      <c r="C1576" s="252"/>
      <c r="D1576" s="109"/>
      <c r="E1576" s="109"/>
      <c r="F1576" s="110"/>
      <c r="G1576" s="95"/>
      <c r="H1576" s="122"/>
      <c r="I1576" s="109"/>
      <c r="J1576" s="120"/>
      <c r="K1576" s="120"/>
      <c r="L1576" s="93"/>
      <c r="M1576" s="93"/>
      <c r="N1576" s="93"/>
      <c r="O1576" s="56"/>
      <c r="P1576" s="56"/>
      <c r="Q1576" s="56"/>
      <c r="R1576" s="56"/>
      <c r="S1576" s="56"/>
      <c r="T1576" s="56"/>
      <c r="U1576" s="56"/>
      <c r="V1576" s="56"/>
    </row>
    <row r="1577" ht="18.75" customHeight="1">
      <c r="A1577" s="90"/>
      <c r="B1577" s="126"/>
      <c r="C1577" s="252"/>
      <c r="D1577" s="109"/>
      <c r="E1577" s="109"/>
      <c r="F1577" s="110"/>
      <c r="G1577" s="95"/>
      <c r="H1577" s="122"/>
      <c r="I1577" s="109"/>
      <c r="J1577" s="120"/>
      <c r="K1577" s="120"/>
      <c r="L1577" s="93"/>
      <c r="M1577" s="93"/>
      <c r="N1577" s="93"/>
      <c r="O1577" s="56"/>
      <c r="P1577" s="56"/>
      <c r="Q1577" s="56"/>
      <c r="R1577" s="56"/>
      <c r="S1577" s="56"/>
      <c r="T1577" s="56"/>
      <c r="U1577" s="56"/>
      <c r="V1577" s="56"/>
    </row>
    <row r="1578" ht="18.75" customHeight="1">
      <c r="A1578" s="90"/>
      <c r="B1578" s="126"/>
      <c r="C1578" s="252"/>
      <c r="D1578" s="109"/>
      <c r="E1578" s="109"/>
      <c r="F1578" s="110"/>
      <c r="G1578" s="95"/>
      <c r="H1578" s="122"/>
      <c r="I1578" s="109"/>
      <c r="J1578" s="120"/>
      <c r="K1578" s="120"/>
      <c r="L1578" s="93"/>
      <c r="M1578" s="93"/>
      <c r="N1578" s="93"/>
      <c r="O1578" s="56"/>
      <c r="P1578" s="56"/>
      <c r="Q1578" s="56"/>
      <c r="R1578" s="56"/>
      <c r="S1578" s="56"/>
      <c r="T1578" s="56"/>
      <c r="U1578" s="56"/>
      <c r="V1578" s="56"/>
    </row>
    <row r="1579" ht="18.75" customHeight="1">
      <c r="A1579" s="90"/>
      <c r="B1579" s="126"/>
      <c r="C1579" s="252"/>
      <c r="D1579" s="109"/>
      <c r="E1579" s="109"/>
      <c r="F1579" s="110"/>
      <c r="G1579" s="95"/>
      <c r="H1579" s="122"/>
      <c r="I1579" s="109"/>
      <c r="J1579" s="120"/>
      <c r="K1579" s="120"/>
      <c r="L1579" s="93"/>
      <c r="M1579" s="93"/>
      <c r="N1579" s="93"/>
      <c r="O1579" s="56"/>
      <c r="P1579" s="56"/>
      <c r="Q1579" s="56"/>
      <c r="R1579" s="56"/>
      <c r="S1579" s="56"/>
      <c r="T1579" s="56"/>
      <c r="U1579" s="56"/>
      <c r="V1579" s="56"/>
    </row>
    <row r="1580" ht="18.75" customHeight="1">
      <c r="A1580" s="90"/>
      <c r="B1580" s="126"/>
      <c r="C1580" s="252"/>
      <c r="D1580" s="109"/>
      <c r="E1580" s="109"/>
      <c r="F1580" s="110"/>
      <c r="G1580" s="95"/>
      <c r="H1580" s="122"/>
      <c r="I1580" s="109"/>
      <c r="J1580" s="120"/>
      <c r="K1580" s="120"/>
      <c r="L1580" s="93"/>
      <c r="M1580" s="93"/>
      <c r="N1580" s="93"/>
      <c r="O1580" s="56"/>
      <c r="P1580" s="56"/>
      <c r="Q1580" s="56"/>
      <c r="R1580" s="56"/>
      <c r="S1580" s="56"/>
      <c r="T1580" s="56"/>
      <c r="U1580" s="56"/>
      <c r="V1580" s="56"/>
    </row>
    <row r="1581" ht="18.75" customHeight="1">
      <c r="A1581" s="90"/>
      <c r="B1581" s="126"/>
      <c r="C1581" s="252"/>
      <c r="D1581" s="109"/>
      <c r="E1581" s="109"/>
      <c r="F1581" s="110"/>
      <c r="G1581" s="95"/>
      <c r="H1581" s="122"/>
      <c r="I1581" s="109"/>
      <c r="J1581" s="120"/>
      <c r="K1581" s="120"/>
      <c r="L1581" s="93"/>
      <c r="M1581" s="93"/>
      <c r="N1581" s="93"/>
      <c r="O1581" s="56"/>
      <c r="P1581" s="56"/>
      <c r="Q1581" s="56"/>
      <c r="R1581" s="56"/>
      <c r="S1581" s="56"/>
      <c r="T1581" s="56"/>
      <c r="U1581" s="56"/>
      <c r="V1581" s="56"/>
    </row>
    <row r="1582" ht="18.75" customHeight="1">
      <c r="A1582" s="90"/>
      <c r="B1582" s="126"/>
      <c r="C1582" s="252"/>
      <c r="D1582" s="109"/>
      <c r="E1582" s="109"/>
      <c r="F1582" s="110"/>
      <c r="G1582" s="95"/>
      <c r="H1582" s="122"/>
      <c r="I1582" s="109"/>
      <c r="J1582" s="120"/>
      <c r="K1582" s="120"/>
      <c r="L1582" s="93"/>
      <c r="M1582" s="93"/>
      <c r="N1582" s="93"/>
      <c r="O1582" s="56"/>
      <c r="P1582" s="56"/>
      <c r="Q1582" s="56"/>
      <c r="R1582" s="56"/>
      <c r="S1582" s="56"/>
      <c r="T1582" s="56"/>
      <c r="U1582" s="56"/>
      <c r="V1582" s="56"/>
    </row>
    <row r="1583" ht="18.75" customHeight="1">
      <c r="A1583" s="90"/>
      <c r="B1583" s="126"/>
      <c r="C1583" s="252"/>
      <c r="D1583" s="109"/>
      <c r="E1583" s="109"/>
      <c r="F1583" s="110"/>
      <c r="G1583" s="95"/>
      <c r="H1583" s="122"/>
      <c r="I1583" s="109"/>
      <c r="J1583" s="120"/>
      <c r="K1583" s="120"/>
      <c r="L1583" s="93"/>
      <c r="M1583" s="93"/>
      <c r="N1583" s="93"/>
      <c r="O1583" s="56"/>
      <c r="P1583" s="56"/>
      <c r="Q1583" s="56"/>
      <c r="R1583" s="56"/>
      <c r="S1583" s="56"/>
      <c r="T1583" s="56"/>
      <c r="U1583" s="56"/>
      <c r="V1583" s="56"/>
    </row>
    <row r="1584" ht="18.75" customHeight="1">
      <c r="A1584" s="90"/>
      <c r="B1584" s="126"/>
      <c r="C1584" s="252"/>
      <c r="D1584" s="109"/>
      <c r="E1584" s="109"/>
      <c r="F1584" s="110"/>
      <c r="G1584" s="95"/>
      <c r="H1584" s="122"/>
      <c r="I1584" s="109"/>
      <c r="J1584" s="120"/>
      <c r="K1584" s="120"/>
      <c r="L1584" s="93"/>
      <c r="M1584" s="93"/>
      <c r="N1584" s="93"/>
      <c r="O1584" s="56"/>
      <c r="P1584" s="56"/>
      <c r="Q1584" s="56"/>
      <c r="R1584" s="56"/>
      <c r="S1584" s="56"/>
      <c r="T1584" s="56"/>
      <c r="U1584" s="56"/>
      <c r="V1584" s="56"/>
    </row>
    <row r="1585" ht="18.75" customHeight="1">
      <c r="A1585" s="90"/>
      <c r="B1585" s="126"/>
      <c r="C1585" s="252"/>
      <c r="D1585" s="109"/>
      <c r="E1585" s="109"/>
      <c r="F1585" s="110"/>
      <c r="G1585" s="95"/>
      <c r="H1585" s="122"/>
      <c r="I1585" s="109"/>
      <c r="J1585" s="120"/>
      <c r="K1585" s="120"/>
      <c r="L1585" s="93"/>
      <c r="M1585" s="93"/>
      <c r="N1585" s="93"/>
      <c r="O1585" s="56"/>
      <c r="P1585" s="56"/>
      <c r="Q1585" s="56"/>
      <c r="R1585" s="56"/>
      <c r="S1585" s="56"/>
      <c r="T1585" s="56"/>
      <c r="U1585" s="56"/>
      <c r="V1585" s="56"/>
    </row>
    <row r="1586" ht="18.75" customHeight="1">
      <c r="A1586" s="90"/>
      <c r="B1586" s="126"/>
      <c r="C1586" s="252"/>
      <c r="D1586" s="109"/>
      <c r="E1586" s="109"/>
      <c r="F1586" s="110"/>
      <c r="G1586" s="95"/>
      <c r="H1586" s="122"/>
      <c r="I1586" s="109"/>
      <c r="J1586" s="120"/>
      <c r="K1586" s="120"/>
      <c r="L1586" s="93"/>
      <c r="M1586" s="93"/>
      <c r="N1586" s="93"/>
      <c r="O1586" s="56"/>
      <c r="P1586" s="56"/>
      <c r="Q1586" s="56"/>
      <c r="R1586" s="56"/>
      <c r="S1586" s="56"/>
      <c r="T1586" s="56"/>
      <c r="U1586" s="56"/>
      <c r="V1586" s="56"/>
    </row>
    <row r="1587" ht="18.75" customHeight="1">
      <c r="A1587" s="90"/>
      <c r="B1587" s="126"/>
      <c r="C1587" s="252"/>
      <c r="D1587" s="109"/>
      <c r="E1587" s="109"/>
      <c r="F1587" s="110"/>
      <c r="G1587" s="95"/>
      <c r="H1587" s="122"/>
      <c r="I1587" s="109"/>
      <c r="J1587" s="120"/>
      <c r="K1587" s="120"/>
      <c r="L1587" s="93"/>
      <c r="M1587" s="93"/>
      <c r="N1587" s="93"/>
      <c r="O1587" s="56"/>
      <c r="P1587" s="56"/>
      <c r="Q1587" s="56"/>
      <c r="R1587" s="56"/>
      <c r="S1587" s="56"/>
      <c r="T1587" s="56"/>
      <c r="U1587" s="56"/>
      <c r="V1587" s="56"/>
    </row>
    <row r="1588" ht="18.75" customHeight="1">
      <c r="A1588" s="90"/>
      <c r="B1588" s="126"/>
      <c r="C1588" s="252"/>
      <c r="D1588" s="109"/>
      <c r="E1588" s="109"/>
      <c r="F1588" s="110"/>
      <c r="G1588" s="95"/>
      <c r="H1588" s="122"/>
      <c r="I1588" s="109"/>
      <c r="J1588" s="120"/>
      <c r="K1588" s="120"/>
      <c r="L1588" s="93"/>
      <c r="M1588" s="93"/>
      <c r="N1588" s="93"/>
      <c r="O1588" s="56"/>
      <c r="P1588" s="56"/>
      <c r="Q1588" s="56"/>
      <c r="R1588" s="56"/>
      <c r="S1588" s="56"/>
      <c r="T1588" s="56"/>
      <c r="U1588" s="56"/>
      <c r="V1588" s="56"/>
    </row>
    <row r="1589" ht="18.75" customHeight="1">
      <c r="A1589" s="90"/>
      <c r="B1589" s="126"/>
      <c r="C1589" s="252"/>
      <c r="D1589" s="109"/>
      <c r="E1589" s="109"/>
      <c r="F1589" s="110"/>
      <c r="G1589" s="95"/>
      <c r="H1589" s="122"/>
      <c r="I1589" s="109"/>
      <c r="J1589" s="120"/>
      <c r="K1589" s="120"/>
      <c r="L1589" s="93"/>
      <c r="M1589" s="93"/>
      <c r="N1589" s="93"/>
      <c r="O1589" s="56"/>
      <c r="P1589" s="56"/>
      <c r="Q1589" s="56"/>
      <c r="R1589" s="56"/>
      <c r="S1589" s="56"/>
      <c r="T1589" s="56"/>
      <c r="U1589" s="56"/>
      <c r="V1589" s="56"/>
    </row>
    <row r="1590" ht="18.75" customHeight="1">
      <c r="A1590" s="90"/>
      <c r="B1590" s="126"/>
      <c r="C1590" s="252"/>
      <c r="D1590" s="109"/>
      <c r="E1590" s="109"/>
      <c r="F1590" s="110"/>
      <c r="G1590" s="95"/>
      <c r="H1590" s="122"/>
      <c r="I1590" s="109"/>
      <c r="J1590" s="120"/>
      <c r="K1590" s="120"/>
      <c r="L1590" s="93"/>
      <c r="M1590" s="93"/>
      <c r="N1590" s="93"/>
      <c r="O1590" s="56"/>
      <c r="P1590" s="56"/>
      <c r="Q1590" s="56"/>
      <c r="R1590" s="56"/>
      <c r="S1590" s="56"/>
      <c r="T1590" s="56"/>
      <c r="U1590" s="56"/>
      <c r="V1590" s="56"/>
    </row>
    <row r="1591" ht="18.75" customHeight="1">
      <c r="A1591" s="90"/>
      <c r="B1591" s="126"/>
      <c r="C1591" s="252"/>
      <c r="D1591" s="109"/>
      <c r="E1591" s="109"/>
      <c r="F1591" s="110"/>
      <c r="G1591" s="95"/>
      <c r="H1591" s="122"/>
      <c r="I1591" s="109"/>
      <c r="J1591" s="120"/>
      <c r="K1591" s="120"/>
      <c r="L1591" s="93"/>
      <c r="M1591" s="93"/>
      <c r="N1591" s="93"/>
      <c r="O1591" s="56"/>
      <c r="P1591" s="56"/>
      <c r="Q1591" s="56"/>
      <c r="R1591" s="56"/>
      <c r="S1591" s="56"/>
      <c r="T1591" s="56"/>
      <c r="U1591" s="56"/>
      <c r="V1591" s="56"/>
    </row>
    <row r="1592" ht="18.75" customHeight="1">
      <c r="A1592" s="90"/>
      <c r="B1592" s="126"/>
      <c r="C1592" s="252"/>
      <c r="D1592" s="109"/>
      <c r="E1592" s="109"/>
      <c r="F1592" s="110"/>
      <c r="G1592" s="95"/>
      <c r="H1592" s="122"/>
      <c r="I1592" s="109"/>
      <c r="J1592" s="120"/>
      <c r="K1592" s="120"/>
      <c r="L1592" s="93"/>
      <c r="M1592" s="93"/>
      <c r="N1592" s="93"/>
      <c r="O1592" s="56"/>
      <c r="P1592" s="56"/>
      <c r="Q1592" s="56"/>
      <c r="R1592" s="56"/>
      <c r="S1592" s="56"/>
      <c r="T1592" s="56"/>
      <c r="U1592" s="56"/>
      <c r="V1592" s="56"/>
    </row>
    <row r="1593" ht="18.75" customHeight="1">
      <c r="A1593" s="90"/>
      <c r="B1593" s="126"/>
      <c r="C1593" s="252"/>
      <c r="D1593" s="109"/>
      <c r="E1593" s="109"/>
      <c r="F1593" s="110"/>
      <c r="G1593" s="95"/>
      <c r="H1593" s="122"/>
      <c r="I1593" s="109"/>
      <c r="J1593" s="120"/>
      <c r="K1593" s="120"/>
      <c r="L1593" s="93"/>
      <c r="M1593" s="93"/>
      <c r="N1593" s="93"/>
      <c r="O1593" s="56"/>
      <c r="P1593" s="56"/>
      <c r="Q1593" s="56"/>
      <c r="R1593" s="56"/>
      <c r="S1593" s="56"/>
      <c r="T1593" s="56"/>
      <c r="U1593" s="56"/>
      <c r="V1593" s="56"/>
    </row>
    <row r="1594" ht="18.75" customHeight="1">
      <c r="A1594" s="90"/>
      <c r="B1594" s="126"/>
      <c r="C1594" s="252"/>
      <c r="D1594" s="109"/>
      <c r="E1594" s="109"/>
      <c r="F1594" s="110"/>
      <c r="G1594" s="95"/>
      <c r="H1594" s="122"/>
      <c r="I1594" s="109"/>
      <c r="J1594" s="120"/>
      <c r="K1594" s="120"/>
      <c r="L1594" s="93"/>
      <c r="M1594" s="93"/>
      <c r="N1594" s="93"/>
      <c r="O1594" s="56"/>
      <c r="P1594" s="56"/>
      <c r="Q1594" s="56"/>
      <c r="R1594" s="56"/>
      <c r="S1594" s="56"/>
      <c r="T1594" s="56"/>
      <c r="U1594" s="56"/>
      <c r="V1594" s="56"/>
    </row>
    <row r="1595" ht="18.75" customHeight="1">
      <c r="A1595" s="90"/>
      <c r="B1595" s="126"/>
      <c r="C1595" s="252"/>
      <c r="D1595" s="109"/>
      <c r="E1595" s="109"/>
      <c r="F1595" s="110"/>
      <c r="G1595" s="95"/>
      <c r="H1595" s="122"/>
      <c r="I1595" s="109"/>
      <c r="J1595" s="120"/>
      <c r="K1595" s="120"/>
      <c r="L1595" s="93"/>
      <c r="M1595" s="93"/>
      <c r="N1595" s="93"/>
      <c r="O1595" s="56"/>
      <c r="P1595" s="56"/>
      <c r="Q1595" s="56"/>
      <c r="R1595" s="56"/>
      <c r="S1595" s="56"/>
      <c r="T1595" s="56"/>
      <c r="U1595" s="56"/>
      <c r="V1595" s="56"/>
    </row>
    <row r="1596" ht="18.75" customHeight="1">
      <c r="A1596" s="90"/>
      <c r="B1596" s="126"/>
      <c r="C1596" s="252"/>
      <c r="D1596" s="109"/>
      <c r="E1596" s="109"/>
      <c r="F1596" s="110"/>
      <c r="G1596" s="95"/>
      <c r="H1596" s="122"/>
      <c r="I1596" s="109"/>
      <c r="J1596" s="120"/>
      <c r="K1596" s="120"/>
      <c r="L1596" s="93"/>
      <c r="M1596" s="93"/>
      <c r="N1596" s="93"/>
      <c r="O1596" s="56"/>
      <c r="P1596" s="56"/>
      <c r="Q1596" s="56"/>
      <c r="R1596" s="56"/>
      <c r="S1596" s="56"/>
      <c r="T1596" s="56"/>
      <c r="U1596" s="56"/>
      <c r="V1596" s="56"/>
    </row>
    <row r="1597" ht="18.75" customHeight="1">
      <c r="A1597" s="90"/>
      <c r="B1597" s="126"/>
      <c r="C1597" s="252"/>
      <c r="D1597" s="109"/>
      <c r="E1597" s="109"/>
      <c r="F1597" s="110"/>
      <c r="G1597" s="95"/>
      <c r="H1597" s="122"/>
      <c r="I1597" s="109"/>
      <c r="J1597" s="120"/>
      <c r="K1597" s="120"/>
      <c r="L1597" s="93"/>
      <c r="M1597" s="93"/>
      <c r="N1597" s="93"/>
      <c r="O1597" s="56"/>
      <c r="P1597" s="56"/>
      <c r="Q1597" s="56"/>
      <c r="R1597" s="56"/>
      <c r="S1597" s="56"/>
      <c r="T1597" s="56"/>
      <c r="U1597" s="56"/>
      <c r="V1597" s="56"/>
    </row>
    <row r="1598" ht="18.75" customHeight="1">
      <c r="A1598" s="90"/>
      <c r="B1598" s="126"/>
      <c r="C1598" s="252"/>
      <c r="D1598" s="109"/>
      <c r="E1598" s="109"/>
      <c r="F1598" s="110"/>
      <c r="G1598" s="95"/>
      <c r="H1598" s="122"/>
      <c r="I1598" s="109"/>
      <c r="J1598" s="120"/>
      <c r="K1598" s="120"/>
      <c r="L1598" s="93"/>
      <c r="M1598" s="93"/>
      <c r="N1598" s="93"/>
      <c r="O1598" s="56"/>
      <c r="P1598" s="56"/>
      <c r="Q1598" s="56"/>
      <c r="R1598" s="56"/>
      <c r="S1598" s="56"/>
      <c r="T1598" s="56"/>
      <c r="U1598" s="56"/>
      <c r="V1598" s="56"/>
    </row>
    <row r="1599" ht="18.75" customHeight="1">
      <c r="A1599" s="90"/>
      <c r="B1599" s="126"/>
      <c r="C1599" s="252"/>
      <c r="D1599" s="109"/>
      <c r="E1599" s="109"/>
      <c r="F1599" s="110"/>
      <c r="G1599" s="95"/>
      <c r="H1599" s="122"/>
      <c r="I1599" s="109"/>
      <c r="J1599" s="120"/>
      <c r="K1599" s="120"/>
      <c r="L1599" s="93"/>
      <c r="M1599" s="93"/>
      <c r="N1599" s="93"/>
      <c r="O1599" s="56"/>
      <c r="P1599" s="56"/>
      <c r="Q1599" s="56"/>
      <c r="R1599" s="56"/>
      <c r="S1599" s="56"/>
      <c r="T1599" s="56"/>
      <c r="U1599" s="56"/>
      <c r="V1599" s="56"/>
    </row>
    <row r="1600" ht="18.75" customHeight="1">
      <c r="A1600" s="90"/>
      <c r="B1600" s="126"/>
      <c r="C1600" s="252"/>
      <c r="D1600" s="109"/>
      <c r="E1600" s="109"/>
      <c r="F1600" s="110"/>
      <c r="G1600" s="95"/>
      <c r="H1600" s="122"/>
      <c r="I1600" s="109"/>
      <c r="J1600" s="120"/>
      <c r="K1600" s="120"/>
      <c r="L1600" s="93"/>
      <c r="M1600" s="93"/>
      <c r="N1600" s="93"/>
      <c r="O1600" s="56"/>
      <c r="P1600" s="56"/>
      <c r="Q1600" s="56"/>
      <c r="R1600" s="56"/>
      <c r="S1600" s="56"/>
      <c r="T1600" s="56"/>
      <c r="U1600" s="56"/>
      <c r="V1600" s="56"/>
    </row>
    <row r="1601" ht="18.75" customHeight="1">
      <c r="A1601" s="90"/>
      <c r="B1601" s="126"/>
      <c r="C1601" s="252"/>
      <c r="D1601" s="109"/>
      <c r="E1601" s="109"/>
      <c r="F1601" s="110"/>
      <c r="G1601" s="95"/>
      <c r="H1601" s="122"/>
      <c r="I1601" s="109"/>
      <c r="J1601" s="120"/>
      <c r="K1601" s="120"/>
      <c r="L1601" s="93"/>
      <c r="M1601" s="93"/>
      <c r="N1601" s="93"/>
      <c r="O1601" s="56"/>
      <c r="P1601" s="56"/>
      <c r="Q1601" s="56"/>
      <c r="R1601" s="56"/>
      <c r="S1601" s="56"/>
      <c r="T1601" s="56"/>
      <c r="U1601" s="56"/>
      <c r="V1601" s="56"/>
    </row>
    <row r="1602" ht="18.75" customHeight="1">
      <c r="A1602" s="90"/>
      <c r="B1602" s="126"/>
      <c r="C1602" s="252"/>
      <c r="D1602" s="109"/>
      <c r="E1602" s="109"/>
      <c r="F1602" s="110"/>
      <c r="G1602" s="95"/>
      <c r="H1602" s="122"/>
      <c r="I1602" s="109"/>
      <c r="J1602" s="120"/>
      <c r="K1602" s="120"/>
      <c r="L1602" s="93"/>
      <c r="M1602" s="93"/>
      <c r="N1602" s="93"/>
      <c r="O1602" s="56"/>
      <c r="P1602" s="56"/>
      <c r="Q1602" s="56"/>
      <c r="R1602" s="56"/>
      <c r="S1602" s="56"/>
      <c r="T1602" s="56"/>
      <c r="U1602" s="56"/>
      <c r="V1602" s="56"/>
    </row>
    <row r="1603" ht="18.75" customHeight="1">
      <c r="A1603" s="90"/>
      <c r="B1603" s="126"/>
      <c r="C1603" s="252"/>
      <c r="D1603" s="109"/>
      <c r="E1603" s="109"/>
      <c r="F1603" s="110"/>
      <c r="G1603" s="95"/>
      <c r="H1603" s="122"/>
      <c r="I1603" s="109"/>
      <c r="J1603" s="120"/>
      <c r="K1603" s="120"/>
      <c r="L1603" s="93"/>
      <c r="M1603" s="93"/>
      <c r="N1603" s="93"/>
      <c r="O1603" s="56"/>
      <c r="P1603" s="56"/>
      <c r="Q1603" s="56"/>
      <c r="R1603" s="56"/>
      <c r="S1603" s="56"/>
      <c r="T1603" s="56"/>
      <c r="U1603" s="56"/>
      <c r="V1603" s="56"/>
    </row>
    <row r="1604" ht="18.75" customHeight="1">
      <c r="A1604" s="90"/>
      <c r="B1604" s="126"/>
      <c r="C1604" s="252"/>
      <c r="D1604" s="109"/>
      <c r="E1604" s="109"/>
      <c r="F1604" s="110"/>
      <c r="G1604" s="95"/>
      <c r="H1604" s="122"/>
      <c r="I1604" s="109"/>
      <c r="J1604" s="120"/>
      <c r="K1604" s="120"/>
      <c r="L1604" s="93"/>
      <c r="M1604" s="93"/>
      <c r="N1604" s="93"/>
      <c r="O1604" s="56"/>
      <c r="P1604" s="56"/>
      <c r="Q1604" s="56"/>
      <c r="R1604" s="56"/>
      <c r="S1604" s="56"/>
      <c r="T1604" s="56"/>
      <c r="U1604" s="56"/>
      <c r="V1604" s="56"/>
    </row>
    <row r="1605" ht="18.75" customHeight="1">
      <c r="A1605" s="90"/>
      <c r="B1605" s="126"/>
      <c r="C1605" s="252"/>
      <c r="D1605" s="109"/>
      <c r="E1605" s="109"/>
      <c r="F1605" s="110"/>
      <c r="G1605" s="95"/>
      <c r="H1605" s="122"/>
      <c r="I1605" s="109"/>
      <c r="J1605" s="120"/>
      <c r="K1605" s="120"/>
      <c r="L1605" s="93"/>
      <c r="M1605" s="93"/>
      <c r="N1605" s="93"/>
      <c r="O1605" s="56"/>
      <c r="P1605" s="56"/>
      <c r="Q1605" s="56"/>
      <c r="R1605" s="56"/>
      <c r="S1605" s="56"/>
      <c r="T1605" s="56"/>
      <c r="U1605" s="56"/>
      <c r="V1605" s="56"/>
    </row>
    <row r="1606" ht="18.75" customHeight="1">
      <c r="A1606" s="90"/>
      <c r="B1606" s="126"/>
      <c r="C1606" s="252"/>
      <c r="D1606" s="109"/>
      <c r="E1606" s="109"/>
      <c r="F1606" s="110"/>
      <c r="G1606" s="95"/>
      <c r="H1606" s="122"/>
      <c r="I1606" s="109"/>
      <c r="J1606" s="120"/>
      <c r="K1606" s="120"/>
      <c r="L1606" s="93"/>
      <c r="M1606" s="93"/>
      <c r="N1606" s="93"/>
      <c r="O1606" s="56"/>
      <c r="P1606" s="56"/>
      <c r="Q1606" s="56"/>
      <c r="R1606" s="56"/>
      <c r="S1606" s="56"/>
      <c r="T1606" s="56"/>
      <c r="U1606" s="56"/>
      <c r="V1606" s="56"/>
    </row>
    <row r="1607" ht="18.75" customHeight="1">
      <c r="A1607" s="90"/>
      <c r="B1607" s="126"/>
      <c r="C1607" s="252"/>
      <c r="D1607" s="109"/>
      <c r="E1607" s="109"/>
      <c r="F1607" s="110"/>
      <c r="G1607" s="95"/>
      <c r="H1607" s="122"/>
      <c r="I1607" s="109"/>
      <c r="J1607" s="120"/>
      <c r="K1607" s="120"/>
      <c r="L1607" s="93"/>
      <c r="M1607" s="93"/>
      <c r="N1607" s="93"/>
      <c r="O1607" s="56"/>
      <c r="P1607" s="56"/>
      <c r="Q1607" s="56"/>
      <c r="R1607" s="56"/>
      <c r="S1607" s="56"/>
      <c r="T1607" s="56"/>
      <c r="U1607" s="56"/>
      <c r="V1607" s="56"/>
    </row>
    <row r="1608" ht="18.75" customHeight="1">
      <c r="A1608" s="90"/>
      <c r="B1608" s="126"/>
      <c r="C1608" s="252"/>
      <c r="D1608" s="109"/>
      <c r="E1608" s="109"/>
      <c r="F1608" s="110"/>
      <c r="G1608" s="95"/>
      <c r="H1608" s="122"/>
      <c r="I1608" s="109"/>
      <c r="J1608" s="120"/>
      <c r="K1608" s="120"/>
      <c r="L1608" s="93"/>
      <c r="M1608" s="93"/>
      <c r="N1608" s="93"/>
      <c r="O1608" s="56"/>
      <c r="P1608" s="56"/>
      <c r="Q1608" s="56"/>
      <c r="R1608" s="56"/>
      <c r="S1608" s="56"/>
      <c r="T1608" s="56"/>
      <c r="U1608" s="56"/>
      <c r="V1608" s="56"/>
    </row>
    <row r="1609" ht="18.75" customHeight="1">
      <c r="A1609" s="90"/>
      <c r="B1609" s="126"/>
      <c r="C1609" s="252"/>
      <c r="D1609" s="109"/>
      <c r="E1609" s="109"/>
      <c r="F1609" s="110"/>
      <c r="G1609" s="95"/>
      <c r="H1609" s="122"/>
      <c r="I1609" s="109"/>
      <c r="J1609" s="120"/>
      <c r="K1609" s="120"/>
      <c r="L1609" s="93"/>
      <c r="M1609" s="93"/>
      <c r="N1609" s="93"/>
      <c r="O1609" s="56"/>
      <c r="P1609" s="56"/>
      <c r="Q1609" s="56"/>
      <c r="R1609" s="56"/>
      <c r="S1609" s="56"/>
      <c r="T1609" s="56"/>
      <c r="U1609" s="56"/>
      <c r="V1609" s="56"/>
    </row>
    <row r="1610" ht="18.75" customHeight="1">
      <c r="A1610" s="90"/>
      <c r="B1610" s="126"/>
      <c r="C1610" s="252"/>
      <c r="D1610" s="109"/>
      <c r="E1610" s="109"/>
      <c r="F1610" s="110"/>
      <c r="G1610" s="95"/>
      <c r="H1610" s="122"/>
      <c r="I1610" s="109"/>
      <c r="J1610" s="120"/>
      <c r="K1610" s="120"/>
      <c r="L1610" s="93"/>
      <c r="M1610" s="93"/>
      <c r="N1610" s="93"/>
      <c r="O1610" s="56"/>
      <c r="P1610" s="56"/>
      <c r="Q1610" s="56"/>
      <c r="R1610" s="56"/>
      <c r="S1610" s="56"/>
      <c r="T1610" s="56"/>
      <c r="U1610" s="56"/>
      <c r="V1610" s="56"/>
    </row>
    <row r="1611" ht="18.75" customHeight="1">
      <c r="A1611" s="90"/>
      <c r="B1611" s="126"/>
      <c r="C1611" s="252"/>
      <c r="D1611" s="109"/>
      <c r="E1611" s="109"/>
      <c r="F1611" s="110"/>
      <c r="G1611" s="95"/>
      <c r="H1611" s="122"/>
      <c r="I1611" s="109"/>
      <c r="J1611" s="120"/>
      <c r="K1611" s="120"/>
      <c r="L1611" s="93"/>
      <c r="M1611" s="93"/>
      <c r="N1611" s="93"/>
      <c r="O1611" s="56"/>
      <c r="P1611" s="56"/>
      <c r="Q1611" s="56"/>
      <c r="R1611" s="56"/>
      <c r="S1611" s="56"/>
      <c r="T1611" s="56"/>
      <c r="U1611" s="56"/>
      <c r="V1611" s="56"/>
    </row>
    <row r="1612" ht="18.75" customHeight="1">
      <c r="A1612" s="90"/>
      <c r="B1612" s="126"/>
      <c r="C1612" s="252"/>
      <c r="D1612" s="109"/>
      <c r="E1612" s="109"/>
      <c r="F1612" s="110"/>
      <c r="G1612" s="95"/>
      <c r="H1612" s="122"/>
      <c r="I1612" s="109"/>
      <c r="J1612" s="120"/>
      <c r="K1612" s="120"/>
      <c r="L1612" s="93"/>
      <c r="M1612" s="93"/>
      <c r="N1612" s="93"/>
      <c r="O1612" s="56"/>
      <c r="P1612" s="56"/>
      <c r="Q1612" s="56"/>
      <c r="R1612" s="56"/>
      <c r="S1612" s="56"/>
      <c r="T1612" s="56"/>
      <c r="U1612" s="56"/>
      <c r="V1612" s="56"/>
    </row>
    <row r="1613" ht="18.75" customHeight="1">
      <c r="A1613" s="90"/>
      <c r="B1613" s="126"/>
      <c r="C1613" s="252"/>
      <c r="D1613" s="109"/>
      <c r="E1613" s="109"/>
      <c r="F1613" s="110"/>
      <c r="G1613" s="95"/>
      <c r="H1613" s="122"/>
      <c r="I1613" s="109"/>
      <c r="J1613" s="120"/>
      <c r="K1613" s="120"/>
      <c r="L1613" s="93"/>
      <c r="M1613" s="93"/>
      <c r="N1613" s="93"/>
      <c r="O1613" s="56"/>
      <c r="P1613" s="56"/>
      <c r="Q1613" s="56"/>
      <c r="R1613" s="56"/>
      <c r="S1613" s="56"/>
      <c r="T1613" s="56"/>
      <c r="U1613" s="56"/>
      <c r="V1613" s="56"/>
    </row>
    <row r="1614" ht="18.75" customHeight="1">
      <c r="A1614" s="90"/>
      <c r="B1614" s="126"/>
      <c r="C1614" s="252"/>
      <c r="D1614" s="109"/>
      <c r="E1614" s="109"/>
      <c r="F1614" s="110"/>
      <c r="G1614" s="95"/>
      <c r="H1614" s="122"/>
      <c r="I1614" s="109"/>
      <c r="J1614" s="120"/>
      <c r="K1614" s="120"/>
      <c r="L1614" s="93"/>
      <c r="M1614" s="93"/>
      <c r="N1614" s="93"/>
      <c r="O1614" s="56"/>
      <c r="P1614" s="56"/>
      <c r="Q1614" s="56"/>
      <c r="R1614" s="56"/>
      <c r="S1614" s="56"/>
      <c r="T1614" s="56"/>
      <c r="U1614" s="56"/>
      <c r="V1614" s="56"/>
    </row>
    <row r="1615" ht="18.75" customHeight="1">
      <c r="A1615" s="90"/>
      <c r="B1615" s="126"/>
      <c r="C1615" s="252"/>
      <c r="D1615" s="109"/>
      <c r="E1615" s="109"/>
      <c r="F1615" s="110"/>
      <c r="G1615" s="95"/>
      <c r="H1615" s="122"/>
      <c r="I1615" s="109"/>
      <c r="J1615" s="120"/>
      <c r="K1615" s="120"/>
      <c r="L1615" s="93"/>
      <c r="M1615" s="93"/>
      <c r="N1615" s="93"/>
      <c r="O1615" s="56"/>
      <c r="P1615" s="56"/>
      <c r="Q1615" s="56"/>
      <c r="R1615" s="56"/>
      <c r="S1615" s="56"/>
      <c r="T1615" s="56"/>
      <c r="U1615" s="56"/>
      <c r="V1615" s="56"/>
    </row>
    <row r="1616" ht="18.75" customHeight="1">
      <c r="A1616" s="90"/>
      <c r="B1616" s="126"/>
      <c r="C1616" s="252"/>
      <c r="D1616" s="109"/>
      <c r="E1616" s="109"/>
      <c r="F1616" s="110"/>
      <c r="G1616" s="95"/>
      <c r="H1616" s="122"/>
      <c r="I1616" s="109"/>
      <c r="J1616" s="120"/>
      <c r="K1616" s="120"/>
      <c r="L1616" s="93"/>
      <c r="M1616" s="93"/>
      <c r="N1616" s="93"/>
      <c r="O1616" s="56"/>
      <c r="P1616" s="56"/>
      <c r="Q1616" s="56"/>
      <c r="R1616" s="56"/>
      <c r="S1616" s="56"/>
      <c r="T1616" s="56"/>
      <c r="U1616" s="56"/>
      <c r="V1616" s="56"/>
    </row>
    <row r="1617" ht="18.75" customHeight="1">
      <c r="A1617" s="90"/>
      <c r="B1617" s="126"/>
      <c r="C1617" s="252"/>
      <c r="D1617" s="109"/>
      <c r="E1617" s="109"/>
      <c r="F1617" s="110"/>
      <c r="G1617" s="95"/>
      <c r="H1617" s="122"/>
      <c r="I1617" s="109"/>
      <c r="J1617" s="120"/>
      <c r="K1617" s="120"/>
      <c r="L1617" s="93"/>
      <c r="M1617" s="93"/>
      <c r="N1617" s="93"/>
      <c r="O1617" s="56"/>
      <c r="P1617" s="56"/>
      <c r="Q1617" s="56"/>
      <c r="R1617" s="56"/>
      <c r="S1617" s="56"/>
      <c r="T1617" s="56"/>
      <c r="U1617" s="56"/>
      <c r="V1617" s="56"/>
    </row>
    <row r="1618" ht="18.75" customHeight="1">
      <c r="A1618" s="90"/>
      <c r="B1618" s="126"/>
      <c r="C1618" s="252"/>
      <c r="D1618" s="109"/>
      <c r="E1618" s="109"/>
      <c r="F1618" s="110"/>
      <c r="G1618" s="95"/>
      <c r="H1618" s="122"/>
      <c r="I1618" s="109"/>
      <c r="J1618" s="120"/>
      <c r="K1618" s="120"/>
      <c r="L1618" s="93"/>
      <c r="M1618" s="93"/>
      <c r="N1618" s="93"/>
      <c r="O1618" s="56"/>
      <c r="P1618" s="56"/>
      <c r="Q1618" s="56"/>
      <c r="R1618" s="56"/>
      <c r="S1618" s="56"/>
      <c r="T1618" s="56"/>
      <c r="U1618" s="56"/>
      <c r="V1618" s="56"/>
    </row>
    <row r="1619" ht="18.75" customHeight="1">
      <c r="A1619" s="90"/>
      <c r="B1619" s="126"/>
      <c r="C1619" s="252"/>
      <c r="D1619" s="109"/>
      <c r="E1619" s="109"/>
      <c r="F1619" s="110"/>
      <c r="G1619" s="95"/>
      <c r="H1619" s="122"/>
      <c r="I1619" s="109"/>
      <c r="J1619" s="120"/>
      <c r="K1619" s="120"/>
      <c r="L1619" s="93"/>
      <c r="M1619" s="93"/>
      <c r="N1619" s="93"/>
      <c r="O1619" s="56"/>
      <c r="P1619" s="56"/>
      <c r="Q1619" s="56"/>
      <c r="R1619" s="56"/>
      <c r="S1619" s="56"/>
      <c r="T1619" s="56"/>
      <c r="U1619" s="56"/>
      <c r="V1619" s="56"/>
    </row>
    <row r="1620" ht="18.75" customHeight="1">
      <c r="A1620" s="90"/>
      <c r="B1620" s="126"/>
      <c r="C1620" s="252"/>
      <c r="D1620" s="109"/>
      <c r="E1620" s="109"/>
      <c r="F1620" s="110"/>
      <c r="G1620" s="95"/>
      <c r="H1620" s="122"/>
      <c r="I1620" s="109"/>
      <c r="J1620" s="120"/>
      <c r="K1620" s="120"/>
      <c r="L1620" s="93"/>
      <c r="M1620" s="93"/>
      <c r="N1620" s="93"/>
      <c r="O1620" s="56"/>
      <c r="P1620" s="56"/>
      <c r="Q1620" s="56"/>
      <c r="R1620" s="56"/>
      <c r="S1620" s="56"/>
      <c r="T1620" s="56"/>
      <c r="U1620" s="56"/>
      <c r="V1620" s="56"/>
    </row>
    <row r="1621" ht="18.75" customHeight="1">
      <c r="A1621" s="90"/>
      <c r="B1621" s="126"/>
      <c r="C1621" s="252"/>
      <c r="D1621" s="109"/>
      <c r="E1621" s="109"/>
      <c r="F1621" s="110"/>
      <c r="G1621" s="95"/>
      <c r="H1621" s="122"/>
      <c r="I1621" s="109"/>
      <c r="J1621" s="120"/>
      <c r="K1621" s="120"/>
      <c r="L1621" s="93"/>
      <c r="M1621" s="93"/>
      <c r="N1621" s="93"/>
      <c r="O1621" s="56"/>
      <c r="P1621" s="56"/>
      <c r="Q1621" s="56"/>
      <c r="R1621" s="56"/>
      <c r="S1621" s="56"/>
      <c r="T1621" s="56"/>
      <c r="U1621" s="56"/>
      <c r="V1621" s="56"/>
    </row>
    <row r="1622" ht="18.75" customHeight="1">
      <c r="A1622" s="90"/>
      <c r="B1622" s="126"/>
      <c r="C1622" s="252"/>
      <c r="D1622" s="109"/>
      <c r="E1622" s="109"/>
      <c r="F1622" s="110"/>
      <c r="G1622" s="95"/>
      <c r="H1622" s="122"/>
      <c r="I1622" s="109"/>
      <c r="J1622" s="120"/>
      <c r="K1622" s="120"/>
      <c r="L1622" s="93"/>
      <c r="M1622" s="93"/>
      <c r="N1622" s="93"/>
      <c r="O1622" s="56"/>
      <c r="P1622" s="56"/>
      <c r="Q1622" s="56"/>
      <c r="R1622" s="56"/>
      <c r="S1622" s="56"/>
      <c r="T1622" s="56"/>
      <c r="U1622" s="56"/>
      <c r="V1622" s="56"/>
    </row>
    <row r="1623" ht="18.75" customHeight="1">
      <c r="A1623" s="90"/>
      <c r="B1623" s="126"/>
      <c r="C1623" s="252"/>
      <c r="D1623" s="109"/>
      <c r="E1623" s="109"/>
      <c r="F1623" s="110"/>
      <c r="G1623" s="95"/>
      <c r="H1623" s="122"/>
      <c r="I1623" s="109"/>
      <c r="J1623" s="120"/>
      <c r="K1623" s="120"/>
      <c r="L1623" s="93"/>
      <c r="M1623" s="93"/>
      <c r="N1623" s="93"/>
      <c r="O1623" s="56"/>
      <c r="P1623" s="56"/>
      <c r="Q1623" s="56"/>
      <c r="R1623" s="56"/>
      <c r="S1623" s="56"/>
      <c r="T1623" s="56"/>
      <c r="U1623" s="56"/>
      <c r="V1623" s="56"/>
    </row>
    <row r="1624" ht="18.75" customHeight="1">
      <c r="A1624" s="90"/>
      <c r="B1624" s="126"/>
      <c r="C1624" s="252"/>
      <c r="D1624" s="109"/>
      <c r="E1624" s="109"/>
      <c r="F1624" s="110"/>
      <c r="G1624" s="95"/>
      <c r="H1624" s="122"/>
      <c r="I1624" s="109"/>
      <c r="J1624" s="120"/>
      <c r="K1624" s="120"/>
      <c r="L1624" s="93"/>
      <c r="M1624" s="93"/>
      <c r="N1624" s="93"/>
      <c r="O1624" s="56"/>
      <c r="P1624" s="56"/>
      <c r="Q1624" s="56"/>
      <c r="R1624" s="56"/>
      <c r="S1624" s="56"/>
      <c r="T1624" s="56"/>
      <c r="U1624" s="56"/>
      <c r="V1624" s="56"/>
    </row>
    <row r="1625" ht="18.75" customHeight="1">
      <c r="A1625" s="90"/>
      <c r="B1625" s="126"/>
      <c r="C1625" s="252"/>
      <c r="D1625" s="109"/>
      <c r="E1625" s="109"/>
      <c r="F1625" s="110"/>
      <c r="G1625" s="95"/>
      <c r="H1625" s="122"/>
      <c r="I1625" s="109"/>
      <c r="J1625" s="120"/>
      <c r="K1625" s="120"/>
      <c r="L1625" s="93"/>
      <c r="M1625" s="93"/>
      <c r="N1625" s="93"/>
      <c r="O1625" s="56"/>
      <c r="P1625" s="56"/>
      <c r="Q1625" s="56"/>
      <c r="R1625" s="56"/>
      <c r="S1625" s="56"/>
      <c r="T1625" s="56"/>
      <c r="U1625" s="56"/>
      <c r="V1625" s="56"/>
    </row>
    <row r="1626" ht="18.75" customHeight="1">
      <c r="A1626" s="90"/>
      <c r="B1626" s="126"/>
      <c r="C1626" s="252"/>
      <c r="D1626" s="109"/>
      <c r="E1626" s="109"/>
      <c r="F1626" s="110"/>
      <c r="G1626" s="95"/>
      <c r="H1626" s="122"/>
      <c r="I1626" s="109"/>
      <c r="J1626" s="120"/>
      <c r="K1626" s="120"/>
      <c r="L1626" s="93"/>
      <c r="M1626" s="93"/>
      <c r="N1626" s="93"/>
      <c r="O1626" s="56"/>
      <c r="P1626" s="56"/>
      <c r="Q1626" s="56"/>
      <c r="R1626" s="56"/>
      <c r="S1626" s="56"/>
      <c r="T1626" s="56"/>
      <c r="U1626" s="56"/>
      <c r="V1626" s="56"/>
    </row>
    <row r="1627" ht="18.75" customHeight="1">
      <c r="A1627" s="90"/>
      <c r="B1627" s="126"/>
      <c r="C1627" s="252"/>
      <c r="D1627" s="109"/>
      <c r="E1627" s="109"/>
      <c r="F1627" s="110"/>
      <c r="G1627" s="95"/>
      <c r="H1627" s="122"/>
      <c r="I1627" s="109"/>
      <c r="J1627" s="120"/>
      <c r="K1627" s="120"/>
      <c r="L1627" s="93"/>
      <c r="M1627" s="93"/>
      <c r="N1627" s="93"/>
      <c r="O1627" s="56"/>
      <c r="P1627" s="56"/>
      <c r="Q1627" s="56"/>
      <c r="R1627" s="56"/>
      <c r="S1627" s="56"/>
      <c r="T1627" s="56"/>
      <c r="U1627" s="56"/>
      <c r="V1627" s="56"/>
    </row>
    <row r="1628" ht="18.75" customHeight="1">
      <c r="A1628" s="90"/>
      <c r="B1628" s="126"/>
      <c r="C1628" s="252"/>
      <c r="D1628" s="109"/>
      <c r="E1628" s="109"/>
      <c r="F1628" s="110"/>
      <c r="G1628" s="95"/>
      <c r="H1628" s="122"/>
      <c r="I1628" s="109"/>
      <c r="J1628" s="120"/>
      <c r="K1628" s="120"/>
      <c r="L1628" s="93"/>
      <c r="M1628" s="93"/>
      <c r="N1628" s="93"/>
      <c r="O1628" s="56"/>
      <c r="P1628" s="56"/>
      <c r="Q1628" s="56"/>
      <c r="R1628" s="56"/>
      <c r="S1628" s="56"/>
      <c r="T1628" s="56"/>
      <c r="U1628" s="56"/>
      <c r="V1628" s="56"/>
    </row>
    <row r="1629" ht="18.75" customHeight="1">
      <c r="A1629" s="90"/>
      <c r="B1629" s="126"/>
      <c r="C1629" s="252"/>
      <c r="D1629" s="109"/>
      <c r="E1629" s="109"/>
      <c r="F1629" s="110"/>
      <c r="G1629" s="95"/>
      <c r="H1629" s="122"/>
      <c r="I1629" s="109"/>
      <c r="J1629" s="120"/>
      <c r="K1629" s="120"/>
      <c r="L1629" s="93"/>
      <c r="M1629" s="93"/>
      <c r="N1629" s="93"/>
      <c r="O1629" s="56"/>
      <c r="P1629" s="56"/>
      <c r="Q1629" s="56"/>
      <c r="R1629" s="56"/>
      <c r="S1629" s="56"/>
      <c r="T1629" s="56"/>
      <c r="U1629" s="56"/>
      <c r="V1629" s="56"/>
    </row>
    <row r="1630" ht="18.75" customHeight="1">
      <c r="A1630" s="90"/>
      <c r="B1630" s="126"/>
      <c r="C1630" s="252"/>
      <c r="D1630" s="109"/>
      <c r="E1630" s="109"/>
      <c r="F1630" s="110"/>
      <c r="G1630" s="95"/>
      <c r="H1630" s="122"/>
      <c r="I1630" s="109"/>
      <c r="J1630" s="120"/>
      <c r="K1630" s="120"/>
      <c r="L1630" s="93"/>
      <c r="M1630" s="93"/>
      <c r="N1630" s="93"/>
      <c r="O1630" s="56"/>
      <c r="P1630" s="56"/>
      <c r="Q1630" s="56"/>
      <c r="R1630" s="56"/>
      <c r="S1630" s="56"/>
      <c r="T1630" s="56"/>
      <c r="U1630" s="56"/>
      <c r="V1630" s="56"/>
    </row>
    <row r="1631" ht="18.75" customHeight="1">
      <c r="A1631" s="90"/>
      <c r="B1631" s="126"/>
      <c r="C1631" s="252"/>
      <c r="D1631" s="109"/>
      <c r="E1631" s="109"/>
      <c r="F1631" s="110"/>
      <c r="G1631" s="95"/>
      <c r="H1631" s="122"/>
      <c r="I1631" s="109"/>
      <c r="J1631" s="120"/>
      <c r="K1631" s="120"/>
      <c r="L1631" s="93"/>
      <c r="M1631" s="93"/>
      <c r="N1631" s="93"/>
      <c r="O1631" s="56"/>
      <c r="P1631" s="56"/>
      <c r="Q1631" s="56"/>
      <c r="R1631" s="56"/>
      <c r="S1631" s="56"/>
      <c r="T1631" s="56"/>
      <c r="U1631" s="56"/>
      <c r="V1631" s="56"/>
    </row>
    <row r="1632" ht="18.75" customHeight="1">
      <c r="A1632" s="90"/>
      <c r="B1632" s="126"/>
      <c r="C1632" s="252"/>
      <c r="D1632" s="109"/>
      <c r="E1632" s="109"/>
      <c r="F1632" s="110"/>
      <c r="G1632" s="95"/>
      <c r="H1632" s="122"/>
      <c r="I1632" s="109"/>
      <c r="J1632" s="120"/>
      <c r="K1632" s="120"/>
      <c r="L1632" s="93"/>
      <c r="M1632" s="93"/>
      <c r="N1632" s="93"/>
      <c r="O1632" s="56"/>
      <c r="P1632" s="56"/>
      <c r="Q1632" s="56"/>
      <c r="R1632" s="56"/>
      <c r="S1632" s="56"/>
      <c r="T1632" s="56"/>
      <c r="U1632" s="56"/>
      <c r="V1632" s="56"/>
    </row>
    <row r="1633" ht="18.75" customHeight="1">
      <c r="A1633" s="90"/>
      <c r="B1633" s="126"/>
      <c r="C1633" s="252"/>
      <c r="D1633" s="109"/>
      <c r="E1633" s="109"/>
      <c r="F1633" s="110"/>
      <c r="G1633" s="95"/>
      <c r="H1633" s="122"/>
      <c r="I1633" s="109"/>
      <c r="J1633" s="120"/>
      <c r="K1633" s="120"/>
      <c r="L1633" s="93"/>
      <c r="M1633" s="93"/>
      <c r="N1633" s="93"/>
      <c r="O1633" s="56"/>
      <c r="P1633" s="56"/>
      <c r="Q1633" s="56"/>
      <c r="R1633" s="56"/>
      <c r="S1633" s="56"/>
      <c r="T1633" s="56"/>
      <c r="U1633" s="56"/>
      <c r="V1633" s="56"/>
    </row>
    <row r="1634" ht="18.75" customHeight="1">
      <c r="A1634" s="90"/>
      <c r="B1634" s="126"/>
      <c r="C1634" s="252"/>
      <c r="D1634" s="109"/>
      <c r="E1634" s="109"/>
      <c r="F1634" s="110"/>
      <c r="G1634" s="95"/>
      <c r="H1634" s="122"/>
      <c r="I1634" s="109"/>
      <c r="J1634" s="120"/>
      <c r="K1634" s="120"/>
      <c r="L1634" s="93"/>
      <c r="M1634" s="93"/>
      <c r="N1634" s="93"/>
      <c r="O1634" s="56"/>
      <c r="P1634" s="56"/>
      <c r="Q1634" s="56"/>
      <c r="R1634" s="56"/>
      <c r="S1634" s="56"/>
      <c r="T1634" s="56"/>
      <c r="U1634" s="56"/>
      <c r="V1634" s="56"/>
    </row>
    <row r="1635" ht="18.75" customHeight="1">
      <c r="A1635" s="90"/>
      <c r="B1635" s="126"/>
      <c r="C1635" s="252"/>
      <c r="D1635" s="109"/>
      <c r="E1635" s="109"/>
      <c r="F1635" s="110"/>
      <c r="G1635" s="95"/>
      <c r="H1635" s="122"/>
      <c r="I1635" s="109"/>
      <c r="J1635" s="120"/>
      <c r="K1635" s="120"/>
      <c r="L1635" s="93"/>
      <c r="M1635" s="93"/>
      <c r="N1635" s="93"/>
      <c r="O1635" s="56"/>
      <c r="P1635" s="56"/>
      <c r="Q1635" s="56"/>
      <c r="R1635" s="56"/>
      <c r="S1635" s="56"/>
      <c r="T1635" s="56"/>
      <c r="U1635" s="56"/>
      <c r="V1635" s="56"/>
    </row>
    <row r="1636" ht="18.75" customHeight="1">
      <c r="A1636" s="90"/>
      <c r="B1636" s="126"/>
      <c r="C1636" s="252"/>
      <c r="D1636" s="109"/>
      <c r="E1636" s="109"/>
      <c r="F1636" s="110"/>
      <c r="G1636" s="95"/>
      <c r="H1636" s="122"/>
      <c r="I1636" s="109"/>
      <c r="J1636" s="120"/>
      <c r="K1636" s="120"/>
      <c r="L1636" s="93"/>
      <c r="M1636" s="93"/>
      <c r="N1636" s="93"/>
      <c r="O1636" s="56"/>
      <c r="P1636" s="56"/>
      <c r="Q1636" s="56"/>
      <c r="R1636" s="56"/>
      <c r="S1636" s="56"/>
      <c r="T1636" s="56"/>
      <c r="U1636" s="56"/>
      <c r="V1636" s="56"/>
    </row>
    <row r="1637" ht="18.75" customHeight="1">
      <c r="A1637" s="90"/>
      <c r="B1637" s="126"/>
      <c r="C1637" s="252"/>
      <c r="D1637" s="109"/>
      <c r="E1637" s="109"/>
      <c r="F1637" s="110"/>
      <c r="G1637" s="95"/>
      <c r="H1637" s="122"/>
      <c r="I1637" s="109"/>
      <c r="J1637" s="120"/>
      <c r="K1637" s="120"/>
      <c r="L1637" s="93"/>
      <c r="M1637" s="93"/>
      <c r="N1637" s="93"/>
      <c r="O1637" s="56"/>
      <c r="P1637" s="56"/>
      <c r="Q1637" s="56"/>
      <c r="R1637" s="56"/>
      <c r="S1637" s="56"/>
      <c r="T1637" s="56"/>
      <c r="U1637" s="56"/>
      <c r="V1637" s="56"/>
    </row>
    <row r="1638" ht="18.75" customHeight="1">
      <c r="A1638" s="90"/>
      <c r="B1638" s="126"/>
      <c r="C1638" s="252"/>
      <c r="D1638" s="109"/>
      <c r="E1638" s="109"/>
      <c r="F1638" s="110"/>
      <c r="G1638" s="95"/>
      <c r="H1638" s="122"/>
      <c r="I1638" s="109"/>
      <c r="J1638" s="120"/>
      <c r="K1638" s="120"/>
      <c r="L1638" s="93"/>
      <c r="M1638" s="93"/>
      <c r="N1638" s="93"/>
      <c r="O1638" s="56"/>
      <c r="P1638" s="56"/>
      <c r="Q1638" s="56"/>
      <c r="R1638" s="56"/>
      <c r="S1638" s="56"/>
      <c r="T1638" s="56"/>
      <c r="U1638" s="56"/>
      <c r="V1638" s="56"/>
    </row>
    <row r="1639" ht="18.75" customHeight="1">
      <c r="A1639" s="90"/>
      <c r="B1639" s="126"/>
      <c r="C1639" s="252"/>
      <c r="D1639" s="109"/>
      <c r="E1639" s="109"/>
      <c r="F1639" s="110"/>
      <c r="G1639" s="95"/>
      <c r="H1639" s="122"/>
      <c r="I1639" s="109"/>
      <c r="J1639" s="120"/>
      <c r="K1639" s="120"/>
      <c r="L1639" s="93"/>
      <c r="M1639" s="93"/>
      <c r="N1639" s="93"/>
      <c r="O1639" s="56"/>
      <c r="P1639" s="56"/>
      <c r="Q1639" s="56"/>
      <c r="R1639" s="56"/>
      <c r="S1639" s="56"/>
      <c r="T1639" s="56"/>
      <c r="U1639" s="56"/>
      <c r="V1639" s="56"/>
    </row>
    <row r="1640" ht="18.75" customHeight="1">
      <c r="A1640" s="90"/>
      <c r="B1640" s="126"/>
      <c r="C1640" s="252"/>
      <c r="D1640" s="109"/>
      <c r="E1640" s="109"/>
      <c r="F1640" s="110"/>
      <c r="G1640" s="95"/>
      <c r="H1640" s="122"/>
      <c r="I1640" s="109"/>
      <c r="J1640" s="120"/>
      <c r="K1640" s="120"/>
      <c r="L1640" s="93"/>
      <c r="M1640" s="93"/>
      <c r="N1640" s="93"/>
      <c r="O1640" s="56"/>
      <c r="P1640" s="56"/>
      <c r="Q1640" s="56"/>
      <c r="R1640" s="56"/>
      <c r="S1640" s="56"/>
      <c r="T1640" s="56"/>
      <c r="U1640" s="56"/>
      <c r="V1640" s="56"/>
    </row>
    <row r="1641" ht="18.75" customHeight="1">
      <c r="A1641" s="90"/>
      <c r="B1641" s="126"/>
      <c r="C1641" s="252"/>
      <c r="D1641" s="109"/>
      <c r="E1641" s="109"/>
      <c r="F1641" s="110"/>
      <c r="G1641" s="95"/>
      <c r="H1641" s="122"/>
      <c r="I1641" s="109"/>
      <c r="J1641" s="120"/>
      <c r="K1641" s="120"/>
      <c r="L1641" s="93"/>
      <c r="M1641" s="93"/>
      <c r="N1641" s="93"/>
      <c r="O1641" s="56"/>
      <c r="P1641" s="56"/>
      <c r="Q1641" s="56"/>
      <c r="R1641" s="56"/>
      <c r="S1641" s="56"/>
      <c r="T1641" s="56"/>
      <c r="U1641" s="56"/>
      <c r="V1641" s="56"/>
    </row>
    <row r="1642" ht="18.75" customHeight="1">
      <c r="A1642" s="90"/>
      <c r="B1642" s="126"/>
      <c r="C1642" s="252"/>
      <c r="D1642" s="109"/>
      <c r="E1642" s="109"/>
      <c r="F1642" s="110"/>
      <c r="G1642" s="95"/>
      <c r="H1642" s="122"/>
      <c r="I1642" s="109"/>
      <c r="J1642" s="120"/>
      <c r="K1642" s="120"/>
      <c r="L1642" s="93"/>
      <c r="M1642" s="93"/>
      <c r="N1642" s="93"/>
      <c r="O1642" s="56"/>
      <c r="P1642" s="56"/>
      <c r="Q1642" s="56"/>
      <c r="R1642" s="56"/>
      <c r="S1642" s="56"/>
      <c r="T1642" s="56"/>
      <c r="U1642" s="56"/>
      <c r="V1642" s="56"/>
    </row>
    <row r="1643" ht="18.75" customHeight="1">
      <c r="A1643" s="90"/>
      <c r="B1643" s="126"/>
      <c r="C1643" s="252"/>
      <c r="D1643" s="109"/>
      <c r="E1643" s="109"/>
      <c r="F1643" s="110"/>
      <c r="G1643" s="95"/>
      <c r="H1643" s="122"/>
      <c r="I1643" s="109"/>
      <c r="J1643" s="120"/>
      <c r="K1643" s="120"/>
      <c r="L1643" s="93"/>
      <c r="M1643" s="93"/>
      <c r="N1643" s="93"/>
      <c r="O1643" s="56"/>
      <c r="P1643" s="56"/>
      <c r="Q1643" s="56"/>
      <c r="R1643" s="56"/>
      <c r="S1643" s="56"/>
      <c r="T1643" s="56"/>
      <c r="U1643" s="56"/>
      <c r="V1643" s="56"/>
    </row>
    <row r="1644" ht="18.75" customHeight="1">
      <c r="A1644" s="90"/>
      <c r="B1644" s="126"/>
      <c r="C1644" s="252"/>
      <c r="D1644" s="109"/>
      <c r="E1644" s="109"/>
      <c r="F1644" s="110"/>
      <c r="G1644" s="95"/>
      <c r="H1644" s="122"/>
      <c r="I1644" s="109"/>
      <c r="J1644" s="120"/>
      <c r="K1644" s="120"/>
      <c r="L1644" s="93"/>
      <c r="M1644" s="93"/>
      <c r="N1644" s="93"/>
      <c r="O1644" s="56"/>
      <c r="P1644" s="56"/>
      <c r="Q1644" s="56"/>
      <c r="R1644" s="56"/>
      <c r="S1644" s="56"/>
      <c r="T1644" s="56"/>
      <c r="U1644" s="56"/>
      <c r="V1644" s="56"/>
    </row>
    <row r="1645" ht="18.75" customHeight="1">
      <c r="A1645" s="90"/>
      <c r="B1645" s="126"/>
      <c r="C1645" s="252"/>
      <c r="D1645" s="109"/>
      <c r="E1645" s="109"/>
      <c r="F1645" s="110"/>
      <c r="G1645" s="95"/>
      <c r="H1645" s="122"/>
      <c r="I1645" s="109"/>
      <c r="J1645" s="120"/>
      <c r="K1645" s="120"/>
      <c r="L1645" s="93"/>
      <c r="M1645" s="93"/>
      <c r="N1645" s="93"/>
      <c r="O1645" s="56"/>
      <c r="P1645" s="56"/>
      <c r="Q1645" s="56"/>
      <c r="R1645" s="56"/>
      <c r="S1645" s="56"/>
      <c r="T1645" s="56"/>
      <c r="U1645" s="56"/>
      <c r="V1645" s="56"/>
    </row>
    <row r="1646" ht="18.75" customHeight="1">
      <c r="A1646" s="90"/>
      <c r="B1646" s="126"/>
      <c r="C1646" s="252"/>
      <c r="D1646" s="109"/>
      <c r="E1646" s="109"/>
      <c r="F1646" s="110"/>
      <c r="G1646" s="95"/>
      <c r="H1646" s="122"/>
      <c r="I1646" s="109"/>
      <c r="J1646" s="120"/>
      <c r="K1646" s="120"/>
      <c r="L1646" s="93"/>
      <c r="M1646" s="93"/>
      <c r="N1646" s="93"/>
      <c r="O1646" s="56"/>
      <c r="P1646" s="56"/>
      <c r="Q1646" s="56"/>
      <c r="R1646" s="56"/>
      <c r="S1646" s="56"/>
      <c r="T1646" s="56"/>
      <c r="U1646" s="56"/>
      <c r="V1646" s="56"/>
    </row>
    <row r="1647" ht="18.75" customHeight="1">
      <c r="A1647" s="90"/>
      <c r="B1647" s="126"/>
      <c r="C1647" s="252"/>
      <c r="D1647" s="109"/>
      <c r="E1647" s="109"/>
      <c r="F1647" s="110"/>
      <c r="G1647" s="95"/>
      <c r="H1647" s="122"/>
      <c r="I1647" s="109"/>
      <c r="J1647" s="120"/>
      <c r="K1647" s="120"/>
      <c r="L1647" s="93"/>
      <c r="M1647" s="93"/>
      <c r="N1647" s="93"/>
      <c r="O1647" s="56"/>
      <c r="P1647" s="56"/>
      <c r="Q1647" s="56"/>
      <c r="R1647" s="56"/>
      <c r="S1647" s="56"/>
      <c r="T1647" s="56"/>
      <c r="U1647" s="56"/>
      <c r="V1647" s="56"/>
    </row>
    <row r="1648" ht="18.75" customHeight="1">
      <c r="A1648" s="90"/>
      <c r="B1648" s="126"/>
      <c r="C1648" s="252"/>
      <c r="D1648" s="109"/>
      <c r="E1648" s="109"/>
      <c r="F1648" s="110"/>
      <c r="G1648" s="95"/>
      <c r="H1648" s="122"/>
      <c r="I1648" s="109"/>
      <c r="J1648" s="120"/>
      <c r="K1648" s="120"/>
      <c r="L1648" s="93"/>
      <c r="M1648" s="93"/>
      <c r="N1648" s="93"/>
      <c r="O1648" s="56"/>
      <c r="P1648" s="56"/>
      <c r="Q1648" s="56"/>
      <c r="R1648" s="56"/>
      <c r="S1648" s="56"/>
      <c r="T1648" s="56"/>
      <c r="U1648" s="56"/>
      <c r="V1648" s="56"/>
    </row>
    <row r="1649" ht="18.75" customHeight="1">
      <c r="A1649" s="90"/>
      <c r="B1649" s="126"/>
      <c r="C1649" s="252"/>
      <c r="D1649" s="109"/>
      <c r="E1649" s="109"/>
      <c r="F1649" s="110"/>
      <c r="G1649" s="95"/>
      <c r="H1649" s="122"/>
      <c r="I1649" s="109"/>
      <c r="J1649" s="120"/>
      <c r="K1649" s="120"/>
      <c r="L1649" s="93"/>
      <c r="M1649" s="93"/>
      <c r="N1649" s="93"/>
      <c r="O1649" s="56"/>
      <c r="P1649" s="56"/>
      <c r="Q1649" s="56"/>
      <c r="R1649" s="56"/>
      <c r="S1649" s="56"/>
      <c r="T1649" s="56"/>
      <c r="U1649" s="56"/>
      <c r="V1649" s="56"/>
    </row>
    <row r="1650" ht="18.75" customHeight="1">
      <c r="A1650" s="90"/>
      <c r="B1650" s="126"/>
      <c r="C1650" s="252"/>
      <c r="D1650" s="109"/>
      <c r="E1650" s="109"/>
      <c r="F1650" s="110"/>
      <c r="G1650" s="95"/>
      <c r="H1650" s="122"/>
      <c r="I1650" s="109"/>
      <c r="J1650" s="120"/>
      <c r="K1650" s="120"/>
      <c r="L1650" s="93"/>
      <c r="M1650" s="93"/>
      <c r="N1650" s="93"/>
      <c r="O1650" s="56"/>
      <c r="P1650" s="56"/>
      <c r="Q1650" s="56"/>
      <c r="R1650" s="56"/>
      <c r="S1650" s="56"/>
      <c r="T1650" s="56"/>
      <c r="U1650" s="56"/>
      <c r="V1650" s="56"/>
    </row>
    <row r="1651" ht="18.75" customHeight="1">
      <c r="A1651" s="90"/>
      <c r="B1651" s="126"/>
      <c r="C1651" s="252"/>
      <c r="D1651" s="109"/>
      <c r="E1651" s="109"/>
      <c r="F1651" s="110"/>
      <c r="G1651" s="95"/>
      <c r="H1651" s="122"/>
      <c r="I1651" s="109"/>
      <c r="J1651" s="120"/>
      <c r="K1651" s="120"/>
      <c r="L1651" s="93"/>
      <c r="M1651" s="93"/>
      <c r="N1651" s="93"/>
      <c r="O1651" s="56"/>
      <c r="P1651" s="56"/>
      <c r="Q1651" s="56"/>
      <c r="R1651" s="56"/>
      <c r="S1651" s="56"/>
      <c r="T1651" s="56"/>
      <c r="U1651" s="56"/>
      <c r="V1651" s="56"/>
    </row>
    <row r="1652" ht="18.75" customHeight="1">
      <c r="A1652" s="90"/>
      <c r="B1652" s="126"/>
      <c r="C1652" s="252"/>
      <c r="D1652" s="109"/>
      <c r="E1652" s="109"/>
      <c r="F1652" s="110"/>
      <c r="G1652" s="95"/>
      <c r="H1652" s="122"/>
      <c r="I1652" s="109"/>
      <c r="J1652" s="120"/>
      <c r="K1652" s="120"/>
      <c r="L1652" s="93"/>
      <c r="M1652" s="93"/>
      <c r="N1652" s="93"/>
      <c r="O1652" s="56"/>
      <c r="P1652" s="56"/>
      <c r="Q1652" s="56"/>
      <c r="R1652" s="56"/>
      <c r="S1652" s="56"/>
      <c r="T1652" s="56"/>
      <c r="U1652" s="56"/>
      <c r="V1652" s="56"/>
    </row>
    <row r="1653" ht="18.75" customHeight="1">
      <c r="A1653" s="90"/>
      <c r="B1653" s="126"/>
      <c r="C1653" s="252"/>
      <c r="D1653" s="109"/>
      <c r="E1653" s="109"/>
      <c r="F1653" s="110"/>
      <c r="G1653" s="95"/>
      <c r="H1653" s="122"/>
      <c r="I1653" s="109"/>
      <c r="J1653" s="120"/>
      <c r="K1653" s="120"/>
      <c r="L1653" s="93"/>
      <c r="M1653" s="93"/>
      <c r="N1653" s="93"/>
      <c r="O1653" s="56"/>
      <c r="P1653" s="56"/>
      <c r="Q1653" s="56"/>
      <c r="R1653" s="56"/>
      <c r="S1653" s="56"/>
      <c r="T1653" s="56"/>
      <c r="U1653" s="56"/>
      <c r="V1653" s="56"/>
    </row>
    <row r="1654" ht="18.75" customHeight="1">
      <c r="A1654" s="90"/>
      <c r="B1654" s="126"/>
      <c r="C1654" s="252"/>
      <c r="D1654" s="109"/>
      <c r="E1654" s="109"/>
      <c r="F1654" s="110"/>
      <c r="G1654" s="95"/>
      <c r="H1654" s="122"/>
      <c r="I1654" s="109"/>
      <c r="J1654" s="120"/>
      <c r="K1654" s="120"/>
      <c r="L1654" s="93"/>
      <c r="M1654" s="93"/>
      <c r="N1654" s="93"/>
      <c r="O1654" s="56"/>
      <c r="P1654" s="56"/>
      <c r="Q1654" s="56"/>
      <c r="R1654" s="56"/>
      <c r="S1654" s="56"/>
      <c r="T1654" s="56"/>
      <c r="U1654" s="56"/>
      <c r="V1654" s="56"/>
    </row>
    <row r="1655" ht="18.75" customHeight="1">
      <c r="A1655" s="90"/>
      <c r="B1655" s="126"/>
      <c r="C1655" s="252"/>
      <c r="D1655" s="109"/>
      <c r="E1655" s="109"/>
      <c r="F1655" s="110"/>
      <c r="G1655" s="95"/>
      <c r="H1655" s="122"/>
      <c r="I1655" s="109"/>
      <c r="J1655" s="120"/>
      <c r="K1655" s="120"/>
      <c r="L1655" s="93"/>
      <c r="M1655" s="93"/>
      <c r="N1655" s="93"/>
      <c r="O1655" s="56"/>
      <c r="P1655" s="56"/>
      <c r="Q1655" s="56"/>
      <c r="R1655" s="56"/>
      <c r="S1655" s="56"/>
      <c r="T1655" s="56"/>
      <c r="U1655" s="56"/>
      <c r="V1655" s="56"/>
    </row>
    <row r="1656" ht="18.75" customHeight="1">
      <c r="A1656" s="90"/>
      <c r="B1656" s="126"/>
      <c r="C1656" s="252"/>
      <c r="D1656" s="109"/>
      <c r="E1656" s="109"/>
      <c r="F1656" s="110"/>
      <c r="G1656" s="95"/>
      <c r="H1656" s="122"/>
      <c r="I1656" s="109"/>
      <c r="J1656" s="120"/>
      <c r="K1656" s="120"/>
      <c r="L1656" s="93"/>
      <c r="M1656" s="93"/>
      <c r="N1656" s="93"/>
      <c r="O1656" s="56"/>
      <c r="P1656" s="56"/>
      <c r="Q1656" s="56"/>
      <c r="R1656" s="56"/>
      <c r="S1656" s="56"/>
      <c r="T1656" s="56"/>
      <c r="U1656" s="56"/>
      <c r="V1656" s="56"/>
    </row>
    <row r="1657" ht="18.75" customHeight="1">
      <c r="A1657" s="90"/>
      <c r="B1657" s="126"/>
      <c r="C1657" s="252"/>
      <c r="D1657" s="109"/>
      <c r="E1657" s="109"/>
      <c r="F1657" s="110"/>
      <c r="G1657" s="95"/>
      <c r="H1657" s="122"/>
      <c r="I1657" s="109"/>
      <c r="J1657" s="120"/>
      <c r="K1657" s="120"/>
      <c r="L1657" s="93"/>
      <c r="M1657" s="93"/>
      <c r="N1657" s="93"/>
      <c r="O1657" s="56"/>
      <c r="P1657" s="56"/>
      <c r="Q1657" s="56"/>
      <c r="R1657" s="56"/>
      <c r="S1657" s="56"/>
      <c r="T1657" s="56"/>
      <c r="U1657" s="56"/>
      <c r="V1657" s="56"/>
    </row>
    <row r="1658" ht="18.75" customHeight="1">
      <c r="A1658" s="90"/>
      <c r="B1658" s="126"/>
      <c r="C1658" s="252"/>
      <c r="D1658" s="109"/>
      <c r="E1658" s="109"/>
      <c r="F1658" s="110"/>
      <c r="G1658" s="95"/>
      <c r="H1658" s="122"/>
      <c r="I1658" s="109"/>
      <c r="J1658" s="120"/>
      <c r="K1658" s="120"/>
      <c r="L1658" s="93"/>
      <c r="M1658" s="93"/>
      <c r="N1658" s="93"/>
      <c r="O1658" s="56"/>
      <c r="P1658" s="56"/>
      <c r="Q1658" s="56"/>
      <c r="R1658" s="56"/>
      <c r="S1658" s="56"/>
      <c r="T1658" s="56"/>
      <c r="U1658" s="56"/>
      <c r="V1658" s="56"/>
    </row>
    <row r="1659" ht="18.75" customHeight="1">
      <c r="A1659" s="90"/>
      <c r="B1659" s="126"/>
      <c r="C1659" s="252"/>
      <c r="D1659" s="109"/>
      <c r="E1659" s="109"/>
      <c r="F1659" s="110"/>
      <c r="G1659" s="95"/>
      <c r="H1659" s="122"/>
      <c r="I1659" s="109"/>
      <c r="J1659" s="120"/>
      <c r="K1659" s="120"/>
      <c r="L1659" s="93"/>
      <c r="M1659" s="93"/>
      <c r="N1659" s="93"/>
      <c r="O1659" s="56"/>
      <c r="P1659" s="56"/>
      <c r="Q1659" s="56"/>
      <c r="R1659" s="56"/>
      <c r="S1659" s="56"/>
      <c r="T1659" s="56"/>
      <c r="U1659" s="56"/>
      <c r="V1659" s="56"/>
    </row>
    <row r="1660" ht="18.75" customHeight="1">
      <c r="A1660" s="90"/>
      <c r="B1660" s="126"/>
      <c r="C1660" s="252"/>
      <c r="D1660" s="109"/>
      <c r="E1660" s="109"/>
      <c r="F1660" s="110"/>
      <c r="G1660" s="95"/>
      <c r="H1660" s="122"/>
      <c r="I1660" s="109"/>
      <c r="J1660" s="120"/>
      <c r="K1660" s="120"/>
      <c r="L1660" s="93"/>
      <c r="M1660" s="93"/>
      <c r="N1660" s="93"/>
      <c r="O1660" s="56"/>
      <c r="P1660" s="56"/>
      <c r="Q1660" s="56"/>
      <c r="R1660" s="56"/>
      <c r="S1660" s="56"/>
      <c r="T1660" s="56"/>
      <c r="U1660" s="56"/>
      <c r="V1660" s="56"/>
    </row>
    <row r="1661" ht="18.75" customHeight="1">
      <c r="A1661" s="90"/>
      <c r="B1661" s="126"/>
      <c r="C1661" s="252"/>
      <c r="D1661" s="109"/>
      <c r="E1661" s="109"/>
      <c r="F1661" s="110"/>
      <c r="G1661" s="95"/>
      <c r="H1661" s="122"/>
      <c r="I1661" s="109"/>
      <c r="J1661" s="120"/>
      <c r="K1661" s="120"/>
      <c r="L1661" s="93"/>
      <c r="M1661" s="93"/>
      <c r="N1661" s="93"/>
      <c r="O1661" s="56"/>
      <c r="P1661" s="56"/>
      <c r="Q1661" s="56"/>
      <c r="R1661" s="56"/>
      <c r="S1661" s="56"/>
      <c r="T1661" s="56"/>
      <c r="U1661" s="56"/>
      <c r="V1661" s="56"/>
    </row>
    <row r="1662" ht="18.75" customHeight="1">
      <c r="A1662" s="90"/>
      <c r="B1662" s="126"/>
      <c r="C1662" s="252"/>
      <c r="D1662" s="109"/>
      <c r="E1662" s="109"/>
      <c r="F1662" s="110"/>
      <c r="G1662" s="95"/>
      <c r="H1662" s="122"/>
      <c r="I1662" s="109"/>
      <c r="J1662" s="120"/>
      <c r="K1662" s="120"/>
      <c r="L1662" s="93"/>
      <c r="M1662" s="93"/>
      <c r="N1662" s="93"/>
      <c r="O1662" s="56"/>
      <c r="P1662" s="56"/>
      <c r="Q1662" s="56"/>
      <c r="R1662" s="56"/>
      <c r="S1662" s="56"/>
      <c r="T1662" s="56"/>
      <c r="U1662" s="56"/>
      <c r="V1662" s="56"/>
    </row>
    <row r="1663" ht="18.75" customHeight="1">
      <c r="A1663" s="90"/>
      <c r="B1663" s="126"/>
      <c r="C1663" s="252"/>
      <c r="D1663" s="109"/>
      <c r="E1663" s="109"/>
      <c r="F1663" s="110"/>
      <c r="G1663" s="95"/>
      <c r="H1663" s="122"/>
      <c r="I1663" s="109"/>
      <c r="J1663" s="120"/>
      <c r="K1663" s="120"/>
      <c r="L1663" s="93"/>
      <c r="M1663" s="93"/>
      <c r="N1663" s="93"/>
      <c r="O1663" s="56"/>
      <c r="P1663" s="56"/>
      <c r="Q1663" s="56"/>
      <c r="R1663" s="56"/>
      <c r="S1663" s="56"/>
      <c r="T1663" s="56"/>
      <c r="U1663" s="56"/>
      <c r="V1663" s="56"/>
    </row>
    <row r="1664" ht="18.75" customHeight="1">
      <c r="A1664" s="90"/>
      <c r="B1664" s="126"/>
      <c r="C1664" s="252"/>
      <c r="D1664" s="109"/>
      <c r="E1664" s="109"/>
      <c r="F1664" s="110"/>
      <c r="G1664" s="95"/>
      <c r="H1664" s="122"/>
      <c r="I1664" s="109"/>
      <c r="J1664" s="120"/>
      <c r="K1664" s="120"/>
      <c r="L1664" s="93"/>
      <c r="M1664" s="93"/>
      <c r="N1664" s="93"/>
      <c r="O1664" s="56"/>
      <c r="P1664" s="56"/>
      <c r="Q1664" s="56"/>
      <c r="R1664" s="56"/>
      <c r="S1664" s="56"/>
      <c r="T1664" s="56"/>
      <c r="U1664" s="56"/>
      <c r="V1664" s="56"/>
    </row>
    <row r="1665" ht="18.75" customHeight="1">
      <c r="A1665" s="90"/>
      <c r="B1665" s="126"/>
      <c r="C1665" s="252"/>
      <c r="D1665" s="109"/>
      <c r="E1665" s="109"/>
      <c r="F1665" s="110"/>
      <c r="G1665" s="95"/>
      <c r="H1665" s="122"/>
      <c r="I1665" s="109"/>
      <c r="J1665" s="120"/>
      <c r="K1665" s="120"/>
      <c r="L1665" s="93"/>
      <c r="M1665" s="93"/>
      <c r="N1665" s="93"/>
      <c r="O1665" s="56"/>
      <c r="P1665" s="56"/>
      <c r="Q1665" s="56"/>
      <c r="R1665" s="56"/>
      <c r="S1665" s="56"/>
      <c r="T1665" s="56"/>
      <c r="U1665" s="56"/>
      <c r="V1665" s="56"/>
    </row>
    <row r="1666" ht="18.75" customHeight="1">
      <c r="A1666" s="90"/>
      <c r="B1666" s="126"/>
      <c r="C1666" s="252"/>
      <c r="D1666" s="109"/>
      <c r="E1666" s="109"/>
      <c r="F1666" s="110"/>
      <c r="G1666" s="95"/>
      <c r="H1666" s="122"/>
      <c r="I1666" s="109"/>
      <c r="J1666" s="120"/>
      <c r="K1666" s="120"/>
      <c r="L1666" s="93"/>
      <c r="M1666" s="93"/>
      <c r="N1666" s="93"/>
      <c r="O1666" s="56"/>
      <c r="P1666" s="56"/>
      <c r="Q1666" s="56"/>
      <c r="R1666" s="56"/>
      <c r="S1666" s="56"/>
      <c r="T1666" s="56"/>
      <c r="U1666" s="56"/>
      <c r="V1666" s="56"/>
    </row>
    <row r="1667" ht="18.75" customHeight="1">
      <c r="A1667" s="90"/>
      <c r="B1667" s="126"/>
      <c r="C1667" s="252"/>
      <c r="D1667" s="109"/>
      <c r="E1667" s="109"/>
      <c r="F1667" s="110"/>
      <c r="G1667" s="95"/>
      <c r="H1667" s="122"/>
      <c r="I1667" s="109"/>
      <c r="J1667" s="120"/>
      <c r="K1667" s="120"/>
      <c r="L1667" s="93"/>
      <c r="M1667" s="93"/>
      <c r="N1667" s="93"/>
      <c r="O1667" s="56"/>
      <c r="P1667" s="56"/>
      <c r="Q1667" s="56"/>
      <c r="R1667" s="56"/>
      <c r="S1667" s="56"/>
      <c r="T1667" s="56"/>
      <c r="U1667" s="56"/>
      <c r="V1667" s="56"/>
    </row>
    <row r="1668" ht="18.75" customHeight="1">
      <c r="A1668" s="90"/>
      <c r="B1668" s="126"/>
      <c r="C1668" s="252"/>
      <c r="D1668" s="109"/>
      <c r="E1668" s="109"/>
      <c r="F1668" s="110"/>
      <c r="G1668" s="95"/>
      <c r="H1668" s="122"/>
      <c r="I1668" s="109"/>
      <c r="J1668" s="120"/>
      <c r="K1668" s="120"/>
      <c r="L1668" s="93"/>
      <c r="M1668" s="93"/>
      <c r="N1668" s="93"/>
      <c r="O1668" s="56"/>
      <c r="P1668" s="56"/>
      <c r="Q1668" s="56"/>
      <c r="R1668" s="56"/>
      <c r="S1668" s="56"/>
      <c r="T1668" s="56"/>
      <c r="U1668" s="56"/>
      <c r="V1668" s="56"/>
    </row>
    <row r="1669" ht="18.75" customHeight="1">
      <c r="A1669" s="90"/>
      <c r="B1669" s="126"/>
      <c r="C1669" s="252"/>
      <c r="D1669" s="109"/>
      <c r="E1669" s="109"/>
      <c r="F1669" s="110"/>
      <c r="G1669" s="95"/>
      <c r="H1669" s="122"/>
      <c r="I1669" s="109"/>
      <c r="J1669" s="120"/>
      <c r="K1669" s="120"/>
      <c r="L1669" s="93"/>
      <c r="M1669" s="93"/>
      <c r="N1669" s="93"/>
      <c r="O1669" s="56"/>
      <c r="P1669" s="56"/>
      <c r="Q1669" s="56"/>
      <c r="R1669" s="56"/>
      <c r="S1669" s="56"/>
      <c r="T1669" s="56"/>
      <c r="U1669" s="56"/>
      <c r="V1669" s="56"/>
    </row>
    <row r="1670" ht="18.75" customHeight="1">
      <c r="A1670" s="90"/>
      <c r="B1670" s="126"/>
      <c r="C1670" s="252"/>
      <c r="D1670" s="109"/>
      <c r="E1670" s="109"/>
      <c r="F1670" s="110"/>
      <c r="G1670" s="95"/>
      <c r="H1670" s="122"/>
      <c r="I1670" s="109"/>
      <c r="J1670" s="120"/>
      <c r="K1670" s="120"/>
      <c r="L1670" s="93"/>
      <c r="M1670" s="93"/>
      <c r="N1670" s="93"/>
      <c r="O1670" s="56"/>
      <c r="P1670" s="56"/>
      <c r="Q1670" s="56"/>
      <c r="R1670" s="56"/>
      <c r="S1670" s="56"/>
      <c r="T1670" s="56"/>
      <c r="U1670" s="56"/>
      <c r="V1670" s="56"/>
    </row>
    <row r="1671" ht="18.75" customHeight="1">
      <c r="A1671" s="90"/>
      <c r="B1671" s="126"/>
      <c r="C1671" s="252"/>
      <c r="D1671" s="109"/>
      <c r="E1671" s="109"/>
      <c r="F1671" s="110"/>
      <c r="G1671" s="95"/>
      <c r="H1671" s="122"/>
      <c r="I1671" s="109"/>
      <c r="J1671" s="120"/>
      <c r="K1671" s="120"/>
      <c r="L1671" s="93"/>
      <c r="M1671" s="93"/>
      <c r="N1671" s="93"/>
      <c r="O1671" s="56"/>
      <c r="P1671" s="56"/>
      <c r="Q1671" s="56"/>
      <c r="R1671" s="56"/>
      <c r="S1671" s="56"/>
      <c r="T1671" s="56"/>
      <c r="U1671" s="56"/>
      <c r="V1671" s="56"/>
    </row>
    <row r="1672" ht="18.75" customHeight="1">
      <c r="A1672" s="90"/>
      <c r="B1672" s="126"/>
      <c r="C1672" s="252"/>
      <c r="D1672" s="109"/>
      <c r="E1672" s="109"/>
      <c r="F1672" s="110"/>
      <c r="G1672" s="95"/>
      <c r="H1672" s="122"/>
      <c r="I1672" s="109"/>
      <c r="J1672" s="120"/>
      <c r="K1672" s="120"/>
      <c r="L1672" s="93"/>
      <c r="M1672" s="93"/>
      <c r="N1672" s="93"/>
      <c r="O1672" s="56"/>
      <c r="P1672" s="56"/>
      <c r="Q1672" s="56"/>
      <c r="R1672" s="56"/>
      <c r="S1672" s="56"/>
      <c r="T1672" s="56"/>
      <c r="U1672" s="56"/>
      <c r="V1672" s="56"/>
    </row>
    <row r="1673" ht="18.75" customHeight="1">
      <c r="A1673" s="90"/>
      <c r="B1673" s="126"/>
      <c r="C1673" s="252"/>
      <c r="D1673" s="109"/>
      <c r="E1673" s="109"/>
      <c r="F1673" s="110"/>
      <c r="G1673" s="95"/>
      <c r="H1673" s="122"/>
      <c r="I1673" s="109"/>
      <c r="J1673" s="120"/>
      <c r="K1673" s="120"/>
      <c r="L1673" s="93"/>
      <c r="M1673" s="93"/>
      <c r="N1673" s="93"/>
      <c r="O1673" s="56"/>
      <c r="P1673" s="56"/>
      <c r="Q1673" s="56"/>
      <c r="R1673" s="56"/>
      <c r="S1673" s="56"/>
      <c r="T1673" s="56"/>
      <c r="U1673" s="56"/>
      <c r="V1673" s="56"/>
    </row>
    <row r="1674" ht="18.75" customHeight="1">
      <c r="A1674" s="90"/>
      <c r="B1674" s="126"/>
      <c r="C1674" s="252"/>
      <c r="D1674" s="109"/>
      <c r="E1674" s="109"/>
      <c r="F1674" s="110"/>
      <c r="G1674" s="95"/>
      <c r="H1674" s="122"/>
      <c r="I1674" s="109"/>
      <c r="J1674" s="120"/>
      <c r="K1674" s="120"/>
      <c r="L1674" s="93"/>
      <c r="M1674" s="93"/>
      <c r="N1674" s="93"/>
      <c r="O1674" s="56"/>
      <c r="P1674" s="56"/>
      <c r="Q1674" s="56"/>
      <c r="R1674" s="56"/>
      <c r="S1674" s="56"/>
      <c r="T1674" s="56"/>
      <c r="U1674" s="56"/>
      <c r="V1674" s="56"/>
    </row>
    <row r="1675" ht="18.75" customHeight="1">
      <c r="A1675" s="90"/>
      <c r="B1675" s="126"/>
      <c r="C1675" s="252"/>
      <c r="D1675" s="109"/>
      <c r="E1675" s="109"/>
      <c r="F1675" s="110"/>
      <c r="G1675" s="95"/>
      <c r="H1675" s="122"/>
      <c r="I1675" s="109"/>
      <c r="J1675" s="120"/>
      <c r="K1675" s="120"/>
      <c r="L1675" s="93"/>
      <c r="M1675" s="93"/>
      <c r="N1675" s="93"/>
      <c r="O1675" s="56"/>
      <c r="P1675" s="56"/>
      <c r="Q1675" s="56"/>
      <c r="R1675" s="56"/>
      <c r="S1675" s="56"/>
      <c r="T1675" s="56"/>
      <c r="U1675" s="56"/>
      <c r="V1675" s="56"/>
    </row>
    <row r="1676" ht="18.75" customHeight="1">
      <c r="A1676" s="90"/>
      <c r="B1676" s="126"/>
      <c r="C1676" s="252"/>
      <c r="D1676" s="109"/>
      <c r="E1676" s="109"/>
      <c r="F1676" s="110"/>
      <c r="G1676" s="95"/>
      <c r="H1676" s="122"/>
      <c r="I1676" s="109"/>
      <c r="J1676" s="120"/>
      <c r="K1676" s="120"/>
      <c r="L1676" s="93"/>
      <c r="M1676" s="93"/>
      <c r="N1676" s="93"/>
      <c r="O1676" s="56"/>
      <c r="P1676" s="56"/>
      <c r="Q1676" s="56"/>
      <c r="R1676" s="56"/>
      <c r="S1676" s="56"/>
      <c r="T1676" s="56"/>
      <c r="U1676" s="56"/>
      <c r="V1676" s="56"/>
    </row>
    <row r="1677" ht="18.75" customHeight="1">
      <c r="A1677" s="90"/>
      <c r="B1677" s="126"/>
      <c r="C1677" s="252"/>
      <c r="D1677" s="109"/>
      <c r="E1677" s="109"/>
      <c r="F1677" s="110"/>
      <c r="G1677" s="95"/>
      <c r="H1677" s="122"/>
      <c r="I1677" s="109"/>
      <c r="J1677" s="120"/>
      <c r="K1677" s="120"/>
      <c r="L1677" s="93"/>
      <c r="M1677" s="93"/>
      <c r="N1677" s="93"/>
      <c r="O1677" s="56"/>
      <c r="P1677" s="56"/>
      <c r="Q1677" s="56"/>
      <c r="R1677" s="56"/>
      <c r="S1677" s="56"/>
      <c r="T1677" s="56"/>
      <c r="U1677" s="56"/>
      <c r="V1677" s="56"/>
    </row>
    <row r="1678" ht="18.75" customHeight="1">
      <c r="A1678" s="90"/>
      <c r="B1678" s="126"/>
      <c r="C1678" s="252"/>
      <c r="D1678" s="109"/>
      <c r="E1678" s="109"/>
      <c r="F1678" s="110"/>
      <c r="G1678" s="95"/>
      <c r="H1678" s="122"/>
      <c r="I1678" s="109"/>
      <c r="J1678" s="120"/>
      <c r="K1678" s="120"/>
      <c r="L1678" s="93"/>
      <c r="M1678" s="93"/>
      <c r="N1678" s="93"/>
      <c r="O1678" s="56"/>
      <c r="P1678" s="56"/>
      <c r="Q1678" s="56"/>
      <c r="R1678" s="56"/>
      <c r="S1678" s="56"/>
      <c r="T1678" s="56"/>
      <c r="U1678" s="56"/>
      <c r="V1678" s="56"/>
    </row>
    <row r="1679" ht="18.75" customHeight="1">
      <c r="A1679" s="90"/>
      <c r="B1679" s="126"/>
      <c r="C1679" s="252"/>
      <c r="D1679" s="109"/>
      <c r="E1679" s="109"/>
      <c r="F1679" s="110"/>
      <c r="G1679" s="95"/>
      <c r="H1679" s="122"/>
      <c r="I1679" s="109"/>
      <c r="J1679" s="120"/>
      <c r="K1679" s="120"/>
      <c r="L1679" s="93"/>
      <c r="M1679" s="93"/>
      <c r="N1679" s="93"/>
      <c r="O1679" s="56"/>
      <c r="P1679" s="56"/>
      <c r="Q1679" s="56"/>
      <c r="R1679" s="56"/>
      <c r="S1679" s="56"/>
      <c r="T1679" s="56"/>
      <c r="U1679" s="56"/>
      <c r="V1679" s="56"/>
    </row>
    <row r="1680" ht="18.75" customHeight="1">
      <c r="A1680" s="90"/>
      <c r="B1680" s="126"/>
      <c r="C1680" s="252"/>
      <c r="D1680" s="109"/>
      <c r="E1680" s="109"/>
      <c r="F1680" s="110"/>
      <c r="G1680" s="95"/>
      <c r="H1680" s="122"/>
      <c r="I1680" s="109"/>
      <c r="J1680" s="120"/>
      <c r="K1680" s="120"/>
      <c r="L1680" s="93"/>
      <c r="M1680" s="93"/>
      <c r="N1680" s="93"/>
      <c r="O1680" s="56"/>
      <c r="P1680" s="56"/>
      <c r="Q1680" s="56"/>
      <c r="R1680" s="56"/>
      <c r="S1680" s="56"/>
      <c r="T1680" s="56"/>
      <c r="U1680" s="56"/>
      <c r="V1680" s="56"/>
    </row>
    <row r="1681" ht="18.75" customHeight="1">
      <c r="A1681" s="90"/>
      <c r="B1681" s="126"/>
      <c r="C1681" s="252"/>
      <c r="D1681" s="109"/>
      <c r="E1681" s="109"/>
      <c r="F1681" s="110"/>
      <c r="G1681" s="95"/>
      <c r="H1681" s="122"/>
      <c r="I1681" s="109"/>
      <c r="J1681" s="120"/>
      <c r="K1681" s="120"/>
      <c r="L1681" s="93"/>
      <c r="M1681" s="93"/>
      <c r="N1681" s="93"/>
      <c r="O1681" s="56"/>
      <c r="P1681" s="56"/>
      <c r="Q1681" s="56"/>
      <c r="R1681" s="56"/>
      <c r="S1681" s="56"/>
      <c r="T1681" s="56"/>
      <c r="U1681" s="56"/>
      <c r="V1681" s="56"/>
    </row>
    <row r="1682" ht="18.75" customHeight="1">
      <c r="A1682" s="90"/>
      <c r="B1682" s="126"/>
      <c r="C1682" s="252"/>
      <c r="D1682" s="109"/>
      <c r="E1682" s="109"/>
      <c r="F1682" s="110"/>
      <c r="G1682" s="95"/>
      <c r="H1682" s="122"/>
      <c r="I1682" s="109"/>
      <c r="J1682" s="120"/>
      <c r="K1682" s="120"/>
      <c r="L1682" s="93"/>
      <c r="M1682" s="93"/>
      <c r="N1682" s="93"/>
      <c r="O1682" s="56"/>
      <c r="P1682" s="56"/>
      <c r="Q1682" s="56"/>
      <c r="R1682" s="56"/>
      <c r="S1682" s="56"/>
      <c r="T1682" s="56"/>
      <c r="U1682" s="56"/>
      <c r="V1682" s="56"/>
    </row>
    <row r="1683" ht="18.75" customHeight="1">
      <c r="A1683" s="90"/>
      <c r="B1683" s="126"/>
      <c r="C1683" s="252"/>
      <c r="D1683" s="109"/>
      <c r="E1683" s="109"/>
      <c r="F1683" s="110"/>
      <c r="G1683" s="95"/>
      <c r="H1683" s="122"/>
      <c r="I1683" s="109"/>
      <c r="J1683" s="120"/>
      <c r="K1683" s="120"/>
      <c r="L1683" s="93"/>
      <c r="M1683" s="93"/>
      <c r="N1683" s="93"/>
      <c r="O1683" s="56"/>
      <c r="P1683" s="56"/>
      <c r="Q1683" s="56"/>
      <c r="R1683" s="56"/>
      <c r="S1683" s="56"/>
      <c r="T1683" s="56"/>
      <c r="U1683" s="56"/>
      <c r="V1683" s="56"/>
    </row>
    <row r="1684" ht="18.75" customHeight="1">
      <c r="A1684" s="90"/>
      <c r="B1684" s="126"/>
      <c r="C1684" s="252"/>
      <c r="D1684" s="109"/>
      <c r="E1684" s="109"/>
      <c r="F1684" s="110"/>
      <c r="G1684" s="95"/>
      <c r="H1684" s="122"/>
      <c r="I1684" s="109"/>
      <c r="J1684" s="120"/>
      <c r="K1684" s="120"/>
      <c r="L1684" s="93"/>
      <c r="M1684" s="93"/>
      <c r="N1684" s="93"/>
      <c r="O1684" s="56"/>
      <c r="P1684" s="56"/>
      <c r="Q1684" s="56"/>
      <c r="R1684" s="56"/>
      <c r="S1684" s="56"/>
      <c r="T1684" s="56"/>
      <c r="U1684" s="56"/>
      <c r="V1684" s="56"/>
    </row>
    <row r="1685" ht="18.75" customHeight="1">
      <c r="A1685" s="90"/>
      <c r="B1685" s="126"/>
      <c r="C1685" s="252"/>
      <c r="D1685" s="109"/>
      <c r="E1685" s="109"/>
      <c r="F1685" s="110"/>
      <c r="G1685" s="95"/>
      <c r="H1685" s="122"/>
      <c r="I1685" s="109"/>
      <c r="J1685" s="120"/>
      <c r="K1685" s="120"/>
      <c r="L1685" s="93"/>
      <c r="M1685" s="93"/>
      <c r="N1685" s="93"/>
      <c r="O1685" s="56"/>
      <c r="P1685" s="56"/>
      <c r="Q1685" s="56"/>
      <c r="R1685" s="56"/>
      <c r="S1685" s="56"/>
      <c r="T1685" s="56"/>
      <c r="U1685" s="56"/>
      <c r="V1685" s="56"/>
    </row>
    <row r="1686" ht="18.75" customHeight="1">
      <c r="A1686" s="90"/>
      <c r="B1686" s="126"/>
      <c r="C1686" s="252"/>
      <c r="D1686" s="109"/>
      <c r="E1686" s="109"/>
      <c r="F1686" s="110"/>
      <c r="G1686" s="95"/>
      <c r="H1686" s="122"/>
      <c r="I1686" s="109"/>
      <c r="J1686" s="120"/>
      <c r="K1686" s="120"/>
      <c r="L1686" s="93"/>
      <c r="M1686" s="93"/>
      <c r="N1686" s="93"/>
      <c r="O1686" s="56"/>
      <c r="P1686" s="56"/>
      <c r="Q1686" s="56"/>
      <c r="R1686" s="56"/>
      <c r="S1686" s="56"/>
      <c r="T1686" s="56"/>
      <c r="U1686" s="56"/>
      <c r="V1686" s="56"/>
    </row>
    <row r="1687" ht="18.75" customHeight="1">
      <c r="A1687" s="90"/>
      <c r="B1687" s="126"/>
      <c r="C1687" s="252"/>
      <c r="D1687" s="109"/>
      <c r="E1687" s="109"/>
      <c r="F1687" s="110"/>
      <c r="G1687" s="95"/>
      <c r="H1687" s="122"/>
      <c r="I1687" s="109"/>
      <c r="J1687" s="120"/>
      <c r="K1687" s="120"/>
      <c r="L1687" s="93"/>
      <c r="M1687" s="93"/>
      <c r="N1687" s="93"/>
      <c r="O1687" s="56"/>
      <c r="P1687" s="56"/>
      <c r="Q1687" s="56"/>
      <c r="R1687" s="56"/>
      <c r="S1687" s="56"/>
      <c r="T1687" s="56"/>
      <c r="U1687" s="56"/>
      <c r="V1687" s="56"/>
    </row>
    <row r="1688" ht="18.75" customHeight="1">
      <c r="A1688" s="90"/>
      <c r="B1688" s="126"/>
      <c r="C1688" s="252"/>
      <c r="D1688" s="109"/>
      <c r="E1688" s="109"/>
      <c r="F1688" s="110"/>
      <c r="G1688" s="95"/>
      <c r="H1688" s="122"/>
      <c r="I1688" s="109"/>
      <c r="J1688" s="120"/>
      <c r="K1688" s="120"/>
      <c r="L1688" s="93"/>
      <c r="M1688" s="93"/>
      <c r="N1688" s="93"/>
      <c r="O1688" s="56"/>
      <c r="P1688" s="56"/>
      <c r="Q1688" s="56"/>
      <c r="R1688" s="56"/>
      <c r="S1688" s="56"/>
      <c r="T1688" s="56"/>
      <c r="U1688" s="56"/>
      <c r="V1688" s="56"/>
    </row>
    <row r="1689" ht="18.75" customHeight="1">
      <c r="A1689" s="90"/>
      <c r="B1689" s="126"/>
      <c r="C1689" s="252"/>
      <c r="D1689" s="109"/>
      <c r="E1689" s="109"/>
      <c r="F1689" s="110"/>
      <c r="G1689" s="95"/>
      <c r="H1689" s="122"/>
      <c r="I1689" s="109"/>
      <c r="J1689" s="120"/>
      <c r="K1689" s="120"/>
      <c r="L1689" s="93"/>
      <c r="M1689" s="93"/>
      <c r="N1689" s="93"/>
      <c r="O1689" s="56"/>
      <c r="P1689" s="56"/>
      <c r="Q1689" s="56"/>
      <c r="R1689" s="56"/>
      <c r="S1689" s="56"/>
      <c r="T1689" s="56"/>
      <c r="U1689" s="56"/>
      <c r="V1689" s="56"/>
    </row>
    <row r="1690" ht="18.75" customHeight="1">
      <c r="A1690" s="90"/>
      <c r="B1690" s="126"/>
      <c r="C1690" s="252"/>
      <c r="D1690" s="109"/>
      <c r="E1690" s="109"/>
      <c r="F1690" s="110"/>
      <c r="G1690" s="95"/>
      <c r="H1690" s="122"/>
      <c r="I1690" s="109"/>
      <c r="J1690" s="120"/>
      <c r="K1690" s="120"/>
      <c r="L1690" s="93"/>
      <c r="M1690" s="93"/>
      <c r="N1690" s="93"/>
      <c r="O1690" s="56"/>
      <c r="P1690" s="56"/>
      <c r="Q1690" s="56"/>
      <c r="R1690" s="56"/>
      <c r="S1690" s="56"/>
      <c r="T1690" s="56"/>
      <c r="U1690" s="56"/>
      <c r="V1690" s="56"/>
    </row>
    <row r="1691" ht="18.75" customHeight="1">
      <c r="A1691" s="90"/>
      <c r="B1691" s="126"/>
      <c r="C1691" s="252"/>
      <c r="D1691" s="109"/>
      <c r="E1691" s="109"/>
      <c r="F1691" s="110"/>
      <c r="G1691" s="95"/>
      <c r="H1691" s="122"/>
      <c r="I1691" s="109"/>
      <c r="J1691" s="120"/>
      <c r="K1691" s="120"/>
      <c r="L1691" s="93"/>
      <c r="M1691" s="93"/>
      <c r="N1691" s="93"/>
      <c r="O1691" s="56"/>
      <c r="P1691" s="56"/>
      <c r="Q1691" s="56"/>
      <c r="R1691" s="56"/>
      <c r="S1691" s="56"/>
      <c r="T1691" s="56"/>
      <c r="U1691" s="56"/>
      <c r="V1691" s="56"/>
    </row>
    <row r="1692" ht="18.75" customHeight="1">
      <c r="A1692" s="90"/>
      <c r="B1692" s="126"/>
      <c r="C1692" s="252"/>
      <c r="D1692" s="109"/>
      <c r="E1692" s="109"/>
      <c r="F1692" s="110"/>
      <c r="G1692" s="95"/>
      <c r="H1692" s="122"/>
      <c r="I1692" s="109"/>
      <c r="J1692" s="120"/>
      <c r="K1692" s="120"/>
      <c r="L1692" s="93"/>
      <c r="M1692" s="93"/>
      <c r="N1692" s="93"/>
      <c r="O1692" s="56"/>
      <c r="P1692" s="56"/>
      <c r="Q1692" s="56"/>
      <c r="R1692" s="56"/>
      <c r="S1692" s="56"/>
      <c r="T1692" s="56"/>
      <c r="U1692" s="56"/>
      <c r="V1692" s="56"/>
    </row>
    <row r="1693" ht="18.75" customHeight="1">
      <c r="A1693" s="90"/>
      <c r="B1693" s="126"/>
      <c r="C1693" s="252"/>
      <c r="D1693" s="109"/>
      <c r="E1693" s="109"/>
      <c r="F1693" s="110"/>
      <c r="G1693" s="95"/>
      <c r="H1693" s="122"/>
      <c r="I1693" s="109"/>
      <c r="J1693" s="120"/>
      <c r="K1693" s="120"/>
      <c r="L1693" s="93"/>
      <c r="M1693" s="93"/>
      <c r="N1693" s="93"/>
      <c r="O1693" s="56"/>
      <c r="P1693" s="56"/>
      <c r="Q1693" s="56"/>
      <c r="R1693" s="56"/>
      <c r="S1693" s="56"/>
      <c r="T1693" s="56"/>
      <c r="U1693" s="56"/>
      <c r="V1693" s="56"/>
    </row>
    <row r="1694" ht="18.75" customHeight="1">
      <c r="A1694" s="90"/>
      <c r="B1694" s="126"/>
      <c r="C1694" s="252"/>
      <c r="D1694" s="109"/>
      <c r="E1694" s="109"/>
      <c r="F1694" s="110"/>
      <c r="G1694" s="95"/>
      <c r="H1694" s="122"/>
      <c r="I1694" s="109"/>
      <c r="J1694" s="120"/>
      <c r="K1694" s="120"/>
      <c r="L1694" s="93"/>
      <c r="M1694" s="93"/>
      <c r="N1694" s="93"/>
      <c r="O1694" s="56"/>
      <c r="P1694" s="56"/>
      <c r="Q1694" s="56"/>
      <c r="R1694" s="56"/>
      <c r="S1694" s="56"/>
      <c r="T1694" s="56"/>
      <c r="U1694" s="56"/>
      <c r="V1694" s="56"/>
    </row>
    <row r="1695" ht="18.75" customHeight="1">
      <c r="A1695" s="90"/>
      <c r="B1695" s="126"/>
      <c r="C1695" s="252"/>
      <c r="D1695" s="109"/>
      <c r="E1695" s="109"/>
      <c r="F1695" s="110"/>
      <c r="G1695" s="95"/>
      <c r="H1695" s="122"/>
      <c r="I1695" s="109"/>
      <c r="J1695" s="120"/>
      <c r="K1695" s="120"/>
      <c r="L1695" s="93"/>
      <c r="M1695" s="93"/>
      <c r="N1695" s="93"/>
      <c r="O1695" s="56"/>
      <c r="P1695" s="56"/>
      <c r="Q1695" s="56"/>
      <c r="R1695" s="56"/>
      <c r="S1695" s="56"/>
      <c r="T1695" s="56"/>
      <c r="U1695" s="56"/>
      <c r="V1695" s="56"/>
    </row>
    <row r="1696" ht="18.75" customHeight="1">
      <c r="A1696" s="90"/>
      <c r="B1696" s="126"/>
      <c r="C1696" s="252"/>
      <c r="D1696" s="109"/>
      <c r="E1696" s="109"/>
      <c r="F1696" s="110"/>
      <c r="G1696" s="95"/>
      <c r="H1696" s="122"/>
      <c r="I1696" s="109"/>
      <c r="J1696" s="120"/>
      <c r="K1696" s="120"/>
      <c r="L1696" s="93"/>
      <c r="M1696" s="93"/>
      <c r="N1696" s="93"/>
      <c r="O1696" s="56"/>
      <c r="P1696" s="56"/>
      <c r="Q1696" s="56"/>
      <c r="R1696" s="56"/>
      <c r="S1696" s="56"/>
      <c r="T1696" s="56"/>
      <c r="U1696" s="56"/>
      <c r="V1696" s="56"/>
    </row>
    <row r="1697" ht="18.75" customHeight="1">
      <c r="A1697" s="90"/>
      <c r="B1697" s="126"/>
      <c r="C1697" s="252"/>
      <c r="D1697" s="109"/>
      <c r="E1697" s="109"/>
      <c r="F1697" s="110"/>
      <c r="G1697" s="95"/>
      <c r="H1697" s="122"/>
      <c r="I1697" s="109"/>
      <c r="J1697" s="120"/>
      <c r="K1697" s="120"/>
      <c r="L1697" s="93"/>
      <c r="M1697" s="93"/>
      <c r="N1697" s="93"/>
      <c r="O1697" s="56"/>
      <c r="P1697" s="56"/>
      <c r="Q1697" s="56"/>
      <c r="R1697" s="56"/>
      <c r="S1697" s="56"/>
      <c r="T1697" s="56"/>
      <c r="U1697" s="56"/>
      <c r="V1697" s="56"/>
    </row>
    <row r="1698" ht="18.75" customHeight="1">
      <c r="A1698" s="90"/>
      <c r="B1698" s="126"/>
      <c r="C1698" s="252"/>
      <c r="D1698" s="109"/>
      <c r="E1698" s="109"/>
      <c r="F1698" s="110"/>
      <c r="G1698" s="95"/>
      <c r="H1698" s="122"/>
      <c r="I1698" s="109"/>
      <c r="J1698" s="120"/>
      <c r="K1698" s="120"/>
      <c r="L1698" s="93"/>
      <c r="M1698" s="93"/>
      <c r="N1698" s="93"/>
      <c r="O1698" s="56"/>
      <c r="P1698" s="56"/>
      <c r="Q1698" s="56"/>
      <c r="R1698" s="56"/>
      <c r="S1698" s="56"/>
      <c r="T1698" s="56"/>
      <c r="U1698" s="56"/>
      <c r="V1698" s="56"/>
    </row>
    <row r="1699" ht="18.75" customHeight="1">
      <c r="A1699" s="90"/>
      <c r="B1699" s="126"/>
      <c r="C1699" s="252"/>
      <c r="D1699" s="109"/>
      <c r="E1699" s="109"/>
      <c r="F1699" s="110"/>
      <c r="G1699" s="95"/>
      <c r="H1699" s="122"/>
      <c r="I1699" s="109"/>
      <c r="J1699" s="120"/>
      <c r="K1699" s="120"/>
      <c r="L1699" s="93"/>
      <c r="M1699" s="93"/>
      <c r="N1699" s="93"/>
      <c r="O1699" s="56"/>
      <c r="P1699" s="56"/>
      <c r="Q1699" s="56"/>
      <c r="R1699" s="56"/>
      <c r="S1699" s="56"/>
      <c r="T1699" s="56"/>
      <c r="U1699" s="56"/>
      <c r="V1699" s="56"/>
    </row>
    <row r="1700" ht="18.75" customHeight="1">
      <c r="A1700" s="90"/>
      <c r="B1700" s="126"/>
      <c r="C1700" s="252"/>
      <c r="D1700" s="109"/>
      <c r="E1700" s="109"/>
      <c r="F1700" s="110"/>
      <c r="G1700" s="95"/>
      <c r="H1700" s="122"/>
      <c r="I1700" s="109"/>
      <c r="J1700" s="120"/>
      <c r="K1700" s="120"/>
      <c r="L1700" s="93"/>
      <c r="M1700" s="93"/>
      <c r="N1700" s="93"/>
      <c r="O1700" s="56"/>
      <c r="P1700" s="56"/>
      <c r="Q1700" s="56"/>
      <c r="R1700" s="56"/>
      <c r="S1700" s="56"/>
      <c r="T1700" s="56"/>
      <c r="U1700" s="56"/>
      <c r="V1700" s="56"/>
    </row>
    <row r="1701" ht="18.75" customHeight="1">
      <c r="A1701" s="90"/>
      <c r="B1701" s="126"/>
      <c r="C1701" s="252"/>
      <c r="D1701" s="109"/>
      <c r="E1701" s="109"/>
      <c r="F1701" s="110"/>
      <c r="G1701" s="95"/>
      <c r="H1701" s="122"/>
      <c r="I1701" s="109"/>
      <c r="J1701" s="120"/>
      <c r="K1701" s="120"/>
      <c r="L1701" s="93"/>
      <c r="M1701" s="93"/>
      <c r="N1701" s="93"/>
      <c r="O1701" s="56"/>
      <c r="P1701" s="56"/>
      <c r="Q1701" s="56"/>
      <c r="R1701" s="56"/>
      <c r="S1701" s="56"/>
      <c r="T1701" s="56"/>
      <c r="U1701" s="56"/>
      <c r="V1701" s="56"/>
    </row>
    <row r="1702" ht="18.75" customHeight="1">
      <c r="A1702" s="90"/>
      <c r="B1702" s="126"/>
      <c r="C1702" s="252"/>
      <c r="D1702" s="109"/>
      <c r="E1702" s="109"/>
      <c r="F1702" s="110"/>
      <c r="G1702" s="95"/>
      <c r="H1702" s="122"/>
      <c r="I1702" s="109"/>
      <c r="J1702" s="120"/>
      <c r="K1702" s="120"/>
      <c r="L1702" s="93"/>
      <c r="M1702" s="93"/>
      <c r="N1702" s="93"/>
      <c r="O1702" s="56"/>
      <c r="P1702" s="56"/>
      <c r="Q1702" s="56"/>
      <c r="R1702" s="56"/>
      <c r="S1702" s="56"/>
      <c r="T1702" s="56"/>
      <c r="U1702" s="56"/>
      <c r="V1702" s="56"/>
    </row>
    <row r="1703" ht="18.75" customHeight="1">
      <c r="A1703" s="90"/>
      <c r="B1703" s="126"/>
      <c r="C1703" s="252"/>
      <c r="D1703" s="109"/>
      <c r="E1703" s="109"/>
      <c r="F1703" s="110"/>
      <c r="G1703" s="95"/>
      <c r="H1703" s="122"/>
      <c r="I1703" s="109"/>
      <c r="J1703" s="120"/>
      <c r="K1703" s="120"/>
      <c r="L1703" s="93"/>
      <c r="M1703" s="93"/>
      <c r="N1703" s="93"/>
      <c r="O1703" s="56"/>
      <c r="P1703" s="56"/>
      <c r="Q1703" s="56"/>
      <c r="R1703" s="56"/>
      <c r="S1703" s="56"/>
      <c r="T1703" s="56"/>
      <c r="U1703" s="56"/>
      <c r="V1703" s="56"/>
    </row>
    <row r="1704" ht="18.75" customHeight="1">
      <c r="A1704" s="90"/>
      <c r="B1704" s="126"/>
      <c r="C1704" s="252"/>
      <c r="D1704" s="109"/>
      <c r="E1704" s="109"/>
      <c r="F1704" s="110"/>
      <c r="G1704" s="95"/>
      <c r="H1704" s="122"/>
      <c r="I1704" s="109"/>
      <c r="J1704" s="120"/>
      <c r="K1704" s="120"/>
      <c r="L1704" s="93"/>
      <c r="M1704" s="93"/>
      <c r="N1704" s="93"/>
      <c r="O1704" s="56"/>
      <c r="P1704" s="56"/>
      <c r="Q1704" s="56"/>
      <c r="R1704" s="56"/>
      <c r="S1704" s="56"/>
      <c r="T1704" s="56"/>
      <c r="U1704" s="56"/>
      <c r="V1704" s="56"/>
    </row>
    <row r="1705" ht="18.75" customHeight="1">
      <c r="A1705" s="90"/>
      <c r="B1705" s="126"/>
      <c r="C1705" s="252"/>
      <c r="D1705" s="109"/>
      <c r="E1705" s="109"/>
      <c r="F1705" s="110"/>
      <c r="G1705" s="95"/>
      <c r="H1705" s="122"/>
      <c r="I1705" s="109"/>
      <c r="J1705" s="120"/>
      <c r="K1705" s="120"/>
      <c r="L1705" s="93"/>
      <c r="M1705" s="93"/>
      <c r="N1705" s="93"/>
      <c r="O1705" s="56"/>
      <c r="P1705" s="56"/>
      <c r="Q1705" s="56"/>
      <c r="R1705" s="56"/>
      <c r="S1705" s="56"/>
      <c r="T1705" s="56"/>
      <c r="U1705" s="56"/>
      <c r="V1705" s="56"/>
    </row>
    <row r="1706" ht="18.75" customHeight="1">
      <c r="A1706" s="90"/>
      <c r="B1706" s="126"/>
      <c r="C1706" s="252"/>
      <c r="D1706" s="109"/>
      <c r="E1706" s="109"/>
      <c r="F1706" s="110"/>
      <c r="G1706" s="95"/>
      <c r="H1706" s="122"/>
      <c r="I1706" s="109"/>
      <c r="J1706" s="120"/>
      <c r="K1706" s="120"/>
      <c r="L1706" s="93"/>
      <c r="M1706" s="93"/>
      <c r="N1706" s="93"/>
      <c r="O1706" s="56"/>
      <c r="P1706" s="56"/>
      <c r="Q1706" s="56"/>
      <c r="R1706" s="56"/>
      <c r="S1706" s="56"/>
      <c r="T1706" s="56"/>
      <c r="U1706" s="56"/>
      <c r="V1706" s="56"/>
    </row>
    <row r="1707" ht="18.75" customHeight="1">
      <c r="A1707" s="90"/>
      <c r="B1707" s="126"/>
      <c r="C1707" s="252"/>
      <c r="D1707" s="109"/>
      <c r="E1707" s="109"/>
      <c r="F1707" s="110"/>
      <c r="G1707" s="95"/>
      <c r="H1707" s="122"/>
      <c r="I1707" s="109"/>
      <c r="J1707" s="120"/>
      <c r="K1707" s="120"/>
      <c r="L1707" s="93"/>
      <c r="M1707" s="93"/>
      <c r="N1707" s="93"/>
      <c r="O1707" s="56"/>
      <c r="P1707" s="56"/>
      <c r="Q1707" s="56"/>
      <c r="R1707" s="56"/>
      <c r="S1707" s="56"/>
      <c r="T1707" s="56"/>
      <c r="U1707" s="56"/>
      <c r="V1707" s="56"/>
    </row>
    <row r="1708" ht="18.75" customHeight="1">
      <c r="A1708" s="90"/>
      <c r="B1708" s="126"/>
      <c r="C1708" s="252"/>
      <c r="D1708" s="109"/>
      <c r="E1708" s="109"/>
      <c r="F1708" s="110"/>
      <c r="G1708" s="95"/>
      <c r="H1708" s="122"/>
      <c r="I1708" s="109"/>
      <c r="J1708" s="120"/>
      <c r="K1708" s="120"/>
      <c r="L1708" s="93"/>
      <c r="M1708" s="93"/>
      <c r="N1708" s="93"/>
      <c r="O1708" s="56"/>
      <c r="P1708" s="56"/>
      <c r="Q1708" s="56"/>
      <c r="R1708" s="56"/>
      <c r="S1708" s="56"/>
      <c r="T1708" s="56"/>
      <c r="U1708" s="56"/>
      <c r="V1708" s="56"/>
    </row>
    <row r="1709" ht="18.75" customHeight="1">
      <c r="A1709" s="90"/>
      <c r="B1709" s="126"/>
      <c r="C1709" s="252"/>
      <c r="D1709" s="109"/>
      <c r="E1709" s="109"/>
      <c r="F1709" s="110"/>
      <c r="G1709" s="95"/>
      <c r="H1709" s="122"/>
      <c r="I1709" s="109"/>
      <c r="J1709" s="120"/>
      <c r="K1709" s="120"/>
      <c r="L1709" s="93"/>
      <c r="M1709" s="93"/>
      <c r="N1709" s="93"/>
      <c r="O1709" s="56"/>
      <c r="P1709" s="56"/>
      <c r="Q1709" s="56"/>
      <c r="R1709" s="56"/>
      <c r="S1709" s="56"/>
      <c r="T1709" s="56"/>
      <c r="U1709" s="56"/>
      <c r="V1709" s="56"/>
    </row>
    <row r="1710" ht="18.75" customHeight="1">
      <c r="A1710" s="90"/>
      <c r="B1710" s="126"/>
      <c r="C1710" s="252"/>
      <c r="D1710" s="109"/>
      <c r="E1710" s="109"/>
      <c r="F1710" s="110"/>
      <c r="G1710" s="95"/>
      <c r="H1710" s="122"/>
      <c r="I1710" s="109"/>
      <c r="J1710" s="120"/>
      <c r="K1710" s="120"/>
      <c r="L1710" s="93"/>
      <c r="M1710" s="93"/>
      <c r="N1710" s="93"/>
      <c r="O1710" s="56"/>
      <c r="P1710" s="56"/>
      <c r="Q1710" s="56"/>
      <c r="R1710" s="56"/>
      <c r="S1710" s="56"/>
      <c r="T1710" s="56"/>
      <c r="U1710" s="56"/>
      <c r="V1710" s="56"/>
    </row>
    <row r="1711" ht="18.75" customHeight="1">
      <c r="A1711" s="90"/>
      <c r="B1711" s="126"/>
      <c r="C1711" s="252"/>
      <c r="D1711" s="109"/>
      <c r="E1711" s="109"/>
      <c r="F1711" s="110"/>
      <c r="G1711" s="95"/>
      <c r="H1711" s="122"/>
      <c r="I1711" s="109"/>
      <c r="J1711" s="120"/>
      <c r="K1711" s="120"/>
      <c r="L1711" s="93"/>
      <c r="M1711" s="93"/>
      <c r="N1711" s="93"/>
      <c r="O1711" s="56"/>
      <c r="P1711" s="56"/>
      <c r="Q1711" s="56"/>
      <c r="R1711" s="56"/>
      <c r="S1711" s="56"/>
      <c r="T1711" s="56"/>
      <c r="U1711" s="56"/>
      <c r="V1711" s="56"/>
    </row>
    <row r="1712" ht="18.75" customHeight="1">
      <c r="A1712" s="90"/>
      <c r="B1712" s="126"/>
      <c r="C1712" s="252"/>
      <c r="D1712" s="109"/>
      <c r="E1712" s="109"/>
      <c r="F1712" s="110"/>
      <c r="G1712" s="95"/>
      <c r="H1712" s="122"/>
      <c r="I1712" s="109"/>
      <c r="J1712" s="120"/>
      <c r="K1712" s="120"/>
      <c r="L1712" s="93"/>
      <c r="M1712" s="93"/>
      <c r="N1712" s="93"/>
      <c r="O1712" s="56"/>
      <c r="P1712" s="56"/>
      <c r="Q1712" s="56"/>
      <c r="R1712" s="56"/>
      <c r="S1712" s="56"/>
      <c r="T1712" s="56"/>
      <c r="U1712" s="56"/>
      <c r="V1712" s="56"/>
    </row>
    <row r="1713" ht="18.75" customHeight="1">
      <c r="A1713" s="90"/>
      <c r="B1713" s="126"/>
      <c r="C1713" s="252"/>
      <c r="D1713" s="109"/>
      <c r="E1713" s="109"/>
      <c r="F1713" s="110"/>
      <c r="G1713" s="95"/>
      <c r="H1713" s="122"/>
      <c r="I1713" s="109"/>
      <c r="J1713" s="120"/>
      <c r="K1713" s="120"/>
      <c r="L1713" s="93"/>
      <c r="M1713" s="93"/>
      <c r="N1713" s="93"/>
      <c r="O1713" s="56"/>
      <c r="P1713" s="56"/>
      <c r="Q1713" s="56"/>
      <c r="R1713" s="56"/>
      <c r="S1713" s="56"/>
      <c r="T1713" s="56"/>
      <c r="U1713" s="56"/>
      <c r="V1713" s="56"/>
    </row>
    <row r="1714" ht="18.75" customHeight="1">
      <c r="A1714" s="90"/>
      <c r="B1714" s="126"/>
      <c r="C1714" s="252"/>
      <c r="D1714" s="109"/>
      <c r="E1714" s="109"/>
      <c r="F1714" s="110"/>
      <c r="G1714" s="95"/>
      <c r="H1714" s="122"/>
      <c r="I1714" s="109"/>
      <c r="J1714" s="120"/>
      <c r="K1714" s="120"/>
      <c r="L1714" s="93"/>
      <c r="M1714" s="93"/>
      <c r="N1714" s="93"/>
      <c r="O1714" s="56"/>
      <c r="P1714" s="56"/>
      <c r="Q1714" s="56"/>
      <c r="R1714" s="56"/>
      <c r="S1714" s="56"/>
      <c r="T1714" s="56"/>
      <c r="U1714" s="56"/>
      <c r="V1714" s="56"/>
    </row>
    <row r="1715" ht="18.75" customHeight="1">
      <c r="A1715" s="90"/>
      <c r="B1715" s="126"/>
      <c r="C1715" s="252"/>
      <c r="D1715" s="109"/>
      <c r="E1715" s="109"/>
      <c r="F1715" s="110"/>
      <c r="G1715" s="95"/>
      <c r="H1715" s="122"/>
      <c r="I1715" s="109"/>
      <c r="J1715" s="120"/>
      <c r="K1715" s="120"/>
      <c r="L1715" s="93"/>
      <c r="M1715" s="93"/>
      <c r="N1715" s="93"/>
      <c r="O1715" s="56"/>
      <c r="P1715" s="56"/>
      <c r="Q1715" s="56"/>
      <c r="R1715" s="56"/>
      <c r="S1715" s="56"/>
      <c r="T1715" s="56"/>
      <c r="U1715" s="56"/>
      <c r="V1715" s="56"/>
    </row>
    <row r="1716" ht="18.75" customHeight="1">
      <c r="A1716" s="90"/>
      <c r="B1716" s="126"/>
      <c r="C1716" s="252"/>
      <c r="D1716" s="109"/>
      <c r="E1716" s="109"/>
      <c r="F1716" s="110"/>
      <c r="G1716" s="95"/>
      <c r="H1716" s="122"/>
      <c r="I1716" s="109"/>
      <c r="J1716" s="120"/>
      <c r="K1716" s="120"/>
      <c r="L1716" s="93"/>
      <c r="M1716" s="93"/>
      <c r="N1716" s="93"/>
      <c r="O1716" s="56"/>
      <c r="P1716" s="56"/>
      <c r="Q1716" s="56"/>
      <c r="R1716" s="56"/>
      <c r="S1716" s="56"/>
      <c r="T1716" s="56"/>
      <c r="U1716" s="56"/>
      <c r="V1716" s="56"/>
    </row>
    <row r="1717" ht="18.75" customHeight="1">
      <c r="A1717" s="90"/>
      <c r="B1717" s="126"/>
      <c r="C1717" s="252"/>
      <c r="D1717" s="109"/>
      <c r="E1717" s="109"/>
      <c r="F1717" s="110"/>
      <c r="G1717" s="95"/>
      <c r="H1717" s="122"/>
      <c r="I1717" s="109"/>
      <c r="J1717" s="120"/>
      <c r="K1717" s="120"/>
      <c r="L1717" s="93"/>
      <c r="M1717" s="93"/>
      <c r="N1717" s="93"/>
      <c r="O1717" s="56"/>
      <c r="P1717" s="56"/>
      <c r="Q1717" s="56"/>
      <c r="R1717" s="56"/>
      <c r="S1717" s="56"/>
      <c r="T1717" s="56"/>
      <c r="U1717" s="56"/>
      <c r="V1717" s="56"/>
    </row>
    <row r="1718" ht="18.75" customHeight="1">
      <c r="A1718" s="90"/>
      <c r="B1718" s="126"/>
      <c r="C1718" s="252"/>
      <c r="D1718" s="109"/>
      <c r="E1718" s="109"/>
      <c r="F1718" s="110"/>
      <c r="G1718" s="95"/>
      <c r="H1718" s="122"/>
      <c r="I1718" s="109"/>
      <c r="J1718" s="120"/>
      <c r="K1718" s="120"/>
      <c r="L1718" s="93"/>
      <c r="M1718" s="93"/>
      <c r="N1718" s="93"/>
      <c r="O1718" s="56"/>
      <c r="P1718" s="56"/>
      <c r="Q1718" s="56"/>
      <c r="R1718" s="56"/>
      <c r="S1718" s="56"/>
      <c r="T1718" s="56"/>
      <c r="U1718" s="56"/>
      <c r="V1718" s="56"/>
    </row>
    <row r="1719" ht="18.75" customHeight="1">
      <c r="A1719" s="90"/>
      <c r="B1719" s="126"/>
      <c r="C1719" s="252"/>
      <c r="D1719" s="109"/>
      <c r="E1719" s="109"/>
      <c r="F1719" s="110"/>
      <c r="G1719" s="95"/>
      <c r="H1719" s="122"/>
      <c r="I1719" s="109"/>
      <c r="J1719" s="120"/>
      <c r="K1719" s="120"/>
      <c r="L1719" s="93"/>
      <c r="M1719" s="93"/>
      <c r="N1719" s="93"/>
      <c r="O1719" s="56"/>
      <c r="P1719" s="56"/>
      <c r="Q1719" s="56"/>
      <c r="R1719" s="56"/>
      <c r="S1719" s="56"/>
      <c r="T1719" s="56"/>
      <c r="U1719" s="56"/>
      <c r="V1719" s="56"/>
    </row>
    <row r="1720" ht="18.75" customHeight="1">
      <c r="A1720" s="90"/>
      <c r="B1720" s="126"/>
      <c r="C1720" s="252"/>
      <c r="D1720" s="109"/>
      <c r="E1720" s="109"/>
      <c r="F1720" s="110"/>
      <c r="G1720" s="95"/>
      <c r="H1720" s="122"/>
      <c r="I1720" s="109"/>
      <c r="J1720" s="120"/>
      <c r="K1720" s="120"/>
      <c r="L1720" s="93"/>
      <c r="M1720" s="93"/>
      <c r="N1720" s="93"/>
      <c r="O1720" s="56"/>
      <c r="P1720" s="56"/>
      <c r="Q1720" s="56"/>
      <c r="R1720" s="56"/>
      <c r="S1720" s="56"/>
      <c r="T1720" s="56"/>
      <c r="U1720" s="56"/>
      <c r="V1720" s="56"/>
    </row>
    <row r="1721" ht="18.75" customHeight="1">
      <c r="A1721" s="90"/>
      <c r="B1721" s="126"/>
      <c r="C1721" s="252"/>
      <c r="D1721" s="109"/>
      <c r="E1721" s="109"/>
      <c r="F1721" s="110"/>
      <c r="G1721" s="95"/>
      <c r="H1721" s="122"/>
      <c r="I1721" s="109"/>
      <c r="J1721" s="120"/>
      <c r="K1721" s="120"/>
      <c r="L1721" s="93"/>
      <c r="M1721" s="93"/>
      <c r="N1721" s="93"/>
      <c r="O1721" s="56"/>
      <c r="P1721" s="56"/>
      <c r="Q1721" s="56"/>
      <c r="R1721" s="56"/>
      <c r="S1721" s="56"/>
      <c r="T1721" s="56"/>
      <c r="U1721" s="56"/>
      <c r="V1721" s="56"/>
    </row>
    <row r="1722" ht="18.75" customHeight="1">
      <c r="A1722" s="90"/>
      <c r="B1722" s="126"/>
      <c r="C1722" s="252"/>
      <c r="D1722" s="109"/>
      <c r="E1722" s="109"/>
      <c r="F1722" s="110"/>
      <c r="G1722" s="95"/>
      <c r="H1722" s="122"/>
      <c r="I1722" s="109"/>
      <c r="J1722" s="120"/>
      <c r="K1722" s="120"/>
      <c r="L1722" s="93"/>
      <c r="M1722" s="93"/>
      <c r="N1722" s="93"/>
      <c r="O1722" s="56"/>
      <c r="P1722" s="56"/>
      <c r="Q1722" s="56"/>
      <c r="R1722" s="56"/>
      <c r="S1722" s="56"/>
      <c r="T1722" s="56"/>
      <c r="U1722" s="56"/>
      <c r="V1722" s="56"/>
    </row>
    <row r="1723" ht="18.75" customHeight="1">
      <c r="A1723" s="90"/>
      <c r="B1723" s="126"/>
      <c r="C1723" s="252"/>
      <c r="D1723" s="109"/>
      <c r="E1723" s="109"/>
      <c r="F1723" s="110"/>
      <c r="G1723" s="95"/>
      <c r="H1723" s="122"/>
      <c r="I1723" s="109"/>
      <c r="J1723" s="120"/>
      <c r="K1723" s="120"/>
      <c r="L1723" s="93"/>
      <c r="M1723" s="93"/>
      <c r="N1723" s="93"/>
      <c r="O1723" s="56"/>
      <c r="P1723" s="56"/>
      <c r="Q1723" s="56"/>
      <c r="R1723" s="56"/>
      <c r="S1723" s="56"/>
      <c r="T1723" s="56"/>
      <c r="U1723" s="56"/>
      <c r="V1723" s="56"/>
    </row>
    <row r="1724" ht="18.75" customHeight="1">
      <c r="A1724" s="90"/>
      <c r="B1724" s="126"/>
      <c r="C1724" s="252"/>
      <c r="D1724" s="109"/>
      <c r="E1724" s="109"/>
      <c r="F1724" s="110"/>
      <c r="G1724" s="95"/>
      <c r="H1724" s="122"/>
      <c r="I1724" s="109"/>
      <c r="J1724" s="120"/>
      <c r="K1724" s="120"/>
      <c r="L1724" s="93"/>
      <c r="M1724" s="93"/>
      <c r="N1724" s="93"/>
      <c r="O1724" s="56"/>
      <c r="P1724" s="56"/>
      <c r="Q1724" s="56"/>
      <c r="R1724" s="56"/>
      <c r="S1724" s="56"/>
      <c r="T1724" s="56"/>
      <c r="U1724" s="56"/>
      <c r="V1724" s="56"/>
    </row>
    <row r="1725" ht="18.75" customHeight="1">
      <c r="A1725" s="90"/>
      <c r="B1725" s="126"/>
      <c r="C1725" s="252"/>
      <c r="D1725" s="109"/>
      <c r="E1725" s="109"/>
      <c r="F1725" s="110"/>
      <c r="G1725" s="95"/>
      <c r="H1725" s="122"/>
      <c r="I1725" s="109"/>
      <c r="J1725" s="120"/>
      <c r="K1725" s="120"/>
      <c r="L1725" s="93"/>
      <c r="M1725" s="93"/>
      <c r="N1725" s="93"/>
      <c r="O1725" s="56"/>
      <c r="P1725" s="56"/>
      <c r="Q1725" s="56"/>
      <c r="R1725" s="56"/>
      <c r="S1725" s="56"/>
      <c r="T1725" s="56"/>
      <c r="U1725" s="56"/>
      <c r="V1725" s="56"/>
    </row>
    <row r="1726" ht="18.75" customHeight="1">
      <c r="A1726" s="90"/>
      <c r="B1726" s="126"/>
      <c r="C1726" s="252"/>
      <c r="D1726" s="109"/>
      <c r="E1726" s="109"/>
      <c r="F1726" s="110"/>
      <c r="G1726" s="95"/>
      <c r="H1726" s="122"/>
      <c r="I1726" s="109"/>
      <c r="J1726" s="120"/>
      <c r="K1726" s="120"/>
      <c r="L1726" s="93"/>
      <c r="M1726" s="93"/>
      <c r="N1726" s="93"/>
      <c r="O1726" s="56"/>
      <c r="P1726" s="56"/>
      <c r="Q1726" s="56"/>
      <c r="R1726" s="56"/>
      <c r="S1726" s="56"/>
      <c r="T1726" s="56"/>
      <c r="U1726" s="56"/>
      <c r="V1726" s="56"/>
    </row>
    <row r="1727" ht="18.75" customHeight="1">
      <c r="A1727" s="90"/>
      <c r="B1727" s="126"/>
      <c r="C1727" s="252"/>
      <c r="D1727" s="109"/>
      <c r="E1727" s="109"/>
      <c r="F1727" s="110"/>
      <c r="G1727" s="95"/>
      <c r="H1727" s="122"/>
      <c r="I1727" s="109"/>
      <c r="J1727" s="120"/>
      <c r="K1727" s="120"/>
      <c r="L1727" s="93"/>
      <c r="M1727" s="93"/>
      <c r="N1727" s="93"/>
      <c r="O1727" s="56"/>
      <c r="P1727" s="56"/>
      <c r="Q1727" s="56"/>
      <c r="R1727" s="56"/>
      <c r="S1727" s="56"/>
      <c r="T1727" s="56"/>
      <c r="U1727" s="56"/>
      <c r="V1727" s="56"/>
    </row>
    <row r="1728" ht="18.75" customHeight="1">
      <c r="A1728" s="90"/>
      <c r="B1728" s="126"/>
      <c r="C1728" s="252"/>
      <c r="D1728" s="109"/>
      <c r="E1728" s="109"/>
      <c r="F1728" s="110"/>
      <c r="G1728" s="95"/>
      <c r="H1728" s="122"/>
      <c r="I1728" s="109"/>
      <c r="J1728" s="120"/>
      <c r="K1728" s="120"/>
      <c r="L1728" s="93"/>
      <c r="M1728" s="93"/>
      <c r="N1728" s="93"/>
      <c r="O1728" s="56"/>
      <c r="P1728" s="56"/>
      <c r="Q1728" s="56"/>
      <c r="R1728" s="56"/>
      <c r="S1728" s="56"/>
      <c r="T1728" s="56"/>
      <c r="U1728" s="56"/>
      <c r="V1728" s="56"/>
    </row>
    <row r="1729" ht="18.75" customHeight="1">
      <c r="A1729" s="90"/>
      <c r="B1729" s="126"/>
      <c r="C1729" s="252"/>
      <c r="D1729" s="109"/>
      <c r="E1729" s="109"/>
      <c r="F1729" s="110"/>
      <c r="G1729" s="95"/>
      <c r="H1729" s="122"/>
      <c r="I1729" s="109"/>
      <c r="J1729" s="120"/>
      <c r="K1729" s="120"/>
      <c r="L1729" s="93"/>
      <c r="M1729" s="93"/>
      <c r="N1729" s="93"/>
      <c r="O1729" s="56"/>
      <c r="P1729" s="56"/>
      <c r="Q1729" s="56"/>
      <c r="R1729" s="56"/>
      <c r="S1729" s="56"/>
      <c r="T1729" s="56"/>
      <c r="U1729" s="56"/>
      <c r="V1729" s="56"/>
    </row>
    <row r="1730" ht="18.75" customHeight="1">
      <c r="A1730" s="90"/>
      <c r="B1730" s="126"/>
      <c r="C1730" s="252"/>
      <c r="D1730" s="109"/>
      <c r="E1730" s="109"/>
      <c r="F1730" s="110"/>
      <c r="G1730" s="95"/>
      <c r="H1730" s="122"/>
      <c r="I1730" s="109"/>
      <c r="J1730" s="120"/>
      <c r="K1730" s="120"/>
      <c r="L1730" s="93"/>
      <c r="M1730" s="93"/>
      <c r="N1730" s="93"/>
      <c r="O1730" s="56"/>
      <c r="P1730" s="56"/>
      <c r="Q1730" s="56"/>
      <c r="R1730" s="56"/>
      <c r="S1730" s="56"/>
      <c r="T1730" s="56"/>
      <c r="U1730" s="56"/>
      <c r="V1730" s="56"/>
    </row>
    <row r="1731" ht="18.75" customHeight="1">
      <c r="A1731" s="90"/>
      <c r="B1731" s="126"/>
      <c r="C1731" s="252"/>
      <c r="D1731" s="109"/>
      <c r="E1731" s="109"/>
      <c r="F1731" s="110"/>
      <c r="G1731" s="95"/>
      <c r="H1731" s="122"/>
      <c r="I1731" s="109"/>
      <c r="J1731" s="120"/>
      <c r="K1731" s="120"/>
      <c r="L1731" s="93"/>
      <c r="M1731" s="93"/>
      <c r="N1731" s="93"/>
      <c r="O1731" s="56"/>
      <c r="P1731" s="56"/>
      <c r="Q1731" s="56"/>
      <c r="R1731" s="56"/>
      <c r="S1731" s="56"/>
      <c r="T1731" s="56"/>
      <c r="U1731" s="56"/>
      <c r="V1731" s="56"/>
    </row>
    <row r="1732" ht="18.75" customHeight="1">
      <c r="A1732" s="90"/>
      <c r="B1732" s="126"/>
      <c r="C1732" s="252"/>
      <c r="D1732" s="109"/>
      <c r="E1732" s="109"/>
      <c r="F1732" s="110"/>
      <c r="G1732" s="95"/>
      <c r="H1732" s="122"/>
      <c r="I1732" s="109"/>
      <c r="J1732" s="120"/>
      <c r="K1732" s="120"/>
      <c r="L1732" s="93"/>
      <c r="M1732" s="93"/>
      <c r="N1732" s="93"/>
      <c r="O1732" s="56"/>
      <c r="P1732" s="56"/>
      <c r="Q1732" s="56"/>
      <c r="R1732" s="56"/>
      <c r="S1732" s="56"/>
      <c r="T1732" s="56"/>
      <c r="U1732" s="56"/>
      <c r="V1732" s="56"/>
    </row>
    <row r="1733" ht="18.75" customHeight="1">
      <c r="A1733" s="90"/>
      <c r="B1733" s="126"/>
      <c r="C1733" s="252"/>
      <c r="D1733" s="109"/>
      <c r="E1733" s="109"/>
      <c r="F1733" s="110"/>
      <c r="G1733" s="95"/>
      <c r="H1733" s="122"/>
      <c r="I1733" s="109"/>
      <c r="J1733" s="120"/>
      <c r="K1733" s="120"/>
      <c r="L1733" s="93"/>
      <c r="M1733" s="93"/>
      <c r="N1733" s="93"/>
      <c r="O1733" s="56"/>
      <c r="P1733" s="56"/>
      <c r="Q1733" s="56"/>
      <c r="R1733" s="56"/>
      <c r="S1733" s="56"/>
      <c r="T1733" s="56"/>
      <c r="U1733" s="56"/>
      <c r="V1733" s="56"/>
    </row>
    <row r="1734" ht="18.75" customHeight="1">
      <c r="A1734" s="90"/>
      <c r="B1734" s="126"/>
      <c r="C1734" s="252"/>
      <c r="D1734" s="109"/>
      <c r="E1734" s="109"/>
      <c r="F1734" s="110"/>
      <c r="G1734" s="95"/>
      <c r="H1734" s="122"/>
      <c r="I1734" s="109"/>
      <c r="J1734" s="120"/>
      <c r="K1734" s="120"/>
      <c r="L1734" s="93"/>
      <c r="M1734" s="93"/>
      <c r="N1734" s="93"/>
      <c r="O1734" s="56"/>
      <c r="P1734" s="56"/>
      <c r="Q1734" s="56"/>
      <c r="R1734" s="56"/>
      <c r="S1734" s="56"/>
      <c r="T1734" s="56"/>
      <c r="U1734" s="56"/>
      <c r="V1734" s="56"/>
    </row>
    <row r="1735" ht="18.75" customHeight="1">
      <c r="A1735" s="90"/>
      <c r="B1735" s="126"/>
      <c r="C1735" s="252"/>
      <c r="D1735" s="109"/>
      <c r="E1735" s="109"/>
      <c r="F1735" s="110"/>
      <c r="G1735" s="95"/>
      <c r="H1735" s="122"/>
      <c r="I1735" s="109"/>
      <c r="J1735" s="120"/>
      <c r="K1735" s="120"/>
      <c r="L1735" s="93"/>
      <c r="M1735" s="93"/>
      <c r="N1735" s="93"/>
      <c r="O1735" s="56"/>
      <c r="P1735" s="56"/>
      <c r="Q1735" s="56"/>
      <c r="R1735" s="56"/>
      <c r="S1735" s="56"/>
      <c r="T1735" s="56"/>
      <c r="U1735" s="56"/>
      <c r="V1735" s="56"/>
    </row>
    <row r="1736" ht="18.75" customHeight="1">
      <c r="A1736" s="90"/>
      <c r="B1736" s="126"/>
      <c r="C1736" s="252"/>
      <c r="D1736" s="109"/>
      <c r="E1736" s="109"/>
      <c r="F1736" s="110"/>
      <c r="G1736" s="95"/>
      <c r="H1736" s="122"/>
      <c r="I1736" s="109"/>
      <c r="J1736" s="120"/>
      <c r="K1736" s="120"/>
      <c r="L1736" s="93"/>
      <c r="M1736" s="93"/>
      <c r="N1736" s="93"/>
      <c r="O1736" s="56"/>
      <c r="P1736" s="56"/>
      <c r="Q1736" s="56"/>
      <c r="R1736" s="56"/>
      <c r="S1736" s="56"/>
      <c r="T1736" s="56"/>
      <c r="U1736" s="56"/>
      <c r="V1736" s="56"/>
    </row>
    <row r="1737" ht="18.75" customHeight="1">
      <c r="A1737" s="90"/>
      <c r="B1737" s="126"/>
      <c r="C1737" s="252"/>
      <c r="D1737" s="109"/>
      <c r="E1737" s="109"/>
      <c r="F1737" s="110"/>
      <c r="G1737" s="95"/>
      <c r="H1737" s="122"/>
      <c r="I1737" s="109"/>
      <c r="J1737" s="120"/>
      <c r="K1737" s="120"/>
      <c r="L1737" s="93"/>
      <c r="M1737" s="93"/>
      <c r="N1737" s="93"/>
      <c r="O1737" s="56"/>
      <c r="P1737" s="56"/>
      <c r="Q1737" s="56"/>
      <c r="R1737" s="56"/>
      <c r="S1737" s="56"/>
      <c r="T1737" s="56"/>
      <c r="U1737" s="56"/>
      <c r="V1737" s="56"/>
    </row>
    <row r="1738" ht="18.75" customHeight="1">
      <c r="A1738" s="90"/>
      <c r="B1738" s="126"/>
      <c r="C1738" s="252"/>
      <c r="D1738" s="109"/>
      <c r="E1738" s="109"/>
      <c r="F1738" s="110"/>
      <c r="G1738" s="95"/>
      <c r="H1738" s="122"/>
      <c r="I1738" s="109"/>
      <c r="J1738" s="120"/>
      <c r="K1738" s="120"/>
      <c r="L1738" s="93"/>
      <c r="M1738" s="93"/>
      <c r="N1738" s="93"/>
      <c r="O1738" s="56"/>
      <c r="P1738" s="56"/>
      <c r="Q1738" s="56"/>
      <c r="R1738" s="56"/>
      <c r="S1738" s="56"/>
      <c r="T1738" s="56"/>
      <c r="U1738" s="56"/>
      <c r="V1738" s="56"/>
    </row>
    <row r="1739" ht="18.75" customHeight="1">
      <c r="A1739" s="90"/>
      <c r="B1739" s="126"/>
      <c r="C1739" s="252"/>
      <c r="D1739" s="109"/>
      <c r="E1739" s="109"/>
      <c r="F1739" s="110"/>
      <c r="G1739" s="95"/>
      <c r="H1739" s="122"/>
      <c r="I1739" s="109"/>
      <c r="J1739" s="120"/>
      <c r="K1739" s="120"/>
      <c r="L1739" s="93"/>
      <c r="M1739" s="93"/>
      <c r="N1739" s="93"/>
      <c r="O1739" s="56"/>
      <c r="P1739" s="56"/>
      <c r="Q1739" s="56"/>
      <c r="R1739" s="56"/>
      <c r="S1739" s="56"/>
      <c r="T1739" s="56"/>
      <c r="U1739" s="56"/>
      <c r="V1739" s="56"/>
    </row>
    <row r="1740" ht="18.75" customHeight="1">
      <c r="A1740" s="90"/>
      <c r="B1740" s="126"/>
      <c r="C1740" s="252"/>
      <c r="D1740" s="109"/>
      <c r="E1740" s="109"/>
      <c r="F1740" s="110"/>
      <c r="G1740" s="95"/>
      <c r="H1740" s="122"/>
      <c r="I1740" s="109"/>
      <c r="J1740" s="120"/>
      <c r="K1740" s="120"/>
      <c r="L1740" s="93"/>
      <c r="M1740" s="93"/>
      <c r="N1740" s="93"/>
      <c r="O1740" s="56"/>
      <c r="P1740" s="56"/>
      <c r="Q1740" s="56"/>
      <c r="R1740" s="56"/>
      <c r="S1740" s="56"/>
      <c r="T1740" s="56"/>
      <c r="U1740" s="56"/>
      <c r="V1740" s="56"/>
    </row>
    <row r="1741" ht="18.75" customHeight="1">
      <c r="A1741" s="90"/>
      <c r="B1741" s="126"/>
      <c r="C1741" s="252"/>
      <c r="D1741" s="109"/>
      <c r="E1741" s="109"/>
      <c r="F1741" s="110"/>
      <c r="G1741" s="95"/>
      <c r="H1741" s="122"/>
      <c r="I1741" s="109"/>
      <c r="J1741" s="120"/>
      <c r="K1741" s="120"/>
      <c r="L1741" s="93"/>
      <c r="M1741" s="93"/>
      <c r="N1741" s="93"/>
      <c r="O1741" s="56"/>
      <c r="P1741" s="56"/>
      <c r="Q1741" s="56"/>
      <c r="R1741" s="56"/>
      <c r="S1741" s="56"/>
      <c r="T1741" s="56"/>
      <c r="U1741" s="56"/>
      <c r="V1741" s="56"/>
    </row>
    <row r="1742" ht="18.75" customHeight="1">
      <c r="A1742" s="90"/>
      <c r="B1742" s="126"/>
      <c r="C1742" s="252"/>
      <c r="D1742" s="109"/>
      <c r="E1742" s="109"/>
      <c r="F1742" s="110"/>
      <c r="G1742" s="95"/>
      <c r="H1742" s="122"/>
      <c r="I1742" s="109"/>
      <c r="J1742" s="120"/>
      <c r="K1742" s="120"/>
      <c r="L1742" s="93"/>
      <c r="M1742" s="93"/>
      <c r="N1742" s="93"/>
      <c r="O1742" s="56"/>
      <c r="P1742" s="56"/>
      <c r="Q1742" s="56"/>
      <c r="R1742" s="56"/>
      <c r="S1742" s="56"/>
      <c r="T1742" s="56"/>
      <c r="U1742" s="56"/>
      <c r="V1742" s="56"/>
    </row>
    <row r="1743" ht="18.75" customHeight="1">
      <c r="A1743" s="90"/>
      <c r="B1743" s="126"/>
      <c r="C1743" s="252"/>
      <c r="D1743" s="109"/>
      <c r="E1743" s="109"/>
      <c r="F1743" s="110"/>
      <c r="G1743" s="95"/>
      <c r="H1743" s="122"/>
      <c r="I1743" s="109"/>
      <c r="J1743" s="120"/>
      <c r="K1743" s="120"/>
      <c r="L1743" s="93"/>
      <c r="M1743" s="93"/>
      <c r="N1743" s="93"/>
      <c r="O1743" s="56"/>
      <c r="P1743" s="56"/>
      <c r="Q1743" s="56"/>
      <c r="R1743" s="56"/>
      <c r="S1743" s="56"/>
      <c r="T1743" s="56"/>
      <c r="U1743" s="56"/>
      <c r="V1743" s="56"/>
    </row>
    <row r="1744" ht="18.75" customHeight="1">
      <c r="A1744" s="90"/>
      <c r="B1744" s="126"/>
      <c r="C1744" s="252"/>
      <c r="D1744" s="109"/>
      <c r="E1744" s="109"/>
      <c r="F1744" s="110"/>
      <c r="G1744" s="95"/>
      <c r="H1744" s="122"/>
      <c r="I1744" s="109"/>
      <c r="J1744" s="120"/>
      <c r="K1744" s="120"/>
      <c r="L1744" s="93"/>
      <c r="M1744" s="93"/>
      <c r="N1744" s="93"/>
      <c r="O1744" s="56"/>
      <c r="P1744" s="56"/>
      <c r="Q1744" s="56"/>
      <c r="R1744" s="56"/>
      <c r="S1744" s="56"/>
      <c r="T1744" s="56"/>
      <c r="U1744" s="56"/>
      <c r="V1744" s="56"/>
    </row>
    <row r="1745" ht="18.75" customHeight="1">
      <c r="A1745" s="90"/>
      <c r="B1745" s="126"/>
      <c r="C1745" s="252"/>
      <c r="D1745" s="109"/>
      <c r="E1745" s="109"/>
      <c r="F1745" s="110"/>
      <c r="G1745" s="95"/>
      <c r="H1745" s="122"/>
      <c r="I1745" s="109"/>
      <c r="J1745" s="120"/>
      <c r="K1745" s="120"/>
      <c r="L1745" s="93"/>
      <c r="M1745" s="93"/>
      <c r="N1745" s="93"/>
      <c r="O1745" s="56"/>
      <c r="P1745" s="56"/>
      <c r="Q1745" s="56"/>
      <c r="R1745" s="56"/>
      <c r="S1745" s="56"/>
      <c r="T1745" s="56"/>
      <c r="U1745" s="56"/>
      <c r="V1745" s="56"/>
    </row>
    <row r="1746" ht="18.75" customHeight="1">
      <c r="A1746" s="90"/>
      <c r="B1746" s="126"/>
      <c r="C1746" s="252"/>
      <c r="D1746" s="109"/>
      <c r="E1746" s="109"/>
      <c r="F1746" s="110"/>
      <c r="G1746" s="95"/>
      <c r="H1746" s="122"/>
      <c r="I1746" s="109"/>
      <c r="J1746" s="120"/>
      <c r="K1746" s="120"/>
      <c r="L1746" s="93"/>
      <c r="M1746" s="93"/>
      <c r="N1746" s="93"/>
      <c r="O1746" s="56"/>
      <c r="P1746" s="56"/>
      <c r="Q1746" s="56"/>
      <c r="R1746" s="56"/>
      <c r="S1746" s="56"/>
      <c r="T1746" s="56"/>
      <c r="U1746" s="56"/>
      <c r="V1746" s="56"/>
    </row>
    <row r="1747" ht="18.75" customHeight="1">
      <c r="A1747" s="90"/>
      <c r="B1747" s="126"/>
      <c r="C1747" s="252"/>
      <c r="D1747" s="109"/>
      <c r="E1747" s="109"/>
      <c r="F1747" s="110"/>
      <c r="G1747" s="95"/>
      <c r="H1747" s="122"/>
      <c r="I1747" s="109"/>
      <c r="J1747" s="120"/>
      <c r="K1747" s="120"/>
      <c r="L1747" s="93"/>
      <c r="M1747" s="93"/>
      <c r="N1747" s="93"/>
      <c r="O1747" s="56"/>
      <c r="P1747" s="56"/>
      <c r="Q1747" s="56"/>
      <c r="R1747" s="56"/>
      <c r="S1747" s="56"/>
      <c r="T1747" s="56"/>
      <c r="U1747" s="56"/>
      <c r="V1747" s="56"/>
    </row>
    <row r="1748" ht="18.75" customHeight="1">
      <c r="A1748" s="90"/>
      <c r="B1748" s="126"/>
      <c r="C1748" s="252"/>
      <c r="D1748" s="109"/>
      <c r="E1748" s="109"/>
      <c r="F1748" s="110"/>
      <c r="G1748" s="95"/>
      <c r="H1748" s="122"/>
      <c r="I1748" s="109"/>
      <c r="J1748" s="120"/>
      <c r="K1748" s="120"/>
      <c r="L1748" s="93"/>
      <c r="M1748" s="93"/>
      <c r="N1748" s="93"/>
      <c r="O1748" s="56"/>
      <c r="P1748" s="56"/>
      <c r="Q1748" s="56"/>
      <c r="R1748" s="56"/>
      <c r="S1748" s="56"/>
      <c r="T1748" s="56"/>
      <c r="U1748" s="56"/>
      <c r="V1748" s="56"/>
    </row>
    <row r="1749" ht="18.75" customHeight="1">
      <c r="A1749" s="90"/>
      <c r="B1749" s="126"/>
      <c r="C1749" s="252"/>
      <c r="D1749" s="109"/>
      <c r="E1749" s="109"/>
      <c r="F1749" s="110"/>
      <c r="G1749" s="95"/>
      <c r="H1749" s="122"/>
      <c r="I1749" s="109"/>
      <c r="J1749" s="120"/>
      <c r="K1749" s="120"/>
      <c r="L1749" s="93"/>
      <c r="M1749" s="93"/>
      <c r="N1749" s="93"/>
      <c r="O1749" s="56"/>
      <c r="P1749" s="56"/>
      <c r="Q1749" s="56"/>
      <c r="R1749" s="56"/>
      <c r="S1749" s="56"/>
      <c r="T1749" s="56"/>
      <c r="U1749" s="56"/>
      <c r="V1749" s="56"/>
    </row>
    <row r="1750" ht="18.75" customHeight="1">
      <c r="A1750" s="90"/>
      <c r="B1750" s="126"/>
      <c r="C1750" s="252"/>
      <c r="D1750" s="109"/>
      <c r="E1750" s="109"/>
      <c r="F1750" s="110"/>
      <c r="G1750" s="95"/>
      <c r="H1750" s="122"/>
      <c r="I1750" s="109"/>
      <c r="J1750" s="120"/>
      <c r="K1750" s="120"/>
      <c r="L1750" s="93"/>
      <c r="M1750" s="93"/>
      <c r="N1750" s="93"/>
      <c r="O1750" s="56"/>
      <c r="P1750" s="56"/>
      <c r="Q1750" s="56"/>
      <c r="R1750" s="56"/>
      <c r="S1750" s="56"/>
      <c r="T1750" s="56"/>
      <c r="U1750" s="56"/>
      <c r="V1750" s="56"/>
    </row>
    <row r="1751" ht="18.75" customHeight="1">
      <c r="A1751" s="90"/>
      <c r="B1751" s="126"/>
      <c r="C1751" s="252"/>
      <c r="D1751" s="109"/>
      <c r="E1751" s="109"/>
      <c r="F1751" s="110"/>
      <c r="G1751" s="95"/>
      <c r="H1751" s="122"/>
      <c r="I1751" s="109"/>
      <c r="J1751" s="120"/>
      <c r="K1751" s="120"/>
      <c r="L1751" s="93"/>
      <c r="M1751" s="93"/>
      <c r="N1751" s="93"/>
      <c r="O1751" s="56"/>
      <c r="P1751" s="56"/>
      <c r="Q1751" s="56"/>
      <c r="R1751" s="56"/>
      <c r="S1751" s="56"/>
      <c r="T1751" s="56"/>
      <c r="U1751" s="56"/>
      <c r="V1751" s="56"/>
    </row>
    <row r="1752" ht="18.75" customHeight="1">
      <c r="A1752" s="90"/>
      <c r="B1752" s="126"/>
      <c r="C1752" s="252"/>
      <c r="D1752" s="109"/>
      <c r="E1752" s="109"/>
      <c r="F1752" s="110"/>
      <c r="G1752" s="95"/>
      <c r="H1752" s="122"/>
      <c r="I1752" s="109"/>
      <c r="J1752" s="120"/>
      <c r="K1752" s="120"/>
      <c r="L1752" s="93"/>
      <c r="M1752" s="93"/>
      <c r="N1752" s="93"/>
      <c r="O1752" s="56"/>
      <c r="P1752" s="56"/>
      <c r="Q1752" s="56"/>
      <c r="R1752" s="56"/>
      <c r="S1752" s="56"/>
      <c r="T1752" s="56"/>
      <c r="U1752" s="56"/>
      <c r="V1752" s="56"/>
    </row>
    <row r="1753" ht="18.75" customHeight="1">
      <c r="A1753" s="90"/>
      <c r="B1753" s="126"/>
      <c r="C1753" s="252"/>
      <c r="D1753" s="109"/>
      <c r="E1753" s="109"/>
      <c r="F1753" s="110"/>
      <c r="G1753" s="95"/>
      <c r="H1753" s="122"/>
      <c r="I1753" s="109"/>
      <c r="J1753" s="120"/>
      <c r="K1753" s="120"/>
      <c r="L1753" s="93"/>
      <c r="M1753" s="93"/>
      <c r="N1753" s="93"/>
      <c r="O1753" s="56"/>
      <c r="P1753" s="56"/>
      <c r="Q1753" s="56"/>
      <c r="R1753" s="56"/>
      <c r="S1753" s="56"/>
      <c r="T1753" s="56"/>
      <c r="U1753" s="56"/>
      <c r="V1753" s="56"/>
    </row>
    <row r="1754" ht="18.75" customHeight="1">
      <c r="A1754" s="90"/>
      <c r="B1754" s="126"/>
      <c r="C1754" s="252"/>
      <c r="D1754" s="109"/>
      <c r="E1754" s="109"/>
      <c r="F1754" s="110"/>
      <c r="G1754" s="95"/>
      <c r="H1754" s="122"/>
      <c r="I1754" s="109"/>
      <c r="J1754" s="120"/>
      <c r="K1754" s="120"/>
      <c r="L1754" s="93"/>
      <c r="M1754" s="93"/>
      <c r="N1754" s="93"/>
      <c r="O1754" s="56"/>
      <c r="P1754" s="56"/>
      <c r="Q1754" s="56"/>
      <c r="R1754" s="56"/>
      <c r="S1754" s="56"/>
      <c r="T1754" s="56"/>
      <c r="U1754" s="56"/>
      <c r="V1754" s="56"/>
    </row>
    <row r="1755" ht="18.75" customHeight="1">
      <c r="A1755" s="90"/>
      <c r="B1755" s="126"/>
      <c r="C1755" s="252"/>
      <c r="D1755" s="109"/>
      <c r="E1755" s="109"/>
      <c r="F1755" s="110"/>
      <c r="G1755" s="95"/>
      <c r="H1755" s="122"/>
      <c r="I1755" s="109"/>
      <c r="J1755" s="120"/>
      <c r="K1755" s="120"/>
      <c r="L1755" s="93"/>
      <c r="M1755" s="93"/>
      <c r="N1755" s="93"/>
      <c r="O1755" s="56"/>
      <c r="P1755" s="56"/>
      <c r="Q1755" s="56"/>
      <c r="R1755" s="56"/>
      <c r="S1755" s="56"/>
      <c r="T1755" s="56"/>
      <c r="U1755" s="56"/>
      <c r="V1755" s="56"/>
    </row>
    <row r="1756" ht="18.75" customHeight="1">
      <c r="A1756" s="90"/>
      <c r="B1756" s="126"/>
      <c r="C1756" s="252"/>
      <c r="D1756" s="109"/>
      <c r="E1756" s="109"/>
      <c r="F1756" s="110"/>
      <c r="G1756" s="95"/>
      <c r="H1756" s="122"/>
      <c r="I1756" s="109"/>
      <c r="J1756" s="120"/>
      <c r="K1756" s="120"/>
      <c r="L1756" s="93"/>
      <c r="M1756" s="93"/>
      <c r="N1756" s="93"/>
      <c r="O1756" s="56"/>
      <c r="P1756" s="56"/>
      <c r="Q1756" s="56"/>
      <c r="R1756" s="56"/>
      <c r="S1756" s="56"/>
      <c r="T1756" s="56"/>
      <c r="U1756" s="56"/>
      <c r="V1756" s="56"/>
    </row>
    <row r="1757" ht="18.75" customHeight="1">
      <c r="A1757" s="90"/>
      <c r="B1757" s="126"/>
      <c r="C1757" s="252"/>
      <c r="D1757" s="109"/>
      <c r="E1757" s="109"/>
      <c r="F1757" s="110"/>
      <c r="G1757" s="95"/>
      <c r="H1757" s="122"/>
      <c r="I1757" s="109"/>
      <c r="J1757" s="120"/>
      <c r="K1757" s="120"/>
      <c r="L1757" s="93"/>
      <c r="M1757" s="93"/>
      <c r="N1757" s="93"/>
      <c r="O1757" s="56"/>
      <c r="P1757" s="56"/>
      <c r="Q1757" s="56"/>
      <c r="R1757" s="56"/>
      <c r="S1757" s="56"/>
      <c r="T1757" s="56"/>
      <c r="U1757" s="56"/>
      <c r="V1757" s="56"/>
    </row>
    <row r="1758" ht="18.75" customHeight="1">
      <c r="A1758" s="90"/>
      <c r="B1758" s="126"/>
      <c r="C1758" s="252"/>
      <c r="D1758" s="109"/>
      <c r="E1758" s="109"/>
      <c r="F1758" s="110"/>
      <c r="G1758" s="95"/>
      <c r="H1758" s="122"/>
      <c r="I1758" s="109"/>
      <c r="J1758" s="120"/>
      <c r="K1758" s="120"/>
      <c r="L1758" s="93"/>
      <c r="M1758" s="93"/>
      <c r="N1758" s="93"/>
      <c r="O1758" s="56"/>
      <c r="P1758" s="56"/>
      <c r="Q1758" s="56"/>
      <c r="R1758" s="56"/>
      <c r="S1758" s="56"/>
      <c r="T1758" s="56"/>
      <c r="U1758" s="56"/>
      <c r="V1758" s="56"/>
    </row>
    <row r="1759" ht="18.75" customHeight="1">
      <c r="A1759" s="90"/>
      <c r="B1759" s="126"/>
      <c r="C1759" s="252"/>
      <c r="D1759" s="109"/>
      <c r="E1759" s="109"/>
      <c r="F1759" s="110"/>
      <c r="G1759" s="95"/>
      <c r="H1759" s="122"/>
      <c r="I1759" s="109"/>
      <c r="J1759" s="120"/>
      <c r="K1759" s="120"/>
      <c r="L1759" s="93"/>
      <c r="M1759" s="93"/>
      <c r="N1759" s="93"/>
      <c r="O1759" s="56"/>
      <c r="P1759" s="56"/>
      <c r="Q1759" s="56"/>
      <c r="R1759" s="56"/>
      <c r="S1759" s="56"/>
      <c r="T1759" s="56"/>
      <c r="U1759" s="56"/>
      <c r="V1759" s="56"/>
    </row>
    <row r="1760" ht="18.75" customHeight="1">
      <c r="A1760" s="90"/>
      <c r="B1760" s="126"/>
      <c r="C1760" s="252"/>
      <c r="D1760" s="109"/>
      <c r="E1760" s="109"/>
      <c r="F1760" s="110"/>
      <c r="G1760" s="95"/>
      <c r="H1760" s="122"/>
      <c r="I1760" s="109"/>
      <c r="J1760" s="120"/>
      <c r="K1760" s="120"/>
      <c r="L1760" s="93"/>
      <c r="M1760" s="93"/>
      <c r="N1760" s="93"/>
      <c r="O1760" s="56"/>
      <c r="P1760" s="56"/>
      <c r="Q1760" s="56"/>
      <c r="R1760" s="56"/>
      <c r="S1760" s="56"/>
      <c r="T1760" s="56"/>
      <c r="U1760" s="56"/>
      <c r="V1760" s="56"/>
    </row>
    <row r="1761" ht="18.75" customHeight="1">
      <c r="A1761" s="90"/>
      <c r="B1761" s="126"/>
      <c r="C1761" s="252"/>
      <c r="D1761" s="109"/>
      <c r="E1761" s="109"/>
      <c r="F1761" s="110"/>
      <c r="G1761" s="95"/>
      <c r="H1761" s="122"/>
      <c r="I1761" s="109"/>
      <c r="J1761" s="120"/>
      <c r="K1761" s="120"/>
      <c r="L1761" s="93"/>
      <c r="M1761" s="93"/>
      <c r="N1761" s="93"/>
      <c r="O1761" s="56"/>
      <c r="P1761" s="56"/>
      <c r="Q1761" s="56"/>
      <c r="R1761" s="56"/>
      <c r="S1761" s="56"/>
      <c r="T1761" s="56"/>
      <c r="U1761" s="56"/>
      <c r="V1761" s="56"/>
    </row>
    <row r="1762" ht="18.75" customHeight="1">
      <c r="A1762" s="90"/>
      <c r="B1762" s="126"/>
      <c r="C1762" s="252"/>
      <c r="D1762" s="109"/>
      <c r="E1762" s="109"/>
      <c r="F1762" s="110"/>
      <c r="G1762" s="95"/>
      <c r="H1762" s="122"/>
      <c r="I1762" s="109"/>
      <c r="J1762" s="120"/>
      <c r="K1762" s="120"/>
      <c r="L1762" s="93"/>
      <c r="M1762" s="93"/>
      <c r="N1762" s="93"/>
      <c r="O1762" s="56"/>
      <c r="P1762" s="56"/>
      <c r="Q1762" s="56"/>
      <c r="R1762" s="56"/>
      <c r="S1762" s="56"/>
      <c r="T1762" s="56"/>
      <c r="U1762" s="56"/>
      <c r="V1762" s="56"/>
    </row>
    <row r="1763" ht="18.75" customHeight="1">
      <c r="A1763" s="90"/>
      <c r="B1763" s="126"/>
      <c r="C1763" s="252"/>
      <c r="D1763" s="109"/>
      <c r="E1763" s="109"/>
      <c r="F1763" s="110"/>
      <c r="G1763" s="95"/>
      <c r="H1763" s="122"/>
      <c r="I1763" s="109"/>
      <c r="J1763" s="120"/>
      <c r="K1763" s="120"/>
      <c r="L1763" s="93"/>
      <c r="M1763" s="93"/>
      <c r="N1763" s="93"/>
      <c r="O1763" s="56"/>
      <c r="P1763" s="56"/>
      <c r="Q1763" s="56"/>
      <c r="R1763" s="56"/>
      <c r="S1763" s="56"/>
      <c r="T1763" s="56"/>
      <c r="U1763" s="56"/>
      <c r="V1763" s="56"/>
    </row>
    <row r="1764" ht="18.75" customHeight="1">
      <c r="A1764" s="90"/>
      <c r="B1764" s="126"/>
      <c r="C1764" s="252"/>
      <c r="D1764" s="109"/>
      <c r="E1764" s="109"/>
      <c r="F1764" s="110"/>
      <c r="G1764" s="95"/>
      <c r="H1764" s="122"/>
      <c r="I1764" s="109"/>
      <c r="J1764" s="120"/>
      <c r="K1764" s="120"/>
      <c r="L1764" s="93"/>
      <c r="M1764" s="93"/>
      <c r="N1764" s="93"/>
      <c r="O1764" s="56"/>
      <c r="P1764" s="56"/>
      <c r="Q1764" s="56"/>
      <c r="R1764" s="56"/>
      <c r="S1764" s="56"/>
      <c r="T1764" s="56"/>
      <c r="U1764" s="56"/>
      <c r="V1764" s="56"/>
    </row>
    <row r="1765" ht="18.75" customHeight="1">
      <c r="A1765" s="90"/>
      <c r="B1765" s="126"/>
      <c r="C1765" s="252"/>
      <c r="D1765" s="109"/>
      <c r="E1765" s="109"/>
      <c r="F1765" s="110"/>
      <c r="G1765" s="95"/>
      <c r="H1765" s="122"/>
      <c r="I1765" s="109"/>
      <c r="J1765" s="120"/>
      <c r="K1765" s="120"/>
      <c r="L1765" s="93"/>
      <c r="M1765" s="93"/>
      <c r="N1765" s="93"/>
      <c r="O1765" s="56"/>
      <c r="P1765" s="56"/>
      <c r="Q1765" s="56"/>
      <c r="R1765" s="56"/>
      <c r="S1765" s="56"/>
      <c r="T1765" s="56"/>
      <c r="U1765" s="56"/>
      <c r="V1765" s="56"/>
    </row>
    <row r="1766" ht="18.75" customHeight="1">
      <c r="A1766" s="90"/>
      <c r="B1766" s="126"/>
      <c r="C1766" s="252"/>
      <c r="D1766" s="109"/>
      <c r="E1766" s="109"/>
      <c r="F1766" s="110"/>
      <c r="G1766" s="95"/>
      <c r="H1766" s="122"/>
      <c r="I1766" s="109"/>
      <c r="J1766" s="120"/>
      <c r="K1766" s="120"/>
      <c r="L1766" s="93"/>
      <c r="M1766" s="93"/>
      <c r="N1766" s="93"/>
      <c r="O1766" s="56"/>
      <c r="P1766" s="56"/>
      <c r="Q1766" s="56"/>
      <c r="R1766" s="56"/>
      <c r="S1766" s="56"/>
      <c r="T1766" s="56"/>
      <c r="U1766" s="56"/>
      <c r="V1766" s="56"/>
    </row>
    <row r="1767" ht="18.75" customHeight="1">
      <c r="A1767" s="90"/>
      <c r="B1767" s="126"/>
      <c r="C1767" s="252"/>
      <c r="D1767" s="109"/>
      <c r="E1767" s="109"/>
      <c r="F1767" s="110"/>
      <c r="G1767" s="95"/>
      <c r="H1767" s="122"/>
      <c r="I1767" s="109"/>
      <c r="J1767" s="120"/>
      <c r="K1767" s="120"/>
      <c r="L1767" s="93"/>
      <c r="M1767" s="93"/>
      <c r="N1767" s="93"/>
      <c r="O1767" s="56"/>
      <c r="P1767" s="56"/>
      <c r="Q1767" s="56"/>
      <c r="R1767" s="56"/>
      <c r="S1767" s="56"/>
      <c r="T1767" s="56"/>
      <c r="U1767" s="56"/>
      <c r="V1767" s="56"/>
    </row>
    <row r="1768" ht="18.75" customHeight="1">
      <c r="A1768" s="90"/>
      <c r="B1768" s="126"/>
      <c r="C1768" s="252"/>
      <c r="D1768" s="109"/>
      <c r="E1768" s="109"/>
      <c r="F1768" s="110"/>
      <c r="G1768" s="95"/>
      <c r="H1768" s="122"/>
      <c r="I1768" s="109"/>
      <c r="J1768" s="120"/>
      <c r="K1768" s="120"/>
      <c r="L1768" s="93"/>
      <c r="M1768" s="93"/>
      <c r="N1768" s="93"/>
      <c r="O1768" s="56"/>
      <c r="P1768" s="56"/>
      <c r="Q1768" s="56"/>
      <c r="R1768" s="56"/>
      <c r="S1768" s="56"/>
      <c r="T1768" s="56"/>
      <c r="U1768" s="56"/>
      <c r="V1768" s="56"/>
    </row>
    <row r="1769" ht="18.75" customHeight="1">
      <c r="A1769" s="90"/>
      <c r="B1769" s="126"/>
      <c r="C1769" s="252"/>
      <c r="D1769" s="109"/>
      <c r="E1769" s="109"/>
      <c r="F1769" s="110"/>
      <c r="G1769" s="95"/>
      <c r="H1769" s="122"/>
      <c r="I1769" s="109"/>
      <c r="J1769" s="120"/>
      <c r="K1769" s="120"/>
      <c r="L1769" s="93"/>
      <c r="M1769" s="93"/>
      <c r="N1769" s="93"/>
      <c r="O1769" s="56"/>
      <c r="P1769" s="56"/>
      <c r="Q1769" s="56"/>
      <c r="R1769" s="56"/>
      <c r="S1769" s="56"/>
      <c r="T1769" s="56"/>
      <c r="U1769" s="56"/>
      <c r="V1769" s="56"/>
    </row>
    <row r="1770" ht="18.75" customHeight="1">
      <c r="A1770" s="90"/>
      <c r="B1770" s="126"/>
      <c r="C1770" s="252"/>
      <c r="D1770" s="109"/>
      <c r="E1770" s="109"/>
      <c r="F1770" s="110"/>
      <c r="G1770" s="95"/>
      <c r="H1770" s="122"/>
      <c r="I1770" s="109"/>
      <c r="J1770" s="120"/>
      <c r="K1770" s="120"/>
      <c r="L1770" s="93"/>
      <c r="M1770" s="93"/>
      <c r="N1770" s="93"/>
      <c r="O1770" s="56"/>
      <c r="P1770" s="56"/>
      <c r="Q1770" s="56"/>
      <c r="R1770" s="56"/>
      <c r="S1770" s="56"/>
      <c r="T1770" s="56"/>
      <c r="U1770" s="56"/>
      <c r="V1770" s="56"/>
    </row>
    <row r="1771" ht="18.75" customHeight="1">
      <c r="A1771" s="90"/>
      <c r="B1771" s="126"/>
      <c r="C1771" s="252"/>
      <c r="D1771" s="109"/>
      <c r="E1771" s="109"/>
      <c r="F1771" s="110"/>
      <c r="G1771" s="95"/>
      <c r="H1771" s="122"/>
      <c r="I1771" s="109"/>
      <c r="J1771" s="120"/>
      <c r="K1771" s="120"/>
      <c r="L1771" s="93"/>
      <c r="M1771" s="93"/>
      <c r="N1771" s="93"/>
      <c r="O1771" s="56"/>
      <c r="P1771" s="56"/>
      <c r="Q1771" s="56"/>
      <c r="R1771" s="56"/>
      <c r="S1771" s="56"/>
      <c r="T1771" s="56"/>
      <c r="U1771" s="56"/>
      <c r="V1771" s="56"/>
    </row>
    <row r="1772" ht="18.75" customHeight="1">
      <c r="A1772" s="90"/>
      <c r="B1772" s="126"/>
      <c r="C1772" s="252"/>
      <c r="D1772" s="109"/>
      <c r="E1772" s="109"/>
      <c r="F1772" s="110"/>
      <c r="G1772" s="95"/>
      <c r="H1772" s="122"/>
      <c r="I1772" s="109"/>
      <c r="J1772" s="120"/>
      <c r="K1772" s="120"/>
      <c r="L1772" s="93"/>
      <c r="M1772" s="93"/>
      <c r="N1772" s="93"/>
      <c r="O1772" s="56"/>
      <c r="P1772" s="56"/>
      <c r="Q1772" s="56"/>
      <c r="R1772" s="56"/>
      <c r="S1772" s="56"/>
      <c r="T1772" s="56"/>
      <c r="U1772" s="56"/>
      <c r="V1772" s="56"/>
    </row>
    <row r="1773" ht="18.75" customHeight="1">
      <c r="A1773" s="90"/>
      <c r="B1773" s="126"/>
      <c r="C1773" s="252"/>
      <c r="D1773" s="109"/>
      <c r="E1773" s="109"/>
      <c r="F1773" s="110"/>
      <c r="G1773" s="95"/>
      <c r="H1773" s="122"/>
      <c r="I1773" s="109"/>
      <c r="J1773" s="120"/>
      <c r="K1773" s="120"/>
      <c r="L1773" s="93"/>
      <c r="M1773" s="93"/>
      <c r="N1773" s="93"/>
      <c r="O1773" s="56"/>
      <c r="P1773" s="56"/>
      <c r="Q1773" s="56"/>
      <c r="R1773" s="56"/>
      <c r="S1773" s="56"/>
      <c r="T1773" s="56"/>
      <c r="U1773" s="56"/>
      <c r="V1773" s="56"/>
    </row>
    <row r="1774" ht="18.75" customHeight="1">
      <c r="A1774" s="90"/>
      <c r="B1774" s="126"/>
      <c r="C1774" s="252"/>
      <c r="D1774" s="109"/>
      <c r="E1774" s="109"/>
      <c r="F1774" s="110"/>
      <c r="G1774" s="95"/>
      <c r="H1774" s="122"/>
      <c r="I1774" s="109"/>
      <c r="J1774" s="120"/>
      <c r="K1774" s="120"/>
      <c r="L1774" s="93"/>
      <c r="M1774" s="93"/>
      <c r="N1774" s="93"/>
      <c r="O1774" s="56"/>
      <c r="P1774" s="56"/>
      <c r="Q1774" s="56"/>
      <c r="R1774" s="56"/>
      <c r="S1774" s="56"/>
      <c r="T1774" s="56"/>
      <c r="U1774" s="56"/>
      <c r="V1774" s="56"/>
    </row>
    <row r="1775" ht="18.75" customHeight="1">
      <c r="A1775" s="90"/>
      <c r="B1775" s="126"/>
      <c r="C1775" s="252"/>
      <c r="D1775" s="109"/>
      <c r="E1775" s="109"/>
      <c r="F1775" s="110"/>
      <c r="G1775" s="95"/>
      <c r="H1775" s="122"/>
      <c r="I1775" s="109"/>
      <c r="J1775" s="120"/>
      <c r="K1775" s="120"/>
      <c r="L1775" s="93"/>
      <c r="M1775" s="93"/>
      <c r="N1775" s="93"/>
      <c r="O1775" s="56"/>
      <c r="P1775" s="56"/>
      <c r="Q1775" s="56"/>
      <c r="R1775" s="56"/>
      <c r="S1775" s="56"/>
      <c r="T1775" s="56"/>
      <c r="U1775" s="56"/>
      <c r="V1775" s="56"/>
    </row>
    <row r="1776" ht="18.75" customHeight="1">
      <c r="A1776" s="90"/>
      <c r="B1776" s="126"/>
      <c r="C1776" s="252"/>
      <c r="D1776" s="109"/>
      <c r="E1776" s="109"/>
      <c r="F1776" s="110"/>
      <c r="G1776" s="95"/>
      <c r="H1776" s="122"/>
      <c r="I1776" s="109"/>
      <c r="J1776" s="120"/>
      <c r="K1776" s="120"/>
      <c r="L1776" s="93"/>
      <c r="M1776" s="93"/>
      <c r="N1776" s="93"/>
      <c r="O1776" s="56"/>
      <c r="P1776" s="56"/>
      <c r="Q1776" s="56"/>
      <c r="R1776" s="56"/>
      <c r="S1776" s="56"/>
      <c r="T1776" s="56"/>
      <c r="U1776" s="56"/>
      <c r="V1776" s="56"/>
    </row>
    <row r="1777" ht="18.75" customHeight="1">
      <c r="A1777" s="90"/>
      <c r="B1777" s="126"/>
      <c r="C1777" s="252"/>
      <c r="D1777" s="109"/>
      <c r="E1777" s="109"/>
      <c r="F1777" s="110"/>
      <c r="G1777" s="95"/>
      <c r="H1777" s="122"/>
      <c r="I1777" s="109"/>
      <c r="J1777" s="120"/>
      <c r="K1777" s="120"/>
      <c r="L1777" s="93"/>
      <c r="M1777" s="93"/>
      <c r="N1777" s="93"/>
      <c r="O1777" s="56"/>
      <c r="P1777" s="56"/>
      <c r="Q1777" s="56"/>
      <c r="R1777" s="56"/>
      <c r="S1777" s="56"/>
      <c r="T1777" s="56"/>
      <c r="U1777" s="56"/>
      <c r="V1777" s="56"/>
    </row>
    <row r="1778" ht="18.75" customHeight="1">
      <c r="A1778" s="90"/>
      <c r="B1778" s="126"/>
      <c r="C1778" s="252"/>
      <c r="D1778" s="109"/>
      <c r="E1778" s="109"/>
      <c r="F1778" s="110"/>
      <c r="G1778" s="95"/>
      <c r="H1778" s="122"/>
      <c r="I1778" s="109"/>
      <c r="J1778" s="120"/>
      <c r="K1778" s="120"/>
      <c r="L1778" s="93"/>
      <c r="M1778" s="93"/>
      <c r="N1778" s="93"/>
      <c r="O1778" s="56"/>
      <c r="P1778" s="56"/>
      <c r="Q1778" s="56"/>
      <c r="R1778" s="56"/>
      <c r="S1778" s="56"/>
      <c r="T1778" s="56"/>
      <c r="U1778" s="56"/>
      <c r="V1778" s="56"/>
    </row>
    <row r="1779" ht="18.75" customHeight="1">
      <c r="A1779" s="90"/>
      <c r="B1779" s="126"/>
      <c r="C1779" s="252"/>
      <c r="D1779" s="109"/>
      <c r="E1779" s="109"/>
      <c r="F1779" s="110"/>
      <c r="G1779" s="95"/>
      <c r="H1779" s="122"/>
      <c r="I1779" s="109"/>
      <c r="J1779" s="120"/>
      <c r="K1779" s="120"/>
      <c r="L1779" s="93"/>
      <c r="M1779" s="93"/>
      <c r="N1779" s="93"/>
      <c r="O1779" s="56"/>
      <c r="P1779" s="56"/>
      <c r="Q1779" s="56"/>
      <c r="R1779" s="56"/>
      <c r="S1779" s="56"/>
      <c r="T1779" s="56"/>
      <c r="U1779" s="56"/>
      <c r="V1779" s="56"/>
    </row>
    <row r="1780" ht="18.75" customHeight="1">
      <c r="A1780" s="90"/>
      <c r="B1780" s="126"/>
      <c r="C1780" s="252"/>
      <c r="D1780" s="109"/>
      <c r="E1780" s="109"/>
      <c r="F1780" s="110"/>
      <c r="G1780" s="95"/>
      <c r="H1780" s="122"/>
      <c r="I1780" s="109"/>
      <c r="J1780" s="120"/>
      <c r="K1780" s="120"/>
      <c r="L1780" s="93"/>
      <c r="M1780" s="93"/>
      <c r="N1780" s="93"/>
      <c r="O1780" s="56"/>
      <c r="P1780" s="56"/>
      <c r="Q1780" s="56"/>
      <c r="R1780" s="56"/>
      <c r="S1780" s="56"/>
      <c r="T1780" s="56"/>
      <c r="U1780" s="56"/>
      <c r="V1780" s="56"/>
    </row>
    <row r="1781" ht="18.75" customHeight="1">
      <c r="A1781" s="90"/>
      <c r="B1781" s="126"/>
      <c r="C1781" s="252"/>
      <c r="D1781" s="109"/>
      <c r="E1781" s="109"/>
      <c r="F1781" s="110"/>
      <c r="G1781" s="95"/>
      <c r="H1781" s="122"/>
      <c r="I1781" s="109"/>
      <c r="J1781" s="120"/>
      <c r="K1781" s="120"/>
      <c r="L1781" s="93"/>
      <c r="M1781" s="93"/>
      <c r="N1781" s="93"/>
      <c r="O1781" s="56"/>
      <c r="P1781" s="56"/>
      <c r="Q1781" s="56"/>
      <c r="R1781" s="56"/>
      <c r="S1781" s="56"/>
      <c r="T1781" s="56"/>
      <c r="U1781" s="56"/>
      <c r="V1781" s="56"/>
    </row>
    <row r="1782" ht="18.75" customHeight="1">
      <c r="A1782" s="90"/>
      <c r="B1782" s="126"/>
      <c r="C1782" s="252"/>
      <c r="D1782" s="109"/>
      <c r="E1782" s="109"/>
      <c r="F1782" s="110"/>
      <c r="G1782" s="95"/>
      <c r="H1782" s="122"/>
      <c r="I1782" s="109"/>
      <c r="J1782" s="120"/>
      <c r="K1782" s="120"/>
      <c r="L1782" s="93"/>
      <c r="M1782" s="93"/>
      <c r="N1782" s="93"/>
      <c r="O1782" s="56"/>
      <c r="P1782" s="56"/>
      <c r="Q1782" s="56"/>
      <c r="R1782" s="56"/>
      <c r="S1782" s="56"/>
      <c r="T1782" s="56"/>
      <c r="U1782" s="56"/>
      <c r="V1782" s="56"/>
    </row>
    <row r="1783" ht="18.75" customHeight="1">
      <c r="A1783" s="90"/>
      <c r="B1783" s="126"/>
      <c r="C1783" s="252"/>
      <c r="D1783" s="109"/>
      <c r="E1783" s="109"/>
      <c r="F1783" s="110"/>
      <c r="G1783" s="95"/>
      <c r="H1783" s="122"/>
      <c r="I1783" s="109"/>
      <c r="J1783" s="120"/>
      <c r="K1783" s="120"/>
      <c r="L1783" s="93"/>
      <c r="M1783" s="93"/>
      <c r="N1783" s="93"/>
      <c r="O1783" s="56"/>
      <c r="P1783" s="56"/>
      <c r="Q1783" s="56"/>
      <c r="R1783" s="56"/>
      <c r="S1783" s="56"/>
      <c r="T1783" s="56"/>
      <c r="U1783" s="56"/>
      <c r="V1783" s="56"/>
    </row>
    <row r="1784" ht="18.75" customHeight="1">
      <c r="A1784" s="90"/>
      <c r="B1784" s="126"/>
      <c r="C1784" s="252"/>
      <c r="D1784" s="109"/>
      <c r="E1784" s="109"/>
      <c r="F1784" s="110"/>
      <c r="G1784" s="95"/>
      <c r="H1784" s="122"/>
      <c r="I1784" s="109"/>
      <c r="J1784" s="120"/>
      <c r="K1784" s="120"/>
      <c r="L1784" s="93"/>
      <c r="M1784" s="93"/>
      <c r="N1784" s="93"/>
      <c r="O1784" s="56"/>
      <c r="P1784" s="56"/>
      <c r="Q1784" s="56"/>
      <c r="R1784" s="56"/>
      <c r="S1784" s="56"/>
      <c r="T1784" s="56"/>
      <c r="U1784" s="56"/>
      <c r="V1784" s="56"/>
    </row>
    <row r="1785" ht="18.75" customHeight="1">
      <c r="A1785" s="90"/>
      <c r="B1785" s="126"/>
      <c r="C1785" s="252"/>
      <c r="D1785" s="109"/>
      <c r="E1785" s="109"/>
      <c r="F1785" s="110"/>
      <c r="G1785" s="95"/>
      <c r="H1785" s="122"/>
      <c r="I1785" s="109"/>
      <c r="J1785" s="120"/>
      <c r="K1785" s="120"/>
      <c r="L1785" s="93"/>
      <c r="M1785" s="93"/>
      <c r="N1785" s="93"/>
      <c r="O1785" s="56"/>
      <c r="P1785" s="56"/>
      <c r="Q1785" s="56"/>
      <c r="R1785" s="56"/>
      <c r="S1785" s="56"/>
      <c r="T1785" s="56"/>
      <c r="U1785" s="56"/>
      <c r="V1785" s="56"/>
    </row>
    <row r="1786" ht="18.75" customHeight="1">
      <c r="A1786" s="90"/>
      <c r="B1786" s="126"/>
      <c r="C1786" s="252"/>
      <c r="D1786" s="109"/>
      <c r="E1786" s="109"/>
      <c r="F1786" s="110"/>
      <c r="G1786" s="95"/>
      <c r="H1786" s="122"/>
      <c r="I1786" s="109"/>
      <c r="J1786" s="120"/>
      <c r="K1786" s="120"/>
      <c r="L1786" s="93"/>
      <c r="M1786" s="93"/>
      <c r="N1786" s="93"/>
      <c r="O1786" s="56"/>
      <c r="P1786" s="56"/>
      <c r="Q1786" s="56"/>
      <c r="R1786" s="56"/>
      <c r="S1786" s="56"/>
      <c r="T1786" s="56"/>
      <c r="U1786" s="56"/>
      <c r="V1786" s="56"/>
    </row>
    <row r="1787" ht="18.75" customHeight="1">
      <c r="A1787" s="90"/>
      <c r="B1787" s="126"/>
      <c r="C1787" s="252"/>
      <c r="D1787" s="109"/>
      <c r="E1787" s="109"/>
      <c r="F1787" s="110"/>
      <c r="G1787" s="95"/>
      <c r="H1787" s="122"/>
      <c r="I1787" s="109"/>
      <c r="J1787" s="120"/>
      <c r="K1787" s="120"/>
      <c r="L1787" s="93"/>
      <c r="M1787" s="93"/>
      <c r="N1787" s="93"/>
      <c r="O1787" s="56"/>
      <c r="P1787" s="56"/>
      <c r="Q1787" s="56"/>
      <c r="R1787" s="56"/>
      <c r="S1787" s="56"/>
      <c r="T1787" s="56"/>
      <c r="U1787" s="56"/>
      <c r="V1787" s="56"/>
    </row>
    <row r="1788" ht="18.75" customHeight="1">
      <c r="A1788" s="90"/>
      <c r="B1788" s="126"/>
      <c r="C1788" s="252"/>
      <c r="D1788" s="109"/>
      <c r="E1788" s="109"/>
      <c r="F1788" s="110"/>
      <c r="G1788" s="95"/>
      <c r="H1788" s="122"/>
      <c r="I1788" s="109"/>
      <c r="J1788" s="120"/>
      <c r="K1788" s="120"/>
      <c r="L1788" s="93"/>
      <c r="M1788" s="93"/>
      <c r="N1788" s="93"/>
      <c r="O1788" s="56"/>
      <c r="P1788" s="56"/>
      <c r="Q1788" s="56"/>
      <c r="R1788" s="56"/>
      <c r="S1788" s="56"/>
      <c r="T1788" s="56"/>
      <c r="U1788" s="56"/>
      <c r="V1788" s="56"/>
    </row>
    <row r="1789" ht="18.75" customHeight="1">
      <c r="A1789" s="90"/>
      <c r="B1789" s="126"/>
      <c r="C1789" s="252"/>
      <c r="D1789" s="109"/>
      <c r="E1789" s="109"/>
      <c r="F1789" s="110"/>
      <c r="G1789" s="95"/>
      <c r="H1789" s="122"/>
      <c r="I1789" s="109"/>
      <c r="J1789" s="120"/>
      <c r="K1789" s="120"/>
      <c r="L1789" s="93"/>
      <c r="M1789" s="93"/>
      <c r="N1789" s="93"/>
      <c r="O1789" s="56"/>
      <c r="P1789" s="56"/>
      <c r="Q1789" s="56"/>
      <c r="R1789" s="56"/>
      <c r="S1789" s="56"/>
      <c r="T1789" s="56"/>
      <c r="U1789" s="56"/>
      <c r="V1789" s="56"/>
    </row>
    <row r="1790" ht="18.75" customHeight="1">
      <c r="A1790" s="90"/>
      <c r="B1790" s="126"/>
      <c r="C1790" s="252"/>
      <c r="D1790" s="109"/>
      <c r="E1790" s="109"/>
      <c r="F1790" s="110"/>
      <c r="G1790" s="95"/>
      <c r="H1790" s="122"/>
      <c r="I1790" s="109"/>
      <c r="J1790" s="120"/>
      <c r="K1790" s="120"/>
      <c r="L1790" s="93"/>
      <c r="M1790" s="93"/>
      <c r="N1790" s="93"/>
      <c r="O1790" s="56"/>
      <c r="P1790" s="56"/>
      <c r="Q1790" s="56"/>
      <c r="R1790" s="56"/>
      <c r="S1790" s="56"/>
      <c r="T1790" s="56"/>
      <c r="U1790" s="56"/>
      <c r="V1790" s="56"/>
    </row>
    <row r="1791" ht="18.75" customHeight="1">
      <c r="A1791" s="90"/>
      <c r="B1791" s="126"/>
      <c r="C1791" s="252"/>
      <c r="D1791" s="109"/>
      <c r="E1791" s="109"/>
      <c r="F1791" s="110"/>
      <c r="G1791" s="95"/>
      <c r="H1791" s="122"/>
      <c r="I1791" s="109"/>
      <c r="J1791" s="120"/>
      <c r="K1791" s="120"/>
      <c r="L1791" s="93"/>
      <c r="M1791" s="93"/>
      <c r="N1791" s="93"/>
      <c r="O1791" s="56"/>
      <c r="P1791" s="56"/>
      <c r="Q1791" s="56"/>
      <c r="R1791" s="56"/>
      <c r="S1791" s="56"/>
      <c r="T1791" s="56"/>
      <c r="U1791" s="56"/>
      <c r="V1791" s="56"/>
    </row>
    <row r="1792" ht="18.75" customHeight="1">
      <c r="A1792" s="90"/>
      <c r="B1792" s="126"/>
      <c r="C1792" s="252"/>
      <c r="D1792" s="109"/>
      <c r="E1792" s="109"/>
      <c r="F1792" s="110"/>
      <c r="G1792" s="95"/>
      <c r="H1792" s="122"/>
      <c r="I1792" s="109"/>
      <c r="J1792" s="120"/>
      <c r="K1792" s="120"/>
      <c r="L1792" s="93"/>
      <c r="M1792" s="93"/>
      <c r="N1792" s="93"/>
      <c r="O1792" s="56"/>
      <c r="P1792" s="56"/>
      <c r="Q1792" s="56"/>
      <c r="R1792" s="56"/>
      <c r="S1792" s="56"/>
      <c r="T1792" s="56"/>
      <c r="U1792" s="56"/>
      <c r="V1792" s="56"/>
    </row>
    <row r="1793" ht="18.75" customHeight="1">
      <c r="A1793" s="90"/>
      <c r="B1793" s="126"/>
      <c r="C1793" s="252"/>
      <c r="D1793" s="109"/>
      <c r="E1793" s="109"/>
      <c r="F1793" s="110"/>
      <c r="G1793" s="95"/>
      <c r="H1793" s="122"/>
      <c r="I1793" s="109"/>
      <c r="J1793" s="120"/>
      <c r="K1793" s="120"/>
      <c r="L1793" s="93"/>
      <c r="M1793" s="93"/>
      <c r="N1793" s="93"/>
      <c r="O1793" s="56"/>
      <c r="P1793" s="56"/>
      <c r="Q1793" s="56"/>
      <c r="R1793" s="56"/>
      <c r="S1793" s="56"/>
      <c r="T1793" s="56"/>
      <c r="U1793" s="56"/>
      <c r="V1793" s="56"/>
    </row>
    <row r="1794" ht="18.75" customHeight="1">
      <c r="A1794" s="90"/>
      <c r="B1794" s="126"/>
      <c r="C1794" s="252"/>
      <c r="D1794" s="109"/>
      <c r="E1794" s="109"/>
      <c r="F1794" s="110"/>
      <c r="G1794" s="95"/>
      <c r="H1794" s="122"/>
      <c r="I1794" s="109"/>
      <c r="J1794" s="120"/>
      <c r="K1794" s="120"/>
      <c r="L1794" s="93"/>
      <c r="M1794" s="93"/>
      <c r="N1794" s="93"/>
      <c r="O1794" s="56"/>
      <c r="P1794" s="56"/>
      <c r="Q1794" s="56"/>
      <c r="R1794" s="56"/>
      <c r="S1794" s="56"/>
      <c r="T1794" s="56"/>
      <c r="U1794" s="56"/>
      <c r="V1794" s="56"/>
    </row>
    <row r="1795" ht="18.75" customHeight="1">
      <c r="A1795" s="90"/>
      <c r="B1795" s="126"/>
      <c r="C1795" s="252"/>
      <c r="D1795" s="109"/>
      <c r="E1795" s="109"/>
      <c r="F1795" s="110"/>
      <c r="G1795" s="95"/>
      <c r="H1795" s="122"/>
      <c r="I1795" s="109"/>
      <c r="J1795" s="120"/>
      <c r="K1795" s="120"/>
      <c r="L1795" s="93"/>
      <c r="M1795" s="93"/>
      <c r="N1795" s="93"/>
      <c r="O1795" s="56"/>
      <c r="P1795" s="56"/>
      <c r="Q1795" s="56"/>
      <c r="R1795" s="56"/>
      <c r="S1795" s="56"/>
      <c r="T1795" s="56"/>
      <c r="U1795" s="56"/>
      <c r="V1795" s="56"/>
    </row>
    <row r="1796" ht="18.75" customHeight="1">
      <c r="A1796" s="90"/>
      <c r="B1796" s="126"/>
      <c r="C1796" s="252"/>
      <c r="D1796" s="109"/>
      <c r="E1796" s="109"/>
      <c r="F1796" s="110"/>
      <c r="G1796" s="95"/>
      <c r="H1796" s="122"/>
      <c r="I1796" s="109"/>
      <c r="J1796" s="120"/>
      <c r="K1796" s="120"/>
      <c r="L1796" s="93"/>
      <c r="M1796" s="93"/>
      <c r="N1796" s="93"/>
      <c r="O1796" s="56"/>
      <c r="P1796" s="56"/>
      <c r="Q1796" s="56"/>
      <c r="R1796" s="56"/>
      <c r="S1796" s="56"/>
      <c r="T1796" s="56"/>
      <c r="U1796" s="56"/>
      <c r="V1796" s="56"/>
    </row>
    <row r="1797" ht="18.75" customHeight="1">
      <c r="A1797" s="90"/>
      <c r="B1797" s="126"/>
      <c r="C1797" s="252"/>
      <c r="D1797" s="109"/>
      <c r="E1797" s="109"/>
      <c r="F1797" s="110"/>
      <c r="G1797" s="95"/>
      <c r="H1797" s="122"/>
      <c r="I1797" s="109"/>
      <c r="J1797" s="120"/>
      <c r="K1797" s="120"/>
      <c r="L1797" s="93"/>
      <c r="M1797" s="93"/>
      <c r="N1797" s="93"/>
      <c r="O1797" s="56"/>
      <c r="P1797" s="56"/>
      <c r="Q1797" s="56"/>
      <c r="R1797" s="56"/>
      <c r="S1797" s="56"/>
      <c r="T1797" s="56"/>
      <c r="U1797" s="56"/>
      <c r="V1797" s="56"/>
    </row>
    <row r="1798" ht="18.75" customHeight="1">
      <c r="A1798" s="90"/>
      <c r="B1798" s="126"/>
      <c r="C1798" s="252"/>
      <c r="D1798" s="109"/>
      <c r="E1798" s="109"/>
      <c r="F1798" s="110"/>
      <c r="G1798" s="95"/>
      <c r="H1798" s="122"/>
      <c r="I1798" s="109"/>
      <c r="J1798" s="120"/>
      <c r="K1798" s="120"/>
      <c r="L1798" s="93"/>
      <c r="M1798" s="93"/>
      <c r="N1798" s="93"/>
      <c r="O1798" s="56"/>
      <c r="P1798" s="56"/>
      <c r="Q1798" s="56"/>
      <c r="R1798" s="56"/>
      <c r="S1798" s="56"/>
      <c r="T1798" s="56"/>
      <c r="U1798" s="56"/>
      <c r="V1798" s="56"/>
    </row>
    <row r="1799" ht="18.75" customHeight="1">
      <c r="A1799" s="90"/>
      <c r="B1799" s="126"/>
      <c r="C1799" s="252"/>
      <c r="D1799" s="109"/>
      <c r="E1799" s="109"/>
      <c r="F1799" s="110"/>
      <c r="G1799" s="95"/>
      <c r="H1799" s="122"/>
      <c r="I1799" s="109"/>
      <c r="J1799" s="120"/>
      <c r="K1799" s="120"/>
      <c r="L1799" s="93"/>
      <c r="M1799" s="93"/>
      <c r="N1799" s="93"/>
      <c r="O1799" s="56"/>
      <c r="P1799" s="56"/>
      <c r="Q1799" s="56"/>
      <c r="R1799" s="56"/>
      <c r="S1799" s="56"/>
      <c r="T1799" s="56"/>
      <c r="U1799" s="56"/>
      <c r="V1799" s="56"/>
    </row>
    <row r="1800" ht="18.75" customHeight="1">
      <c r="A1800" s="90"/>
      <c r="B1800" s="126"/>
      <c r="C1800" s="252"/>
      <c r="D1800" s="109"/>
      <c r="E1800" s="109"/>
      <c r="F1800" s="110"/>
      <c r="G1800" s="95"/>
      <c r="H1800" s="122"/>
      <c r="I1800" s="109"/>
      <c r="J1800" s="120"/>
      <c r="K1800" s="120"/>
      <c r="L1800" s="93"/>
      <c r="M1800" s="93"/>
      <c r="N1800" s="93"/>
      <c r="O1800" s="56"/>
      <c r="P1800" s="56"/>
      <c r="Q1800" s="56"/>
      <c r="R1800" s="56"/>
      <c r="S1800" s="56"/>
      <c r="T1800" s="56"/>
      <c r="U1800" s="56"/>
      <c r="V1800" s="56"/>
    </row>
    <row r="1801" ht="18.75" customHeight="1">
      <c r="A1801" s="90"/>
      <c r="B1801" s="126"/>
      <c r="C1801" s="252"/>
      <c r="D1801" s="109"/>
      <c r="E1801" s="109"/>
      <c r="F1801" s="110"/>
      <c r="G1801" s="95"/>
      <c r="H1801" s="122"/>
      <c r="I1801" s="109"/>
      <c r="J1801" s="120"/>
      <c r="K1801" s="120"/>
      <c r="L1801" s="93"/>
      <c r="M1801" s="93"/>
      <c r="N1801" s="93"/>
      <c r="O1801" s="56"/>
      <c r="P1801" s="56"/>
      <c r="Q1801" s="56"/>
      <c r="R1801" s="56"/>
      <c r="S1801" s="56"/>
      <c r="T1801" s="56"/>
      <c r="U1801" s="56"/>
      <c r="V1801" s="56"/>
    </row>
    <row r="1802" ht="18.75" customHeight="1">
      <c r="A1802" s="90"/>
      <c r="B1802" s="126"/>
      <c r="C1802" s="252"/>
      <c r="D1802" s="109"/>
      <c r="E1802" s="109"/>
      <c r="F1802" s="110"/>
      <c r="G1802" s="95"/>
      <c r="H1802" s="122"/>
      <c r="I1802" s="109"/>
      <c r="J1802" s="120"/>
      <c r="K1802" s="120"/>
      <c r="L1802" s="93"/>
      <c r="M1802" s="93"/>
      <c r="N1802" s="93"/>
      <c r="O1802" s="56"/>
      <c r="P1802" s="56"/>
      <c r="Q1802" s="56"/>
      <c r="R1802" s="56"/>
      <c r="S1802" s="56"/>
      <c r="T1802" s="56"/>
      <c r="U1802" s="56"/>
      <c r="V1802" s="56"/>
    </row>
    <row r="1803" ht="18.75" customHeight="1">
      <c r="A1803" s="90"/>
      <c r="B1803" s="126"/>
      <c r="C1803" s="252"/>
      <c r="D1803" s="109"/>
      <c r="E1803" s="109"/>
      <c r="F1803" s="110"/>
      <c r="G1803" s="95"/>
      <c r="H1803" s="122"/>
      <c r="I1803" s="109"/>
      <c r="J1803" s="120"/>
      <c r="K1803" s="120"/>
      <c r="L1803" s="93"/>
      <c r="M1803" s="93"/>
      <c r="N1803" s="93"/>
      <c r="O1803" s="56"/>
      <c r="P1803" s="56"/>
      <c r="Q1803" s="56"/>
      <c r="R1803" s="56"/>
      <c r="S1803" s="56"/>
      <c r="T1803" s="56"/>
      <c r="U1803" s="56"/>
      <c r="V1803" s="56"/>
    </row>
    <row r="1804" ht="18.75" customHeight="1">
      <c r="A1804" s="90"/>
      <c r="B1804" s="126"/>
      <c r="C1804" s="252"/>
      <c r="D1804" s="109"/>
      <c r="E1804" s="109"/>
      <c r="F1804" s="110"/>
      <c r="G1804" s="95"/>
      <c r="H1804" s="122"/>
      <c r="I1804" s="109"/>
      <c r="J1804" s="120"/>
      <c r="K1804" s="120"/>
      <c r="L1804" s="93"/>
      <c r="M1804" s="93"/>
      <c r="N1804" s="93"/>
      <c r="O1804" s="56"/>
      <c r="P1804" s="56"/>
      <c r="Q1804" s="56"/>
      <c r="R1804" s="56"/>
      <c r="S1804" s="56"/>
      <c r="T1804" s="56"/>
      <c r="U1804" s="56"/>
      <c r="V1804" s="56"/>
    </row>
    <row r="1805" ht="18.75" customHeight="1">
      <c r="A1805" s="90"/>
      <c r="B1805" s="126"/>
      <c r="C1805" s="252"/>
      <c r="D1805" s="109"/>
      <c r="E1805" s="109"/>
      <c r="F1805" s="110"/>
      <c r="G1805" s="95"/>
      <c r="H1805" s="122"/>
      <c r="I1805" s="109"/>
      <c r="J1805" s="120"/>
      <c r="K1805" s="120"/>
      <c r="L1805" s="93"/>
      <c r="M1805" s="93"/>
      <c r="N1805" s="93"/>
      <c r="O1805" s="56"/>
      <c r="P1805" s="56"/>
      <c r="Q1805" s="56"/>
      <c r="R1805" s="56"/>
      <c r="S1805" s="56"/>
      <c r="T1805" s="56"/>
      <c r="U1805" s="56"/>
      <c r="V1805" s="56"/>
    </row>
    <row r="1806" ht="18.75" customHeight="1">
      <c r="A1806" s="90"/>
      <c r="B1806" s="126"/>
      <c r="C1806" s="252"/>
      <c r="D1806" s="109"/>
      <c r="E1806" s="109"/>
      <c r="F1806" s="110"/>
      <c r="G1806" s="95"/>
      <c r="H1806" s="122"/>
      <c r="I1806" s="109"/>
      <c r="J1806" s="120"/>
      <c r="K1806" s="120"/>
      <c r="L1806" s="93"/>
      <c r="M1806" s="93"/>
      <c r="N1806" s="93"/>
      <c r="O1806" s="56"/>
      <c r="P1806" s="56"/>
      <c r="Q1806" s="56"/>
      <c r="R1806" s="56"/>
      <c r="S1806" s="56"/>
      <c r="T1806" s="56"/>
      <c r="U1806" s="56"/>
      <c r="V1806" s="56"/>
    </row>
    <row r="1807" ht="18.75" customHeight="1">
      <c r="A1807" s="90"/>
      <c r="B1807" s="126"/>
      <c r="C1807" s="252"/>
      <c r="D1807" s="109"/>
      <c r="E1807" s="109"/>
      <c r="F1807" s="110"/>
      <c r="G1807" s="95"/>
      <c r="H1807" s="122"/>
      <c r="I1807" s="109"/>
      <c r="J1807" s="120"/>
      <c r="K1807" s="120"/>
      <c r="L1807" s="93"/>
      <c r="M1807" s="93"/>
      <c r="N1807" s="93"/>
      <c r="O1807" s="56"/>
      <c r="P1807" s="56"/>
      <c r="Q1807" s="56"/>
      <c r="R1807" s="56"/>
      <c r="S1807" s="56"/>
      <c r="T1807" s="56"/>
      <c r="U1807" s="56"/>
      <c r="V1807" s="56"/>
    </row>
    <row r="1808" ht="18.75" customHeight="1">
      <c r="A1808" s="90"/>
      <c r="B1808" s="126"/>
      <c r="C1808" s="252"/>
      <c r="D1808" s="109"/>
      <c r="E1808" s="109"/>
      <c r="F1808" s="110"/>
      <c r="G1808" s="95"/>
      <c r="H1808" s="122"/>
      <c r="I1808" s="109"/>
      <c r="J1808" s="120"/>
      <c r="K1808" s="120"/>
      <c r="L1808" s="93"/>
      <c r="M1808" s="93"/>
      <c r="N1808" s="93"/>
      <c r="O1808" s="56"/>
      <c r="P1808" s="56"/>
      <c r="Q1808" s="56"/>
      <c r="R1808" s="56"/>
      <c r="S1808" s="56"/>
      <c r="T1808" s="56"/>
      <c r="U1808" s="56"/>
      <c r="V1808" s="56"/>
    </row>
    <row r="1809" ht="18.75" customHeight="1">
      <c r="A1809" s="90"/>
      <c r="B1809" s="126"/>
      <c r="C1809" s="252"/>
      <c r="D1809" s="109"/>
      <c r="E1809" s="109"/>
      <c r="F1809" s="110"/>
      <c r="G1809" s="95"/>
      <c r="H1809" s="122"/>
      <c r="I1809" s="109"/>
      <c r="J1809" s="120"/>
      <c r="K1809" s="120"/>
      <c r="L1809" s="93"/>
      <c r="M1809" s="93"/>
      <c r="N1809" s="93"/>
      <c r="O1809" s="56"/>
      <c r="P1809" s="56"/>
      <c r="Q1809" s="56"/>
      <c r="R1809" s="56"/>
      <c r="S1809" s="56"/>
      <c r="T1809" s="56"/>
      <c r="U1809" s="56"/>
      <c r="V1809" s="56"/>
    </row>
    <row r="1810" ht="18.75" customHeight="1">
      <c r="A1810" s="90"/>
      <c r="B1810" s="126"/>
      <c r="C1810" s="252"/>
      <c r="D1810" s="109"/>
      <c r="E1810" s="109"/>
      <c r="F1810" s="110"/>
      <c r="G1810" s="95"/>
      <c r="H1810" s="122"/>
      <c r="I1810" s="109"/>
      <c r="J1810" s="120"/>
      <c r="K1810" s="120"/>
      <c r="L1810" s="93"/>
      <c r="M1810" s="93"/>
      <c r="N1810" s="93"/>
      <c r="O1810" s="56"/>
      <c r="P1810" s="56"/>
      <c r="Q1810" s="56"/>
      <c r="R1810" s="56"/>
      <c r="S1810" s="56"/>
      <c r="T1810" s="56"/>
      <c r="U1810" s="56"/>
      <c r="V1810" s="56"/>
    </row>
    <row r="1811" ht="18.75" customHeight="1">
      <c r="A1811" s="90"/>
      <c r="B1811" s="126"/>
      <c r="C1811" s="252"/>
      <c r="D1811" s="109"/>
      <c r="E1811" s="109"/>
      <c r="F1811" s="110"/>
      <c r="G1811" s="95"/>
      <c r="H1811" s="122"/>
      <c r="I1811" s="109"/>
      <c r="J1811" s="120"/>
      <c r="K1811" s="120"/>
      <c r="L1811" s="93"/>
      <c r="M1811" s="93"/>
      <c r="N1811" s="93"/>
      <c r="O1811" s="56"/>
      <c r="P1811" s="56"/>
      <c r="Q1811" s="56"/>
      <c r="R1811" s="56"/>
      <c r="S1811" s="56"/>
      <c r="T1811" s="56"/>
      <c r="U1811" s="56"/>
      <c r="V1811" s="56"/>
    </row>
    <row r="1812" ht="18.75" customHeight="1">
      <c r="A1812" s="90"/>
      <c r="B1812" s="126"/>
      <c r="C1812" s="252"/>
      <c r="D1812" s="109"/>
      <c r="E1812" s="109"/>
      <c r="F1812" s="110"/>
      <c r="G1812" s="95"/>
      <c r="H1812" s="122"/>
      <c r="I1812" s="109"/>
      <c r="J1812" s="120"/>
      <c r="K1812" s="120"/>
      <c r="L1812" s="93"/>
      <c r="M1812" s="93"/>
      <c r="N1812" s="93"/>
      <c r="O1812" s="56"/>
      <c r="P1812" s="56"/>
      <c r="Q1812" s="56"/>
      <c r="R1812" s="56"/>
      <c r="S1812" s="56"/>
      <c r="T1812" s="56"/>
      <c r="U1812" s="56"/>
      <c r="V1812" s="56"/>
    </row>
    <row r="1813" ht="18.75" customHeight="1">
      <c r="A1813" s="90"/>
      <c r="B1813" s="126"/>
      <c r="C1813" s="252"/>
      <c r="D1813" s="109"/>
      <c r="E1813" s="109"/>
      <c r="F1813" s="110"/>
      <c r="G1813" s="95"/>
      <c r="H1813" s="122"/>
      <c r="I1813" s="109"/>
      <c r="J1813" s="120"/>
      <c r="K1813" s="120"/>
      <c r="L1813" s="93"/>
      <c r="M1813" s="93"/>
      <c r="N1813" s="93"/>
      <c r="O1813" s="56"/>
      <c r="P1813" s="56"/>
      <c r="Q1813" s="56"/>
      <c r="R1813" s="56"/>
      <c r="S1813" s="56"/>
      <c r="T1813" s="56"/>
      <c r="U1813" s="56"/>
      <c r="V1813" s="56"/>
    </row>
    <row r="1814" ht="18.75" customHeight="1">
      <c r="A1814" s="90"/>
      <c r="B1814" s="126"/>
      <c r="C1814" s="252"/>
      <c r="D1814" s="109"/>
      <c r="E1814" s="109"/>
      <c r="F1814" s="110"/>
      <c r="G1814" s="95"/>
      <c r="H1814" s="122"/>
      <c r="I1814" s="109"/>
      <c r="J1814" s="120"/>
      <c r="K1814" s="120"/>
      <c r="L1814" s="93"/>
      <c r="M1814" s="93"/>
      <c r="N1814" s="93"/>
      <c r="O1814" s="56"/>
      <c r="P1814" s="56"/>
      <c r="Q1814" s="56"/>
      <c r="R1814" s="56"/>
      <c r="S1814" s="56"/>
      <c r="T1814" s="56"/>
      <c r="U1814" s="56"/>
      <c r="V1814" s="56"/>
    </row>
    <row r="1815" ht="18.75" customHeight="1">
      <c r="A1815" s="90"/>
      <c r="B1815" s="126"/>
      <c r="C1815" s="252"/>
      <c r="D1815" s="109"/>
      <c r="E1815" s="109"/>
      <c r="F1815" s="110"/>
      <c r="G1815" s="95"/>
      <c r="H1815" s="122"/>
      <c r="I1815" s="109"/>
      <c r="J1815" s="120"/>
      <c r="K1815" s="120"/>
      <c r="L1815" s="93"/>
      <c r="M1815" s="93"/>
      <c r="N1815" s="93"/>
      <c r="O1815" s="56"/>
      <c r="P1815" s="56"/>
      <c r="Q1815" s="56"/>
      <c r="R1815" s="56"/>
      <c r="S1815" s="56"/>
      <c r="T1815" s="56"/>
      <c r="U1815" s="56"/>
      <c r="V1815" s="56"/>
    </row>
    <row r="1816" ht="18.75" customHeight="1">
      <c r="A1816" s="90"/>
      <c r="B1816" s="126"/>
      <c r="C1816" s="252"/>
      <c r="D1816" s="109"/>
      <c r="E1816" s="109"/>
      <c r="F1816" s="110"/>
      <c r="G1816" s="95"/>
      <c r="H1816" s="122"/>
      <c r="I1816" s="109"/>
      <c r="J1816" s="120"/>
      <c r="K1816" s="120"/>
      <c r="L1816" s="93"/>
      <c r="M1816" s="93"/>
      <c r="N1816" s="93"/>
      <c r="O1816" s="56"/>
      <c r="P1816" s="56"/>
      <c r="Q1816" s="56"/>
      <c r="R1816" s="56"/>
      <c r="S1816" s="56"/>
      <c r="T1816" s="56"/>
      <c r="U1816" s="56"/>
      <c r="V1816" s="56"/>
    </row>
    <row r="1817" ht="18.75" customHeight="1">
      <c r="A1817" s="90"/>
      <c r="B1817" s="126"/>
      <c r="C1817" s="252"/>
      <c r="D1817" s="109"/>
      <c r="E1817" s="109"/>
      <c r="F1817" s="110"/>
      <c r="G1817" s="95"/>
      <c r="H1817" s="122"/>
      <c r="I1817" s="109"/>
      <c r="J1817" s="120"/>
      <c r="K1817" s="120"/>
      <c r="L1817" s="93"/>
      <c r="M1817" s="93"/>
      <c r="N1817" s="93"/>
      <c r="O1817" s="56"/>
      <c r="P1817" s="56"/>
      <c r="Q1817" s="56"/>
      <c r="R1817" s="56"/>
      <c r="S1817" s="56"/>
      <c r="T1817" s="56"/>
      <c r="U1817" s="56"/>
      <c r="V1817" s="56"/>
    </row>
    <row r="1818" ht="18.75" customHeight="1">
      <c r="A1818" s="90"/>
      <c r="B1818" s="126"/>
      <c r="C1818" s="252"/>
      <c r="D1818" s="109"/>
      <c r="E1818" s="109"/>
      <c r="F1818" s="110"/>
      <c r="G1818" s="95"/>
      <c r="H1818" s="122"/>
      <c r="I1818" s="109"/>
      <c r="J1818" s="120"/>
      <c r="K1818" s="120"/>
      <c r="L1818" s="93"/>
      <c r="M1818" s="93"/>
      <c r="N1818" s="93"/>
      <c r="O1818" s="56"/>
      <c r="P1818" s="56"/>
      <c r="Q1818" s="56"/>
      <c r="R1818" s="56"/>
      <c r="S1818" s="56"/>
      <c r="T1818" s="56"/>
      <c r="U1818" s="56"/>
      <c r="V1818" s="56"/>
    </row>
    <row r="1819" ht="18.75" customHeight="1">
      <c r="A1819" s="90"/>
      <c r="B1819" s="126"/>
      <c r="C1819" s="252"/>
      <c r="D1819" s="109"/>
      <c r="E1819" s="109"/>
      <c r="F1819" s="110"/>
      <c r="G1819" s="95"/>
      <c r="H1819" s="122"/>
      <c r="I1819" s="109"/>
      <c r="J1819" s="120"/>
      <c r="K1819" s="120"/>
      <c r="L1819" s="93"/>
      <c r="M1819" s="93"/>
      <c r="N1819" s="93"/>
      <c r="O1819" s="56"/>
      <c r="P1819" s="56"/>
      <c r="Q1819" s="56"/>
      <c r="R1819" s="56"/>
      <c r="S1819" s="56"/>
      <c r="T1819" s="56"/>
      <c r="U1819" s="56"/>
      <c r="V1819" s="56"/>
    </row>
    <row r="1820" ht="18.75" customHeight="1">
      <c r="A1820" s="90"/>
      <c r="B1820" s="126"/>
      <c r="C1820" s="252"/>
      <c r="D1820" s="109"/>
      <c r="E1820" s="109"/>
      <c r="F1820" s="110"/>
      <c r="G1820" s="95"/>
      <c r="H1820" s="122"/>
      <c r="I1820" s="109"/>
      <c r="J1820" s="120"/>
      <c r="K1820" s="120"/>
      <c r="L1820" s="93"/>
      <c r="M1820" s="93"/>
      <c r="N1820" s="93"/>
      <c r="O1820" s="56"/>
      <c r="P1820" s="56"/>
      <c r="Q1820" s="56"/>
      <c r="R1820" s="56"/>
      <c r="S1820" s="56"/>
      <c r="T1820" s="56"/>
      <c r="U1820" s="56"/>
      <c r="V1820" s="56"/>
    </row>
    <row r="1821" ht="18.75" customHeight="1">
      <c r="A1821" s="90"/>
      <c r="B1821" s="126"/>
      <c r="C1821" s="252"/>
      <c r="D1821" s="109"/>
      <c r="E1821" s="109"/>
      <c r="F1821" s="110"/>
      <c r="G1821" s="95"/>
      <c r="H1821" s="122"/>
      <c r="I1821" s="109"/>
      <c r="J1821" s="120"/>
      <c r="K1821" s="120"/>
      <c r="L1821" s="93"/>
      <c r="M1821" s="93"/>
      <c r="N1821" s="93"/>
      <c r="O1821" s="56"/>
      <c r="P1821" s="56"/>
      <c r="Q1821" s="56"/>
      <c r="R1821" s="56"/>
      <c r="S1821" s="56"/>
      <c r="T1821" s="56"/>
      <c r="U1821" s="56"/>
      <c r="V1821" s="56"/>
    </row>
    <row r="1822" ht="18.75" customHeight="1">
      <c r="A1822" s="90"/>
      <c r="B1822" s="126"/>
      <c r="C1822" s="252"/>
      <c r="D1822" s="109"/>
      <c r="E1822" s="109"/>
      <c r="F1822" s="110"/>
      <c r="G1822" s="95"/>
      <c r="H1822" s="122"/>
      <c r="I1822" s="109"/>
      <c r="J1822" s="120"/>
      <c r="K1822" s="120"/>
      <c r="L1822" s="93"/>
      <c r="M1822" s="93"/>
      <c r="N1822" s="93"/>
      <c r="O1822" s="56"/>
      <c r="P1822" s="56"/>
      <c r="Q1822" s="56"/>
      <c r="R1822" s="56"/>
      <c r="S1822" s="56"/>
      <c r="T1822" s="56"/>
      <c r="U1822" s="56"/>
      <c r="V1822" s="56"/>
    </row>
    <row r="1823" ht="18.75" customHeight="1">
      <c r="A1823" s="90"/>
      <c r="B1823" s="126"/>
      <c r="C1823" s="252"/>
      <c r="D1823" s="109"/>
      <c r="E1823" s="109"/>
      <c r="F1823" s="110"/>
      <c r="G1823" s="95"/>
      <c r="H1823" s="122"/>
      <c r="I1823" s="109"/>
      <c r="J1823" s="120"/>
      <c r="K1823" s="120"/>
      <c r="L1823" s="93"/>
      <c r="M1823" s="93"/>
      <c r="N1823" s="93"/>
      <c r="O1823" s="56"/>
      <c r="P1823" s="56"/>
      <c r="Q1823" s="56"/>
      <c r="R1823" s="56"/>
      <c r="S1823" s="56"/>
      <c r="T1823" s="56"/>
      <c r="U1823" s="56"/>
      <c r="V1823" s="56"/>
    </row>
    <row r="1824" ht="18.75" customHeight="1">
      <c r="A1824" s="90"/>
      <c r="B1824" s="126"/>
      <c r="C1824" s="252"/>
      <c r="D1824" s="109"/>
      <c r="E1824" s="109"/>
      <c r="F1824" s="110"/>
      <c r="G1824" s="95"/>
      <c r="H1824" s="122"/>
      <c r="I1824" s="109"/>
      <c r="J1824" s="120"/>
      <c r="K1824" s="120"/>
      <c r="L1824" s="93"/>
      <c r="M1824" s="93"/>
      <c r="N1824" s="93"/>
      <c r="O1824" s="56"/>
      <c r="P1824" s="56"/>
      <c r="Q1824" s="56"/>
      <c r="R1824" s="56"/>
      <c r="S1824" s="56"/>
      <c r="T1824" s="56"/>
      <c r="U1824" s="56"/>
      <c r="V1824" s="56"/>
    </row>
    <row r="1825" ht="18.75" customHeight="1">
      <c r="A1825" s="90"/>
      <c r="B1825" s="126"/>
      <c r="C1825" s="252"/>
      <c r="D1825" s="109"/>
      <c r="E1825" s="109"/>
      <c r="F1825" s="110"/>
      <c r="G1825" s="95"/>
      <c r="H1825" s="122"/>
      <c r="I1825" s="109"/>
      <c r="J1825" s="120"/>
      <c r="K1825" s="120"/>
      <c r="L1825" s="93"/>
      <c r="M1825" s="93"/>
      <c r="N1825" s="93"/>
      <c r="O1825" s="56"/>
      <c r="P1825" s="56"/>
      <c r="Q1825" s="56"/>
      <c r="R1825" s="56"/>
      <c r="S1825" s="56"/>
      <c r="T1825" s="56"/>
      <c r="U1825" s="56"/>
      <c r="V1825" s="56"/>
    </row>
    <row r="1826" ht="18.75" customHeight="1">
      <c r="A1826" s="90"/>
      <c r="B1826" s="126"/>
      <c r="C1826" s="252"/>
      <c r="D1826" s="109"/>
      <c r="E1826" s="109"/>
      <c r="F1826" s="110"/>
      <c r="G1826" s="95"/>
      <c r="H1826" s="122"/>
      <c r="I1826" s="109"/>
      <c r="J1826" s="120"/>
      <c r="K1826" s="120"/>
      <c r="L1826" s="93"/>
      <c r="M1826" s="93"/>
      <c r="N1826" s="93"/>
      <c r="O1826" s="56"/>
      <c r="P1826" s="56"/>
      <c r="Q1826" s="56"/>
      <c r="R1826" s="56"/>
      <c r="S1826" s="56"/>
      <c r="T1826" s="56"/>
      <c r="U1826" s="56"/>
      <c r="V1826" s="56"/>
    </row>
    <row r="1827" ht="18.75" customHeight="1">
      <c r="A1827" s="90"/>
      <c r="B1827" s="126"/>
      <c r="C1827" s="252"/>
      <c r="D1827" s="109"/>
      <c r="E1827" s="109"/>
      <c r="F1827" s="110"/>
      <c r="G1827" s="95"/>
      <c r="H1827" s="122"/>
      <c r="I1827" s="109"/>
      <c r="J1827" s="120"/>
      <c r="K1827" s="120"/>
      <c r="L1827" s="93"/>
      <c r="M1827" s="93"/>
      <c r="N1827" s="93"/>
      <c r="O1827" s="56"/>
      <c r="P1827" s="56"/>
      <c r="Q1827" s="56"/>
      <c r="R1827" s="56"/>
      <c r="S1827" s="56"/>
      <c r="T1827" s="56"/>
      <c r="U1827" s="56"/>
      <c r="V1827" s="56"/>
    </row>
    <row r="1828" ht="18.75" customHeight="1">
      <c r="A1828" s="90"/>
      <c r="B1828" s="126"/>
      <c r="C1828" s="252"/>
      <c r="D1828" s="109"/>
      <c r="E1828" s="109"/>
      <c r="F1828" s="110"/>
      <c r="G1828" s="95"/>
      <c r="H1828" s="122"/>
      <c r="I1828" s="109"/>
      <c r="J1828" s="120"/>
      <c r="K1828" s="120"/>
      <c r="L1828" s="93"/>
      <c r="M1828" s="93"/>
      <c r="N1828" s="93"/>
      <c r="O1828" s="56"/>
      <c r="P1828" s="56"/>
      <c r="Q1828" s="56"/>
      <c r="R1828" s="56"/>
      <c r="S1828" s="56"/>
      <c r="T1828" s="56"/>
      <c r="U1828" s="56"/>
      <c r="V1828" s="56"/>
    </row>
    <row r="1829" ht="18.75" customHeight="1">
      <c r="A1829" s="90"/>
      <c r="B1829" s="126"/>
      <c r="C1829" s="252"/>
      <c r="D1829" s="109"/>
      <c r="E1829" s="109"/>
      <c r="F1829" s="110"/>
      <c r="G1829" s="95"/>
      <c r="H1829" s="122"/>
      <c r="I1829" s="109"/>
      <c r="J1829" s="120"/>
      <c r="K1829" s="120"/>
      <c r="L1829" s="93"/>
      <c r="M1829" s="93"/>
      <c r="N1829" s="93"/>
      <c r="O1829" s="56"/>
      <c r="P1829" s="56"/>
      <c r="Q1829" s="56"/>
      <c r="R1829" s="56"/>
      <c r="S1829" s="56"/>
      <c r="T1829" s="56"/>
      <c r="U1829" s="56"/>
      <c r="V1829" s="56"/>
    </row>
    <row r="1830" ht="18.75" customHeight="1">
      <c r="A1830" s="90"/>
      <c r="B1830" s="126"/>
      <c r="C1830" s="252"/>
      <c r="D1830" s="109"/>
      <c r="E1830" s="109"/>
      <c r="F1830" s="110"/>
      <c r="G1830" s="95"/>
      <c r="H1830" s="122"/>
      <c r="I1830" s="109"/>
      <c r="J1830" s="120"/>
      <c r="K1830" s="120"/>
      <c r="L1830" s="93"/>
      <c r="M1830" s="93"/>
      <c r="N1830" s="93"/>
      <c r="O1830" s="56"/>
      <c r="P1830" s="56"/>
      <c r="Q1830" s="56"/>
      <c r="R1830" s="56"/>
      <c r="S1830" s="56"/>
      <c r="T1830" s="56"/>
      <c r="U1830" s="56"/>
      <c r="V1830" s="56"/>
    </row>
    <row r="1831" ht="18.75" customHeight="1">
      <c r="A1831" s="90"/>
      <c r="B1831" s="126"/>
      <c r="C1831" s="252"/>
      <c r="D1831" s="109"/>
      <c r="E1831" s="109"/>
      <c r="F1831" s="110"/>
      <c r="G1831" s="95"/>
      <c r="H1831" s="122"/>
      <c r="I1831" s="109"/>
      <c r="J1831" s="120"/>
      <c r="K1831" s="120"/>
      <c r="L1831" s="93"/>
      <c r="M1831" s="93"/>
      <c r="N1831" s="93"/>
      <c r="O1831" s="56"/>
      <c r="P1831" s="56"/>
      <c r="Q1831" s="56"/>
      <c r="R1831" s="56"/>
      <c r="S1831" s="56"/>
      <c r="T1831" s="56"/>
      <c r="U1831" s="56"/>
      <c r="V1831" s="56"/>
    </row>
    <row r="1832" ht="18.75" customHeight="1">
      <c r="A1832" s="90"/>
      <c r="B1832" s="126"/>
      <c r="C1832" s="252"/>
      <c r="D1832" s="109"/>
      <c r="E1832" s="109"/>
      <c r="F1832" s="110"/>
      <c r="G1832" s="95"/>
      <c r="H1832" s="122"/>
      <c r="I1832" s="109"/>
      <c r="J1832" s="120"/>
      <c r="K1832" s="120"/>
      <c r="L1832" s="93"/>
      <c r="M1832" s="93"/>
      <c r="N1832" s="93"/>
      <c r="O1832" s="56"/>
      <c r="P1832" s="56"/>
      <c r="Q1832" s="56"/>
      <c r="R1832" s="56"/>
      <c r="S1832" s="56"/>
      <c r="T1832" s="56"/>
      <c r="U1832" s="56"/>
      <c r="V1832" s="56"/>
    </row>
    <row r="1833" ht="18.75" customHeight="1">
      <c r="A1833" s="90"/>
      <c r="B1833" s="126"/>
      <c r="C1833" s="252"/>
      <c r="D1833" s="109"/>
      <c r="E1833" s="109"/>
      <c r="F1833" s="110"/>
      <c r="G1833" s="95"/>
      <c r="H1833" s="122"/>
      <c r="I1833" s="109"/>
      <c r="J1833" s="120"/>
      <c r="K1833" s="120"/>
      <c r="L1833" s="93"/>
      <c r="M1833" s="93"/>
      <c r="N1833" s="93"/>
      <c r="O1833" s="56"/>
      <c r="P1833" s="56"/>
      <c r="Q1833" s="56"/>
      <c r="R1833" s="56"/>
      <c r="S1833" s="56"/>
      <c r="T1833" s="56"/>
      <c r="U1833" s="56"/>
      <c r="V1833" s="56"/>
    </row>
    <row r="1834" ht="18.75" customHeight="1">
      <c r="A1834" s="90"/>
      <c r="B1834" s="126"/>
      <c r="C1834" s="252"/>
      <c r="D1834" s="109"/>
      <c r="E1834" s="109"/>
      <c r="F1834" s="110"/>
      <c r="G1834" s="95"/>
      <c r="H1834" s="122"/>
      <c r="I1834" s="109"/>
      <c r="J1834" s="120"/>
      <c r="K1834" s="120"/>
      <c r="L1834" s="93"/>
      <c r="M1834" s="93"/>
      <c r="N1834" s="93"/>
      <c r="O1834" s="56"/>
      <c r="P1834" s="56"/>
      <c r="Q1834" s="56"/>
      <c r="R1834" s="56"/>
      <c r="S1834" s="56"/>
      <c r="T1834" s="56"/>
      <c r="U1834" s="56"/>
      <c r="V1834" s="56"/>
    </row>
    <row r="1835" ht="18.75" customHeight="1">
      <c r="A1835" s="90"/>
      <c r="B1835" s="126"/>
      <c r="C1835" s="252"/>
      <c r="D1835" s="109"/>
      <c r="E1835" s="109"/>
      <c r="F1835" s="110"/>
      <c r="G1835" s="95"/>
      <c r="H1835" s="122"/>
      <c r="I1835" s="109"/>
      <c r="J1835" s="120"/>
      <c r="K1835" s="120"/>
      <c r="L1835" s="93"/>
      <c r="M1835" s="93"/>
      <c r="N1835" s="93"/>
      <c r="O1835" s="56"/>
      <c r="P1835" s="56"/>
      <c r="Q1835" s="56"/>
      <c r="R1835" s="56"/>
      <c r="S1835" s="56"/>
      <c r="T1835" s="56"/>
      <c r="U1835" s="56"/>
      <c r="V1835" s="56"/>
    </row>
    <row r="1836" ht="18.75" customHeight="1">
      <c r="A1836" s="90"/>
      <c r="B1836" s="126"/>
      <c r="C1836" s="252"/>
      <c r="D1836" s="109"/>
      <c r="E1836" s="109"/>
      <c r="F1836" s="110"/>
      <c r="G1836" s="95"/>
      <c r="H1836" s="122"/>
      <c r="I1836" s="109"/>
      <c r="J1836" s="120"/>
      <c r="K1836" s="120"/>
      <c r="L1836" s="93"/>
      <c r="M1836" s="93"/>
      <c r="N1836" s="93"/>
      <c r="O1836" s="56"/>
      <c r="P1836" s="56"/>
      <c r="Q1836" s="56"/>
      <c r="R1836" s="56"/>
      <c r="S1836" s="56"/>
      <c r="T1836" s="56"/>
      <c r="U1836" s="56"/>
      <c r="V1836" s="56"/>
    </row>
    <row r="1837" ht="18.75" customHeight="1">
      <c r="A1837" s="90"/>
      <c r="B1837" s="126"/>
      <c r="C1837" s="252"/>
      <c r="D1837" s="109"/>
      <c r="E1837" s="109"/>
      <c r="F1837" s="110"/>
      <c r="G1837" s="95"/>
      <c r="H1837" s="122"/>
      <c r="I1837" s="109"/>
      <c r="J1837" s="120"/>
      <c r="K1837" s="120"/>
      <c r="L1837" s="93"/>
      <c r="M1837" s="93"/>
      <c r="N1837" s="93"/>
      <c r="O1837" s="56"/>
      <c r="P1837" s="56"/>
      <c r="Q1837" s="56"/>
      <c r="R1837" s="56"/>
      <c r="S1837" s="56"/>
      <c r="T1837" s="56"/>
      <c r="U1837" s="56"/>
      <c r="V1837" s="56"/>
    </row>
    <row r="1838" ht="18.75" customHeight="1">
      <c r="A1838" s="90"/>
      <c r="B1838" s="126"/>
      <c r="C1838" s="252"/>
      <c r="D1838" s="109"/>
      <c r="E1838" s="109"/>
      <c r="F1838" s="110"/>
      <c r="G1838" s="95"/>
      <c r="H1838" s="122"/>
      <c r="I1838" s="109"/>
      <c r="J1838" s="120"/>
      <c r="K1838" s="120"/>
      <c r="L1838" s="93"/>
      <c r="M1838" s="93"/>
      <c r="N1838" s="93"/>
      <c r="O1838" s="56"/>
      <c r="P1838" s="56"/>
      <c r="Q1838" s="56"/>
      <c r="R1838" s="56"/>
      <c r="S1838" s="56"/>
      <c r="T1838" s="56"/>
      <c r="U1838" s="56"/>
      <c r="V1838" s="56"/>
    </row>
    <row r="1839" ht="18.75" customHeight="1">
      <c r="A1839" s="90"/>
      <c r="B1839" s="126"/>
      <c r="C1839" s="252"/>
      <c r="D1839" s="109"/>
      <c r="E1839" s="109"/>
      <c r="F1839" s="110"/>
      <c r="G1839" s="95"/>
      <c r="H1839" s="122"/>
      <c r="I1839" s="109"/>
      <c r="J1839" s="120"/>
      <c r="K1839" s="120"/>
      <c r="L1839" s="93"/>
      <c r="M1839" s="93"/>
      <c r="N1839" s="93"/>
      <c r="O1839" s="56"/>
      <c r="P1839" s="56"/>
      <c r="Q1839" s="56"/>
      <c r="R1839" s="56"/>
      <c r="S1839" s="56"/>
      <c r="T1839" s="56"/>
      <c r="U1839" s="56"/>
      <c r="V1839" s="56"/>
    </row>
    <row r="1840" ht="18.75" customHeight="1">
      <c r="A1840" s="90"/>
      <c r="B1840" s="126"/>
      <c r="C1840" s="252"/>
      <c r="D1840" s="109"/>
      <c r="E1840" s="109"/>
      <c r="F1840" s="110"/>
      <c r="G1840" s="95"/>
      <c r="H1840" s="122"/>
      <c r="I1840" s="109"/>
      <c r="J1840" s="120"/>
      <c r="K1840" s="120"/>
      <c r="L1840" s="93"/>
      <c r="M1840" s="93"/>
      <c r="N1840" s="93"/>
      <c r="O1840" s="56"/>
      <c r="P1840" s="56"/>
      <c r="Q1840" s="56"/>
      <c r="R1840" s="56"/>
      <c r="S1840" s="56"/>
      <c r="T1840" s="56"/>
      <c r="U1840" s="56"/>
      <c r="V1840" s="56"/>
    </row>
    <row r="1841" ht="18.75" customHeight="1">
      <c r="A1841" s="90"/>
      <c r="B1841" s="126"/>
      <c r="C1841" s="252"/>
      <c r="D1841" s="109"/>
      <c r="E1841" s="109"/>
      <c r="F1841" s="110"/>
      <c r="G1841" s="95"/>
      <c r="H1841" s="122"/>
      <c r="I1841" s="109"/>
      <c r="J1841" s="120"/>
      <c r="K1841" s="120"/>
      <c r="L1841" s="93"/>
      <c r="M1841" s="93"/>
      <c r="N1841" s="93"/>
      <c r="O1841" s="56"/>
      <c r="P1841" s="56"/>
      <c r="Q1841" s="56"/>
      <c r="R1841" s="56"/>
      <c r="S1841" s="56"/>
      <c r="T1841" s="56"/>
      <c r="U1841" s="56"/>
      <c r="V1841" s="56"/>
    </row>
    <row r="1842" ht="18.75" customHeight="1">
      <c r="A1842" s="90"/>
      <c r="B1842" s="126"/>
      <c r="C1842" s="252"/>
      <c r="D1842" s="109"/>
      <c r="E1842" s="109"/>
      <c r="F1842" s="110"/>
      <c r="G1842" s="95"/>
      <c r="H1842" s="122"/>
      <c r="I1842" s="109"/>
      <c r="J1842" s="120"/>
      <c r="K1842" s="120"/>
      <c r="L1842" s="93"/>
      <c r="M1842" s="93"/>
      <c r="N1842" s="93"/>
      <c r="O1842" s="56"/>
      <c r="P1842" s="56"/>
      <c r="Q1842" s="56"/>
      <c r="R1842" s="56"/>
      <c r="S1842" s="56"/>
      <c r="T1842" s="56"/>
      <c r="U1842" s="56"/>
      <c r="V1842" s="56"/>
    </row>
    <row r="1843" ht="18.75" customHeight="1">
      <c r="A1843" s="90"/>
      <c r="B1843" s="126"/>
      <c r="C1843" s="252"/>
      <c r="D1843" s="109"/>
      <c r="E1843" s="109"/>
      <c r="F1843" s="110"/>
      <c r="G1843" s="95"/>
      <c r="H1843" s="122"/>
      <c r="I1843" s="109"/>
      <c r="J1843" s="120"/>
      <c r="K1843" s="120"/>
      <c r="L1843" s="93"/>
      <c r="M1843" s="93"/>
      <c r="N1843" s="93"/>
      <c r="O1843" s="56"/>
      <c r="P1843" s="56"/>
      <c r="Q1843" s="56"/>
      <c r="R1843" s="56"/>
      <c r="S1843" s="56"/>
      <c r="T1843" s="56"/>
      <c r="U1843" s="56"/>
      <c r="V1843" s="56"/>
    </row>
    <row r="1844" ht="18.75" customHeight="1">
      <c r="A1844" s="90"/>
      <c r="B1844" s="126"/>
      <c r="C1844" s="252"/>
      <c r="D1844" s="109"/>
      <c r="E1844" s="109"/>
      <c r="F1844" s="110"/>
      <c r="G1844" s="95"/>
      <c r="H1844" s="122"/>
      <c r="I1844" s="109"/>
      <c r="J1844" s="120"/>
      <c r="K1844" s="120"/>
      <c r="L1844" s="93"/>
      <c r="M1844" s="93"/>
      <c r="N1844" s="93"/>
      <c r="O1844" s="56"/>
      <c r="P1844" s="56"/>
      <c r="Q1844" s="56"/>
      <c r="R1844" s="56"/>
      <c r="S1844" s="56"/>
      <c r="T1844" s="56"/>
      <c r="U1844" s="56"/>
      <c r="V1844" s="56"/>
    </row>
    <row r="1845" ht="18.75" customHeight="1">
      <c r="A1845" s="90"/>
      <c r="B1845" s="126"/>
      <c r="C1845" s="252"/>
      <c r="D1845" s="109"/>
      <c r="E1845" s="109"/>
      <c r="F1845" s="110"/>
      <c r="G1845" s="95"/>
      <c r="H1845" s="122"/>
      <c r="I1845" s="109"/>
      <c r="J1845" s="120"/>
      <c r="K1845" s="120"/>
      <c r="L1845" s="93"/>
      <c r="M1845" s="93"/>
      <c r="N1845" s="93"/>
      <c r="O1845" s="56"/>
      <c r="P1845" s="56"/>
      <c r="Q1845" s="56"/>
      <c r="R1845" s="56"/>
      <c r="S1845" s="56"/>
      <c r="T1845" s="56"/>
      <c r="U1845" s="56"/>
      <c r="V1845" s="56"/>
    </row>
    <row r="1846" ht="18.75" customHeight="1">
      <c r="A1846" s="90"/>
      <c r="B1846" s="126"/>
      <c r="C1846" s="252"/>
      <c r="D1846" s="109"/>
      <c r="E1846" s="109"/>
      <c r="F1846" s="110"/>
      <c r="G1846" s="95"/>
      <c r="H1846" s="122"/>
      <c r="I1846" s="109"/>
      <c r="J1846" s="120"/>
      <c r="K1846" s="120"/>
      <c r="L1846" s="93"/>
      <c r="M1846" s="93"/>
      <c r="N1846" s="93"/>
      <c r="O1846" s="56"/>
      <c r="P1846" s="56"/>
      <c r="Q1846" s="56"/>
      <c r="R1846" s="56"/>
      <c r="S1846" s="56"/>
      <c r="T1846" s="56"/>
      <c r="U1846" s="56"/>
      <c r="V1846" s="56"/>
    </row>
    <row r="1847" ht="18.75" customHeight="1">
      <c r="A1847" s="90"/>
      <c r="B1847" s="126"/>
      <c r="C1847" s="252"/>
      <c r="D1847" s="109"/>
      <c r="E1847" s="109"/>
      <c r="F1847" s="110"/>
      <c r="G1847" s="95"/>
      <c r="H1847" s="122"/>
      <c r="I1847" s="109"/>
      <c r="J1847" s="120"/>
      <c r="K1847" s="120"/>
      <c r="L1847" s="93"/>
      <c r="M1847" s="93"/>
      <c r="N1847" s="93"/>
      <c r="O1847" s="56"/>
      <c r="P1847" s="56"/>
      <c r="Q1847" s="56"/>
      <c r="R1847" s="56"/>
      <c r="S1847" s="56"/>
      <c r="T1847" s="56"/>
      <c r="U1847" s="56"/>
      <c r="V1847" s="56"/>
    </row>
    <row r="1848" ht="18.75" customHeight="1">
      <c r="A1848" s="90"/>
      <c r="B1848" s="126"/>
      <c r="C1848" s="252"/>
      <c r="D1848" s="109"/>
      <c r="E1848" s="109"/>
      <c r="F1848" s="110"/>
      <c r="G1848" s="95"/>
      <c r="H1848" s="122"/>
      <c r="I1848" s="109"/>
      <c r="J1848" s="120"/>
      <c r="K1848" s="120"/>
      <c r="L1848" s="93"/>
      <c r="M1848" s="93"/>
      <c r="N1848" s="93"/>
      <c r="O1848" s="56"/>
      <c r="P1848" s="56"/>
      <c r="Q1848" s="56"/>
      <c r="R1848" s="56"/>
      <c r="S1848" s="56"/>
      <c r="T1848" s="56"/>
      <c r="U1848" s="56"/>
      <c r="V1848" s="56"/>
    </row>
    <row r="1849" ht="18.75" customHeight="1">
      <c r="A1849" s="90"/>
      <c r="B1849" s="126"/>
      <c r="C1849" s="252"/>
      <c r="D1849" s="109"/>
      <c r="E1849" s="109"/>
      <c r="F1849" s="110"/>
      <c r="G1849" s="95"/>
      <c r="H1849" s="122"/>
      <c r="I1849" s="109"/>
      <c r="J1849" s="120"/>
      <c r="K1849" s="120"/>
      <c r="L1849" s="93"/>
      <c r="M1849" s="93"/>
      <c r="N1849" s="93"/>
      <c r="O1849" s="56"/>
      <c r="P1849" s="56"/>
      <c r="Q1849" s="56"/>
      <c r="R1849" s="56"/>
      <c r="S1849" s="56"/>
      <c r="T1849" s="56"/>
      <c r="U1849" s="56"/>
      <c r="V1849" s="56"/>
    </row>
    <row r="1850" ht="18.75" customHeight="1">
      <c r="A1850" s="90"/>
      <c r="B1850" s="126"/>
      <c r="C1850" s="252"/>
      <c r="D1850" s="109"/>
      <c r="E1850" s="109"/>
      <c r="F1850" s="110"/>
      <c r="G1850" s="95"/>
      <c r="H1850" s="122"/>
      <c r="I1850" s="109"/>
      <c r="J1850" s="120"/>
      <c r="K1850" s="120"/>
      <c r="L1850" s="93"/>
      <c r="M1850" s="93"/>
      <c r="N1850" s="93"/>
      <c r="O1850" s="56"/>
      <c r="P1850" s="56"/>
      <c r="Q1850" s="56"/>
      <c r="R1850" s="56"/>
      <c r="S1850" s="56"/>
      <c r="T1850" s="56"/>
      <c r="U1850" s="56"/>
      <c r="V1850" s="56"/>
    </row>
    <row r="1851" ht="18.75" customHeight="1">
      <c r="A1851" s="90"/>
      <c r="B1851" s="126"/>
      <c r="C1851" s="252"/>
      <c r="D1851" s="109"/>
      <c r="E1851" s="109"/>
      <c r="F1851" s="110"/>
      <c r="G1851" s="95"/>
      <c r="H1851" s="122"/>
      <c r="I1851" s="109"/>
      <c r="J1851" s="120"/>
      <c r="K1851" s="120"/>
      <c r="L1851" s="93"/>
      <c r="M1851" s="93"/>
      <c r="N1851" s="93"/>
      <c r="O1851" s="56"/>
      <c r="P1851" s="56"/>
      <c r="Q1851" s="56"/>
      <c r="R1851" s="56"/>
      <c r="S1851" s="56"/>
      <c r="T1851" s="56"/>
      <c r="U1851" s="56"/>
      <c r="V1851" s="56"/>
    </row>
    <row r="1852" ht="18.75" customHeight="1">
      <c r="A1852" s="90"/>
      <c r="B1852" s="126"/>
      <c r="C1852" s="252"/>
      <c r="D1852" s="109"/>
      <c r="E1852" s="109"/>
      <c r="F1852" s="110"/>
      <c r="G1852" s="95"/>
      <c r="H1852" s="122"/>
      <c r="I1852" s="109"/>
      <c r="J1852" s="120"/>
      <c r="K1852" s="120"/>
      <c r="L1852" s="93"/>
      <c r="M1852" s="93"/>
      <c r="N1852" s="93"/>
      <c r="O1852" s="56"/>
      <c r="P1852" s="56"/>
      <c r="Q1852" s="56"/>
      <c r="R1852" s="56"/>
      <c r="S1852" s="56"/>
      <c r="T1852" s="56"/>
      <c r="U1852" s="56"/>
      <c r="V1852" s="56"/>
    </row>
    <row r="1853" ht="18.75" customHeight="1">
      <c r="A1853" s="90"/>
      <c r="B1853" s="126"/>
      <c r="C1853" s="252"/>
      <c r="D1853" s="109"/>
      <c r="E1853" s="109"/>
      <c r="F1853" s="110"/>
      <c r="G1853" s="95"/>
      <c r="H1853" s="122"/>
      <c r="I1853" s="109"/>
      <c r="J1853" s="120"/>
      <c r="K1853" s="120"/>
      <c r="L1853" s="93"/>
      <c r="M1853" s="93"/>
      <c r="N1853" s="93"/>
      <c r="O1853" s="56"/>
      <c r="P1853" s="56"/>
      <c r="Q1853" s="56"/>
      <c r="R1853" s="56"/>
      <c r="S1853" s="56"/>
      <c r="T1853" s="56"/>
      <c r="U1853" s="56"/>
      <c r="V1853" s="56"/>
    </row>
    <row r="1854" ht="18.75" customHeight="1">
      <c r="A1854" s="90"/>
      <c r="B1854" s="126"/>
      <c r="C1854" s="252"/>
      <c r="D1854" s="109"/>
      <c r="E1854" s="109"/>
      <c r="F1854" s="110"/>
      <c r="G1854" s="95"/>
      <c r="H1854" s="122"/>
      <c r="I1854" s="109"/>
      <c r="J1854" s="120"/>
      <c r="K1854" s="120"/>
      <c r="L1854" s="93"/>
      <c r="M1854" s="93"/>
      <c r="N1854" s="93"/>
      <c r="O1854" s="56"/>
      <c r="P1854" s="56"/>
      <c r="Q1854" s="56"/>
      <c r="R1854" s="56"/>
      <c r="S1854" s="56"/>
      <c r="T1854" s="56"/>
      <c r="U1854" s="56"/>
      <c r="V1854" s="56"/>
    </row>
    <row r="1855" ht="18.75" customHeight="1">
      <c r="A1855" s="90"/>
      <c r="B1855" s="126"/>
      <c r="C1855" s="252"/>
      <c r="D1855" s="109"/>
      <c r="E1855" s="109"/>
      <c r="F1855" s="110"/>
      <c r="G1855" s="95"/>
      <c r="H1855" s="122"/>
      <c r="I1855" s="109"/>
      <c r="J1855" s="120"/>
      <c r="K1855" s="120"/>
      <c r="L1855" s="93"/>
      <c r="M1855" s="93"/>
      <c r="N1855" s="93"/>
      <c r="O1855" s="56"/>
      <c r="P1855" s="56"/>
      <c r="Q1855" s="56"/>
      <c r="R1855" s="56"/>
      <c r="S1855" s="56"/>
      <c r="T1855" s="56"/>
      <c r="U1855" s="56"/>
      <c r="V1855" s="56"/>
    </row>
    <row r="1856" ht="18.75" customHeight="1">
      <c r="A1856" s="90"/>
      <c r="B1856" s="126"/>
      <c r="C1856" s="252"/>
      <c r="D1856" s="109"/>
      <c r="E1856" s="109"/>
      <c r="F1856" s="110"/>
      <c r="G1856" s="95"/>
      <c r="H1856" s="122"/>
      <c r="I1856" s="109"/>
      <c r="J1856" s="120"/>
      <c r="K1856" s="120"/>
      <c r="L1856" s="93"/>
      <c r="M1856" s="93"/>
      <c r="N1856" s="93"/>
      <c r="O1856" s="56"/>
      <c r="P1856" s="56"/>
      <c r="Q1856" s="56"/>
      <c r="R1856" s="56"/>
      <c r="S1856" s="56"/>
      <c r="T1856" s="56"/>
      <c r="U1856" s="56"/>
      <c r="V1856" s="56"/>
    </row>
    <row r="1857" ht="18.75" customHeight="1">
      <c r="A1857" s="90"/>
      <c r="B1857" s="126"/>
      <c r="C1857" s="252"/>
      <c r="D1857" s="109"/>
      <c r="E1857" s="109"/>
      <c r="F1857" s="110"/>
      <c r="G1857" s="95"/>
      <c r="H1857" s="122"/>
      <c r="I1857" s="109"/>
      <c r="J1857" s="120"/>
      <c r="K1857" s="120"/>
      <c r="L1857" s="93"/>
      <c r="M1857" s="93"/>
      <c r="N1857" s="93"/>
      <c r="O1857" s="56"/>
      <c r="P1857" s="56"/>
      <c r="Q1857" s="56"/>
      <c r="R1857" s="56"/>
      <c r="S1857" s="56"/>
      <c r="T1857" s="56"/>
      <c r="U1857" s="56"/>
      <c r="V1857" s="56"/>
    </row>
    <row r="1858" ht="18.75" customHeight="1">
      <c r="A1858" s="90"/>
      <c r="B1858" s="126"/>
      <c r="C1858" s="252"/>
      <c r="D1858" s="109"/>
      <c r="E1858" s="109"/>
      <c r="F1858" s="110"/>
      <c r="G1858" s="95"/>
      <c r="H1858" s="122"/>
      <c r="I1858" s="109"/>
      <c r="J1858" s="120"/>
      <c r="K1858" s="120"/>
      <c r="L1858" s="93"/>
      <c r="M1858" s="93"/>
      <c r="N1858" s="93"/>
      <c r="O1858" s="56"/>
      <c r="P1858" s="56"/>
      <c r="Q1858" s="56"/>
      <c r="R1858" s="56"/>
      <c r="S1858" s="56"/>
      <c r="T1858" s="56"/>
      <c r="U1858" s="56"/>
      <c r="V1858" s="56"/>
    </row>
    <row r="1859" ht="18.75" customHeight="1">
      <c r="A1859" s="90"/>
      <c r="B1859" s="126"/>
      <c r="C1859" s="252"/>
      <c r="D1859" s="109"/>
      <c r="E1859" s="109"/>
      <c r="F1859" s="110"/>
      <c r="G1859" s="95"/>
      <c r="H1859" s="122"/>
      <c r="I1859" s="109"/>
      <c r="J1859" s="120"/>
      <c r="K1859" s="120"/>
      <c r="L1859" s="93"/>
      <c r="M1859" s="93"/>
      <c r="N1859" s="93"/>
      <c r="O1859" s="56"/>
      <c r="P1859" s="56"/>
      <c r="Q1859" s="56"/>
      <c r="R1859" s="56"/>
      <c r="S1859" s="56"/>
      <c r="T1859" s="56"/>
      <c r="U1859" s="56"/>
      <c r="V1859" s="56"/>
    </row>
    <row r="1860" ht="18.75" customHeight="1">
      <c r="A1860" s="90"/>
      <c r="B1860" s="126"/>
      <c r="C1860" s="252"/>
      <c r="D1860" s="109"/>
      <c r="E1860" s="109"/>
      <c r="F1860" s="110"/>
      <c r="G1860" s="95"/>
      <c r="H1860" s="122"/>
      <c r="I1860" s="109"/>
      <c r="J1860" s="120"/>
      <c r="K1860" s="120"/>
      <c r="L1860" s="93"/>
      <c r="M1860" s="93"/>
      <c r="N1860" s="93"/>
      <c r="O1860" s="56"/>
      <c r="P1860" s="56"/>
      <c r="Q1860" s="56"/>
      <c r="R1860" s="56"/>
      <c r="S1860" s="56"/>
      <c r="T1860" s="56"/>
      <c r="U1860" s="56"/>
      <c r="V1860" s="56"/>
    </row>
    <row r="1861" ht="18.75" customHeight="1">
      <c r="A1861" s="90"/>
      <c r="B1861" s="126"/>
      <c r="C1861" s="252"/>
      <c r="D1861" s="109"/>
      <c r="E1861" s="109"/>
      <c r="F1861" s="110"/>
      <c r="G1861" s="95"/>
      <c r="H1861" s="122"/>
      <c r="I1861" s="109"/>
      <c r="J1861" s="120"/>
      <c r="K1861" s="120"/>
      <c r="L1861" s="93"/>
      <c r="M1861" s="93"/>
      <c r="N1861" s="93"/>
      <c r="O1861" s="56"/>
      <c r="P1861" s="56"/>
      <c r="Q1861" s="56"/>
      <c r="R1861" s="56"/>
      <c r="S1861" s="56"/>
      <c r="T1861" s="56"/>
      <c r="U1861" s="56"/>
      <c r="V1861" s="56"/>
    </row>
    <row r="1862" ht="18.75" customHeight="1">
      <c r="A1862" s="90"/>
      <c r="B1862" s="126"/>
      <c r="C1862" s="252"/>
      <c r="D1862" s="109"/>
      <c r="E1862" s="109"/>
      <c r="F1862" s="110"/>
      <c r="G1862" s="95"/>
      <c r="H1862" s="122"/>
      <c r="I1862" s="109"/>
      <c r="J1862" s="120"/>
      <c r="K1862" s="120"/>
      <c r="L1862" s="93"/>
      <c r="M1862" s="93"/>
      <c r="N1862" s="93"/>
      <c r="O1862" s="56"/>
      <c r="P1862" s="56"/>
      <c r="Q1862" s="56"/>
      <c r="R1862" s="56"/>
      <c r="S1862" s="56"/>
      <c r="T1862" s="56"/>
      <c r="U1862" s="56"/>
      <c r="V1862" s="56"/>
    </row>
    <row r="1863" ht="18.75" customHeight="1">
      <c r="A1863" s="90"/>
      <c r="B1863" s="126"/>
      <c r="C1863" s="252"/>
      <c r="D1863" s="109"/>
      <c r="E1863" s="109"/>
      <c r="F1863" s="110"/>
      <c r="G1863" s="95"/>
      <c r="H1863" s="122"/>
      <c r="I1863" s="109"/>
      <c r="J1863" s="120"/>
      <c r="K1863" s="120"/>
      <c r="L1863" s="93"/>
      <c r="M1863" s="93"/>
      <c r="N1863" s="93"/>
      <c r="O1863" s="56"/>
      <c r="P1863" s="56"/>
      <c r="Q1863" s="56"/>
      <c r="R1863" s="56"/>
      <c r="S1863" s="56"/>
      <c r="T1863" s="56"/>
      <c r="U1863" s="56"/>
      <c r="V1863" s="56"/>
    </row>
    <row r="1864" ht="18.75" customHeight="1">
      <c r="A1864" s="90"/>
      <c r="B1864" s="126"/>
      <c r="C1864" s="252"/>
      <c r="D1864" s="109"/>
      <c r="E1864" s="109"/>
      <c r="F1864" s="110"/>
      <c r="G1864" s="95"/>
      <c r="H1864" s="122"/>
      <c r="I1864" s="109"/>
      <c r="J1864" s="120"/>
      <c r="K1864" s="120"/>
      <c r="L1864" s="93"/>
      <c r="M1864" s="93"/>
      <c r="N1864" s="93"/>
      <c r="O1864" s="56"/>
      <c r="P1864" s="56"/>
      <c r="Q1864" s="56"/>
      <c r="R1864" s="56"/>
      <c r="S1864" s="56"/>
      <c r="T1864" s="56"/>
      <c r="U1864" s="56"/>
      <c r="V1864" s="56"/>
    </row>
    <row r="1865" ht="18.75" customHeight="1">
      <c r="A1865" s="90"/>
      <c r="B1865" s="126"/>
      <c r="C1865" s="252"/>
      <c r="D1865" s="109"/>
      <c r="E1865" s="109"/>
      <c r="F1865" s="110"/>
      <c r="G1865" s="95"/>
      <c r="H1865" s="122"/>
      <c r="I1865" s="109"/>
      <c r="J1865" s="120"/>
      <c r="K1865" s="120"/>
      <c r="L1865" s="93"/>
      <c r="M1865" s="93"/>
      <c r="N1865" s="93"/>
      <c r="O1865" s="56"/>
      <c r="P1865" s="56"/>
      <c r="Q1865" s="56"/>
      <c r="R1865" s="56"/>
      <c r="S1865" s="56"/>
      <c r="T1865" s="56"/>
      <c r="U1865" s="56"/>
      <c r="V1865" s="56"/>
    </row>
    <row r="1866" ht="18.75" customHeight="1">
      <c r="A1866" s="90"/>
      <c r="B1866" s="126"/>
      <c r="C1866" s="252"/>
      <c r="D1866" s="109"/>
      <c r="E1866" s="109"/>
      <c r="F1866" s="110"/>
      <c r="G1866" s="95"/>
      <c r="H1866" s="122"/>
      <c r="I1866" s="109"/>
      <c r="J1866" s="120"/>
      <c r="K1866" s="120"/>
      <c r="L1866" s="93"/>
      <c r="M1866" s="93"/>
      <c r="N1866" s="93"/>
      <c r="O1866" s="56"/>
      <c r="P1866" s="56"/>
      <c r="Q1866" s="56"/>
      <c r="R1866" s="56"/>
      <c r="S1866" s="56"/>
      <c r="T1866" s="56"/>
      <c r="U1866" s="56"/>
      <c r="V1866" s="56"/>
    </row>
    <row r="1867" ht="18.75" customHeight="1">
      <c r="A1867" s="90"/>
      <c r="B1867" s="126"/>
      <c r="C1867" s="252"/>
      <c r="D1867" s="109"/>
      <c r="E1867" s="109"/>
      <c r="F1867" s="110"/>
      <c r="G1867" s="95"/>
      <c r="H1867" s="122"/>
      <c r="I1867" s="109"/>
      <c r="J1867" s="120"/>
      <c r="K1867" s="120"/>
      <c r="L1867" s="93"/>
      <c r="M1867" s="93"/>
      <c r="N1867" s="93"/>
      <c r="O1867" s="56"/>
      <c r="P1867" s="56"/>
      <c r="Q1867" s="56"/>
      <c r="R1867" s="56"/>
      <c r="S1867" s="56"/>
      <c r="T1867" s="56"/>
      <c r="U1867" s="56"/>
      <c r="V1867" s="56"/>
    </row>
    <row r="1868" ht="18.75" customHeight="1">
      <c r="A1868" s="90"/>
      <c r="B1868" s="126"/>
      <c r="C1868" s="252"/>
      <c r="D1868" s="109"/>
      <c r="E1868" s="109"/>
      <c r="F1868" s="110"/>
      <c r="G1868" s="95"/>
      <c r="H1868" s="122"/>
      <c r="I1868" s="109"/>
      <c r="J1868" s="120"/>
      <c r="K1868" s="120"/>
      <c r="L1868" s="93"/>
      <c r="M1868" s="93"/>
      <c r="N1868" s="93"/>
      <c r="O1868" s="56"/>
      <c r="P1868" s="56"/>
      <c r="Q1868" s="56"/>
      <c r="R1868" s="56"/>
      <c r="S1868" s="56"/>
      <c r="T1868" s="56"/>
      <c r="U1868" s="56"/>
      <c r="V1868" s="56"/>
    </row>
    <row r="1869" ht="18.75" customHeight="1">
      <c r="A1869" s="90"/>
      <c r="B1869" s="126"/>
      <c r="C1869" s="252"/>
      <c r="D1869" s="109"/>
      <c r="E1869" s="109"/>
      <c r="F1869" s="110"/>
      <c r="G1869" s="95"/>
      <c r="H1869" s="122"/>
      <c r="I1869" s="109"/>
      <c r="J1869" s="120"/>
      <c r="K1869" s="120"/>
      <c r="L1869" s="93"/>
      <c r="M1869" s="93"/>
      <c r="N1869" s="93"/>
      <c r="O1869" s="56"/>
      <c r="P1869" s="56"/>
      <c r="Q1869" s="56"/>
      <c r="R1869" s="56"/>
      <c r="S1869" s="56"/>
      <c r="T1869" s="56"/>
      <c r="U1869" s="56"/>
      <c r="V1869" s="56"/>
    </row>
    <row r="1870" ht="18.75" customHeight="1">
      <c r="A1870" s="90"/>
      <c r="B1870" s="126"/>
      <c r="C1870" s="252"/>
      <c r="D1870" s="109"/>
      <c r="E1870" s="109"/>
      <c r="F1870" s="110"/>
      <c r="G1870" s="95"/>
      <c r="H1870" s="122"/>
      <c r="I1870" s="109"/>
      <c r="J1870" s="120"/>
      <c r="K1870" s="120"/>
      <c r="L1870" s="93"/>
      <c r="M1870" s="93"/>
      <c r="N1870" s="93"/>
      <c r="O1870" s="56"/>
      <c r="P1870" s="56"/>
      <c r="Q1870" s="56"/>
      <c r="R1870" s="56"/>
      <c r="S1870" s="56"/>
      <c r="T1870" s="56"/>
      <c r="U1870" s="56"/>
      <c r="V1870" s="56"/>
    </row>
    <row r="1871" ht="18.75" customHeight="1">
      <c r="A1871" s="90"/>
      <c r="B1871" s="126"/>
      <c r="C1871" s="252"/>
      <c r="D1871" s="109"/>
      <c r="E1871" s="109"/>
      <c r="F1871" s="110"/>
      <c r="G1871" s="95"/>
      <c r="H1871" s="122"/>
      <c r="I1871" s="109"/>
      <c r="J1871" s="120"/>
      <c r="K1871" s="120"/>
      <c r="L1871" s="93"/>
      <c r="M1871" s="93"/>
      <c r="N1871" s="93"/>
      <c r="O1871" s="56"/>
      <c r="P1871" s="56"/>
      <c r="Q1871" s="56"/>
      <c r="R1871" s="56"/>
      <c r="S1871" s="56"/>
      <c r="T1871" s="56"/>
      <c r="U1871" s="56"/>
      <c r="V1871" s="56"/>
    </row>
    <row r="1872" ht="18.75" customHeight="1">
      <c r="A1872" s="90"/>
      <c r="B1872" s="126"/>
      <c r="C1872" s="252"/>
      <c r="D1872" s="109"/>
      <c r="E1872" s="109"/>
      <c r="F1872" s="110"/>
      <c r="G1872" s="95"/>
      <c r="H1872" s="122"/>
      <c r="I1872" s="109"/>
      <c r="J1872" s="120"/>
      <c r="K1872" s="120"/>
      <c r="L1872" s="93"/>
      <c r="M1872" s="93"/>
      <c r="N1872" s="93"/>
      <c r="O1872" s="56"/>
      <c r="P1872" s="56"/>
      <c r="Q1872" s="56"/>
      <c r="R1872" s="56"/>
      <c r="S1872" s="56"/>
      <c r="T1872" s="56"/>
      <c r="U1872" s="56"/>
      <c r="V1872" s="56"/>
    </row>
    <row r="1873" ht="18.75" customHeight="1">
      <c r="A1873" s="90"/>
      <c r="B1873" s="126"/>
      <c r="C1873" s="252"/>
      <c r="D1873" s="109"/>
      <c r="E1873" s="109"/>
      <c r="F1873" s="110"/>
      <c r="G1873" s="95"/>
      <c r="H1873" s="122"/>
      <c r="I1873" s="109"/>
      <c r="J1873" s="120"/>
      <c r="K1873" s="120"/>
      <c r="L1873" s="93"/>
      <c r="M1873" s="93"/>
      <c r="N1873" s="93"/>
      <c r="O1873" s="56"/>
      <c r="P1873" s="56"/>
      <c r="Q1873" s="56"/>
      <c r="R1873" s="56"/>
      <c r="S1873" s="56"/>
      <c r="T1873" s="56"/>
      <c r="U1873" s="56"/>
      <c r="V1873" s="56"/>
    </row>
    <row r="1874" ht="18.75" customHeight="1">
      <c r="A1874" s="90"/>
      <c r="B1874" s="126"/>
      <c r="C1874" s="252"/>
      <c r="D1874" s="109"/>
      <c r="E1874" s="109"/>
      <c r="F1874" s="110"/>
      <c r="G1874" s="95"/>
      <c r="H1874" s="122"/>
      <c r="I1874" s="109"/>
      <c r="J1874" s="120"/>
      <c r="K1874" s="120"/>
      <c r="L1874" s="93"/>
      <c r="M1874" s="93"/>
      <c r="N1874" s="93"/>
      <c r="O1874" s="56"/>
      <c r="P1874" s="56"/>
      <c r="Q1874" s="56"/>
      <c r="R1874" s="56"/>
      <c r="S1874" s="56"/>
      <c r="T1874" s="56"/>
      <c r="U1874" s="56"/>
      <c r="V1874" s="56"/>
    </row>
    <row r="1875" ht="18.75" customHeight="1">
      <c r="A1875" s="90"/>
      <c r="B1875" s="126"/>
      <c r="C1875" s="252"/>
      <c r="D1875" s="109"/>
      <c r="E1875" s="109"/>
      <c r="F1875" s="110"/>
      <c r="G1875" s="95"/>
      <c r="H1875" s="122"/>
      <c r="I1875" s="109"/>
      <c r="J1875" s="120"/>
      <c r="K1875" s="120"/>
      <c r="L1875" s="93"/>
      <c r="M1875" s="93"/>
      <c r="N1875" s="93"/>
      <c r="O1875" s="56"/>
      <c r="P1875" s="56"/>
      <c r="Q1875" s="56"/>
      <c r="R1875" s="56"/>
      <c r="S1875" s="56"/>
      <c r="T1875" s="56"/>
      <c r="U1875" s="56"/>
      <c r="V1875" s="56"/>
    </row>
    <row r="1876" ht="18.75" customHeight="1">
      <c r="A1876" s="90"/>
      <c r="B1876" s="126"/>
      <c r="C1876" s="252"/>
      <c r="D1876" s="109"/>
      <c r="E1876" s="109"/>
      <c r="F1876" s="110"/>
      <c r="G1876" s="95"/>
      <c r="H1876" s="122"/>
      <c r="I1876" s="109"/>
      <c r="J1876" s="120"/>
      <c r="K1876" s="120"/>
      <c r="L1876" s="93"/>
      <c r="M1876" s="93"/>
      <c r="N1876" s="93"/>
      <c r="O1876" s="56"/>
      <c r="P1876" s="56"/>
      <c r="Q1876" s="56"/>
      <c r="R1876" s="56"/>
      <c r="S1876" s="56"/>
      <c r="T1876" s="56"/>
      <c r="U1876" s="56"/>
      <c r="V1876" s="56"/>
    </row>
    <row r="1877" ht="18.75" customHeight="1">
      <c r="A1877" s="90"/>
      <c r="B1877" s="126"/>
      <c r="C1877" s="252"/>
      <c r="D1877" s="109"/>
      <c r="E1877" s="109"/>
      <c r="F1877" s="110"/>
      <c r="G1877" s="95"/>
      <c r="H1877" s="122"/>
      <c r="I1877" s="109"/>
      <c r="J1877" s="120"/>
      <c r="K1877" s="120"/>
      <c r="L1877" s="93"/>
      <c r="M1877" s="93"/>
      <c r="N1877" s="93"/>
      <c r="O1877" s="56"/>
      <c r="P1877" s="56"/>
      <c r="Q1877" s="56"/>
      <c r="R1877" s="56"/>
      <c r="S1877" s="56"/>
      <c r="T1877" s="56"/>
      <c r="U1877" s="56"/>
      <c r="V1877" s="56"/>
    </row>
    <row r="1878" ht="18.75" customHeight="1">
      <c r="A1878" s="90"/>
      <c r="B1878" s="126"/>
      <c r="C1878" s="252"/>
      <c r="D1878" s="109"/>
      <c r="E1878" s="109"/>
      <c r="F1878" s="110"/>
      <c r="G1878" s="95"/>
      <c r="H1878" s="122"/>
      <c r="I1878" s="109"/>
      <c r="J1878" s="120"/>
      <c r="K1878" s="120"/>
      <c r="L1878" s="93"/>
      <c r="M1878" s="93"/>
      <c r="N1878" s="93"/>
      <c r="O1878" s="56"/>
      <c r="P1878" s="56"/>
      <c r="Q1878" s="56"/>
      <c r="R1878" s="56"/>
      <c r="S1878" s="56"/>
      <c r="T1878" s="56"/>
      <c r="U1878" s="56"/>
      <c r="V1878" s="56"/>
    </row>
  </sheetData>
  <autoFilter ref="$B$2:$K$902"/>
  <printOptions horizontalCentered="1"/>
  <pageMargins bottom="0.75" footer="0.0" header="0.0" left="0.25" right="0.25" top="0.75"/>
  <pageSetup fitToHeight="0" paperSize="8" cellComments="atEnd" orientation="portrait" pageOrder="overThenDow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 outlineLevelCol="1"/>
  <cols>
    <col customWidth="1" min="1" max="1" width="5.0"/>
    <col customWidth="1" min="2" max="2" width="38.43"/>
    <col customWidth="1" min="3" max="3" width="78.29"/>
    <col customWidth="1" min="4" max="4" width="11.71"/>
    <col customWidth="1" min="5" max="5" width="21.57"/>
  </cols>
  <sheetData>
    <row r="1">
      <c r="A1" s="163">
        <v>0.02</v>
      </c>
      <c r="B1" s="20"/>
      <c r="C1" s="1"/>
      <c r="D1" s="3"/>
      <c r="E1" s="3"/>
      <c r="F1" s="1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39.0" customHeight="1">
      <c r="A2" s="1"/>
      <c r="B2" s="98" t="s">
        <v>878</v>
      </c>
      <c r="C2" s="98" t="s">
        <v>879</v>
      </c>
      <c r="D2" s="99" t="s">
        <v>1001</v>
      </c>
      <c r="E2" s="165">
        <v>46086.0</v>
      </c>
      <c r="F2" s="1"/>
      <c r="G2" s="3"/>
      <c r="H2" s="1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07" t="s">
        <v>1077</v>
      </c>
      <c r="C3" s="166"/>
      <c r="D3" s="93"/>
      <c r="E3" s="3"/>
      <c r="F3" s="1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67" t="s">
        <v>521</v>
      </c>
      <c r="C4" s="168" t="s">
        <v>1080</v>
      </c>
      <c r="D4" s="169" t="s">
        <v>1001</v>
      </c>
      <c r="E4" s="170">
        <v>2092.0</v>
      </c>
      <c r="F4" s="1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/>
      <c r="B5" s="107"/>
      <c r="C5" s="92"/>
      <c r="D5" s="134"/>
      <c r="E5" s="171"/>
      <c r="F5" s="1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/>
      <c r="B6" s="107" t="s">
        <v>1084</v>
      </c>
      <c r="C6" s="92"/>
      <c r="D6" s="134"/>
      <c r="E6" s="171"/>
      <c r="F6" s="1"/>
      <c r="G6" s="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/>
      <c r="B7" s="167" t="s">
        <v>1085</v>
      </c>
      <c r="C7" s="168" t="s">
        <v>1080</v>
      </c>
      <c r="D7" s="169" t="s">
        <v>1001</v>
      </c>
      <c r="E7" s="170">
        <v>2217.52</v>
      </c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/>
      <c r="B8" s="107"/>
      <c r="C8" s="92"/>
      <c r="D8" s="134"/>
      <c r="E8" s="171"/>
      <c r="F8" s="1"/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/>
      <c r="B9" s="107" t="s">
        <v>1087</v>
      </c>
      <c r="C9" s="92"/>
      <c r="D9" s="134"/>
      <c r="E9" s="171"/>
      <c r="F9" s="1"/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167" t="s">
        <v>1088</v>
      </c>
      <c r="C10" s="168" t="s">
        <v>1080</v>
      </c>
      <c r="D10" s="169" t="s">
        <v>1001</v>
      </c>
      <c r="E10" s="170">
        <v>2217.52</v>
      </c>
      <c r="F10" s="1"/>
      <c r="G10" s="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/>
      <c r="C11" s="92"/>
      <c r="D11" s="134"/>
      <c r="E11" s="171"/>
      <c r="F11" s="1"/>
      <c r="G11" s="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/>
      <c r="B12" s="107" t="s">
        <v>1090</v>
      </c>
      <c r="C12" s="92"/>
      <c r="D12" s="134"/>
      <c r="E12" s="171"/>
      <c r="F12" s="1"/>
      <c r="G12" s="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"/>
      <c r="B13" s="167" t="s">
        <v>1091</v>
      </c>
      <c r="C13" s="168" t="s">
        <v>1080</v>
      </c>
      <c r="D13" s="169" t="s">
        <v>1001</v>
      </c>
      <c r="E13" s="170">
        <v>2217.52</v>
      </c>
      <c r="F13" s="1"/>
      <c r="G13" s="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1"/>
      <c r="B14" s="107"/>
      <c r="C14" s="92"/>
      <c r="D14" s="134"/>
      <c r="E14" s="109"/>
      <c r="F14" s="1"/>
      <c r="G14" s="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"/>
      <c r="B15" s="107" t="s">
        <v>1093</v>
      </c>
      <c r="C15" s="92"/>
      <c r="D15" s="134"/>
      <c r="E15" s="109"/>
      <c r="F15" s="1"/>
      <c r="G15" s="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/>
      <c r="B16" s="167" t="s">
        <v>1095</v>
      </c>
      <c r="C16" s="168" t="s">
        <v>1080</v>
      </c>
      <c r="D16" s="169" t="s">
        <v>1001</v>
      </c>
      <c r="E16" s="170">
        <v>2217.52</v>
      </c>
      <c r="F16" s="1"/>
      <c r="G16" s="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/>
      <c r="B17" s="107"/>
      <c r="C17" s="92"/>
      <c r="D17" s="134"/>
      <c r="E17" s="109"/>
      <c r="F17" s="1"/>
      <c r="G17" s="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1"/>
      <c r="B18" s="107" t="s">
        <v>1097</v>
      </c>
      <c r="C18" s="92"/>
      <c r="D18" s="134"/>
      <c r="E18" s="109"/>
      <c r="F18" s="1"/>
      <c r="G18" s="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/>
      <c r="B19" s="167" t="s">
        <v>1099</v>
      </c>
      <c r="C19" s="168" t="s">
        <v>1080</v>
      </c>
      <c r="D19" s="169" t="s">
        <v>1001</v>
      </c>
      <c r="E19" s="170">
        <v>2217.52</v>
      </c>
      <c r="F19" s="1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1"/>
      <c r="B20" s="107"/>
      <c r="C20" s="92"/>
      <c r="D20" s="134"/>
      <c r="E20" s="109"/>
      <c r="F20" s="1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1"/>
      <c r="B21" s="107" t="s">
        <v>1101</v>
      </c>
      <c r="C21" s="92"/>
      <c r="D21" s="134"/>
      <c r="E21" s="109"/>
      <c r="F21" s="1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1"/>
      <c r="B22" s="167" t="s">
        <v>1103</v>
      </c>
      <c r="C22" s="168" t="s">
        <v>1080</v>
      </c>
      <c r="D22" s="169" t="s">
        <v>1001</v>
      </c>
      <c r="E22" s="170">
        <v>2217.52</v>
      </c>
      <c r="F22" s="1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"/>
      <c r="B23" s="107"/>
      <c r="C23" s="92"/>
      <c r="D23" s="134"/>
      <c r="E23" s="109"/>
      <c r="F23" s="1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"/>
      <c r="B24" s="107" t="s">
        <v>1106</v>
      </c>
      <c r="C24" s="92"/>
      <c r="D24" s="134"/>
      <c r="E24" s="109"/>
      <c r="F24" s="1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1"/>
      <c r="B25" s="167" t="s">
        <v>702</v>
      </c>
      <c r="C25" s="168" t="s">
        <v>1080</v>
      </c>
      <c r="D25" s="169" t="s">
        <v>1001</v>
      </c>
      <c r="E25" s="170">
        <v>2286.0</v>
      </c>
      <c r="F25" s="1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/>
      <c r="B26" s="107"/>
      <c r="C26" s="92"/>
      <c r="D26" s="134"/>
      <c r="E26" s="109"/>
      <c r="F26" s="1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/>
      <c r="B27" s="107" t="s">
        <v>1109</v>
      </c>
      <c r="C27" s="92"/>
      <c r="D27" s="134"/>
      <c r="E27" s="109"/>
      <c r="F27" s="1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/>
      <c r="B28" s="167" t="s">
        <v>1110</v>
      </c>
      <c r="C28" s="168" t="s">
        <v>1080</v>
      </c>
      <c r="D28" s="169" t="s">
        <v>1001</v>
      </c>
      <c r="E28" s="170">
        <v>2424.0</v>
      </c>
      <c r="F28" s="1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"/>
      <c r="B29" s="107"/>
      <c r="C29" s="92"/>
      <c r="D29" s="134"/>
      <c r="E29" s="109"/>
      <c r="F29" s="1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/>
      <c r="B30" s="107" t="s">
        <v>1115</v>
      </c>
      <c r="C30" s="92"/>
      <c r="D30" s="134"/>
      <c r="E30" s="109"/>
      <c r="F30" s="1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/>
      <c r="B31" s="167" t="s">
        <v>1116</v>
      </c>
      <c r="C31" s="168" t="s">
        <v>1080</v>
      </c>
      <c r="D31" s="169" t="s">
        <v>1001</v>
      </c>
      <c r="E31" s="170">
        <v>2424.0</v>
      </c>
      <c r="F31" s="1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107"/>
      <c r="C32" s="92"/>
      <c r="D32" s="134"/>
      <c r="E32" s="109"/>
      <c r="F32" s="1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/>
      <c r="B33" s="107" t="s">
        <v>1120</v>
      </c>
      <c r="C33" s="92"/>
      <c r="D33" s="134"/>
      <c r="E33" s="109"/>
      <c r="F33" s="1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167" t="s">
        <v>1121</v>
      </c>
      <c r="C34" s="168" t="s">
        <v>1080</v>
      </c>
      <c r="D34" s="169" t="s">
        <v>1001</v>
      </c>
      <c r="E34" s="170">
        <v>2424.0</v>
      </c>
      <c r="F34" s="1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107"/>
      <c r="C35" s="92"/>
      <c r="D35" s="134"/>
      <c r="E35" s="109"/>
      <c r="F35" s="1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/>
      <c r="B36" s="107" t="s">
        <v>1125</v>
      </c>
      <c r="C36" s="92"/>
      <c r="D36" s="134"/>
      <c r="E36" s="109"/>
      <c r="F36" s="1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/>
      <c r="B37" s="167" t="s">
        <v>1126</v>
      </c>
      <c r="C37" s="168" t="s">
        <v>1080</v>
      </c>
      <c r="D37" s="169" t="s">
        <v>1001</v>
      </c>
      <c r="E37" s="170">
        <v>2424.0</v>
      </c>
      <c r="F37" s="1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/>
      <c r="B38" s="107"/>
      <c r="C38" s="92"/>
      <c r="D38" s="134"/>
      <c r="E38" s="109"/>
      <c r="F38" s="1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107" t="s">
        <v>1129</v>
      </c>
      <c r="C39" s="92"/>
      <c r="D39" s="134"/>
      <c r="E39" s="109"/>
      <c r="F39" s="1"/>
      <c r="G39" s="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167" t="s">
        <v>1131</v>
      </c>
      <c r="C40" s="168" t="s">
        <v>1080</v>
      </c>
      <c r="D40" s="169" t="s">
        <v>1001</v>
      </c>
      <c r="E40" s="170">
        <v>2424.0</v>
      </c>
      <c r="F40" s="1"/>
      <c r="G40" s="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107"/>
      <c r="C41" s="92"/>
      <c r="D41" s="134"/>
      <c r="E41" s="109"/>
      <c r="F41" s="1"/>
      <c r="G41" s="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107" t="s">
        <v>7</v>
      </c>
      <c r="C42" s="166"/>
      <c r="D42" s="93"/>
      <c r="E42" s="109"/>
      <c r="F42" s="1"/>
      <c r="G42" s="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72"/>
      <c r="B43" s="167" t="s">
        <v>722</v>
      </c>
      <c r="C43" s="168" t="s">
        <v>696</v>
      </c>
      <c r="D43" s="169" t="s">
        <v>1001</v>
      </c>
      <c r="E43" s="170">
        <v>756.0</v>
      </c>
      <c r="F43" s="172"/>
      <c r="G43" s="3"/>
      <c r="H43" s="1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</row>
    <row r="44">
      <c r="A44" s="172"/>
      <c r="B44" s="167" t="s">
        <v>732</v>
      </c>
      <c r="C44" s="168" t="s">
        <v>1080</v>
      </c>
      <c r="D44" s="169" t="s">
        <v>1001</v>
      </c>
      <c r="E44" s="170">
        <v>2233.8</v>
      </c>
      <c r="F44" s="172"/>
      <c r="G44" s="3"/>
      <c r="H44" s="1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</row>
    <row r="45">
      <c r="A45" s="1"/>
      <c r="B45" s="107"/>
      <c r="C45" s="92"/>
      <c r="D45" s="134"/>
      <c r="E45" s="109"/>
      <c r="F45" s="1"/>
      <c r="G45" s="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107" t="s">
        <v>1138</v>
      </c>
      <c r="C46" s="92"/>
      <c r="D46" s="134"/>
      <c r="E46" s="109"/>
      <c r="F46" s="1"/>
      <c r="G46" s="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72"/>
      <c r="B47" s="167" t="s">
        <v>1139</v>
      </c>
      <c r="C47" s="168" t="s">
        <v>696</v>
      </c>
      <c r="D47" s="169" t="s">
        <v>1001</v>
      </c>
      <c r="E47" s="170">
        <v>798.0</v>
      </c>
      <c r="F47" s="172"/>
      <c r="G47" s="3"/>
      <c r="H47" s="1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</row>
    <row r="48">
      <c r="A48" s="172"/>
      <c r="B48" s="167" t="s">
        <v>1142</v>
      </c>
      <c r="C48" s="168" t="s">
        <v>1080</v>
      </c>
      <c r="D48" s="169" t="s">
        <v>1001</v>
      </c>
      <c r="E48" s="170">
        <v>2367.8280000000004</v>
      </c>
      <c r="F48" s="172"/>
      <c r="G48" s="3"/>
      <c r="H48" s="1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</row>
    <row r="49">
      <c r="A49" s="1"/>
      <c r="B49" s="107"/>
      <c r="C49" s="92"/>
      <c r="D49" s="134"/>
      <c r="E49" s="109"/>
      <c r="F49" s="1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107" t="s">
        <v>1146</v>
      </c>
      <c r="C50" s="92"/>
      <c r="D50" s="134"/>
      <c r="E50" s="109"/>
      <c r="F50" s="1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72"/>
      <c r="B51" s="167" t="s">
        <v>1147</v>
      </c>
      <c r="C51" s="168" t="s">
        <v>696</v>
      </c>
      <c r="D51" s="169" t="s">
        <v>1001</v>
      </c>
      <c r="E51" s="170">
        <v>798.0</v>
      </c>
      <c r="F51" s="172"/>
      <c r="G51" s="3"/>
      <c r="H51" s="1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</row>
    <row r="52">
      <c r="A52" s="172"/>
      <c r="B52" s="167" t="s">
        <v>1148</v>
      </c>
      <c r="C52" s="168" t="s">
        <v>1080</v>
      </c>
      <c r="D52" s="169" t="s">
        <v>1001</v>
      </c>
      <c r="E52" s="170">
        <v>2367.8280000000004</v>
      </c>
      <c r="F52" s="172"/>
      <c r="G52" s="3"/>
      <c r="H52" s="1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</row>
    <row r="53">
      <c r="A53" s="1"/>
      <c r="C53" s="92"/>
      <c r="D53" s="134"/>
      <c r="E53" s="109"/>
      <c r="F53" s="1"/>
      <c r="G53" s="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107" t="s">
        <v>1150</v>
      </c>
      <c r="C54" s="92"/>
      <c r="D54" s="134"/>
      <c r="E54" s="109"/>
      <c r="F54" s="1"/>
      <c r="G54" s="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72"/>
      <c r="B55" s="167" t="s">
        <v>1153</v>
      </c>
      <c r="C55" s="168" t="s">
        <v>696</v>
      </c>
      <c r="D55" s="169" t="s">
        <v>1001</v>
      </c>
      <c r="E55" s="170">
        <v>798.0</v>
      </c>
      <c r="F55" s="172"/>
      <c r="G55" s="3"/>
      <c r="H55" s="1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</row>
    <row r="56">
      <c r="A56" s="172"/>
      <c r="B56" s="167" t="s">
        <v>1154</v>
      </c>
      <c r="C56" s="168" t="s">
        <v>1080</v>
      </c>
      <c r="D56" s="169" t="s">
        <v>1001</v>
      </c>
      <c r="E56" s="170">
        <v>2367.8280000000004</v>
      </c>
      <c r="F56" s="172"/>
      <c r="G56" s="3"/>
      <c r="H56" s="1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</row>
    <row r="57">
      <c r="A57" s="1"/>
      <c r="B57" s="107"/>
      <c r="C57" s="92"/>
      <c r="D57" s="134"/>
      <c r="E57" s="109"/>
      <c r="F57" s="1"/>
      <c r="G57" s="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07" t="s">
        <v>1157</v>
      </c>
      <c r="C58" s="92"/>
      <c r="D58" s="134"/>
      <c r="E58" s="109"/>
      <c r="F58" s="1"/>
      <c r="G58" s="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72"/>
      <c r="B59" s="167" t="s">
        <v>1159</v>
      </c>
      <c r="C59" s="168" t="s">
        <v>696</v>
      </c>
      <c r="D59" s="169" t="s">
        <v>1001</v>
      </c>
      <c r="E59" s="170">
        <v>798.0</v>
      </c>
      <c r="F59" s="172"/>
      <c r="G59" s="3"/>
      <c r="H59" s="1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</row>
    <row r="60">
      <c r="A60" s="172"/>
      <c r="B60" s="167" t="s">
        <v>1161</v>
      </c>
      <c r="C60" s="168" t="s">
        <v>1080</v>
      </c>
      <c r="D60" s="169" t="s">
        <v>1001</v>
      </c>
      <c r="E60" s="170">
        <v>2367.8280000000004</v>
      </c>
      <c r="F60" s="172"/>
      <c r="G60" s="3"/>
      <c r="H60" s="1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</row>
    <row r="61">
      <c r="A61" s="1"/>
      <c r="B61" s="107"/>
      <c r="C61" s="92"/>
      <c r="D61" s="134"/>
      <c r="E61" s="109"/>
      <c r="F61" s="1"/>
      <c r="G61" s="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07" t="s">
        <v>1162</v>
      </c>
      <c r="C62" s="92"/>
      <c r="D62" s="134"/>
      <c r="E62" s="109"/>
      <c r="F62" s="1"/>
      <c r="G62" s="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72"/>
      <c r="B63" s="167" t="s">
        <v>1164</v>
      </c>
      <c r="C63" s="168" t="s">
        <v>696</v>
      </c>
      <c r="D63" s="169" t="s">
        <v>1001</v>
      </c>
      <c r="E63" s="170">
        <v>798.0</v>
      </c>
      <c r="F63" s="172"/>
      <c r="G63" s="3"/>
      <c r="H63" s="1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</row>
    <row r="64">
      <c r="A64" s="172"/>
      <c r="B64" s="167" t="s">
        <v>1166</v>
      </c>
      <c r="C64" s="168" t="s">
        <v>1080</v>
      </c>
      <c r="D64" s="169" t="s">
        <v>1001</v>
      </c>
      <c r="E64" s="170">
        <v>2367.8280000000004</v>
      </c>
      <c r="F64" s="172"/>
      <c r="G64" s="3"/>
      <c r="H64" s="1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</row>
    <row r="65">
      <c r="A65" s="1"/>
      <c r="B65" s="107"/>
      <c r="C65" s="92"/>
      <c r="D65" s="134"/>
      <c r="E65" s="109"/>
      <c r="F65" s="1"/>
      <c r="G65" s="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07" t="s">
        <v>1167</v>
      </c>
      <c r="C66" s="92"/>
      <c r="D66" s="134"/>
      <c r="E66" s="109"/>
      <c r="F66" s="1"/>
      <c r="G66" s="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72"/>
      <c r="B67" s="167" t="s">
        <v>1169</v>
      </c>
      <c r="C67" s="168" t="s">
        <v>696</v>
      </c>
      <c r="D67" s="169" t="s">
        <v>1001</v>
      </c>
      <c r="E67" s="170">
        <v>798.0</v>
      </c>
      <c r="F67" s="172"/>
      <c r="G67" s="3"/>
      <c r="H67" s="1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</row>
    <row r="68">
      <c r="A68" s="172"/>
      <c r="B68" s="167" t="s">
        <v>1170</v>
      </c>
      <c r="C68" s="168" t="s">
        <v>1080</v>
      </c>
      <c r="D68" s="169" t="s">
        <v>1001</v>
      </c>
      <c r="E68" s="170">
        <v>2367.8280000000004</v>
      </c>
      <c r="F68" s="172"/>
      <c r="G68" s="3"/>
      <c r="H68" s="1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</row>
    <row r="69">
      <c r="A69" s="1"/>
      <c r="B69" s="107"/>
      <c r="C69" s="92"/>
      <c r="D69" s="134"/>
      <c r="E69" s="109"/>
      <c r="F69" s="1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07" t="s">
        <v>907</v>
      </c>
      <c r="C70" s="92"/>
      <c r="D70" s="134"/>
      <c r="E70" s="109"/>
      <c r="F70" s="1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67" t="s">
        <v>762</v>
      </c>
      <c r="C71" s="168" t="s">
        <v>1080</v>
      </c>
      <c r="D71" s="169" t="s">
        <v>1001</v>
      </c>
      <c r="E71" s="170">
        <v>2184.0</v>
      </c>
      <c r="F71" s="1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07"/>
      <c r="C72" s="92"/>
      <c r="D72" s="134"/>
      <c r="E72" s="109"/>
      <c r="F72" s="1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07" t="s">
        <v>1174</v>
      </c>
      <c r="C73" s="92"/>
      <c r="D73" s="134"/>
      <c r="E73" s="109"/>
      <c r="F73" s="1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67" t="s">
        <v>1175</v>
      </c>
      <c r="C74" s="168" t="s">
        <v>1080</v>
      </c>
      <c r="D74" s="169" t="s">
        <v>1001</v>
      </c>
      <c r="E74" s="170">
        <v>2316.0</v>
      </c>
      <c r="F74" s="1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07"/>
      <c r="C75" s="92"/>
      <c r="D75" s="134"/>
      <c r="E75" s="109"/>
      <c r="F75" s="1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07" t="s">
        <v>1178</v>
      </c>
      <c r="C76" s="92"/>
      <c r="D76" s="134"/>
      <c r="E76" s="109"/>
      <c r="F76" s="1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67" t="s">
        <v>1181</v>
      </c>
      <c r="C77" s="168" t="s">
        <v>1080</v>
      </c>
      <c r="D77" s="169" t="s">
        <v>1001</v>
      </c>
      <c r="E77" s="170">
        <v>2316.0</v>
      </c>
      <c r="F77" s="1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07"/>
      <c r="C78" s="92"/>
      <c r="D78" s="134"/>
      <c r="E78" s="109"/>
      <c r="F78" s="1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07" t="s">
        <v>1184</v>
      </c>
      <c r="C79" s="92"/>
      <c r="D79" s="134"/>
      <c r="E79" s="109"/>
      <c r="F79" s="1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67" t="s">
        <v>1187</v>
      </c>
      <c r="C80" s="168" t="s">
        <v>1080</v>
      </c>
      <c r="D80" s="169" t="s">
        <v>1001</v>
      </c>
      <c r="E80" s="170">
        <v>2316.0</v>
      </c>
      <c r="F80" s="1"/>
      <c r="G80" s="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07"/>
      <c r="C81" s="92"/>
      <c r="D81" s="134"/>
      <c r="E81" s="109"/>
      <c r="F81" s="1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07" t="s">
        <v>1190</v>
      </c>
      <c r="C82" s="92"/>
      <c r="D82" s="134"/>
      <c r="E82" s="109"/>
      <c r="F82" s="1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67" t="s">
        <v>1193</v>
      </c>
      <c r="C83" s="168" t="s">
        <v>1080</v>
      </c>
      <c r="D83" s="169" t="s">
        <v>1001</v>
      </c>
      <c r="E83" s="170">
        <v>2316.0</v>
      </c>
      <c r="F83" s="1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07"/>
      <c r="C84" s="92"/>
      <c r="D84" s="134"/>
      <c r="E84" s="109"/>
      <c r="F84" s="1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07" t="s">
        <v>916</v>
      </c>
      <c r="C85" s="92"/>
      <c r="D85" s="134"/>
      <c r="E85" s="109"/>
      <c r="F85" s="1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67" t="s">
        <v>787</v>
      </c>
      <c r="C86" s="168" t="s">
        <v>1080</v>
      </c>
      <c r="D86" s="169" t="s">
        <v>1001</v>
      </c>
      <c r="E86" s="170">
        <v>2223.6</v>
      </c>
      <c r="F86" s="1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07"/>
      <c r="C87" s="92"/>
      <c r="D87" s="134"/>
      <c r="E87" s="109"/>
      <c r="F87" s="1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07" t="s">
        <v>1202</v>
      </c>
      <c r="C88" s="92"/>
      <c r="D88" s="134"/>
      <c r="E88" s="109"/>
      <c r="F88" s="1"/>
      <c r="G88" s="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67" t="s">
        <v>1203</v>
      </c>
      <c r="C89" s="168" t="s">
        <v>1080</v>
      </c>
      <c r="D89" s="169" t="s">
        <v>1001</v>
      </c>
      <c r="E89" s="170">
        <v>2358.0</v>
      </c>
      <c r="F89" s="1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07"/>
      <c r="C90" s="92"/>
      <c r="D90" s="134"/>
      <c r="E90" s="109"/>
      <c r="F90" s="1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07" t="s">
        <v>1208</v>
      </c>
      <c r="C91" s="92"/>
      <c r="D91" s="134"/>
      <c r="E91" s="109"/>
      <c r="F91" s="1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67" t="s">
        <v>1209</v>
      </c>
      <c r="C92" s="168" t="s">
        <v>1080</v>
      </c>
      <c r="D92" s="169" t="s">
        <v>1001</v>
      </c>
      <c r="E92" s="170">
        <v>2358.0</v>
      </c>
      <c r="F92" s="1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07"/>
      <c r="C93" s="92"/>
      <c r="D93" s="134"/>
      <c r="E93" s="109"/>
      <c r="F93" s="1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07" t="s">
        <v>1214</v>
      </c>
      <c r="C94" s="92"/>
      <c r="D94" s="134"/>
      <c r="E94" s="109"/>
      <c r="F94" s="1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67" t="s">
        <v>1215</v>
      </c>
      <c r="C95" s="168" t="s">
        <v>1080</v>
      </c>
      <c r="D95" s="169" t="s">
        <v>1001</v>
      </c>
      <c r="E95" s="170">
        <v>2358.0</v>
      </c>
      <c r="F95" s="1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07"/>
      <c r="C96" s="92"/>
      <c r="D96" s="134"/>
      <c r="E96" s="109"/>
      <c r="F96" s="1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07" t="s">
        <v>1220</v>
      </c>
      <c r="C97" s="92"/>
      <c r="D97" s="134"/>
      <c r="E97" s="109"/>
      <c r="F97" s="1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67" t="s">
        <v>1221</v>
      </c>
      <c r="C98" s="168" t="s">
        <v>1080</v>
      </c>
      <c r="D98" s="169" t="s">
        <v>1001</v>
      </c>
      <c r="E98" s="170">
        <v>2358.0</v>
      </c>
      <c r="F98" s="1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07"/>
      <c r="C99" s="92"/>
      <c r="D99" s="134"/>
      <c r="E99" s="109"/>
      <c r="F99" s="1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07" t="s">
        <v>1223</v>
      </c>
      <c r="C100" s="92"/>
      <c r="D100" s="134"/>
      <c r="E100" s="109"/>
      <c r="F100" s="1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72"/>
      <c r="B101" s="167" t="s">
        <v>1225</v>
      </c>
      <c r="C101" s="168" t="s">
        <v>696</v>
      </c>
      <c r="D101" s="169" t="s">
        <v>1001</v>
      </c>
      <c r="E101" s="170">
        <v>734.4</v>
      </c>
      <c r="F101" s="172"/>
      <c r="G101" s="3"/>
      <c r="H101" s="1"/>
      <c r="I101" s="172"/>
      <c r="J101" s="172"/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</row>
    <row r="102">
      <c r="A102" s="172"/>
      <c r="B102" s="167" t="s">
        <v>1226</v>
      </c>
      <c r="C102" s="168" t="s">
        <v>1080</v>
      </c>
      <c r="D102" s="169" t="s">
        <v>1001</v>
      </c>
      <c r="E102" s="170">
        <v>2622.0</v>
      </c>
      <c r="F102" s="172"/>
      <c r="G102" s="3"/>
      <c r="H102" s="1"/>
      <c r="I102" s="172"/>
      <c r="J102" s="172"/>
      <c r="K102" s="172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</row>
    <row r="103">
      <c r="A103" s="1"/>
      <c r="B103" s="107"/>
      <c r="C103" s="92"/>
      <c r="D103" s="134"/>
      <c r="E103" s="109"/>
      <c r="F103" s="1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07" t="s">
        <v>1228</v>
      </c>
      <c r="C104" s="92"/>
      <c r="D104" s="134"/>
      <c r="E104" s="109"/>
      <c r="F104" s="1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72"/>
      <c r="B105" s="167" t="s">
        <v>1230</v>
      </c>
      <c r="C105" s="168" t="s">
        <v>696</v>
      </c>
      <c r="D105" s="169" t="s">
        <v>1001</v>
      </c>
      <c r="E105" s="170">
        <v>778.464</v>
      </c>
      <c r="F105" s="172"/>
      <c r="G105" s="3"/>
      <c r="H105" s="1"/>
      <c r="I105" s="172"/>
      <c r="J105" s="172"/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</row>
    <row r="106">
      <c r="A106" s="172"/>
      <c r="B106" s="167" t="s">
        <v>1231</v>
      </c>
      <c r="C106" s="168" t="s">
        <v>1080</v>
      </c>
      <c r="D106" s="169" t="s">
        <v>1001</v>
      </c>
      <c r="E106" s="170">
        <v>2778.0</v>
      </c>
      <c r="F106" s="172"/>
      <c r="G106" s="3"/>
      <c r="H106" s="1"/>
      <c r="I106" s="172"/>
      <c r="J106" s="172"/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</row>
    <row r="107">
      <c r="A107" s="1"/>
      <c r="E107" s="178"/>
      <c r="F107" s="1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07" t="s">
        <v>1235</v>
      </c>
      <c r="E108" s="178"/>
      <c r="F108" s="1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72"/>
      <c r="B109" s="167" t="s">
        <v>1236</v>
      </c>
      <c r="C109" s="168" t="s">
        <v>696</v>
      </c>
      <c r="D109" s="169" t="s">
        <v>1001</v>
      </c>
      <c r="E109" s="170">
        <v>778.464</v>
      </c>
      <c r="F109" s="172"/>
      <c r="G109" s="3"/>
      <c r="H109" s="1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</row>
    <row r="110">
      <c r="A110" s="172"/>
      <c r="B110" s="167" t="s">
        <v>1238</v>
      </c>
      <c r="C110" s="168" t="s">
        <v>1080</v>
      </c>
      <c r="D110" s="169" t="s">
        <v>1001</v>
      </c>
      <c r="E110" s="170">
        <v>2778.0</v>
      </c>
      <c r="F110" s="172"/>
      <c r="G110" s="3"/>
      <c r="H110" s="1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</row>
    <row r="111">
      <c r="A111" s="1"/>
      <c r="E111" s="178"/>
      <c r="F111" s="1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07" t="s">
        <v>1240</v>
      </c>
      <c r="E112" s="178"/>
      <c r="F112" s="1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72"/>
      <c r="B113" s="167" t="s">
        <v>1243</v>
      </c>
      <c r="C113" s="168" t="s">
        <v>696</v>
      </c>
      <c r="D113" s="169" t="s">
        <v>1001</v>
      </c>
      <c r="E113" s="170">
        <v>778.464</v>
      </c>
      <c r="F113" s="172"/>
      <c r="G113" s="3"/>
      <c r="H113" s="1"/>
      <c r="I113" s="172"/>
      <c r="J113" s="172"/>
      <c r="K113" s="172"/>
      <c r="L113" s="172"/>
      <c r="M113" s="172"/>
      <c r="N113" s="172"/>
      <c r="O113" s="172"/>
      <c r="P113" s="172"/>
      <c r="Q113" s="172"/>
      <c r="R113" s="172"/>
      <c r="S113" s="172"/>
      <c r="T113" s="172"/>
      <c r="U113" s="172"/>
      <c r="V113" s="172"/>
    </row>
    <row r="114">
      <c r="A114" s="172"/>
      <c r="B114" s="167" t="s">
        <v>1245</v>
      </c>
      <c r="C114" s="168" t="s">
        <v>1080</v>
      </c>
      <c r="D114" s="169" t="s">
        <v>1001</v>
      </c>
      <c r="E114" s="170">
        <v>2778.0</v>
      </c>
      <c r="F114" s="172"/>
      <c r="G114" s="3"/>
      <c r="H114" s="1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</row>
    <row r="115">
      <c r="A115" s="1"/>
      <c r="E115" s="178"/>
      <c r="F115" s="1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07" t="s">
        <v>1248</v>
      </c>
      <c r="E116" s="178"/>
      <c r="F116" s="1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72"/>
      <c r="B117" s="167" t="s">
        <v>1250</v>
      </c>
      <c r="C117" s="168" t="s">
        <v>696</v>
      </c>
      <c r="D117" s="169" t="s">
        <v>1001</v>
      </c>
      <c r="E117" s="170">
        <v>778.464</v>
      </c>
      <c r="F117" s="172"/>
      <c r="G117" s="3"/>
      <c r="H117" s="1"/>
      <c r="I117" s="172"/>
      <c r="J117" s="172"/>
      <c r="K117" s="172"/>
      <c r="L117" s="172"/>
      <c r="M117" s="172"/>
      <c r="N117" s="172"/>
      <c r="O117" s="172"/>
      <c r="P117" s="172"/>
      <c r="Q117" s="172"/>
      <c r="R117" s="172"/>
      <c r="S117" s="172"/>
      <c r="T117" s="172"/>
      <c r="U117" s="172"/>
      <c r="V117" s="172"/>
    </row>
    <row r="118">
      <c r="A118" s="172"/>
      <c r="B118" s="167" t="s">
        <v>1251</v>
      </c>
      <c r="C118" s="168" t="s">
        <v>1080</v>
      </c>
      <c r="D118" s="169" t="s">
        <v>1001</v>
      </c>
      <c r="E118" s="170">
        <v>2778.0</v>
      </c>
      <c r="F118" s="172"/>
      <c r="G118" s="3"/>
      <c r="H118" s="1"/>
      <c r="I118" s="172"/>
      <c r="J118" s="172"/>
      <c r="K118" s="172"/>
      <c r="L118" s="172"/>
      <c r="M118" s="172"/>
      <c r="N118" s="172"/>
      <c r="O118" s="172"/>
      <c r="P118" s="172"/>
      <c r="Q118" s="172"/>
      <c r="R118" s="172"/>
      <c r="S118" s="172"/>
      <c r="T118" s="172"/>
      <c r="U118" s="172"/>
      <c r="V118" s="172"/>
    </row>
    <row r="119">
      <c r="A119" s="1"/>
      <c r="E119" s="178"/>
      <c r="F119" s="1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07" t="s">
        <v>1253</v>
      </c>
      <c r="C120" s="92"/>
      <c r="D120" s="134"/>
      <c r="E120" s="109"/>
      <c r="F120" s="1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72"/>
      <c r="B121" s="167" t="s">
        <v>1254</v>
      </c>
      <c r="C121" s="168" t="s">
        <v>696</v>
      </c>
      <c r="D121" s="169" t="s">
        <v>1001</v>
      </c>
      <c r="E121" s="170">
        <v>778.464</v>
      </c>
      <c r="F121" s="172"/>
      <c r="G121" s="3"/>
      <c r="H121" s="1"/>
      <c r="I121" s="172"/>
      <c r="J121" s="172"/>
      <c r="K121" s="172"/>
      <c r="L121" s="172"/>
      <c r="M121" s="172"/>
      <c r="N121" s="172"/>
      <c r="O121" s="172"/>
      <c r="P121" s="172"/>
      <c r="Q121" s="172"/>
      <c r="R121" s="172"/>
      <c r="S121" s="172"/>
      <c r="T121" s="172"/>
      <c r="U121" s="172"/>
      <c r="V121" s="172"/>
    </row>
    <row r="122">
      <c r="A122" s="172"/>
      <c r="B122" s="167" t="s">
        <v>1255</v>
      </c>
      <c r="C122" s="168" t="s">
        <v>1080</v>
      </c>
      <c r="D122" s="169" t="s">
        <v>1001</v>
      </c>
      <c r="E122" s="170">
        <v>2778.0</v>
      </c>
      <c r="F122" s="172"/>
      <c r="G122" s="3"/>
      <c r="H122" s="1"/>
      <c r="I122" s="172"/>
      <c r="J122" s="172"/>
      <c r="K122" s="172"/>
      <c r="L122" s="172"/>
      <c r="M122" s="172"/>
      <c r="N122" s="172"/>
      <c r="O122" s="172"/>
      <c r="P122" s="172"/>
      <c r="Q122" s="172"/>
      <c r="R122" s="172"/>
      <c r="S122" s="172"/>
      <c r="T122" s="172"/>
      <c r="U122" s="172"/>
      <c r="V122" s="172"/>
    </row>
    <row r="123">
      <c r="A123" s="1"/>
      <c r="B123" s="107"/>
      <c r="C123" s="92"/>
      <c r="D123" s="134"/>
      <c r="E123" s="109"/>
      <c r="F123" s="1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07" t="s">
        <v>1257</v>
      </c>
      <c r="C124" s="166"/>
      <c r="D124" s="134"/>
      <c r="E124" s="109"/>
      <c r="F124" s="1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72"/>
      <c r="B125" s="167" t="s">
        <v>1151</v>
      </c>
      <c r="C125" s="168" t="s">
        <v>1258</v>
      </c>
      <c r="D125" s="169" t="s">
        <v>1001</v>
      </c>
      <c r="E125" s="170">
        <v>122.0</v>
      </c>
      <c r="F125" s="172"/>
      <c r="G125" s="3"/>
      <c r="H125" s="1"/>
      <c r="I125" s="172"/>
      <c r="J125" s="172"/>
      <c r="K125" s="172"/>
      <c r="L125" s="172"/>
      <c r="M125" s="172"/>
      <c r="N125" s="172"/>
      <c r="O125" s="172"/>
      <c r="P125" s="172"/>
      <c r="Q125" s="172"/>
      <c r="R125" s="172"/>
      <c r="S125" s="172"/>
      <c r="T125" s="172"/>
      <c r="U125" s="172"/>
      <c r="V125" s="172"/>
    </row>
    <row r="126" ht="16.5" customHeight="1">
      <c r="A126" s="172"/>
      <c r="B126" s="167" t="s">
        <v>1155</v>
      </c>
      <c r="C126" s="168" t="s">
        <v>1156</v>
      </c>
      <c r="D126" s="169" t="s">
        <v>1001</v>
      </c>
      <c r="E126" s="170">
        <v>142.0</v>
      </c>
      <c r="F126" s="172"/>
      <c r="G126" s="3"/>
      <c r="H126" s="1"/>
      <c r="I126" s="172"/>
      <c r="J126" s="172"/>
      <c r="K126" s="172"/>
      <c r="L126" s="172"/>
      <c r="M126" s="172"/>
      <c r="N126" s="172"/>
      <c r="O126" s="172"/>
      <c r="P126" s="172"/>
      <c r="Q126" s="172"/>
      <c r="R126" s="172"/>
      <c r="S126" s="172"/>
      <c r="T126" s="172"/>
      <c r="U126" s="172"/>
      <c r="V126" s="172"/>
    </row>
    <row r="127">
      <c r="A127" s="172"/>
      <c r="B127" s="167" t="s">
        <v>1158</v>
      </c>
      <c r="C127" s="168" t="s">
        <v>1160</v>
      </c>
      <c r="D127" s="169" t="s">
        <v>1001</v>
      </c>
      <c r="E127" s="170">
        <v>122.0</v>
      </c>
      <c r="F127" s="172"/>
      <c r="G127" s="3"/>
      <c r="H127" s="1"/>
      <c r="I127" s="172"/>
      <c r="J127" s="172"/>
      <c r="K127" s="172"/>
      <c r="L127" s="172"/>
      <c r="M127" s="172"/>
      <c r="N127" s="172"/>
      <c r="O127" s="172"/>
      <c r="P127" s="172"/>
      <c r="Q127" s="172"/>
      <c r="R127" s="172"/>
      <c r="S127" s="172"/>
      <c r="T127" s="172"/>
      <c r="U127" s="172"/>
      <c r="V127" s="172"/>
    </row>
    <row r="128">
      <c r="A128" s="1"/>
      <c r="B128" s="175"/>
      <c r="C128" s="182"/>
      <c r="D128" s="139"/>
      <c r="E128" s="139"/>
      <c r="F128" s="1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76" t="s">
        <v>1263</v>
      </c>
      <c r="C129" s="183"/>
      <c r="D129" s="134"/>
      <c r="E129" s="130"/>
      <c r="F129" s="1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72"/>
      <c r="B130" s="167" t="s">
        <v>1165</v>
      </c>
      <c r="C130" s="168" t="s">
        <v>1258</v>
      </c>
      <c r="D130" s="169" t="s">
        <v>1001</v>
      </c>
      <c r="E130" s="170">
        <v>132.0</v>
      </c>
      <c r="F130" s="172"/>
      <c r="G130" s="3"/>
      <c r="H130" s="1"/>
      <c r="I130" s="172"/>
      <c r="J130" s="172"/>
      <c r="K130" s="172"/>
      <c r="L130" s="172"/>
      <c r="M130" s="172"/>
      <c r="N130" s="172"/>
      <c r="O130" s="172"/>
      <c r="P130" s="172"/>
      <c r="Q130" s="172"/>
      <c r="R130" s="172"/>
      <c r="S130" s="172"/>
      <c r="T130" s="172"/>
      <c r="U130" s="172"/>
      <c r="V130" s="172"/>
    </row>
    <row r="131">
      <c r="A131" s="172"/>
      <c r="B131" s="167" t="s">
        <v>1168</v>
      </c>
      <c r="C131" s="168" t="s">
        <v>1156</v>
      </c>
      <c r="D131" s="169" t="s">
        <v>1001</v>
      </c>
      <c r="E131" s="170">
        <v>158.0</v>
      </c>
      <c r="F131" s="172"/>
      <c r="G131" s="3"/>
      <c r="H131" s="1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</row>
    <row r="132">
      <c r="A132" s="172"/>
      <c r="B132" s="167" t="s">
        <v>1171</v>
      </c>
      <c r="C132" s="168" t="s">
        <v>1160</v>
      </c>
      <c r="D132" s="169" t="s">
        <v>1001</v>
      </c>
      <c r="E132" s="170">
        <v>132.0</v>
      </c>
      <c r="F132" s="172"/>
      <c r="G132" s="3"/>
      <c r="H132" s="1"/>
      <c r="I132" s="172"/>
      <c r="J132" s="172"/>
      <c r="K132" s="172"/>
      <c r="L132" s="172"/>
      <c r="M132" s="172"/>
      <c r="N132" s="172"/>
      <c r="O132" s="172"/>
      <c r="P132" s="172"/>
      <c r="Q132" s="172"/>
      <c r="R132" s="172"/>
      <c r="S132" s="172"/>
      <c r="T132" s="172"/>
      <c r="U132" s="172"/>
      <c r="V132" s="172"/>
    </row>
    <row r="133">
      <c r="A133" s="1"/>
      <c r="B133" s="107"/>
      <c r="C133" s="92"/>
      <c r="D133" s="134"/>
      <c r="E133" s="109"/>
      <c r="F133" s="1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07" t="s">
        <v>1267</v>
      </c>
      <c r="C134" s="1"/>
      <c r="D134" s="134"/>
      <c r="E134" s="147"/>
      <c r="F134" s="1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72"/>
      <c r="B135" s="167" t="s">
        <v>796</v>
      </c>
      <c r="C135" s="168" t="s">
        <v>748</v>
      </c>
      <c r="D135" s="169" t="s">
        <v>1001</v>
      </c>
      <c r="E135" s="170">
        <v>246.0</v>
      </c>
      <c r="F135" s="172"/>
      <c r="G135" s="3"/>
      <c r="H135" s="1"/>
      <c r="I135" s="172"/>
      <c r="J135" s="172"/>
      <c r="K135" s="172"/>
      <c r="L135" s="172"/>
      <c r="M135" s="172"/>
      <c r="N135" s="172"/>
      <c r="O135" s="172"/>
      <c r="P135" s="172"/>
      <c r="Q135" s="172"/>
      <c r="R135" s="172"/>
      <c r="S135" s="172"/>
      <c r="T135" s="172"/>
      <c r="U135" s="172"/>
      <c r="V135" s="172"/>
    </row>
    <row r="136">
      <c r="A136" s="172"/>
      <c r="B136" s="167" t="s">
        <v>818</v>
      </c>
      <c r="C136" s="168" t="s">
        <v>1080</v>
      </c>
      <c r="D136" s="169" t="s">
        <v>1001</v>
      </c>
      <c r="E136" s="170">
        <v>1933.92</v>
      </c>
      <c r="F136" s="172"/>
      <c r="G136" s="3"/>
      <c r="H136" s="1"/>
      <c r="I136" s="172"/>
      <c r="J136" s="172"/>
      <c r="K136" s="172"/>
      <c r="L136" s="172"/>
      <c r="M136" s="172"/>
      <c r="N136" s="172"/>
      <c r="O136" s="172"/>
      <c r="P136" s="172"/>
      <c r="Q136" s="172"/>
      <c r="R136" s="172"/>
      <c r="S136" s="172"/>
      <c r="T136" s="172"/>
      <c r="U136" s="172"/>
      <c r="V136" s="172"/>
    </row>
    <row r="137">
      <c r="A137" s="1"/>
      <c r="E137" s="178"/>
      <c r="F137" s="1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07" t="s">
        <v>1273</v>
      </c>
      <c r="C138" s="1"/>
      <c r="D138" s="134"/>
      <c r="E138" s="147"/>
      <c r="F138" s="1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72"/>
      <c r="B139" s="167" t="s">
        <v>845</v>
      </c>
      <c r="C139" s="168" t="s">
        <v>748</v>
      </c>
      <c r="D139" s="169" t="s">
        <v>1001</v>
      </c>
      <c r="E139" s="170">
        <v>254.0</v>
      </c>
      <c r="F139" s="172"/>
      <c r="G139" s="3"/>
      <c r="H139" s="1"/>
      <c r="I139" s="172"/>
      <c r="J139" s="172"/>
      <c r="K139" s="172"/>
      <c r="L139" s="172"/>
      <c r="M139" s="172"/>
      <c r="N139" s="172"/>
      <c r="O139" s="172"/>
      <c r="P139" s="172"/>
      <c r="Q139" s="172"/>
      <c r="R139" s="172"/>
      <c r="S139" s="172"/>
      <c r="T139" s="172"/>
      <c r="U139" s="172"/>
      <c r="V139" s="172"/>
    </row>
    <row r="140">
      <c r="A140" s="172"/>
      <c r="B140" s="167" t="s">
        <v>866</v>
      </c>
      <c r="C140" s="168" t="s">
        <v>1080</v>
      </c>
      <c r="D140" s="169" t="s">
        <v>1001</v>
      </c>
      <c r="E140" s="170">
        <v>1982.0</v>
      </c>
      <c r="F140" s="172"/>
      <c r="G140" s="3"/>
      <c r="H140" s="1"/>
      <c r="I140" s="172"/>
      <c r="J140" s="172"/>
      <c r="K140" s="172"/>
      <c r="L140" s="172"/>
      <c r="M140" s="172"/>
      <c r="N140" s="172"/>
      <c r="O140" s="172"/>
      <c r="P140" s="172"/>
      <c r="Q140" s="172"/>
      <c r="R140" s="172"/>
      <c r="S140" s="172"/>
      <c r="T140" s="172"/>
      <c r="U140" s="172"/>
      <c r="V140" s="172"/>
    </row>
    <row r="141">
      <c r="A141" s="1"/>
      <c r="E141" s="178"/>
      <c r="F141" s="1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07" t="s">
        <v>13</v>
      </c>
      <c r="C142" s="166"/>
      <c r="D142" s="134"/>
      <c r="E142" s="109"/>
      <c r="F142" s="1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72"/>
      <c r="B143" s="167" t="s">
        <v>888</v>
      </c>
      <c r="C143" s="168" t="s">
        <v>748</v>
      </c>
      <c r="D143" s="169" t="s">
        <v>1001</v>
      </c>
      <c r="E143" s="170">
        <v>232.0</v>
      </c>
      <c r="F143" s="172"/>
      <c r="G143" s="3"/>
      <c r="H143" s="1"/>
      <c r="I143" s="172"/>
      <c r="J143" s="172"/>
      <c r="K143" s="172"/>
      <c r="L143" s="172"/>
      <c r="M143" s="172"/>
      <c r="N143" s="172"/>
      <c r="O143" s="172"/>
      <c r="P143" s="172"/>
      <c r="Q143" s="172"/>
      <c r="R143" s="172"/>
      <c r="S143" s="172"/>
      <c r="T143" s="172"/>
      <c r="U143" s="172"/>
      <c r="V143" s="172"/>
    </row>
    <row r="144">
      <c r="A144" s="172"/>
      <c r="B144" s="167" t="s">
        <v>914</v>
      </c>
      <c r="C144" s="168" t="s">
        <v>1080</v>
      </c>
      <c r="D144" s="169" t="s">
        <v>1001</v>
      </c>
      <c r="E144" s="170">
        <v>1927.8</v>
      </c>
      <c r="F144" s="172"/>
      <c r="G144" s="3"/>
      <c r="H144" s="1"/>
      <c r="I144" s="172"/>
      <c r="J144" s="172"/>
      <c r="K144" s="172"/>
      <c r="L144" s="172"/>
      <c r="M144" s="172"/>
      <c r="N144" s="172"/>
      <c r="O144" s="172"/>
      <c r="P144" s="172"/>
      <c r="Q144" s="172"/>
      <c r="R144" s="172"/>
      <c r="S144" s="172"/>
      <c r="T144" s="172"/>
      <c r="U144" s="172"/>
      <c r="V144" s="172"/>
    </row>
    <row r="145">
      <c r="A145" s="1"/>
      <c r="E145" s="178"/>
      <c r="F145" s="1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07" t="s">
        <v>944</v>
      </c>
      <c r="E146" s="178"/>
      <c r="F146" s="1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67" t="s">
        <v>936</v>
      </c>
      <c r="C147" s="168" t="s">
        <v>748</v>
      </c>
      <c r="D147" s="169" t="s">
        <v>1001</v>
      </c>
      <c r="E147" s="170">
        <v>232.0</v>
      </c>
      <c r="F147" s="1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67" t="s">
        <v>1280</v>
      </c>
      <c r="C148" s="168" t="s">
        <v>1080</v>
      </c>
      <c r="D148" s="169" t="s">
        <v>1001</v>
      </c>
      <c r="E148" s="170">
        <v>1927.8</v>
      </c>
      <c r="F148" s="1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E149" s="178"/>
      <c r="F149" s="1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07" t="s">
        <v>1281</v>
      </c>
      <c r="C150" s="1"/>
      <c r="D150" s="134"/>
      <c r="E150" s="147"/>
      <c r="F150" s="1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72"/>
      <c r="B151" s="167" t="s">
        <v>952</v>
      </c>
      <c r="C151" s="168" t="s">
        <v>748</v>
      </c>
      <c r="D151" s="169" t="s">
        <v>1001</v>
      </c>
      <c r="E151" s="170">
        <v>256.0</v>
      </c>
      <c r="F151" s="172"/>
      <c r="G151" s="3"/>
      <c r="H151" s="1"/>
      <c r="I151" s="172"/>
      <c r="J151" s="172"/>
      <c r="K151" s="172"/>
      <c r="L151" s="172"/>
      <c r="M151" s="172"/>
      <c r="N151" s="172"/>
      <c r="O151" s="172"/>
      <c r="P151" s="172"/>
      <c r="Q151" s="172"/>
      <c r="R151" s="172"/>
      <c r="S151" s="172"/>
      <c r="T151" s="172"/>
      <c r="U151" s="172"/>
      <c r="V151" s="172"/>
    </row>
    <row r="152">
      <c r="A152" s="172"/>
      <c r="B152" s="167" t="s">
        <v>973</v>
      </c>
      <c r="C152" s="168" t="s">
        <v>1080</v>
      </c>
      <c r="D152" s="169" t="s">
        <v>1001</v>
      </c>
      <c r="E152" s="170">
        <v>1998.0</v>
      </c>
      <c r="F152" s="172"/>
      <c r="G152" s="3"/>
      <c r="H152" s="1"/>
      <c r="I152" s="172"/>
      <c r="J152" s="172"/>
      <c r="K152" s="172"/>
      <c r="L152" s="172"/>
      <c r="M152" s="172"/>
      <c r="N152" s="172"/>
      <c r="O152" s="172"/>
      <c r="P152" s="172"/>
      <c r="Q152" s="172"/>
      <c r="R152" s="172"/>
      <c r="S152" s="172"/>
      <c r="T152" s="172"/>
      <c r="U152" s="172"/>
      <c r="V152" s="172"/>
    </row>
    <row r="153">
      <c r="A153" s="1"/>
      <c r="E153" s="178"/>
      <c r="F153" s="1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07" t="s">
        <v>27</v>
      </c>
      <c r="C154" s="166"/>
      <c r="D154" s="134"/>
      <c r="E154" s="109"/>
      <c r="F154" s="1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72"/>
      <c r="B155" s="167" t="s">
        <v>988</v>
      </c>
      <c r="C155" s="168" t="s">
        <v>748</v>
      </c>
      <c r="D155" s="169" t="s">
        <v>1001</v>
      </c>
      <c r="E155" s="170">
        <v>256.0</v>
      </c>
      <c r="F155" s="172"/>
      <c r="G155" s="3"/>
      <c r="H155" s="1"/>
      <c r="I155" s="172"/>
      <c r="J155" s="172"/>
      <c r="K155" s="172"/>
      <c r="L155" s="172"/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</row>
    <row r="156">
      <c r="A156" s="172"/>
      <c r="B156" s="167" t="s">
        <v>1006</v>
      </c>
      <c r="C156" s="168" t="s">
        <v>1080</v>
      </c>
      <c r="D156" s="169" t="s">
        <v>1001</v>
      </c>
      <c r="E156" s="170">
        <v>1998.0</v>
      </c>
      <c r="F156" s="172"/>
      <c r="G156" s="3"/>
      <c r="H156" s="1"/>
      <c r="I156" s="172"/>
      <c r="J156" s="172"/>
      <c r="K156" s="172"/>
      <c r="L156" s="172"/>
      <c r="M156" s="172"/>
      <c r="N156" s="172"/>
      <c r="O156" s="172"/>
      <c r="P156" s="172"/>
      <c r="Q156" s="172"/>
      <c r="R156" s="172"/>
      <c r="S156" s="172"/>
      <c r="T156" s="172"/>
      <c r="U156" s="172"/>
      <c r="V156" s="172"/>
    </row>
    <row r="157">
      <c r="A157" s="1"/>
      <c r="E157" s="178"/>
      <c r="F157" s="1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07" t="s">
        <v>11</v>
      </c>
      <c r="C158" s="183"/>
      <c r="D158" s="134"/>
      <c r="E158" s="109"/>
      <c r="F158" s="1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72"/>
      <c r="B159" s="167" t="s">
        <v>1020</v>
      </c>
      <c r="C159" s="168" t="s">
        <v>748</v>
      </c>
      <c r="D159" s="169" t="s">
        <v>1001</v>
      </c>
      <c r="E159" s="170">
        <v>232.0</v>
      </c>
      <c r="F159" s="172"/>
      <c r="G159" s="3"/>
      <c r="H159" s="1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</row>
    <row r="160">
      <c r="A160" s="172"/>
      <c r="B160" s="167" t="s">
        <v>1034</v>
      </c>
      <c r="C160" s="168" t="s">
        <v>1080</v>
      </c>
      <c r="D160" s="169" t="s">
        <v>1001</v>
      </c>
      <c r="E160" s="170">
        <v>1927.8</v>
      </c>
      <c r="F160" s="172"/>
      <c r="G160" s="3"/>
      <c r="H160" s="1"/>
      <c r="I160" s="172"/>
      <c r="J160" s="172"/>
      <c r="K160" s="172"/>
      <c r="L160" s="172"/>
      <c r="M160" s="172"/>
      <c r="N160" s="172"/>
      <c r="O160" s="172"/>
      <c r="P160" s="172"/>
      <c r="Q160" s="172"/>
      <c r="R160" s="172"/>
      <c r="S160" s="172"/>
      <c r="T160" s="172"/>
      <c r="U160" s="172"/>
      <c r="V160" s="172"/>
    </row>
    <row r="161">
      <c r="A161" s="1"/>
      <c r="E161" s="178"/>
      <c r="F161" s="1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07" t="s">
        <v>1287</v>
      </c>
      <c r="C162" s="166"/>
      <c r="D162" s="134"/>
      <c r="E162" s="109"/>
      <c r="F162" s="1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72"/>
      <c r="B163" s="167" t="s">
        <v>1051</v>
      </c>
      <c r="C163" s="168" t="s">
        <v>748</v>
      </c>
      <c r="D163" s="169" t="s">
        <v>1001</v>
      </c>
      <c r="E163" s="170">
        <v>256.0</v>
      </c>
      <c r="F163" s="172"/>
      <c r="G163" s="3"/>
      <c r="H163" s="1"/>
      <c r="I163" s="172"/>
      <c r="J163" s="172"/>
      <c r="K163" s="172"/>
      <c r="L163" s="172"/>
      <c r="M163" s="172"/>
      <c r="N163" s="172"/>
      <c r="O163" s="172"/>
      <c r="P163" s="172"/>
      <c r="Q163" s="172"/>
      <c r="R163" s="172"/>
      <c r="S163" s="172"/>
      <c r="T163" s="172"/>
      <c r="U163" s="172"/>
      <c r="V163" s="172"/>
    </row>
    <row r="164">
      <c r="A164" s="172"/>
      <c r="B164" s="167" t="s">
        <v>1068</v>
      </c>
      <c r="C164" s="168" t="s">
        <v>1080</v>
      </c>
      <c r="D164" s="169" t="s">
        <v>1001</v>
      </c>
      <c r="E164" s="170">
        <v>1998.0</v>
      </c>
      <c r="F164" s="172"/>
      <c r="G164" s="3"/>
      <c r="H164" s="1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</row>
    <row r="165">
      <c r="A165" s="1"/>
      <c r="E165" s="178"/>
      <c r="F165" s="1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07" t="s">
        <v>1291</v>
      </c>
      <c r="E166" s="178"/>
      <c r="F166" s="1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72"/>
      <c r="B167" s="167" t="s">
        <v>1293</v>
      </c>
      <c r="C167" s="168" t="s">
        <v>748</v>
      </c>
      <c r="D167" s="169" t="s">
        <v>1001</v>
      </c>
      <c r="E167" s="170">
        <v>272.0</v>
      </c>
      <c r="F167" s="172"/>
      <c r="G167" s="3"/>
      <c r="H167" s="1"/>
      <c r="I167" s="172"/>
      <c r="J167" s="172"/>
      <c r="K167" s="172"/>
      <c r="L167" s="172"/>
      <c r="M167" s="172"/>
      <c r="N167" s="172"/>
      <c r="O167" s="172"/>
      <c r="P167" s="172"/>
      <c r="Q167" s="172"/>
      <c r="R167" s="172"/>
      <c r="S167" s="172"/>
      <c r="T167" s="172"/>
      <c r="U167" s="172"/>
      <c r="V167" s="172"/>
    </row>
    <row r="168">
      <c r="A168" s="172"/>
      <c r="B168" s="167" t="s">
        <v>1294</v>
      </c>
      <c r="C168" s="168" t="s">
        <v>1080</v>
      </c>
      <c r="D168" s="169" t="s">
        <v>1001</v>
      </c>
      <c r="E168" s="170">
        <v>2117.88</v>
      </c>
      <c r="F168" s="172"/>
      <c r="G168" s="3"/>
      <c r="H168" s="1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</row>
    <row r="169">
      <c r="A169" s="1"/>
      <c r="E169" s="178"/>
      <c r="F169" s="1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07" t="s">
        <v>1297</v>
      </c>
      <c r="E170" s="178"/>
      <c r="F170" s="1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72"/>
      <c r="B171" s="167" t="s">
        <v>1299</v>
      </c>
      <c r="C171" s="168" t="s">
        <v>748</v>
      </c>
      <c r="D171" s="169" t="s">
        <v>1001</v>
      </c>
      <c r="E171" s="170">
        <v>272.0</v>
      </c>
      <c r="F171" s="172"/>
      <c r="G171" s="3"/>
      <c r="H171" s="1"/>
      <c r="I171" s="172"/>
      <c r="J171" s="172"/>
      <c r="K171" s="172"/>
      <c r="L171" s="172"/>
      <c r="M171" s="172"/>
      <c r="N171" s="172"/>
      <c r="O171" s="172"/>
      <c r="P171" s="172"/>
      <c r="Q171" s="172"/>
      <c r="R171" s="172"/>
      <c r="S171" s="172"/>
      <c r="T171" s="172"/>
      <c r="U171" s="172"/>
      <c r="V171" s="172"/>
    </row>
    <row r="172">
      <c r="A172" s="172"/>
      <c r="B172" s="167" t="s">
        <v>1300</v>
      </c>
      <c r="C172" s="168" t="s">
        <v>1080</v>
      </c>
      <c r="D172" s="169" t="s">
        <v>1001</v>
      </c>
      <c r="E172" s="170">
        <v>2117.88</v>
      </c>
      <c r="F172" s="172"/>
      <c r="G172" s="3"/>
      <c r="H172" s="1"/>
      <c r="I172" s="172"/>
      <c r="J172" s="172"/>
      <c r="K172" s="172"/>
      <c r="L172" s="172"/>
      <c r="M172" s="172"/>
      <c r="N172" s="172"/>
      <c r="O172" s="172"/>
      <c r="P172" s="172"/>
      <c r="Q172" s="172"/>
      <c r="R172" s="172"/>
      <c r="S172" s="172"/>
      <c r="T172" s="172"/>
      <c r="U172" s="172"/>
      <c r="V172" s="172"/>
    </row>
    <row r="173">
      <c r="A173" s="1"/>
      <c r="E173" s="178"/>
      <c r="F173" s="1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07" t="s">
        <v>1303</v>
      </c>
      <c r="E174" s="178"/>
      <c r="F174" s="1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72"/>
      <c r="B175" s="167" t="s">
        <v>1305</v>
      </c>
      <c r="C175" s="168" t="s">
        <v>748</v>
      </c>
      <c r="D175" s="169" t="s">
        <v>1001</v>
      </c>
      <c r="E175" s="170">
        <v>272.0</v>
      </c>
      <c r="F175" s="172"/>
      <c r="G175" s="3"/>
      <c r="H175" s="1"/>
      <c r="I175" s="172"/>
      <c r="J175" s="172"/>
      <c r="K175" s="172"/>
      <c r="L175" s="172"/>
      <c r="M175" s="172"/>
      <c r="N175" s="172"/>
      <c r="O175" s="172"/>
      <c r="P175" s="172"/>
      <c r="Q175" s="172"/>
      <c r="R175" s="172"/>
      <c r="S175" s="172"/>
      <c r="T175" s="172"/>
      <c r="U175" s="172"/>
      <c r="V175" s="172"/>
    </row>
    <row r="176">
      <c r="A176" s="172"/>
      <c r="B176" s="167" t="s">
        <v>1306</v>
      </c>
      <c r="C176" s="168" t="s">
        <v>1080</v>
      </c>
      <c r="D176" s="169" t="s">
        <v>1001</v>
      </c>
      <c r="E176" s="170">
        <v>2117.88</v>
      </c>
      <c r="F176" s="172"/>
      <c r="G176" s="3"/>
      <c r="H176" s="1"/>
      <c r="I176" s="172"/>
      <c r="J176" s="172"/>
      <c r="K176" s="172"/>
      <c r="L176" s="172"/>
      <c r="M176" s="172"/>
      <c r="N176" s="172"/>
      <c r="O176" s="172"/>
      <c r="P176" s="172"/>
      <c r="Q176" s="172"/>
      <c r="R176" s="172"/>
      <c r="S176" s="172"/>
      <c r="T176" s="172"/>
      <c r="U176" s="172"/>
      <c r="V176" s="172"/>
    </row>
    <row r="177">
      <c r="A177" s="1"/>
      <c r="E177" s="178"/>
      <c r="F177" s="1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07" t="s">
        <v>1309</v>
      </c>
      <c r="E178" s="178"/>
      <c r="F178" s="1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72"/>
      <c r="B179" s="167" t="s">
        <v>1310</v>
      </c>
      <c r="C179" s="168" t="s">
        <v>748</v>
      </c>
      <c r="D179" s="169" t="s">
        <v>1001</v>
      </c>
      <c r="E179" s="187">
        <v>272.0</v>
      </c>
      <c r="F179" s="172"/>
      <c r="G179" s="3"/>
      <c r="H179" s="1"/>
      <c r="I179" s="172"/>
      <c r="J179" s="172"/>
      <c r="K179" s="172"/>
      <c r="L179" s="172"/>
      <c r="M179" s="172"/>
      <c r="N179" s="172"/>
      <c r="O179" s="172"/>
      <c r="P179" s="172"/>
      <c r="Q179" s="172"/>
      <c r="R179" s="172"/>
      <c r="S179" s="172"/>
      <c r="T179" s="172"/>
      <c r="U179" s="172"/>
      <c r="V179" s="172"/>
    </row>
    <row r="180">
      <c r="A180" s="172"/>
      <c r="B180" s="167" t="s">
        <v>1312</v>
      </c>
      <c r="C180" s="168" t="s">
        <v>1080</v>
      </c>
      <c r="D180" s="169" t="s">
        <v>1001</v>
      </c>
      <c r="E180" s="170">
        <v>2117.88</v>
      </c>
      <c r="F180" s="172"/>
      <c r="G180" s="3"/>
      <c r="H180" s="1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</row>
    <row r="181">
      <c r="A181" s="1"/>
      <c r="E181" s="178"/>
      <c r="F181" s="1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07" t="s">
        <v>1283</v>
      </c>
      <c r="E182" s="178"/>
      <c r="F182" s="1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67" t="s">
        <v>1304</v>
      </c>
      <c r="C183" s="168" t="s">
        <v>1080</v>
      </c>
      <c r="D183" s="169" t="s">
        <v>1001</v>
      </c>
      <c r="E183" s="170">
        <v>2598.0</v>
      </c>
      <c r="F183" s="1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E184" s="178"/>
      <c r="F184" s="1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07" t="s">
        <v>1317</v>
      </c>
      <c r="E185" s="178"/>
      <c r="F185" s="1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67" t="s">
        <v>1318</v>
      </c>
      <c r="C186" s="168" t="s">
        <v>1080</v>
      </c>
      <c r="D186" s="169" t="s">
        <v>1001</v>
      </c>
      <c r="E186" s="170">
        <v>2753.88</v>
      </c>
      <c r="F186" s="1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E187" s="178"/>
      <c r="F187" s="1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07" t="s">
        <v>1320</v>
      </c>
      <c r="E188" s="178"/>
      <c r="F188" s="1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67" t="s">
        <v>1322</v>
      </c>
      <c r="C189" s="168" t="s">
        <v>1080</v>
      </c>
      <c r="D189" s="169" t="s">
        <v>1001</v>
      </c>
      <c r="E189" s="170">
        <v>2753.88</v>
      </c>
      <c r="F189" s="1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E190" s="178"/>
      <c r="F190" s="1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07" t="s">
        <v>1324</v>
      </c>
      <c r="E191" s="178"/>
      <c r="F191" s="1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67" t="s">
        <v>1325</v>
      </c>
      <c r="C192" s="168" t="s">
        <v>1080</v>
      </c>
      <c r="D192" s="169" t="s">
        <v>1001</v>
      </c>
      <c r="E192" s="170">
        <v>2753.88</v>
      </c>
      <c r="F192" s="1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E193" s="178"/>
      <c r="F193" s="1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07" t="s">
        <v>1328</v>
      </c>
      <c r="E194" s="178"/>
      <c r="F194" s="1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67" t="s">
        <v>1329</v>
      </c>
      <c r="C195" s="168" t="s">
        <v>1080</v>
      </c>
      <c r="D195" s="169" t="s">
        <v>1001</v>
      </c>
      <c r="E195" s="170">
        <v>2753.88</v>
      </c>
      <c r="F195" s="1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E196" s="178"/>
      <c r="F196" s="1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07" t="s">
        <v>32</v>
      </c>
      <c r="C197" s="166"/>
      <c r="D197" s="134"/>
      <c r="E197" s="181"/>
      <c r="F197" s="1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72"/>
      <c r="B198" s="167" t="s">
        <v>1323</v>
      </c>
      <c r="C198" s="168" t="s">
        <v>748</v>
      </c>
      <c r="D198" s="169" t="s">
        <v>1001</v>
      </c>
      <c r="E198" s="170">
        <v>254.0</v>
      </c>
      <c r="F198" s="172"/>
      <c r="G198" s="3"/>
      <c r="H198" s="1"/>
      <c r="I198" s="172"/>
      <c r="J198" s="172"/>
      <c r="K198" s="172"/>
      <c r="L198" s="172"/>
      <c r="M198" s="172"/>
      <c r="N198" s="172"/>
      <c r="O198" s="172"/>
      <c r="P198" s="172"/>
      <c r="Q198" s="172"/>
      <c r="R198" s="172"/>
      <c r="S198" s="172"/>
      <c r="T198" s="172"/>
      <c r="U198" s="172"/>
      <c r="V198" s="172"/>
    </row>
    <row r="199">
      <c r="A199" s="1"/>
      <c r="E199" s="178"/>
      <c r="F199" s="1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07" t="s">
        <v>1333</v>
      </c>
      <c r="E200" s="178"/>
      <c r="F200" s="1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72"/>
      <c r="B201" s="167" t="s">
        <v>1336</v>
      </c>
      <c r="C201" s="168" t="s">
        <v>748</v>
      </c>
      <c r="D201" s="169" t="s">
        <v>1001</v>
      </c>
      <c r="E201" s="170">
        <v>280.0</v>
      </c>
      <c r="F201" s="172"/>
      <c r="G201" s="3"/>
      <c r="H201" s="1"/>
      <c r="I201" s="172"/>
      <c r="J201" s="172"/>
      <c r="K201" s="172"/>
      <c r="L201" s="172"/>
      <c r="M201" s="172"/>
      <c r="N201" s="172"/>
      <c r="O201" s="172"/>
      <c r="P201" s="172"/>
      <c r="Q201" s="172"/>
      <c r="R201" s="172"/>
      <c r="S201" s="172"/>
      <c r="T201" s="172"/>
      <c r="U201" s="172"/>
      <c r="V201" s="172"/>
    </row>
    <row r="202">
      <c r="A202" s="1"/>
      <c r="E202" s="178"/>
      <c r="F202" s="1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07" t="s">
        <v>1338</v>
      </c>
      <c r="E203" s="178"/>
      <c r="F203" s="1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72"/>
      <c r="B204" s="167" t="s">
        <v>1340</v>
      </c>
      <c r="C204" s="168" t="s">
        <v>748</v>
      </c>
      <c r="D204" s="169" t="s">
        <v>1001</v>
      </c>
      <c r="E204" s="170">
        <v>280.0</v>
      </c>
      <c r="F204" s="172"/>
      <c r="G204" s="3"/>
      <c r="H204" s="1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</row>
    <row r="205">
      <c r="A205" s="1"/>
      <c r="E205" s="178"/>
      <c r="F205" s="1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07" t="s">
        <v>1342</v>
      </c>
      <c r="E206" s="178"/>
      <c r="F206" s="1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72"/>
      <c r="B207" s="167" t="s">
        <v>1344</v>
      </c>
      <c r="C207" s="168" t="s">
        <v>748</v>
      </c>
      <c r="D207" s="169" t="s">
        <v>1001</v>
      </c>
      <c r="E207" s="170">
        <v>280.0</v>
      </c>
      <c r="F207" s="172"/>
      <c r="G207" s="3"/>
      <c r="H207" s="1"/>
      <c r="I207" s="172"/>
      <c r="J207" s="172"/>
      <c r="K207" s="172"/>
      <c r="L207" s="172"/>
      <c r="M207" s="172"/>
      <c r="N207" s="172"/>
      <c r="O207" s="172"/>
      <c r="P207" s="172"/>
      <c r="Q207" s="172"/>
      <c r="R207" s="172"/>
      <c r="S207" s="172"/>
      <c r="T207" s="172"/>
      <c r="U207" s="172"/>
      <c r="V207" s="172"/>
    </row>
    <row r="208">
      <c r="A208" s="1"/>
      <c r="E208" s="178"/>
      <c r="F208" s="1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07" t="s">
        <v>1346</v>
      </c>
      <c r="E209" s="178"/>
      <c r="F209" s="1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72"/>
      <c r="B210" s="167" t="s">
        <v>1348</v>
      </c>
      <c r="C210" s="168" t="s">
        <v>748</v>
      </c>
      <c r="D210" s="169" t="s">
        <v>1001</v>
      </c>
      <c r="E210" s="170">
        <v>280.0</v>
      </c>
      <c r="F210" s="172"/>
      <c r="G210" s="3"/>
      <c r="H210" s="1"/>
      <c r="I210" s="172"/>
      <c r="J210" s="172"/>
      <c r="K210" s="172"/>
      <c r="L210" s="172"/>
      <c r="M210" s="172"/>
      <c r="N210" s="172"/>
      <c r="O210" s="172"/>
      <c r="P210" s="172"/>
      <c r="Q210" s="172"/>
      <c r="R210" s="172"/>
      <c r="S210" s="172"/>
      <c r="T210" s="172"/>
      <c r="U210" s="172"/>
      <c r="V210" s="172"/>
    </row>
    <row r="211">
      <c r="A211" s="1"/>
      <c r="E211" s="178"/>
      <c r="F211" s="1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07" t="s">
        <v>1351</v>
      </c>
      <c r="C212" s="166"/>
      <c r="D212" s="134"/>
      <c r="E212" s="181"/>
      <c r="F212" s="1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88"/>
      <c r="B213" s="167" t="s">
        <v>1353</v>
      </c>
      <c r="C213" s="168" t="s">
        <v>748</v>
      </c>
      <c r="D213" s="169" t="s">
        <v>1001</v>
      </c>
      <c r="E213" s="170">
        <v>238.0</v>
      </c>
      <c r="F213" s="188"/>
      <c r="G213" s="3"/>
      <c r="H213" s="1"/>
      <c r="I213" s="188"/>
      <c r="J213" s="188"/>
      <c r="K213" s="188"/>
      <c r="L213" s="188"/>
      <c r="M213" s="188"/>
      <c r="N213" s="188"/>
      <c r="O213" s="188"/>
      <c r="P213" s="188"/>
      <c r="Q213" s="188"/>
      <c r="R213" s="188"/>
      <c r="S213" s="188"/>
      <c r="T213" s="188"/>
      <c r="U213" s="188"/>
      <c r="V213" s="188"/>
    </row>
    <row r="214">
      <c r="A214" s="188"/>
      <c r="B214" s="167" t="s">
        <v>1280</v>
      </c>
      <c r="C214" s="168" t="s">
        <v>1080</v>
      </c>
      <c r="D214" s="169" t="s">
        <v>1001</v>
      </c>
      <c r="E214" s="187">
        <v>1927.8</v>
      </c>
      <c r="F214" s="188"/>
      <c r="G214" s="3"/>
      <c r="H214" s="1"/>
      <c r="I214" s="188"/>
      <c r="J214" s="188"/>
      <c r="K214" s="188"/>
      <c r="L214" s="188"/>
      <c r="M214" s="188"/>
      <c r="N214" s="188"/>
      <c r="O214" s="188"/>
      <c r="P214" s="188"/>
      <c r="Q214" s="188"/>
      <c r="R214" s="188"/>
      <c r="S214" s="188"/>
      <c r="T214" s="188"/>
      <c r="U214" s="188"/>
      <c r="V214" s="188"/>
    </row>
    <row r="215">
      <c r="A215" s="1"/>
      <c r="E215" s="178"/>
      <c r="F215" s="1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07" t="s">
        <v>1355</v>
      </c>
      <c r="E216" s="178"/>
      <c r="F216" s="1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88"/>
      <c r="B217" s="167" t="s">
        <v>1357</v>
      </c>
      <c r="C217" s="168" t="s">
        <v>748</v>
      </c>
      <c r="D217" s="169" t="s">
        <v>1001</v>
      </c>
      <c r="E217" s="170">
        <v>252.28</v>
      </c>
      <c r="F217" s="188"/>
      <c r="G217" s="3"/>
      <c r="H217" s="1"/>
      <c r="I217" s="188"/>
      <c r="J217" s="188"/>
      <c r="K217" s="188"/>
      <c r="L217" s="188"/>
      <c r="M217" s="188"/>
      <c r="N217" s="188"/>
      <c r="O217" s="188"/>
      <c r="P217" s="188"/>
      <c r="Q217" s="188"/>
      <c r="R217" s="188"/>
      <c r="S217" s="188"/>
      <c r="T217" s="188"/>
      <c r="U217" s="188"/>
      <c r="V217" s="188"/>
    </row>
    <row r="218">
      <c r="A218" s="188"/>
      <c r="B218" s="167" t="s">
        <v>1358</v>
      </c>
      <c r="C218" s="168" t="s">
        <v>1080</v>
      </c>
      <c r="D218" s="169" t="s">
        <v>1001</v>
      </c>
      <c r="E218" s="170">
        <v>2044.0</v>
      </c>
      <c r="F218" s="188"/>
      <c r="G218" s="3"/>
      <c r="H218" s="1"/>
      <c r="I218" s="188"/>
      <c r="J218" s="188"/>
      <c r="K218" s="188"/>
      <c r="L218" s="188"/>
      <c r="M218" s="188"/>
      <c r="N218" s="188"/>
      <c r="O218" s="188"/>
      <c r="P218" s="188"/>
      <c r="Q218" s="188"/>
      <c r="R218" s="188"/>
      <c r="S218" s="188"/>
      <c r="T218" s="188"/>
      <c r="U218" s="188"/>
      <c r="V218" s="188"/>
    </row>
    <row r="219">
      <c r="A219" s="1"/>
      <c r="E219" s="178"/>
      <c r="F219" s="1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07" t="s">
        <v>1359</v>
      </c>
      <c r="E220" s="178"/>
      <c r="F220" s="1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88"/>
      <c r="B221" s="167" t="s">
        <v>1361</v>
      </c>
      <c r="C221" s="168" t="s">
        <v>748</v>
      </c>
      <c r="D221" s="169" t="s">
        <v>1001</v>
      </c>
      <c r="E221" s="170">
        <v>252.28</v>
      </c>
      <c r="F221" s="188"/>
      <c r="G221" s="3"/>
      <c r="H221" s="1"/>
      <c r="I221" s="188"/>
      <c r="J221" s="188"/>
      <c r="K221" s="188"/>
      <c r="L221" s="188"/>
      <c r="M221" s="188"/>
      <c r="N221" s="188"/>
      <c r="O221" s="188"/>
      <c r="P221" s="188"/>
      <c r="Q221" s="188"/>
      <c r="R221" s="188"/>
      <c r="S221" s="188"/>
      <c r="T221" s="188"/>
      <c r="U221" s="188"/>
      <c r="V221" s="188"/>
    </row>
    <row r="222">
      <c r="A222" s="188"/>
      <c r="B222" s="167" t="s">
        <v>1364</v>
      </c>
      <c r="C222" s="168" t="s">
        <v>1080</v>
      </c>
      <c r="D222" s="169" t="s">
        <v>1001</v>
      </c>
      <c r="E222" s="170">
        <v>2044.0</v>
      </c>
      <c r="F222" s="188"/>
      <c r="G222" s="3"/>
      <c r="H222" s="1"/>
      <c r="I222" s="188"/>
      <c r="J222" s="188"/>
      <c r="K222" s="188"/>
      <c r="L222" s="188"/>
      <c r="M222" s="188"/>
      <c r="N222" s="188"/>
      <c r="O222" s="188"/>
      <c r="P222" s="188"/>
      <c r="Q222" s="188"/>
      <c r="R222" s="188"/>
      <c r="S222" s="188"/>
      <c r="T222" s="188"/>
      <c r="U222" s="188"/>
      <c r="V222" s="188"/>
    </row>
    <row r="223">
      <c r="A223" s="1"/>
      <c r="E223" s="178"/>
      <c r="F223" s="1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07" t="s">
        <v>1366</v>
      </c>
      <c r="E224" s="178"/>
      <c r="F224" s="1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88"/>
      <c r="B225" s="190" t="s">
        <v>1367</v>
      </c>
      <c r="C225" s="191" t="s">
        <v>748</v>
      </c>
      <c r="D225" s="192" t="s">
        <v>1001</v>
      </c>
      <c r="E225" s="170">
        <v>252.28</v>
      </c>
      <c r="F225" s="188"/>
      <c r="G225" s="3"/>
      <c r="H225" s="1"/>
      <c r="I225" s="188"/>
      <c r="J225" s="188"/>
      <c r="K225" s="188"/>
      <c r="L225" s="188"/>
      <c r="M225" s="188"/>
      <c r="N225" s="188"/>
      <c r="O225" s="188"/>
      <c r="P225" s="188"/>
      <c r="Q225" s="188"/>
      <c r="R225" s="188"/>
      <c r="S225" s="188"/>
      <c r="T225" s="188"/>
      <c r="U225" s="188"/>
      <c r="V225" s="188"/>
    </row>
    <row r="226">
      <c r="A226" s="188"/>
      <c r="B226" s="167" t="s">
        <v>1371</v>
      </c>
      <c r="C226" s="168" t="s">
        <v>1080</v>
      </c>
      <c r="D226" s="169" t="s">
        <v>1001</v>
      </c>
      <c r="E226" s="170">
        <v>2044.0</v>
      </c>
      <c r="F226" s="188"/>
      <c r="G226" s="3"/>
      <c r="H226" s="1"/>
      <c r="I226" s="188"/>
      <c r="J226" s="188"/>
      <c r="K226" s="188"/>
      <c r="L226" s="188"/>
      <c r="M226" s="188"/>
      <c r="N226" s="188"/>
      <c r="O226" s="188"/>
      <c r="P226" s="188"/>
      <c r="Q226" s="188"/>
      <c r="R226" s="188"/>
      <c r="S226" s="188"/>
      <c r="T226" s="188"/>
      <c r="U226" s="188"/>
      <c r="V226" s="188"/>
    </row>
    <row r="227">
      <c r="A227" s="1"/>
      <c r="E227" s="178"/>
      <c r="F227" s="1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07" t="s">
        <v>1373</v>
      </c>
      <c r="E228" s="178"/>
      <c r="F228" s="1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88"/>
      <c r="B229" s="190" t="s">
        <v>1374</v>
      </c>
      <c r="C229" s="191" t="s">
        <v>748</v>
      </c>
      <c r="D229" s="192" t="s">
        <v>1001</v>
      </c>
      <c r="E229" s="170">
        <v>252.28</v>
      </c>
      <c r="F229" s="188"/>
      <c r="G229" s="3"/>
      <c r="H229" s="1"/>
      <c r="I229" s="188"/>
      <c r="J229" s="188"/>
      <c r="K229" s="188"/>
      <c r="L229" s="188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</row>
    <row r="230">
      <c r="A230" s="188"/>
      <c r="B230" s="167" t="s">
        <v>1377</v>
      </c>
      <c r="C230" s="168" t="s">
        <v>1080</v>
      </c>
      <c r="D230" s="169" t="s">
        <v>1001</v>
      </c>
      <c r="E230" s="170">
        <v>2044.0</v>
      </c>
      <c r="F230" s="188"/>
      <c r="G230" s="3"/>
      <c r="H230" s="1"/>
      <c r="I230" s="188"/>
      <c r="J230" s="188"/>
      <c r="K230" s="188"/>
      <c r="L230" s="188"/>
      <c r="M230" s="188"/>
      <c r="N230" s="188"/>
      <c r="O230" s="188"/>
      <c r="P230" s="188"/>
      <c r="Q230" s="188"/>
      <c r="R230" s="188"/>
      <c r="S230" s="188"/>
      <c r="T230" s="188"/>
      <c r="U230" s="188"/>
      <c r="V230" s="188"/>
    </row>
    <row r="231">
      <c r="A231" s="1"/>
      <c r="E231" s="178"/>
      <c r="F231" s="1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07" t="s">
        <v>1380</v>
      </c>
      <c r="C232" s="193" t="s">
        <v>1381</v>
      </c>
      <c r="D232" s="134"/>
      <c r="E232" s="181"/>
      <c r="F232" s="1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88"/>
      <c r="B233" s="167" t="s">
        <v>1382</v>
      </c>
      <c r="C233" s="168" t="s">
        <v>748</v>
      </c>
      <c r="D233" s="169" t="s">
        <v>1001</v>
      </c>
      <c r="E233" s="170">
        <v>238.0</v>
      </c>
      <c r="F233" s="188"/>
      <c r="G233" s="3"/>
      <c r="H233" s="1"/>
      <c r="I233" s="188"/>
      <c r="J233" s="188"/>
      <c r="K233" s="188"/>
      <c r="L233" s="188"/>
      <c r="M233" s="188"/>
      <c r="N233" s="188"/>
      <c r="O233" s="188"/>
      <c r="P233" s="188"/>
      <c r="Q233" s="188"/>
      <c r="R233" s="188"/>
      <c r="S233" s="188"/>
      <c r="T233" s="188"/>
      <c r="U233" s="188"/>
      <c r="V233" s="188"/>
    </row>
    <row r="234">
      <c r="A234" s="188"/>
      <c r="B234" s="167" t="s">
        <v>1383</v>
      </c>
      <c r="C234" s="168" t="s">
        <v>1080</v>
      </c>
      <c r="D234" s="169" t="s">
        <v>1001</v>
      </c>
      <c r="E234" s="170">
        <v>1888.0</v>
      </c>
      <c r="F234" s="188"/>
      <c r="G234" s="3"/>
      <c r="H234" s="1"/>
      <c r="I234" s="188"/>
      <c r="J234" s="188"/>
      <c r="K234" s="188"/>
      <c r="L234" s="188"/>
      <c r="M234" s="188"/>
      <c r="N234" s="188"/>
      <c r="O234" s="188"/>
      <c r="P234" s="188"/>
      <c r="Q234" s="188"/>
      <c r="R234" s="188"/>
      <c r="S234" s="188"/>
      <c r="T234" s="188"/>
      <c r="U234" s="188"/>
      <c r="V234" s="188"/>
    </row>
    <row r="235">
      <c r="A235" s="1"/>
      <c r="E235" s="178"/>
      <c r="F235" s="1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07" t="s">
        <v>1385</v>
      </c>
      <c r="C236" s="193" t="s">
        <v>1386</v>
      </c>
      <c r="D236" s="134"/>
      <c r="E236" s="181"/>
      <c r="F236" s="1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88"/>
      <c r="B237" s="167" t="s">
        <v>1388</v>
      </c>
      <c r="C237" s="168" t="s">
        <v>748</v>
      </c>
      <c r="D237" s="169" t="s">
        <v>1001</v>
      </c>
      <c r="E237" s="170">
        <v>238.0</v>
      </c>
      <c r="F237" s="188"/>
      <c r="G237" s="3"/>
      <c r="H237" s="1"/>
      <c r="I237" s="188"/>
      <c r="J237" s="188"/>
      <c r="K237" s="188"/>
      <c r="L237" s="188"/>
      <c r="M237" s="188"/>
      <c r="N237" s="188"/>
      <c r="O237" s="188"/>
      <c r="P237" s="188"/>
      <c r="Q237" s="188"/>
      <c r="R237" s="188"/>
      <c r="S237" s="188"/>
      <c r="T237" s="188"/>
      <c r="U237" s="188"/>
      <c r="V237" s="188"/>
    </row>
    <row r="238">
      <c r="A238" s="188"/>
      <c r="B238" s="167" t="s">
        <v>1390</v>
      </c>
      <c r="C238" s="168" t="s">
        <v>1080</v>
      </c>
      <c r="D238" s="169" t="s">
        <v>1001</v>
      </c>
      <c r="E238" s="170">
        <v>1888.0</v>
      </c>
      <c r="F238" s="188"/>
      <c r="G238" s="3"/>
      <c r="H238" s="1"/>
      <c r="I238" s="188"/>
      <c r="J238" s="188"/>
      <c r="K238" s="188"/>
      <c r="L238" s="188"/>
      <c r="M238" s="188"/>
      <c r="N238" s="188"/>
      <c r="O238" s="188"/>
      <c r="P238" s="188"/>
      <c r="Q238" s="188"/>
      <c r="R238" s="188"/>
      <c r="S238" s="188"/>
      <c r="T238" s="188"/>
      <c r="U238" s="188"/>
      <c r="V238" s="188"/>
    </row>
    <row r="239">
      <c r="A239" s="1"/>
      <c r="E239" s="178"/>
      <c r="F239" s="1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95" t="s">
        <v>1393</v>
      </c>
      <c r="C240" s="196"/>
      <c r="D240" s="134"/>
      <c r="E240" s="181"/>
      <c r="F240" s="1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88"/>
      <c r="B241" s="167" t="s">
        <v>1396</v>
      </c>
      <c r="C241" s="168" t="s">
        <v>748</v>
      </c>
      <c r="D241" s="169" t="s">
        <v>1001</v>
      </c>
      <c r="E241" s="170">
        <v>238.0</v>
      </c>
      <c r="F241" s="188"/>
      <c r="G241" s="3"/>
      <c r="H241" s="1"/>
      <c r="I241" s="188"/>
      <c r="J241" s="188"/>
      <c r="K241" s="188"/>
      <c r="L241" s="188"/>
      <c r="M241" s="188"/>
      <c r="N241" s="188"/>
      <c r="O241" s="188"/>
      <c r="P241" s="188"/>
      <c r="Q241" s="188"/>
      <c r="R241" s="188"/>
      <c r="S241" s="188"/>
      <c r="T241" s="188"/>
      <c r="U241" s="188"/>
      <c r="V241" s="188"/>
    </row>
    <row r="242">
      <c r="A242" s="188"/>
      <c r="B242" s="167" t="s">
        <v>1397</v>
      </c>
      <c r="C242" s="168" t="s">
        <v>1080</v>
      </c>
      <c r="D242" s="169" t="s">
        <v>1001</v>
      </c>
      <c r="E242" s="170">
        <v>1888.0</v>
      </c>
      <c r="F242" s="188"/>
      <c r="G242" s="3"/>
      <c r="H242" s="1"/>
      <c r="I242" s="188"/>
      <c r="J242" s="188"/>
      <c r="K242" s="188"/>
      <c r="L242" s="188"/>
      <c r="M242" s="188"/>
      <c r="N242" s="188"/>
      <c r="O242" s="188"/>
      <c r="P242" s="188"/>
      <c r="Q242" s="188"/>
      <c r="R242" s="188"/>
      <c r="S242" s="188"/>
      <c r="T242" s="188"/>
      <c r="U242" s="188"/>
      <c r="V242" s="188"/>
    </row>
    <row r="243">
      <c r="A243" s="1"/>
      <c r="E243" s="178"/>
      <c r="F243" s="1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97" t="s">
        <v>1399</v>
      </c>
      <c r="C244" s="198"/>
      <c r="D244" s="134"/>
      <c r="E244" s="181"/>
      <c r="F244" s="1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88"/>
      <c r="B245" s="199" t="s">
        <v>1400</v>
      </c>
      <c r="C245" s="168" t="s">
        <v>748</v>
      </c>
      <c r="D245" s="169" t="s">
        <v>1001</v>
      </c>
      <c r="E245" s="170">
        <v>238.0</v>
      </c>
      <c r="F245" s="188"/>
      <c r="G245" s="3"/>
      <c r="H245" s="1"/>
      <c r="I245" s="188"/>
      <c r="J245" s="188"/>
      <c r="K245" s="188"/>
      <c r="L245" s="188"/>
      <c r="M245" s="188"/>
      <c r="N245" s="188"/>
      <c r="O245" s="188"/>
      <c r="P245" s="188"/>
      <c r="Q245" s="188"/>
      <c r="R245" s="188"/>
      <c r="S245" s="188"/>
      <c r="T245" s="188"/>
      <c r="U245" s="188"/>
      <c r="V245" s="188"/>
    </row>
    <row r="246">
      <c r="A246" s="188"/>
      <c r="B246" s="199" t="s">
        <v>1402</v>
      </c>
      <c r="C246" s="168" t="s">
        <v>1080</v>
      </c>
      <c r="D246" s="169" t="s">
        <v>1001</v>
      </c>
      <c r="E246" s="170">
        <v>1888.0</v>
      </c>
      <c r="F246" s="188"/>
      <c r="G246" s="3"/>
      <c r="H246" s="1"/>
      <c r="I246" s="188"/>
      <c r="J246" s="188"/>
      <c r="K246" s="188"/>
      <c r="L246" s="188"/>
      <c r="M246" s="188"/>
      <c r="N246" s="188"/>
      <c r="O246" s="188"/>
      <c r="P246" s="188"/>
      <c r="Q246" s="188"/>
      <c r="R246" s="188"/>
      <c r="S246" s="188"/>
      <c r="T246" s="188"/>
      <c r="U246" s="188"/>
      <c r="V246" s="188"/>
    </row>
    <row r="247">
      <c r="A247" s="1"/>
      <c r="E247" s="178"/>
      <c r="F247" s="1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07" t="s">
        <v>1403</v>
      </c>
      <c r="C248" s="166"/>
      <c r="D248" s="134"/>
      <c r="E248" s="181"/>
      <c r="F248" s="1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88"/>
      <c r="B249" s="167" t="s">
        <v>1404</v>
      </c>
      <c r="C249" s="168" t="s">
        <v>748</v>
      </c>
      <c r="D249" s="169" t="s">
        <v>1001</v>
      </c>
      <c r="E249" s="170">
        <v>297.84</v>
      </c>
      <c r="F249" s="188"/>
      <c r="G249" s="3"/>
      <c r="H249" s="1"/>
      <c r="I249" s="188"/>
      <c r="J249" s="188"/>
      <c r="K249" s="188"/>
      <c r="L249" s="188"/>
      <c r="M249" s="188"/>
      <c r="N249" s="188"/>
      <c r="O249" s="188"/>
      <c r="P249" s="188"/>
      <c r="Q249" s="188"/>
      <c r="R249" s="188"/>
      <c r="S249" s="188"/>
      <c r="T249" s="188"/>
      <c r="U249" s="188"/>
      <c r="V249" s="188"/>
    </row>
    <row r="250">
      <c r="A250" s="188"/>
      <c r="B250" s="167" t="s">
        <v>1406</v>
      </c>
      <c r="C250" s="168" t="s">
        <v>1080</v>
      </c>
      <c r="D250" s="169" t="s">
        <v>1001</v>
      </c>
      <c r="E250" s="170">
        <v>2233.8</v>
      </c>
      <c r="F250" s="188"/>
      <c r="G250" s="3"/>
      <c r="H250" s="1"/>
      <c r="I250" s="188"/>
      <c r="J250" s="188"/>
      <c r="K250" s="188"/>
      <c r="L250" s="188"/>
      <c r="M250" s="188"/>
      <c r="N250" s="188"/>
      <c r="O250" s="188"/>
      <c r="P250" s="188"/>
      <c r="Q250" s="188"/>
      <c r="R250" s="188"/>
      <c r="S250" s="188"/>
      <c r="T250" s="188"/>
      <c r="U250" s="188"/>
      <c r="V250" s="188"/>
    </row>
    <row r="251">
      <c r="A251" s="1"/>
      <c r="E251" s="178"/>
      <c r="F251" s="1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07" t="s">
        <v>1408</v>
      </c>
      <c r="C252" s="166"/>
      <c r="D252" s="134"/>
      <c r="E252" s="181"/>
      <c r="F252" s="1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88"/>
      <c r="B253" s="167">
        <v>1374.0</v>
      </c>
      <c r="C253" s="168" t="s">
        <v>1080</v>
      </c>
      <c r="D253" s="169" t="s">
        <v>1001</v>
      </c>
      <c r="E253" s="170">
        <v>2239.92</v>
      </c>
      <c r="F253" s="188"/>
      <c r="G253" s="3"/>
      <c r="H253" s="1"/>
      <c r="I253" s="188"/>
      <c r="J253" s="188"/>
      <c r="K253" s="188"/>
      <c r="L253" s="188"/>
      <c r="M253" s="188"/>
      <c r="N253" s="188"/>
      <c r="O253" s="188"/>
      <c r="P253" s="188"/>
      <c r="Q253" s="188"/>
      <c r="R253" s="188"/>
      <c r="S253" s="188"/>
      <c r="T253" s="188"/>
      <c r="U253" s="188"/>
      <c r="V253" s="188"/>
    </row>
    <row r="254">
      <c r="A254" s="1"/>
      <c r="E254" s="178"/>
      <c r="F254" s="1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07" t="s">
        <v>1411</v>
      </c>
      <c r="C255" s="166"/>
      <c r="D255" s="134"/>
      <c r="E255" s="109"/>
      <c r="F255" s="1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88"/>
      <c r="B256" s="167" t="s">
        <v>208</v>
      </c>
      <c r="C256" s="168" t="s">
        <v>951</v>
      </c>
      <c r="D256" s="169" t="s">
        <v>1001</v>
      </c>
      <c r="E256" s="170">
        <v>244.0</v>
      </c>
      <c r="F256" s="188"/>
      <c r="G256" s="3"/>
      <c r="H256" s="1"/>
      <c r="I256" s="188"/>
      <c r="J256" s="188"/>
      <c r="K256" s="188"/>
      <c r="L256" s="188"/>
      <c r="M256" s="188"/>
      <c r="N256" s="188"/>
      <c r="O256" s="188"/>
      <c r="P256" s="188"/>
      <c r="Q256" s="188"/>
      <c r="R256" s="188"/>
      <c r="S256" s="188"/>
      <c r="T256" s="188"/>
      <c r="U256" s="188"/>
      <c r="V256" s="188"/>
    </row>
    <row r="257">
      <c r="A257" s="188"/>
      <c r="B257" s="167" t="s">
        <v>1092</v>
      </c>
      <c r="C257" s="168" t="s">
        <v>748</v>
      </c>
      <c r="D257" s="169" t="s">
        <v>1001</v>
      </c>
      <c r="E257" s="170">
        <v>256.0</v>
      </c>
      <c r="F257" s="188"/>
      <c r="G257" s="3"/>
      <c r="H257" s="1"/>
      <c r="I257" s="188"/>
      <c r="J257" s="188"/>
      <c r="K257" s="188"/>
      <c r="L257" s="188"/>
      <c r="M257" s="188"/>
      <c r="N257" s="188"/>
      <c r="O257" s="188"/>
      <c r="P257" s="188"/>
      <c r="Q257" s="188"/>
      <c r="R257" s="188"/>
      <c r="S257" s="188"/>
      <c r="T257" s="188"/>
      <c r="U257" s="188"/>
      <c r="V257" s="188"/>
    </row>
    <row r="258">
      <c r="A258" s="188"/>
      <c r="B258" s="167" t="s">
        <v>1094</v>
      </c>
      <c r="C258" s="168" t="s">
        <v>798</v>
      </c>
      <c r="D258" s="169" t="s">
        <v>1001</v>
      </c>
      <c r="E258" s="170">
        <v>264.0</v>
      </c>
      <c r="F258" s="188"/>
      <c r="G258" s="3"/>
      <c r="H258" s="1"/>
      <c r="I258" s="188"/>
      <c r="J258" s="188"/>
      <c r="K258" s="188"/>
      <c r="L258" s="188"/>
      <c r="M258" s="188"/>
      <c r="N258" s="188"/>
      <c r="O258" s="188"/>
      <c r="P258" s="188"/>
      <c r="Q258" s="188"/>
      <c r="R258" s="188"/>
      <c r="S258" s="188"/>
      <c r="T258" s="188"/>
      <c r="U258" s="188"/>
      <c r="V258" s="188"/>
    </row>
    <row r="259">
      <c r="A259" s="188"/>
      <c r="B259" s="167" t="s">
        <v>1096</v>
      </c>
      <c r="C259" s="168" t="s">
        <v>306</v>
      </c>
      <c r="D259" s="169" t="s">
        <v>1001</v>
      </c>
      <c r="E259" s="170">
        <v>273.6864</v>
      </c>
      <c r="F259" s="188"/>
      <c r="G259" s="3"/>
      <c r="H259" s="1"/>
      <c r="I259" s="188"/>
      <c r="J259" s="188"/>
      <c r="K259" s="188"/>
      <c r="L259" s="188"/>
      <c r="M259" s="188"/>
      <c r="N259" s="188"/>
      <c r="O259" s="188"/>
      <c r="P259" s="188"/>
      <c r="Q259" s="188"/>
      <c r="R259" s="188"/>
      <c r="S259" s="188"/>
      <c r="T259" s="188"/>
      <c r="U259" s="188"/>
      <c r="V259" s="188"/>
    </row>
    <row r="260">
      <c r="A260" s="188"/>
      <c r="B260" s="167" t="s">
        <v>1098</v>
      </c>
      <c r="C260" s="168" t="s">
        <v>801</v>
      </c>
      <c r="D260" s="169" t="s">
        <v>1001</v>
      </c>
      <c r="E260" s="170">
        <v>313.99679999999995</v>
      </c>
      <c r="F260" s="188"/>
      <c r="G260" s="3"/>
      <c r="H260" s="1"/>
      <c r="I260" s="188"/>
      <c r="J260" s="188"/>
      <c r="K260" s="188"/>
      <c r="L260" s="188"/>
      <c r="M260" s="188"/>
      <c r="N260" s="188"/>
      <c r="O260" s="188"/>
      <c r="P260" s="188"/>
      <c r="Q260" s="188"/>
      <c r="R260" s="188"/>
      <c r="S260" s="188"/>
      <c r="T260" s="188"/>
      <c r="U260" s="188"/>
      <c r="V260" s="188"/>
    </row>
    <row r="261">
      <c r="A261" s="188"/>
      <c r="B261" s="167" t="s">
        <v>1100</v>
      </c>
      <c r="C261" s="168" t="s">
        <v>1417</v>
      </c>
      <c r="D261" s="169" t="s">
        <v>1001</v>
      </c>
      <c r="E261" s="170">
        <v>303.96</v>
      </c>
      <c r="F261" s="188"/>
      <c r="G261" s="3"/>
      <c r="H261" s="1"/>
      <c r="I261" s="188"/>
      <c r="J261" s="188"/>
      <c r="K261" s="188"/>
      <c r="L261" s="188"/>
      <c r="M261" s="188"/>
      <c r="N261" s="188"/>
      <c r="O261" s="188"/>
      <c r="P261" s="188"/>
      <c r="Q261" s="188"/>
      <c r="R261" s="188"/>
      <c r="S261" s="188"/>
      <c r="T261" s="188"/>
      <c r="U261" s="188"/>
      <c r="V261" s="188"/>
    </row>
    <row r="262">
      <c r="A262" s="188"/>
      <c r="B262" s="167" t="s">
        <v>1102</v>
      </c>
      <c r="C262" s="168" t="s">
        <v>339</v>
      </c>
      <c r="D262" s="169" t="s">
        <v>1001</v>
      </c>
      <c r="E262" s="170">
        <v>313.99679999999995</v>
      </c>
      <c r="F262" s="188"/>
      <c r="G262" s="3"/>
      <c r="H262" s="1"/>
      <c r="I262" s="188"/>
      <c r="J262" s="188"/>
      <c r="K262" s="188"/>
      <c r="L262" s="188"/>
      <c r="M262" s="188"/>
      <c r="N262" s="188"/>
      <c r="O262" s="188"/>
      <c r="P262" s="188"/>
      <c r="Q262" s="188"/>
      <c r="R262" s="188"/>
      <c r="S262" s="188"/>
      <c r="T262" s="188"/>
      <c r="U262" s="188"/>
      <c r="V262" s="188"/>
    </row>
    <row r="263">
      <c r="A263" s="188"/>
      <c r="B263" s="167" t="s">
        <v>1104</v>
      </c>
      <c r="C263" s="168" t="s">
        <v>901</v>
      </c>
      <c r="D263" s="169" t="s">
        <v>1001</v>
      </c>
      <c r="E263" s="170">
        <v>264.0</v>
      </c>
      <c r="F263" s="188"/>
      <c r="G263" s="3"/>
      <c r="H263" s="1"/>
      <c r="I263" s="188"/>
      <c r="J263" s="188"/>
      <c r="K263" s="188"/>
      <c r="L263" s="188"/>
      <c r="M263" s="188"/>
      <c r="N263" s="188"/>
      <c r="O263" s="188"/>
      <c r="P263" s="188"/>
      <c r="Q263" s="188"/>
      <c r="R263" s="188"/>
      <c r="S263" s="188"/>
      <c r="T263" s="188"/>
      <c r="U263" s="188"/>
      <c r="V263" s="188"/>
    </row>
    <row r="264">
      <c r="A264" s="188"/>
      <c r="B264" s="167" t="s">
        <v>1105</v>
      </c>
      <c r="C264" s="168" t="s">
        <v>808</v>
      </c>
      <c r="D264" s="169" t="s">
        <v>1001</v>
      </c>
      <c r="E264" s="170">
        <v>526.1568</v>
      </c>
      <c r="F264" s="188"/>
      <c r="G264" s="3"/>
      <c r="H264" s="1"/>
      <c r="I264" s="188"/>
      <c r="J264" s="188"/>
      <c r="K264" s="188"/>
      <c r="L264" s="188"/>
      <c r="M264" s="188"/>
      <c r="N264" s="188"/>
      <c r="O264" s="188"/>
      <c r="P264" s="188"/>
      <c r="Q264" s="188"/>
      <c r="R264" s="188"/>
      <c r="S264" s="188"/>
      <c r="T264" s="188"/>
      <c r="U264" s="188"/>
      <c r="V264" s="188"/>
    </row>
    <row r="265">
      <c r="A265" s="188"/>
      <c r="B265" s="167" t="s">
        <v>1107</v>
      </c>
      <c r="C265" s="168" t="s">
        <v>1421</v>
      </c>
      <c r="D265" s="169" t="s">
        <v>1001</v>
      </c>
      <c r="E265" s="170">
        <v>332.0</v>
      </c>
      <c r="F265" s="188"/>
      <c r="G265" s="3"/>
      <c r="H265" s="1"/>
      <c r="I265" s="188"/>
      <c r="J265" s="188"/>
      <c r="K265" s="188"/>
      <c r="L265" s="188"/>
      <c r="M265" s="188"/>
      <c r="N265" s="188"/>
      <c r="O265" s="188"/>
      <c r="P265" s="188"/>
      <c r="Q265" s="188"/>
      <c r="R265" s="188"/>
      <c r="S265" s="188"/>
      <c r="T265" s="188"/>
      <c r="U265" s="188"/>
      <c r="V265" s="188"/>
    </row>
    <row r="266">
      <c r="A266" s="188"/>
      <c r="B266" s="167" t="s">
        <v>1108</v>
      </c>
      <c r="C266" s="168" t="s">
        <v>1423</v>
      </c>
      <c r="D266" s="169" t="s">
        <v>1001</v>
      </c>
      <c r="E266" s="170">
        <v>368.0</v>
      </c>
      <c r="F266" s="188"/>
      <c r="G266" s="3"/>
      <c r="H266" s="1"/>
      <c r="I266" s="188"/>
      <c r="J266" s="188"/>
      <c r="K266" s="188"/>
      <c r="L266" s="188"/>
      <c r="M266" s="188"/>
      <c r="N266" s="188"/>
      <c r="O266" s="188"/>
      <c r="P266" s="188"/>
      <c r="Q266" s="188"/>
      <c r="R266" s="188"/>
      <c r="S266" s="188"/>
      <c r="T266" s="188"/>
      <c r="U266" s="188"/>
      <c r="V266" s="188"/>
    </row>
    <row r="267">
      <c r="A267" s="188"/>
      <c r="B267" s="167" t="s">
        <v>1111</v>
      </c>
      <c r="C267" s="168" t="s">
        <v>813</v>
      </c>
      <c r="D267" s="169" t="s">
        <v>1001</v>
      </c>
      <c r="E267" s="170">
        <v>705.84</v>
      </c>
      <c r="F267" s="188"/>
      <c r="G267" s="3"/>
      <c r="H267" s="1"/>
      <c r="I267" s="188"/>
      <c r="J267" s="188"/>
      <c r="K267" s="188"/>
      <c r="L267" s="188"/>
      <c r="M267" s="188"/>
      <c r="N267" s="188"/>
      <c r="O267" s="188"/>
      <c r="P267" s="188"/>
      <c r="Q267" s="188"/>
      <c r="R267" s="188"/>
      <c r="S267" s="188"/>
      <c r="T267" s="188"/>
      <c r="U267" s="188"/>
      <c r="V267" s="188"/>
    </row>
    <row r="268">
      <c r="A268" s="188"/>
      <c r="B268" s="167" t="s">
        <v>1113</v>
      </c>
      <c r="C268" s="168" t="s">
        <v>910</v>
      </c>
      <c r="D268" s="169" t="s">
        <v>1001</v>
      </c>
      <c r="E268" s="170">
        <v>625.8720000000001</v>
      </c>
      <c r="F268" s="188"/>
      <c r="G268" s="3"/>
      <c r="H268" s="1"/>
      <c r="I268" s="188"/>
      <c r="J268" s="188"/>
      <c r="K268" s="188"/>
      <c r="L268" s="188"/>
      <c r="M268" s="188"/>
      <c r="N268" s="188"/>
      <c r="O268" s="188"/>
      <c r="P268" s="188"/>
      <c r="Q268" s="188"/>
      <c r="R268" s="188"/>
      <c r="S268" s="188"/>
      <c r="T268" s="188"/>
      <c r="U268" s="188"/>
      <c r="V268" s="188"/>
    </row>
    <row r="269">
      <c r="A269" s="188"/>
      <c r="B269" s="167" t="s">
        <v>1117</v>
      </c>
      <c r="C269" s="168" t="s">
        <v>815</v>
      </c>
      <c r="D269" s="169" t="s">
        <v>1001</v>
      </c>
      <c r="E269" s="170">
        <v>711.96</v>
      </c>
      <c r="F269" s="188"/>
      <c r="G269" s="3"/>
      <c r="H269" s="1"/>
      <c r="I269" s="188"/>
      <c r="J269" s="188"/>
      <c r="K269" s="188"/>
      <c r="L269" s="188"/>
      <c r="M269" s="188"/>
      <c r="N269" s="188"/>
      <c r="O269" s="188"/>
      <c r="P269" s="188"/>
      <c r="Q269" s="188"/>
      <c r="R269" s="188"/>
      <c r="S269" s="188"/>
      <c r="T269" s="188"/>
      <c r="U269" s="188"/>
      <c r="V269" s="188"/>
    </row>
    <row r="270">
      <c r="A270" s="188"/>
      <c r="B270" s="167" t="s">
        <v>1119</v>
      </c>
      <c r="C270" s="168" t="s">
        <v>913</v>
      </c>
      <c r="D270" s="169" t="s">
        <v>1001</v>
      </c>
      <c r="E270" s="170">
        <v>1262.3519999999999</v>
      </c>
      <c r="F270" s="188"/>
      <c r="G270" s="3"/>
      <c r="H270" s="1"/>
      <c r="I270" s="188"/>
      <c r="J270" s="188"/>
      <c r="K270" s="188"/>
      <c r="L270" s="188"/>
      <c r="M270" s="188"/>
      <c r="N270" s="188"/>
      <c r="O270" s="188"/>
      <c r="P270" s="188"/>
      <c r="Q270" s="188"/>
      <c r="R270" s="188"/>
      <c r="S270" s="188"/>
      <c r="T270" s="188"/>
      <c r="U270" s="188"/>
      <c r="V270" s="188"/>
    </row>
    <row r="271">
      <c r="A271" s="188"/>
      <c r="B271" s="167" t="s">
        <v>1122</v>
      </c>
      <c r="C271" s="168" t="s">
        <v>1080</v>
      </c>
      <c r="D271" s="169" t="s">
        <v>1001</v>
      </c>
      <c r="E271" s="170">
        <v>1994.0</v>
      </c>
      <c r="F271" s="200"/>
      <c r="G271" s="3"/>
      <c r="H271" s="1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</row>
    <row r="272">
      <c r="A272" s="188"/>
      <c r="B272" s="167" t="s">
        <v>1123</v>
      </c>
      <c r="C272" s="168" t="s">
        <v>734</v>
      </c>
      <c r="D272" s="169" t="s">
        <v>1001</v>
      </c>
      <c r="E272" s="170">
        <v>1688.0</v>
      </c>
      <c r="F272" s="200"/>
      <c r="G272" s="3"/>
      <c r="H272" s="1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</row>
    <row r="273">
      <c r="A273" s="188"/>
      <c r="B273" s="167" t="s">
        <v>1127</v>
      </c>
      <c r="C273" s="168" t="s">
        <v>1428</v>
      </c>
      <c r="D273" s="169" t="s">
        <v>1001</v>
      </c>
      <c r="E273" s="170">
        <v>234.0</v>
      </c>
      <c r="F273" s="200"/>
      <c r="G273" s="3"/>
      <c r="H273" s="1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</row>
    <row r="274">
      <c r="A274" s="188"/>
      <c r="B274" s="167" t="s">
        <v>1128</v>
      </c>
      <c r="C274" s="168" t="s">
        <v>1429</v>
      </c>
      <c r="D274" s="169" t="s">
        <v>1001</v>
      </c>
      <c r="E274" s="170">
        <v>234.0</v>
      </c>
      <c r="F274" s="200"/>
      <c r="G274" s="3"/>
      <c r="H274" s="1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</row>
    <row r="275">
      <c r="A275" s="188"/>
      <c r="B275" s="167" t="s">
        <v>1130</v>
      </c>
      <c r="C275" s="168" t="s">
        <v>1430</v>
      </c>
      <c r="D275" s="169" t="s">
        <v>1001</v>
      </c>
      <c r="E275" s="170">
        <v>244.0</v>
      </c>
      <c r="F275" s="200"/>
      <c r="G275" s="3"/>
      <c r="H275" s="1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</row>
    <row r="276">
      <c r="A276" s="188"/>
      <c r="B276" s="167" t="s">
        <v>1132</v>
      </c>
      <c r="C276" s="168" t="s">
        <v>1431</v>
      </c>
      <c r="D276" s="169" t="s">
        <v>1001</v>
      </c>
      <c r="E276" s="170">
        <v>222.0</v>
      </c>
      <c r="F276" s="200"/>
      <c r="G276" s="3"/>
      <c r="H276" s="1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</row>
    <row r="277">
      <c r="A277" s="188"/>
      <c r="B277" s="167" t="s">
        <v>1133</v>
      </c>
      <c r="C277" s="168" t="s">
        <v>359</v>
      </c>
      <c r="D277" s="169" t="s">
        <v>1001</v>
      </c>
      <c r="E277" s="170">
        <v>491.64</v>
      </c>
      <c r="F277" s="200"/>
      <c r="G277" s="3"/>
      <c r="H277" s="1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</row>
    <row r="278">
      <c r="A278" s="188"/>
      <c r="B278" s="167" t="s">
        <v>1134</v>
      </c>
      <c r="C278" s="168" t="s">
        <v>928</v>
      </c>
      <c r="D278" s="169" t="s">
        <v>1001</v>
      </c>
      <c r="E278" s="170">
        <v>375.52320000000003</v>
      </c>
      <c r="F278" s="200"/>
      <c r="G278" s="3"/>
      <c r="H278" s="1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</row>
    <row r="279">
      <c r="A279" s="188"/>
      <c r="B279" s="167" t="s">
        <v>1135</v>
      </c>
      <c r="C279" s="168" t="s">
        <v>930</v>
      </c>
      <c r="D279" s="169" t="s">
        <v>1001</v>
      </c>
      <c r="E279" s="170">
        <v>385.56</v>
      </c>
      <c r="F279" s="200"/>
      <c r="G279" s="3"/>
      <c r="H279" s="1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</row>
    <row r="280">
      <c r="A280" s="188"/>
      <c r="B280" s="167" t="s">
        <v>1136</v>
      </c>
      <c r="C280" s="168" t="s">
        <v>710</v>
      </c>
      <c r="D280" s="169" t="s">
        <v>1001</v>
      </c>
      <c r="E280" s="170">
        <v>646.0</v>
      </c>
      <c r="F280" s="200"/>
      <c r="G280" s="3"/>
      <c r="H280" s="1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</row>
    <row r="281">
      <c r="A281" s="188"/>
      <c r="B281" s="167" t="s">
        <v>1140</v>
      </c>
      <c r="C281" s="168" t="s">
        <v>601</v>
      </c>
      <c r="D281" s="169" t="s">
        <v>1001</v>
      </c>
      <c r="E281" s="170">
        <v>688.0</v>
      </c>
      <c r="F281" s="200"/>
      <c r="G281" s="3"/>
      <c r="H281" s="1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</row>
    <row r="282">
      <c r="A282" s="188"/>
      <c r="B282" s="167" t="s">
        <v>1143</v>
      </c>
      <c r="C282" s="168" t="s">
        <v>731</v>
      </c>
      <c r="D282" s="169" t="s">
        <v>1001</v>
      </c>
      <c r="E282" s="170">
        <v>401.88</v>
      </c>
      <c r="F282" s="200"/>
      <c r="G282" s="3"/>
      <c r="H282" s="1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</row>
    <row r="283">
      <c r="A283" s="188"/>
      <c r="B283" s="167" t="s">
        <v>1144</v>
      </c>
      <c r="C283" s="168" t="s">
        <v>712</v>
      </c>
      <c r="D283" s="169" t="s">
        <v>1001</v>
      </c>
      <c r="E283" s="170">
        <v>1502.0</v>
      </c>
      <c r="F283" s="200"/>
      <c r="G283" s="3"/>
      <c r="H283" s="1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</row>
    <row r="284">
      <c r="A284" s="1"/>
      <c r="B284" s="107"/>
      <c r="C284" s="92"/>
      <c r="D284" s="134"/>
      <c r="E284" s="109"/>
      <c r="F284" s="20"/>
      <c r="G284" s="3"/>
      <c r="H284" s="1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</row>
    <row r="285">
      <c r="A285" s="1"/>
      <c r="B285" s="107" t="s">
        <v>1438</v>
      </c>
      <c r="C285" s="166"/>
      <c r="D285" s="134"/>
      <c r="E285" s="109"/>
      <c r="F285" s="20"/>
      <c r="G285" s="3"/>
      <c r="H285" s="1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</row>
    <row r="286">
      <c r="A286" s="188"/>
      <c r="B286" s="201" t="s">
        <v>1440</v>
      </c>
      <c r="C286" s="168" t="s">
        <v>951</v>
      </c>
      <c r="D286" s="169" t="s">
        <v>1001</v>
      </c>
      <c r="E286" s="170">
        <v>260.0</v>
      </c>
      <c r="F286" s="200"/>
      <c r="G286" s="3"/>
      <c r="H286" s="1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</row>
    <row r="287">
      <c r="A287" s="188"/>
      <c r="B287" s="201" t="s">
        <v>1442</v>
      </c>
      <c r="C287" s="168" t="s">
        <v>748</v>
      </c>
      <c r="D287" s="169" t="s">
        <v>1001</v>
      </c>
      <c r="E287" s="170">
        <v>272.0</v>
      </c>
      <c r="F287" s="200"/>
      <c r="G287" s="3"/>
      <c r="H287" s="1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</row>
    <row r="288">
      <c r="A288" s="188"/>
      <c r="B288" s="201" t="s">
        <v>1444</v>
      </c>
      <c r="C288" s="168" t="s">
        <v>798</v>
      </c>
      <c r="D288" s="169" t="s">
        <v>1001</v>
      </c>
      <c r="E288" s="170">
        <v>279.84000000000003</v>
      </c>
      <c r="F288" s="200"/>
      <c r="G288" s="3"/>
      <c r="H288" s="1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</row>
    <row r="289">
      <c r="A289" s="188"/>
      <c r="B289" s="201" t="s">
        <v>1445</v>
      </c>
      <c r="C289" s="168" t="s">
        <v>306</v>
      </c>
      <c r="D289" s="169" t="s">
        <v>1001</v>
      </c>
      <c r="E289" s="170">
        <v>290.10758400000003</v>
      </c>
      <c r="F289" s="188"/>
      <c r="G289" s="3"/>
      <c r="H289" s="1"/>
      <c r="I289" s="188"/>
      <c r="J289" s="188"/>
      <c r="K289" s="188"/>
      <c r="L289" s="188"/>
      <c r="M289" s="188"/>
      <c r="N289" s="188"/>
      <c r="O289" s="188"/>
      <c r="P289" s="188"/>
      <c r="Q289" s="188"/>
      <c r="R289" s="188"/>
      <c r="S289" s="188"/>
      <c r="T289" s="188"/>
      <c r="U289" s="188"/>
      <c r="V289" s="188"/>
    </row>
    <row r="290">
      <c r="A290" s="188"/>
      <c r="B290" s="201" t="s">
        <v>1446</v>
      </c>
      <c r="C290" s="168" t="s">
        <v>801</v>
      </c>
      <c r="D290" s="169" t="s">
        <v>1001</v>
      </c>
      <c r="E290" s="170">
        <v>334.0</v>
      </c>
      <c r="F290" s="188"/>
      <c r="G290" s="3"/>
      <c r="H290" s="1"/>
      <c r="I290" s="188"/>
      <c r="J290" s="188"/>
      <c r="K290" s="188"/>
      <c r="L290" s="188"/>
      <c r="M290" s="188"/>
      <c r="N290" s="188"/>
      <c r="O290" s="188"/>
      <c r="P290" s="188"/>
      <c r="Q290" s="188"/>
      <c r="R290" s="188"/>
      <c r="S290" s="188"/>
      <c r="T290" s="188"/>
      <c r="U290" s="188"/>
      <c r="V290" s="188"/>
    </row>
    <row r="291">
      <c r="A291" s="188"/>
      <c r="B291" s="201" t="s">
        <v>1448</v>
      </c>
      <c r="C291" s="168" t="s">
        <v>1417</v>
      </c>
      <c r="D291" s="169" t="s">
        <v>1001</v>
      </c>
      <c r="E291" s="170">
        <v>322.1976</v>
      </c>
      <c r="F291" s="188"/>
      <c r="G291" s="3"/>
      <c r="H291" s="1"/>
      <c r="I291" s="188"/>
      <c r="J291" s="188"/>
      <c r="K291" s="188"/>
      <c r="L291" s="188"/>
      <c r="M291" s="188"/>
      <c r="N291" s="188"/>
      <c r="O291" s="188"/>
      <c r="P291" s="188"/>
      <c r="Q291" s="188"/>
      <c r="R291" s="188"/>
      <c r="S291" s="188"/>
      <c r="T291" s="188"/>
      <c r="U291" s="188"/>
      <c r="V291" s="188"/>
    </row>
    <row r="292">
      <c r="A292" s="188"/>
      <c r="B292" s="201" t="s">
        <v>1450</v>
      </c>
      <c r="C292" s="168" t="s">
        <v>339</v>
      </c>
      <c r="D292" s="169" t="s">
        <v>1001</v>
      </c>
      <c r="E292" s="170">
        <v>334.0</v>
      </c>
      <c r="F292" s="188"/>
      <c r="G292" s="3"/>
      <c r="H292" s="1"/>
      <c r="I292" s="188"/>
      <c r="J292" s="188"/>
      <c r="K292" s="188"/>
      <c r="L292" s="188"/>
      <c r="M292" s="188"/>
      <c r="N292" s="188"/>
      <c r="O292" s="188"/>
      <c r="P292" s="188"/>
      <c r="Q292" s="188"/>
      <c r="R292" s="188"/>
      <c r="S292" s="188"/>
      <c r="T292" s="188"/>
      <c r="U292" s="188"/>
      <c r="V292" s="188"/>
    </row>
    <row r="293">
      <c r="A293" s="188"/>
      <c r="B293" s="201" t="s">
        <v>1452</v>
      </c>
      <c r="C293" s="168" t="s">
        <v>901</v>
      </c>
      <c r="D293" s="169" t="s">
        <v>1001</v>
      </c>
      <c r="E293" s="170">
        <v>279.84000000000003</v>
      </c>
      <c r="F293" s="188"/>
      <c r="G293" s="3"/>
      <c r="H293" s="1"/>
      <c r="I293" s="188"/>
      <c r="J293" s="188"/>
      <c r="K293" s="188"/>
      <c r="L293" s="188"/>
      <c r="M293" s="188"/>
      <c r="N293" s="188"/>
      <c r="O293" s="188"/>
      <c r="P293" s="188"/>
      <c r="Q293" s="188"/>
      <c r="R293" s="188"/>
      <c r="S293" s="188"/>
      <c r="T293" s="188"/>
      <c r="U293" s="188"/>
      <c r="V293" s="188"/>
    </row>
    <row r="294">
      <c r="A294" s="188"/>
      <c r="B294" s="201" t="s">
        <v>1453</v>
      </c>
      <c r="C294" s="168" t="s">
        <v>808</v>
      </c>
      <c r="D294" s="169" t="s">
        <v>1001</v>
      </c>
      <c r="E294" s="170">
        <v>557.726208</v>
      </c>
      <c r="F294" s="188"/>
      <c r="G294" s="3"/>
      <c r="H294" s="1"/>
      <c r="I294" s="188"/>
      <c r="J294" s="188"/>
      <c r="K294" s="188"/>
      <c r="L294" s="188"/>
      <c r="M294" s="188"/>
      <c r="N294" s="188"/>
      <c r="O294" s="188"/>
      <c r="P294" s="188"/>
      <c r="Q294" s="188"/>
      <c r="R294" s="188"/>
      <c r="S294" s="188"/>
      <c r="T294" s="188"/>
      <c r="U294" s="188"/>
      <c r="V294" s="188"/>
    </row>
    <row r="295">
      <c r="A295" s="188"/>
      <c r="B295" s="201" t="s">
        <v>1455</v>
      </c>
      <c r="C295" s="168" t="s">
        <v>1421</v>
      </c>
      <c r="D295" s="169" t="s">
        <v>1001</v>
      </c>
      <c r="E295" s="170">
        <v>351.92</v>
      </c>
      <c r="F295" s="202"/>
      <c r="G295" s="3"/>
      <c r="H295" s="1"/>
      <c r="I295" s="202"/>
      <c r="J295" s="202"/>
      <c r="K295" s="202"/>
      <c r="L295" s="202"/>
      <c r="M295" s="202"/>
      <c r="N295" s="202"/>
      <c r="O295" s="202"/>
      <c r="P295" s="202"/>
      <c r="Q295" s="202"/>
      <c r="R295" s="202"/>
      <c r="S295" s="202"/>
      <c r="T295" s="202"/>
      <c r="U295" s="202"/>
      <c r="V295" s="202"/>
    </row>
    <row r="296">
      <c r="A296" s="188"/>
      <c r="B296" s="201" t="s">
        <v>1457</v>
      </c>
      <c r="C296" s="168" t="s">
        <v>1423</v>
      </c>
      <c r="D296" s="169" t="s">
        <v>1001</v>
      </c>
      <c r="E296" s="170">
        <v>390.08000000000004</v>
      </c>
      <c r="F296" s="202"/>
      <c r="G296" s="3"/>
      <c r="H296" s="1"/>
      <c r="I296" s="202"/>
      <c r="J296" s="202"/>
      <c r="K296" s="202"/>
      <c r="L296" s="202"/>
      <c r="M296" s="202"/>
      <c r="N296" s="202"/>
      <c r="O296" s="202"/>
      <c r="P296" s="202"/>
      <c r="Q296" s="202"/>
      <c r="R296" s="202"/>
      <c r="S296" s="202"/>
      <c r="T296" s="202"/>
      <c r="U296" s="202"/>
      <c r="V296" s="202"/>
    </row>
    <row r="297">
      <c r="A297" s="188"/>
      <c r="B297" s="201" t="s">
        <v>1458</v>
      </c>
      <c r="C297" s="168" t="s">
        <v>813</v>
      </c>
      <c r="D297" s="169" t="s">
        <v>1001</v>
      </c>
      <c r="E297" s="170">
        <v>748.1904000000001</v>
      </c>
      <c r="F297" s="188"/>
      <c r="G297" s="3"/>
      <c r="H297" s="1"/>
      <c r="I297" s="188"/>
      <c r="J297" s="188"/>
      <c r="K297" s="188"/>
      <c r="L297" s="188"/>
      <c r="M297" s="188"/>
      <c r="N297" s="188"/>
      <c r="O297" s="188"/>
      <c r="P297" s="188"/>
      <c r="Q297" s="188"/>
      <c r="R297" s="188"/>
      <c r="S297" s="188"/>
      <c r="T297" s="188"/>
      <c r="U297" s="188"/>
      <c r="V297" s="188"/>
    </row>
    <row r="298">
      <c r="A298" s="188"/>
      <c r="B298" s="201" t="s">
        <v>1459</v>
      </c>
      <c r="C298" s="168" t="s">
        <v>910</v>
      </c>
      <c r="D298" s="169" t="s">
        <v>1001</v>
      </c>
      <c r="E298" s="170">
        <v>664.0</v>
      </c>
      <c r="F298" s="188"/>
      <c r="G298" s="3"/>
      <c r="H298" s="1"/>
      <c r="I298" s="188"/>
      <c r="J298" s="188"/>
      <c r="K298" s="188"/>
      <c r="L298" s="188"/>
      <c r="M298" s="188"/>
      <c r="N298" s="188"/>
      <c r="O298" s="188"/>
      <c r="P298" s="188"/>
      <c r="Q298" s="188"/>
      <c r="R298" s="188"/>
      <c r="S298" s="188"/>
      <c r="T298" s="188"/>
      <c r="U298" s="188"/>
      <c r="V298" s="188"/>
    </row>
    <row r="299">
      <c r="A299" s="188"/>
      <c r="B299" s="201" t="s">
        <v>1461</v>
      </c>
      <c r="C299" s="168" t="s">
        <v>815</v>
      </c>
      <c r="D299" s="169" t="s">
        <v>1001</v>
      </c>
      <c r="E299" s="170">
        <v>756.0</v>
      </c>
      <c r="F299" s="188"/>
      <c r="G299" s="3"/>
      <c r="H299" s="1"/>
      <c r="I299" s="188"/>
      <c r="J299" s="188"/>
      <c r="K299" s="188"/>
      <c r="L299" s="188"/>
      <c r="M299" s="188"/>
      <c r="N299" s="188"/>
      <c r="O299" s="188"/>
      <c r="P299" s="188"/>
      <c r="Q299" s="188"/>
      <c r="R299" s="188"/>
      <c r="S299" s="188"/>
      <c r="T299" s="188"/>
      <c r="U299" s="188"/>
      <c r="V299" s="188"/>
    </row>
    <row r="300">
      <c r="A300" s="188"/>
      <c r="B300" s="201" t="s">
        <v>1462</v>
      </c>
      <c r="C300" s="168" t="s">
        <v>913</v>
      </c>
      <c r="D300" s="169" t="s">
        <v>1001</v>
      </c>
      <c r="E300" s="170">
        <v>1338.09312</v>
      </c>
      <c r="F300" s="188"/>
      <c r="G300" s="3"/>
      <c r="H300" s="1"/>
      <c r="I300" s="188"/>
      <c r="J300" s="188"/>
      <c r="K300" s="188"/>
      <c r="L300" s="188"/>
      <c r="M300" s="188"/>
      <c r="N300" s="188"/>
      <c r="O300" s="188"/>
      <c r="P300" s="188"/>
      <c r="Q300" s="188"/>
      <c r="R300" s="188"/>
      <c r="S300" s="188"/>
      <c r="T300" s="188"/>
      <c r="U300" s="188"/>
      <c r="V300" s="188"/>
    </row>
    <row r="301">
      <c r="A301" s="188"/>
      <c r="B301" s="201" t="s">
        <v>1463</v>
      </c>
      <c r="C301" s="168" t="s">
        <v>1080</v>
      </c>
      <c r="D301" s="169" t="s">
        <v>1001</v>
      </c>
      <c r="E301" s="170">
        <v>2113.6400000000003</v>
      </c>
      <c r="F301" s="188"/>
      <c r="G301" s="3"/>
      <c r="H301" s="1"/>
      <c r="I301" s="188"/>
      <c r="J301" s="188"/>
      <c r="K301" s="188"/>
      <c r="L301" s="188"/>
      <c r="M301" s="188"/>
      <c r="N301" s="188"/>
      <c r="O301" s="188"/>
      <c r="P301" s="188"/>
      <c r="Q301" s="188"/>
      <c r="R301" s="188"/>
      <c r="S301" s="188"/>
      <c r="T301" s="188"/>
      <c r="U301" s="188"/>
      <c r="V301" s="188"/>
    </row>
    <row r="302">
      <c r="A302" s="188"/>
      <c r="B302" s="201" t="s">
        <v>1465</v>
      </c>
      <c r="C302" s="168" t="s">
        <v>734</v>
      </c>
      <c r="D302" s="169" t="s">
        <v>1001</v>
      </c>
      <c r="E302" s="170">
        <v>1790.0</v>
      </c>
      <c r="F302" s="188"/>
      <c r="G302" s="3"/>
      <c r="H302" s="1"/>
      <c r="I302" s="188"/>
      <c r="J302" s="188"/>
      <c r="K302" s="188"/>
      <c r="L302" s="188"/>
      <c r="M302" s="188"/>
      <c r="N302" s="188"/>
      <c r="O302" s="188"/>
      <c r="P302" s="188"/>
      <c r="Q302" s="188"/>
      <c r="R302" s="188"/>
      <c r="S302" s="188"/>
      <c r="T302" s="188"/>
      <c r="U302" s="188"/>
      <c r="V302" s="188"/>
    </row>
    <row r="303">
      <c r="A303" s="188"/>
      <c r="B303" s="201" t="s">
        <v>1466</v>
      </c>
      <c r="C303" s="168" t="s">
        <v>1428</v>
      </c>
      <c r="D303" s="169" t="s">
        <v>1001</v>
      </c>
      <c r="E303" s="170">
        <v>248.04000000000002</v>
      </c>
      <c r="F303" s="188"/>
      <c r="G303" s="3"/>
      <c r="H303" s="1"/>
      <c r="I303" s="188"/>
      <c r="J303" s="188"/>
      <c r="K303" s="188"/>
      <c r="L303" s="188"/>
      <c r="M303" s="188"/>
      <c r="N303" s="188"/>
      <c r="O303" s="188"/>
      <c r="P303" s="188"/>
      <c r="Q303" s="188"/>
      <c r="R303" s="188"/>
      <c r="S303" s="188"/>
      <c r="T303" s="188"/>
      <c r="U303" s="188"/>
      <c r="V303" s="188"/>
    </row>
    <row r="304">
      <c r="A304" s="188"/>
      <c r="B304" s="201" t="s">
        <v>1467</v>
      </c>
      <c r="C304" s="168" t="s">
        <v>1429</v>
      </c>
      <c r="D304" s="169" t="s">
        <v>1001</v>
      </c>
      <c r="E304" s="170">
        <v>248.04000000000002</v>
      </c>
      <c r="F304" s="188"/>
      <c r="G304" s="3"/>
      <c r="H304" s="1"/>
      <c r="I304" s="188"/>
      <c r="J304" s="188"/>
      <c r="K304" s="188"/>
      <c r="L304" s="188"/>
      <c r="M304" s="188"/>
      <c r="N304" s="188"/>
      <c r="O304" s="188"/>
      <c r="P304" s="188"/>
      <c r="Q304" s="188"/>
      <c r="R304" s="188"/>
      <c r="S304" s="188"/>
      <c r="T304" s="188"/>
      <c r="U304" s="188"/>
      <c r="V304" s="188"/>
    </row>
    <row r="305">
      <c r="A305" s="188"/>
      <c r="B305" s="201" t="s">
        <v>1469</v>
      </c>
      <c r="C305" s="168" t="s">
        <v>1430</v>
      </c>
      <c r="D305" s="169" t="s">
        <v>1001</v>
      </c>
      <c r="E305" s="170">
        <v>260.0</v>
      </c>
      <c r="F305" s="188"/>
      <c r="G305" s="3"/>
      <c r="H305" s="1"/>
      <c r="I305" s="188"/>
      <c r="J305" s="188"/>
      <c r="K305" s="188"/>
      <c r="L305" s="188"/>
      <c r="M305" s="188"/>
      <c r="N305" s="188"/>
      <c r="O305" s="188"/>
      <c r="P305" s="188"/>
      <c r="Q305" s="188"/>
      <c r="R305" s="188"/>
      <c r="S305" s="188"/>
      <c r="T305" s="188"/>
      <c r="U305" s="188"/>
      <c r="V305" s="188"/>
    </row>
    <row r="306">
      <c r="A306" s="188"/>
      <c r="B306" s="201" t="s">
        <v>1471</v>
      </c>
      <c r="C306" s="168" t="s">
        <v>1431</v>
      </c>
      <c r="D306" s="169" t="s">
        <v>1001</v>
      </c>
      <c r="E306" s="170">
        <v>236.0</v>
      </c>
      <c r="F306" s="188"/>
      <c r="G306" s="3"/>
      <c r="H306" s="1"/>
      <c r="I306" s="188"/>
      <c r="J306" s="188"/>
      <c r="K306" s="188"/>
      <c r="L306" s="188"/>
      <c r="M306" s="188"/>
      <c r="N306" s="188"/>
      <c r="O306" s="188"/>
      <c r="P306" s="188"/>
      <c r="Q306" s="188"/>
      <c r="R306" s="188"/>
      <c r="S306" s="188"/>
      <c r="T306" s="188"/>
      <c r="U306" s="188"/>
      <c r="V306" s="188"/>
    </row>
    <row r="307">
      <c r="A307" s="188"/>
      <c r="B307" s="201" t="s">
        <v>1472</v>
      </c>
      <c r="C307" s="168" t="s">
        <v>359</v>
      </c>
      <c r="D307" s="169" t="s">
        <v>1001</v>
      </c>
      <c r="E307" s="170">
        <v>522.0</v>
      </c>
      <c r="F307" s="188"/>
      <c r="G307" s="3"/>
      <c r="H307" s="1"/>
      <c r="I307" s="188"/>
      <c r="J307" s="188"/>
      <c r="K307" s="188"/>
      <c r="L307" s="188"/>
      <c r="M307" s="188"/>
      <c r="N307" s="188"/>
      <c r="O307" s="188"/>
      <c r="P307" s="188"/>
      <c r="Q307" s="188"/>
      <c r="R307" s="188"/>
      <c r="S307" s="188"/>
      <c r="T307" s="188"/>
      <c r="U307" s="188"/>
      <c r="V307" s="188"/>
    </row>
    <row r="308">
      <c r="A308" s="188"/>
      <c r="B308" s="201" t="s">
        <v>1474</v>
      </c>
      <c r="C308" s="168" t="s">
        <v>928</v>
      </c>
      <c r="D308" s="169" t="s">
        <v>1001</v>
      </c>
      <c r="E308" s="170">
        <v>398.05459200000007</v>
      </c>
      <c r="F308" s="188"/>
      <c r="G308" s="3"/>
      <c r="H308" s="1"/>
      <c r="I308" s="188"/>
      <c r="J308" s="188"/>
      <c r="K308" s="188"/>
      <c r="L308" s="188"/>
      <c r="M308" s="188"/>
      <c r="N308" s="188"/>
      <c r="O308" s="188"/>
      <c r="P308" s="188"/>
      <c r="Q308" s="188"/>
      <c r="R308" s="188"/>
      <c r="S308" s="188"/>
      <c r="T308" s="188"/>
      <c r="U308" s="188"/>
      <c r="V308" s="188"/>
    </row>
    <row r="309">
      <c r="A309" s="188"/>
      <c r="B309" s="201" t="s">
        <v>1476</v>
      </c>
      <c r="C309" s="168" t="s">
        <v>930</v>
      </c>
      <c r="D309" s="169" t="s">
        <v>1001</v>
      </c>
      <c r="E309" s="170">
        <v>410.0</v>
      </c>
      <c r="F309" s="188"/>
      <c r="G309" s="3"/>
      <c r="H309" s="1"/>
      <c r="I309" s="188"/>
      <c r="J309" s="188"/>
      <c r="K309" s="188"/>
      <c r="L309" s="188"/>
      <c r="M309" s="188"/>
      <c r="N309" s="188"/>
      <c r="O309" s="188"/>
      <c r="P309" s="188"/>
      <c r="Q309" s="188"/>
      <c r="R309" s="188"/>
      <c r="S309" s="188"/>
      <c r="T309" s="188"/>
      <c r="U309" s="188"/>
      <c r="V309" s="188"/>
    </row>
    <row r="310">
      <c r="A310" s="188"/>
      <c r="B310" s="201" t="s">
        <v>1477</v>
      </c>
      <c r="C310" s="168" t="s">
        <v>710</v>
      </c>
      <c r="D310" s="169" t="s">
        <v>1001</v>
      </c>
      <c r="E310" s="170">
        <v>686.0</v>
      </c>
      <c r="F310" s="188"/>
      <c r="G310" s="3"/>
      <c r="H310" s="1"/>
      <c r="I310" s="188"/>
      <c r="J310" s="188"/>
      <c r="K310" s="188"/>
      <c r="L310" s="188"/>
      <c r="M310" s="188"/>
      <c r="N310" s="188"/>
      <c r="O310" s="188"/>
      <c r="P310" s="188"/>
      <c r="Q310" s="188"/>
      <c r="R310" s="188"/>
      <c r="S310" s="188"/>
      <c r="T310" s="188"/>
      <c r="U310" s="188"/>
      <c r="V310" s="188"/>
    </row>
    <row r="311">
      <c r="A311" s="188"/>
      <c r="B311" s="201" t="s">
        <v>1479</v>
      </c>
      <c r="C311" s="168" t="s">
        <v>601</v>
      </c>
      <c r="D311" s="169" t="s">
        <v>1001</v>
      </c>
      <c r="E311" s="170">
        <v>730.0</v>
      </c>
      <c r="F311" s="188"/>
      <c r="G311" s="3"/>
      <c r="H311" s="1"/>
      <c r="I311" s="188"/>
      <c r="J311" s="188"/>
      <c r="K311" s="188"/>
      <c r="L311" s="188"/>
      <c r="M311" s="188"/>
      <c r="N311" s="188"/>
      <c r="O311" s="188"/>
      <c r="P311" s="188"/>
      <c r="Q311" s="188"/>
      <c r="R311" s="188"/>
      <c r="S311" s="188"/>
      <c r="T311" s="188"/>
      <c r="U311" s="188"/>
      <c r="V311" s="188"/>
    </row>
    <row r="312">
      <c r="A312" s="188"/>
      <c r="B312" s="201" t="s">
        <v>1481</v>
      </c>
      <c r="C312" s="168" t="s">
        <v>731</v>
      </c>
      <c r="D312" s="169" t="s">
        <v>1001</v>
      </c>
      <c r="E312" s="170">
        <v>425.9928</v>
      </c>
      <c r="F312" s="188"/>
      <c r="G312" s="3"/>
      <c r="H312" s="1"/>
      <c r="I312" s="188"/>
      <c r="J312" s="188"/>
      <c r="K312" s="188"/>
      <c r="L312" s="188"/>
      <c r="M312" s="188"/>
      <c r="N312" s="188"/>
      <c r="O312" s="188"/>
      <c r="P312" s="188"/>
      <c r="Q312" s="188"/>
      <c r="R312" s="188"/>
      <c r="S312" s="188"/>
      <c r="T312" s="188"/>
      <c r="U312" s="188"/>
      <c r="V312" s="188"/>
    </row>
    <row r="313">
      <c r="A313" s="188"/>
      <c r="B313" s="201" t="s">
        <v>1483</v>
      </c>
      <c r="C313" s="168" t="s">
        <v>712</v>
      </c>
      <c r="D313" s="169" t="s">
        <v>1001</v>
      </c>
      <c r="E313" s="170">
        <v>1592.1200000000001</v>
      </c>
      <c r="F313" s="188"/>
      <c r="G313" s="3"/>
      <c r="H313" s="1"/>
      <c r="I313" s="188"/>
      <c r="J313" s="188"/>
      <c r="K313" s="188"/>
      <c r="L313" s="188"/>
      <c r="M313" s="188"/>
      <c r="N313" s="188"/>
      <c r="O313" s="188"/>
      <c r="P313" s="188"/>
      <c r="Q313" s="188"/>
      <c r="R313" s="188"/>
      <c r="S313" s="188"/>
      <c r="T313" s="188"/>
      <c r="U313" s="188"/>
      <c r="V313" s="188"/>
    </row>
    <row r="314">
      <c r="A314" s="1"/>
      <c r="B314" s="204"/>
      <c r="C314" s="92"/>
      <c r="D314" s="134"/>
      <c r="E314" s="109"/>
      <c r="F314" s="1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07" t="s">
        <v>1485</v>
      </c>
      <c r="C315" s="166"/>
      <c r="D315" s="134"/>
      <c r="E315" s="205"/>
      <c r="F315" s="1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88"/>
      <c r="B316" s="201" t="s">
        <v>1487</v>
      </c>
      <c r="C316" s="168" t="s">
        <v>951</v>
      </c>
      <c r="D316" s="169" t="s">
        <v>1001</v>
      </c>
      <c r="E316" s="170">
        <v>260.0</v>
      </c>
      <c r="F316" s="188"/>
      <c r="G316" s="3"/>
      <c r="H316" s="1"/>
      <c r="I316" s="188"/>
      <c r="J316" s="188"/>
      <c r="K316" s="188"/>
      <c r="L316" s="188"/>
      <c r="M316" s="188"/>
      <c r="N316" s="188"/>
      <c r="O316" s="188"/>
      <c r="P316" s="188"/>
      <c r="Q316" s="188"/>
      <c r="R316" s="188"/>
      <c r="S316" s="188"/>
      <c r="T316" s="188"/>
      <c r="U316" s="188"/>
      <c r="V316" s="188"/>
    </row>
    <row r="317">
      <c r="A317" s="188"/>
      <c r="B317" s="201" t="s">
        <v>1488</v>
      </c>
      <c r="C317" s="168" t="s">
        <v>748</v>
      </c>
      <c r="D317" s="169" t="s">
        <v>1001</v>
      </c>
      <c r="E317" s="170">
        <v>272.0</v>
      </c>
      <c r="F317" s="188"/>
      <c r="G317" s="3"/>
      <c r="H317" s="1"/>
      <c r="I317" s="188"/>
      <c r="J317" s="188"/>
      <c r="K317" s="188"/>
      <c r="L317" s="188"/>
      <c r="M317" s="188"/>
      <c r="N317" s="188"/>
      <c r="O317" s="188"/>
      <c r="P317" s="188"/>
      <c r="Q317" s="188"/>
      <c r="R317" s="188"/>
      <c r="S317" s="188"/>
      <c r="T317" s="188"/>
      <c r="U317" s="188"/>
      <c r="V317" s="188"/>
    </row>
    <row r="318">
      <c r="A318" s="188"/>
      <c r="B318" s="201" t="s">
        <v>1490</v>
      </c>
      <c r="C318" s="168" t="s">
        <v>798</v>
      </c>
      <c r="D318" s="169" t="s">
        <v>1001</v>
      </c>
      <c r="E318" s="170">
        <v>279.84000000000003</v>
      </c>
      <c r="F318" s="188"/>
      <c r="G318" s="3"/>
      <c r="H318" s="1"/>
      <c r="I318" s="188"/>
      <c r="J318" s="188"/>
      <c r="K318" s="188"/>
      <c r="L318" s="188"/>
      <c r="M318" s="188"/>
      <c r="N318" s="188"/>
      <c r="O318" s="188"/>
      <c r="P318" s="188"/>
      <c r="Q318" s="188"/>
      <c r="R318" s="188"/>
      <c r="S318" s="188"/>
      <c r="T318" s="188"/>
      <c r="U318" s="188"/>
      <c r="V318" s="188"/>
    </row>
    <row r="319">
      <c r="A319" s="188"/>
      <c r="B319" s="201" t="s">
        <v>1492</v>
      </c>
      <c r="C319" s="168" t="s">
        <v>306</v>
      </c>
      <c r="D319" s="169" t="s">
        <v>1001</v>
      </c>
      <c r="E319" s="170">
        <v>290.10758400000003</v>
      </c>
      <c r="F319" s="188"/>
      <c r="G319" s="3"/>
      <c r="H319" s="1"/>
      <c r="I319" s="188"/>
      <c r="J319" s="188"/>
      <c r="K319" s="188"/>
      <c r="L319" s="188"/>
      <c r="M319" s="188"/>
      <c r="N319" s="188"/>
      <c r="O319" s="188"/>
      <c r="P319" s="188"/>
      <c r="Q319" s="188"/>
      <c r="R319" s="188"/>
      <c r="S319" s="188"/>
      <c r="T319" s="188"/>
      <c r="U319" s="188"/>
      <c r="V319" s="188"/>
    </row>
    <row r="320">
      <c r="A320" s="188"/>
      <c r="B320" s="201" t="s">
        <v>1493</v>
      </c>
      <c r="C320" s="168" t="s">
        <v>801</v>
      </c>
      <c r="D320" s="169" t="s">
        <v>1001</v>
      </c>
      <c r="E320" s="170">
        <v>334.0</v>
      </c>
      <c r="F320" s="188"/>
      <c r="G320" s="3"/>
      <c r="H320" s="1"/>
      <c r="I320" s="188"/>
      <c r="J320" s="188"/>
      <c r="K320" s="188"/>
      <c r="L320" s="188"/>
      <c r="M320" s="188"/>
      <c r="N320" s="188"/>
      <c r="O320" s="188"/>
      <c r="P320" s="188"/>
      <c r="Q320" s="188"/>
      <c r="R320" s="188"/>
      <c r="S320" s="188"/>
      <c r="T320" s="188"/>
      <c r="U320" s="188"/>
      <c r="V320" s="188"/>
    </row>
    <row r="321">
      <c r="A321" s="188"/>
      <c r="B321" s="201" t="s">
        <v>1494</v>
      </c>
      <c r="C321" s="168" t="s">
        <v>1417</v>
      </c>
      <c r="D321" s="169" t="s">
        <v>1001</v>
      </c>
      <c r="E321" s="170">
        <v>322.1976</v>
      </c>
      <c r="F321" s="188"/>
      <c r="G321" s="3"/>
      <c r="H321" s="1"/>
      <c r="I321" s="188"/>
      <c r="J321" s="188"/>
      <c r="K321" s="188"/>
      <c r="L321" s="188"/>
      <c r="M321" s="188"/>
      <c r="N321" s="188"/>
      <c r="O321" s="188"/>
      <c r="P321" s="188"/>
      <c r="Q321" s="188"/>
      <c r="R321" s="188"/>
      <c r="S321" s="188"/>
      <c r="T321" s="188"/>
      <c r="U321" s="188"/>
      <c r="V321" s="188"/>
    </row>
    <row r="322">
      <c r="A322" s="188"/>
      <c r="B322" s="201" t="s">
        <v>1495</v>
      </c>
      <c r="C322" s="168" t="s">
        <v>339</v>
      </c>
      <c r="D322" s="169" t="s">
        <v>1001</v>
      </c>
      <c r="E322" s="170">
        <v>334.0</v>
      </c>
      <c r="F322" s="188"/>
      <c r="G322" s="3"/>
      <c r="H322" s="1"/>
      <c r="I322" s="188"/>
      <c r="J322" s="188"/>
      <c r="K322" s="188"/>
      <c r="L322" s="188"/>
      <c r="M322" s="188"/>
      <c r="N322" s="188"/>
      <c r="O322" s="188"/>
      <c r="P322" s="188"/>
      <c r="Q322" s="188"/>
      <c r="R322" s="188"/>
      <c r="S322" s="188"/>
      <c r="T322" s="188"/>
      <c r="U322" s="188"/>
      <c r="V322" s="188"/>
    </row>
    <row r="323">
      <c r="A323" s="188"/>
      <c r="B323" s="201" t="s">
        <v>1497</v>
      </c>
      <c r="C323" s="168" t="s">
        <v>901</v>
      </c>
      <c r="D323" s="169" t="s">
        <v>1001</v>
      </c>
      <c r="E323" s="170">
        <v>279.84000000000003</v>
      </c>
      <c r="F323" s="188"/>
      <c r="G323" s="3"/>
      <c r="H323" s="1"/>
      <c r="I323" s="188"/>
      <c r="J323" s="188"/>
      <c r="K323" s="188"/>
      <c r="L323" s="188"/>
      <c r="M323" s="188"/>
      <c r="N323" s="188"/>
      <c r="O323" s="188"/>
      <c r="P323" s="188"/>
      <c r="Q323" s="188"/>
      <c r="R323" s="188"/>
      <c r="S323" s="188"/>
      <c r="T323" s="188"/>
      <c r="U323" s="188"/>
      <c r="V323" s="188"/>
    </row>
    <row r="324">
      <c r="A324" s="188"/>
      <c r="B324" s="201" t="s">
        <v>1499</v>
      </c>
      <c r="C324" s="168" t="s">
        <v>808</v>
      </c>
      <c r="D324" s="169" t="s">
        <v>1001</v>
      </c>
      <c r="E324" s="170">
        <v>557.726208</v>
      </c>
      <c r="F324" s="188"/>
      <c r="G324" s="3"/>
      <c r="H324" s="1"/>
      <c r="I324" s="188"/>
      <c r="J324" s="188"/>
      <c r="K324" s="188"/>
      <c r="L324" s="188"/>
      <c r="M324" s="188"/>
      <c r="N324" s="188"/>
      <c r="O324" s="188"/>
      <c r="P324" s="188"/>
      <c r="Q324" s="188"/>
      <c r="R324" s="188"/>
      <c r="S324" s="188"/>
      <c r="T324" s="188"/>
      <c r="U324" s="188"/>
      <c r="V324" s="188"/>
    </row>
    <row r="325">
      <c r="A325" s="188"/>
      <c r="B325" s="201" t="s">
        <v>1500</v>
      </c>
      <c r="C325" s="168" t="s">
        <v>1421</v>
      </c>
      <c r="D325" s="169" t="s">
        <v>1001</v>
      </c>
      <c r="E325" s="170">
        <v>351.92</v>
      </c>
      <c r="F325" s="188"/>
      <c r="G325" s="3"/>
      <c r="H325" s="1"/>
      <c r="I325" s="188"/>
      <c r="J325" s="188"/>
      <c r="K325" s="188"/>
      <c r="L325" s="188"/>
      <c r="M325" s="188"/>
      <c r="N325" s="188"/>
      <c r="O325" s="188"/>
      <c r="P325" s="188"/>
      <c r="Q325" s="188"/>
      <c r="R325" s="188"/>
      <c r="S325" s="188"/>
      <c r="T325" s="188"/>
      <c r="U325" s="188"/>
      <c r="V325" s="188"/>
    </row>
    <row r="326">
      <c r="A326" s="188"/>
      <c r="B326" s="201" t="s">
        <v>1502</v>
      </c>
      <c r="C326" s="168" t="s">
        <v>1423</v>
      </c>
      <c r="D326" s="169" t="s">
        <v>1001</v>
      </c>
      <c r="E326" s="170">
        <v>390.08000000000004</v>
      </c>
      <c r="F326" s="188"/>
      <c r="G326" s="3"/>
      <c r="H326" s="1"/>
      <c r="I326" s="188"/>
      <c r="J326" s="188"/>
      <c r="K326" s="188"/>
      <c r="L326" s="188"/>
      <c r="M326" s="188"/>
      <c r="N326" s="188"/>
      <c r="O326" s="188"/>
      <c r="P326" s="188"/>
      <c r="Q326" s="188"/>
      <c r="R326" s="188"/>
      <c r="S326" s="188"/>
      <c r="T326" s="188"/>
      <c r="U326" s="188"/>
      <c r="V326" s="188"/>
    </row>
    <row r="327">
      <c r="A327" s="188"/>
      <c r="B327" s="201" t="s">
        <v>1503</v>
      </c>
      <c r="C327" s="168" t="s">
        <v>813</v>
      </c>
      <c r="D327" s="169" t="s">
        <v>1001</v>
      </c>
      <c r="E327" s="170">
        <v>748.1904000000001</v>
      </c>
      <c r="F327" s="188"/>
      <c r="G327" s="3"/>
      <c r="H327" s="1"/>
      <c r="I327" s="188"/>
      <c r="J327" s="188"/>
      <c r="K327" s="188"/>
      <c r="L327" s="188"/>
      <c r="M327" s="188"/>
      <c r="N327" s="188"/>
      <c r="O327" s="188"/>
      <c r="P327" s="188"/>
      <c r="Q327" s="188"/>
      <c r="R327" s="188"/>
      <c r="S327" s="188"/>
      <c r="T327" s="188"/>
      <c r="U327" s="188"/>
      <c r="V327" s="188"/>
    </row>
    <row r="328">
      <c r="A328" s="188"/>
      <c r="B328" s="168" t="s">
        <v>1505</v>
      </c>
      <c r="C328" s="168" t="s">
        <v>910</v>
      </c>
      <c r="D328" s="169" t="s">
        <v>1001</v>
      </c>
      <c r="E328" s="170">
        <v>664.0</v>
      </c>
      <c r="F328" s="188"/>
      <c r="G328" s="3"/>
      <c r="H328" s="1"/>
      <c r="I328" s="188"/>
      <c r="J328" s="188"/>
      <c r="K328" s="188"/>
      <c r="L328" s="188"/>
      <c r="M328" s="188"/>
      <c r="N328" s="188"/>
      <c r="O328" s="188"/>
      <c r="P328" s="188"/>
      <c r="Q328" s="188"/>
      <c r="R328" s="188"/>
      <c r="S328" s="188"/>
      <c r="T328" s="188"/>
      <c r="U328" s="188"/>
      <c r="V328" s="188"/>
    </row>
    <row r="329">
      <c r="A329" s="188"/>
      <c r="B329" s="168" t="s">
        <v>1506</v>
      </c>
      <c r="C329" s="168" t="s">
        <v>815</v>
      </c>
      <c r="D329" s="169" t="s">
        <v>1001</v>
      </c>
      <c r="E329" s="170">
        <v>756.0</v>
      </c>
      <c r="F329" s="188"/>
      <c r="G329" s="3"/>
      <c r="H329" s="1"/>
      <c r="I329" s="188"/>
      <c r="J329" s="188"/>
      <c r="K329" s="188"/>
      <c r="L329" s="188"/>
      <c r="M329" s="188"/>
      <c r="N329" s="188"/>
      <c r="O329" s="188"/>
      <c r="P329" s="188"/>
      <c r="Q329" s="188"/>
      <c r="R329" s="188"/>
      <c r="S329" s="188"/>
      <c r="T329" s="188"/>
      <c r="U329" s="188"/>
      <c r="V329" s="188"/>
    </row>
    <row r="330">
      <c r="A330" s="188"/>
      <c r="B330" s="168" t="s">
        <v>1507</v>
      </c>
      <c r="C330" s="168" t="s">
        <v>913</v>
      </c>
      <c r="D330" s="169" t="s">
        <v>1001</v>
      </c>
      <c r="E330" s="170">
        <v>1338.09312</v>
      </c>
      <c r="F330" s="188"/>
      <c r="G330" s="3"/>
      <c r="H330" s="1"/>
      <c r="I330" s="188"/>
      <c r="J330" s="188"/>
      <c r="K330" s="188"/>
      <c r="L330" s="188"/>
      <c r="M330" s="188"/>
      <c r="N330" s="188"/>
      <c r="O330" s="188"/>
      <c r="P330" s="188"/>
      <c r="Q330" s="188"/>
      <c r="R330" s="188"/>
      <c r="S330" s="188"/>
      <c r="T330" s="188"/>
      <c r="U330" s="188"/>
      <c r="V330" s="188"/>
    </row>
    <row r="331">
      <c r="A331" s="188"/>
      <c r="B331" s="201" t="s">
        <v>1509</v>
      </c>
      <c r="C331" s="168" t="s">
        <v>1080</v>
      </c>
      <c r="D331" s="169" t="s">
        <v>1001</v>
      </c>
      <c r="E331" s="170">
        <v>2113.6400000000003</v>
      </c>
      <c r="F331" s="188"/>
      <c r="G331" s="3"/>
      <c r="H331" s="1"/>
      <c r="I331" s="188"/>
      <c r="J331" s="188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</row>
    <row r="332">
      <c r="A332" s="188"/>
      <c r="B332" s="168" t="s">
        <v>1510</v>
      </c>
      <c r="C332" s="168" t="s">
        <v>734</v>
      </c>
      <c r="D332" s="169" t="s">
        <v>1001</v>
      </c>
      <c r="E332" s="170">
        <v>1790.0</v>
      </c>
      <c r="F332" s="188"/>
      <c r="G332" s="3"/>
      <c r="H332" s="1"/>
      <c r="I332" s="188"/>
      <c r="J332" s="188"/>
      <c r="K332" s="188"/>
      <c r="L332" s="188"/>
      <c r="M332" s="188"/>
      <c r="N332" s="188"/>
      <c r="O332" s="188"/>
      <c r="P332" s="188"/>
      <c r="Q332" s="188"/>
      <c r="R332" s="188"/>
      <c r="S332" s="188"/>
      <c r="T332" s="188"/>
      <c r="U332" s="188"/>
      <c r="V332" s="188"/>
    </row>
    <row r="333">
      <c r="A333" s="188"/>
      <c r="B333" s="168" t="s">
        <v>1511</v>
      </c>
      <c r="C333" s="168" t="s">
        <v>1428</v>
      </c>
      <c r="D333" s="169" t="s">
        <v>1001</v>
      </c>
      <c r="E333" s="170">
        <v>248.04000000000002</v>
      </c>
      <c r="F333" s="188"/>
      <c r="G333" s="3"/>
      <c r="H333" s="1"/>
      <c r="I333" s="188"/>
      <c r="J333" s="188"/>
      <c r="K333" s="188"/>
      <c r="L333" s="188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</row>
    <row r="334">
      <c r="A334" s="188"/>
      <c r="B334" s="168" t="s">
        <v>1512</v>
      </c>
      <c r="C334" s="168" t="s">
        <v>1429</v>
      </c>
      <c r="D334" s="169" t="s">
        <v>1001</v>
      </c>
      <c r="E334" s="170">
        <v>248.04000000000002</v>
      </c>
      <c r="F334" s="188"/>
      <c r="G334" s="3"/>
      <c r="H334" s="1"/>
      <c r="I334" s="188"/>
      <c r="J334" s="188"/>
      <c r="K334" s="188"/>
      <c r="L334" s="188"/>
      <c r="M334" s="188"/>
      <c r="N334" s="188"/>
      <c r="O334" s="188"/>
      <c r="P334" s="188"/>
      <c r="Q334" s="188"/>
      <c r="R334" s="188"/>
      <c r="S334" s="188"/>
      <c r="T334" s="188"/>
      <c r="U334" s="188"/>
      <c r="V334" s="188"/>
    </row>
    <row r="335">
      <c r="A335" s="188"/>
      <c r="B335" s="168" t="s">
        <v>1514</v>
      </c>
      <c r="C335" s="168" t="s">
        <v>1430</v>
      </c>
      <c r="D335" s="169" t="s">
        <v>1001</v>
      </c>
      <c r="E335" s="170">
        <v>260.0</v>
      </c>
      <c r="F335" s="188"/>
      <c r="G335" s="3"/>
      <c r="H335" s="1"/>
      <c r="I335" s="188"/>
      <c r="J335" s="188"/>
      <c r="K335" s="188"/>
      <c r="L335" s="188"/>
      <c r="M335" s="188"/>
      <c r="N335" s="188"/>
      <c r="O335" s="188"/>
      <c r="P335" s="188"/>
      <c r="Q335" s="188"/>
      <c r="R335" s="188"/>
      <c r="S335" s="188"/>
      <c r="T335" s="188"/>
      <c r="U335" s="188"/>
      <c r="V335" s="188"/>
    </row>
    <row r="336">
      <c r="A336" s="188"/>
      <c r="B336" s="168" t="s">
        <v>1515</v>
      </c>
      <c r="C336" s="168" t="s">
        <v>1431</v>
      </c>
      <c r="D336" s="169" t="s">
        <v>1001</v>
      </c>
      <c r="E336" s="170">
        <v>236.0</v>
      </c>
      <c r="F336" s="188"/>
      <c r="G336" s="3"/>
      <c r="H336" s="1"/>
      <c r="I336" s="188"/>
      <c r="J336" s="188"/>
      <c r="K336" s="188"/>
      <c r="L336" s="188"/>
      <c r="M336" s="188"/>
      <c r="N336" s="188"/>
      <c r="O336" s="188"/>
      <c r="P336" s="188"/>
      <c r="Q336" s="188"/>
      <c r="R336" s="188"/>
      <c r="S336" s="188"/>
      <c r="T336" s="188"/>
      <c r="U336" s="188"/>
      <c r="V336" s="188"/>
    </row>
    <row r="337">
      <c r="A337" s="188"/>
      <c r="B337" s="168" t="s">
        <v>1517</v>
      </c>
      <c r="C337" s="168" t="s">
        <v>359</v>
      </c>
      <c r="D337" s="169" t="s">
        <v>1001</v>
      </c>
      <c r="E337" s="170">
        <v>522.0</v>
      </c>
      <c r="F337" s="188"/>
      <c r="G337" s="3"/>
      <c r="H337" s="1"/>
      <c r="I337" s="188"/>
      <c r="J337" s="188"/>
      <c r="K337" s="188"/>
      <c r="L337" s="188"/>
      <c r="M337" s="188"/>
      <c r="N337" s="188"/>
      <c r="O337" s="188"/>
      <c r="P337" s="188"/>
      <c r="Q337" s="188"/>
      <c r="R337" s="188"/>
      <c r="S337" s="188"/>
      <c r="T337" s="188"/>
      <c r="U337" s="188"/>
      <c r="V337" s="188"/>
    </row>
    <row r="338">
      <c r="A338" s="188"/>
      <c r="B338" s="168" t="s">
        <v>1518</v>
      </c>
      <c r="C338" s="168" t="s">
        <v>928</v>
      </c>
      <c r="D338" s="169" t="s">
        <v>1001</v>
      </c>
      <c r="E338" s="170">
        <v>398.05459200000007</v>
      </c>
      <c r="F338" s="188"/>
      <c r="G338" s="3"/>
      <c r="H338" s="1"/>
      <c r="I338" s="188"/>
      <c r="J338" s="188"/>
      <c r="K338" s="188"/>
      <c r="L338" s="188"/>
      <c r="M338" s="188"/>
      <c r="N338" s="188"/>
      <c r="O338" s="188"/>
      <c r="P338" s="188"/>
      <c r="Q338" s="188"/>
      <c r="R338" s="188"/>
      <c r="S338" s="188"/>
      <c r="T338" s="188"/>
      <c r="U338" s="188"/>
      <c r="V338" s="188"/>
    </row>
    <row r="339">
      <c r="A339" s="188"/>
      <c r="B339" s="168" t="s">
        <v>1520</v>
      </c>
      <c r="C339" s="168" t="s">
        <v>930</v>
      </c>
      <c r="D339" s="169" t="s">
        <v>1001</v>
      </c>
      <c r="E339" s="170">
        <v>410.0</v>
      </c>
      <c r="F339" s="188"/>
      <c r="G339" s="3"/>
      <c r="H339" s="1"/>
      <c r="I339" s="188"/>
      <c r="J339" s="188"/>
      <c r="K339" s="188"/>
      <c r="L339" s="188"/>
      <c r="M339" s="188"/>
      <c r="N339" s="188"/>
      <c r="O339" s="188"/>
      <c r="P339" s="188"/>
      <c r="Q339" s="188"/>
      <c r="R339" s="188"/>
      <c r="S339" s="188"/>
      <c r="T339" s="188"/>
      <c r="U339" s="188"/>
      <c r="V339" s="188"/>
    </row>
    <row r="340">
      <c r="A340" s="188"/>
      <c r="B340" s="168" t="s">
        <v>1521</v>
      </c>
      <c r="C340" s="168" t="s">
        <v>710</v>
      </c>
      <c r="D340" s="169" t="s">
        <v>1001</v>
      </c>
      <c r="E340" s="170">
        <v>686.0</v>
      </c>
      <c r="F340" s="188"/>
      <c r="G340" s="3"/>
      <c r="H340" s="1"/>
      <c r="I340" s="188"/>
      <c r="J340" s="188"/>
      <c r="K340" s="188"/>
      <c r="L340" s="188"/>
      <c r="M340" s="188"/>
      <c r="N340" s="188"/>
      <c r="O340" s="188"/>
      <c r="P340" s="188"/>
      <c r="Q340" s="188"/>
      <c r="R340" s="188"/>
      <c r="S340" s="188"/>
      <c r="T340" s="188"/>
      <c r="U340" s="188"/>
      <c r="V340" s="188"/>
    </row>
    <row r="341">
      <c r="A341" s="188"/>
      <c r="B341" s="168" t="s">
        <v>1523</v>
      </c>
      <c r="C341" s="168" t="s">
        <v>601</v>
      </c>
      <c r="D341" s="169" t="s">
        <v>1001</v>
      </c>
      <c r="E341" s="170">
        <v>730.0</v>
      </c>
      <c r="F341" s="188"/>
      <c r="G341" s="3"/>
      <c r="H341" s="1"/>
      <c r="I341" s="188"/>
      <c r="J341" s="188"/>
      <c r="K341" s="188"/>
      <c r="L341" s="188"/>
      <c r="M341" s="188"/>
      <c r="N341" s="188"/>
      <c r="O341" s="188"/>
      <c r="P341" s="188"/>
      <c r="Q341" s="188"/>
      <c r="R341" s="188"/>
      <c r="S341" s="188"/>
      <c r="T341" s="188"/>
      <c r="U341" s="188"/>
      <c r="V341" s="188"/>
    </row>
    <row r="342">
      <c r="A342" s="188"/>
      <c r="B342" s="168" t="s">
        <v>1525</v>
      </c>
      <c r="C342" s="168" t="s">
        <v>731</v>
      </c>
      <c r="D342" s="169" t="s">
        <v>1001</v>
      </c>
      <c r="E342" s="170">
        <v>425.9928</v>
      </c>
      <c r="F342" s="188"/>
      <c r="G342" s="3"/>
      <c r="H342" s="1"/>
      <c r="I342" s="188"/>
      <c r="J342" s="188"/>
      <c r="K342" s="188"/>
      <c r="L342" s="188"/>
      <c r="M342" s="188"/>
      <c r="N342" s="188"/>
      <c r="O342" s="188"/>
      <c r="P342" s="188"/>
      <c r="Q342" s="188"/>
      <c r="R342" s="188"/>
      <c r="S342" s="188"/>
      <c r="T342" s="188"/>
      <c r="U342" s="188"/>
      <c r="V342" s="188"/>
    </row>
    <row r="343">
      <c r="A343" s="188"/>
      <c r="B343" s="168" t="s">
        <v>1526</v>
      </c>
      <c r="C343" s="168" t="s">
        <v>712</v>
      </c>
      <c r="D343" s="169" t="s">
        <v>1001</v>
      </c>
      <c r="E343" s="170">
        <v>1592.1200000000001</v>
      </c>
      <c r="F343" s="188"/>
      <c r="G343" s="3"/>
      <c r="H343" s="1"/>
      <c r="I343" s="188"/>
      <c r="J343" s="188"/>
      <c r="K343" s="188"/>
      <c r="L343" s="188"/>
      <c r="M343" s="188"/>
      <c r="N343" s="188"/>
      <c r="O343" s="188"/>
      <c r="P343" s="188"/>
      <c r="Q343" s="188"/>
      <c r="R343" s="188"/>
      <c r="S343" s="188"/>
      <c r="T343" s="188"/>
      <c r="U343" s="188"/>
      <c r="V343" s="188"/>
    </row>
    <row r="344">
      <c r="A344" s="1"/>
      <c r="B344" s="107"/>
      <c r="C344" s="92"/>
      <c r="D344" s="134"/>
      <c r="E344" s="109"/>
      <c r="F344" s="1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07" t="s">
        <v>1528</v>
      </c>
      <c r="C345" s="92"/>
      <c r="D345" s="134"/>
      <c r="E345" s="109"/>
      <c r="F345" s="1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88"/>
      <c r="B346" s="168" t="s">
        <v>1530</v>
      </c>
      <c r="C346" s="168" t="s">
        <v>1531</v>
      </c>
      <c r="D346" s="169" t="s">
        <v>1001</v>
      </c>
      <c r="E346" s="170">
        <v>668.1</v>
      </c>
      <c r="F346" s="188"/>
      <c r="G346" s="3"/>
      <c r="H346" s="1"/>
      <c r="I346" s="188"/>
      <c r="J346" s="188"/>
      <c r="K346" s="188"/>
      <c r="L346" s="188"/>
      <c r="M346" s="188"/>
      <c r="N346" s="188"/>
      <c r="O346" s="188"/>
      <c r="P346" s="188"/>
      <c r="Q346" s="188"/>
      <c r="R346" s="188"/>
      <c r="S346" s="188"/>
      <c r="T346" s="188"/>
      <c r="U346" s="188"/>
      <c r="V346" s="188"/>
    </row>
    <row r="347">
      <c r="A347" s="1"/>
      <c r="B347" s="107"/>
      <c r="C347" s="92"/>
      <c r="D347" s="134"/>
      <c r="E347" s="109"/>
      <c r="F347" s="1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07" t="s">
        <v>1534</v>
      </c>
      <c r="C348" s="92"/>
      <c r="D348" s="134"/>
      <c r="E348" s="109"/>
      <c r="F348" s="1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67" t="s">
        <v>1536</v>
      </c>
      <c r="C349" s="168" t="s">
        <v>1537</v>
      </c>
      <c r="D349" s="212" t="s">
        <v>1001</v>
      </c>
      <c r="E349" s="170">
        <v>1920.0</v>
      </c>
      <c r="F349" s="1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07"/>
      <c r="C350" s="92"/>
      <c r="D350" s="134"/>
      <c r="E350" s="109"/>
      <c r="F350" s="1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07" t="s">
        <v>1539</v>
      </c>
      <c r="C351" s="92"/>
      <c r="D351" s="134"/>
      <c r="E351" s="109"/>
      <c r="F351" s="1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67" t="s">
        <v>1232</v>
      </c>
      <c r="C352" s="168" t="s">
        <v>1233</v>
      </c>
      <c r="D352" s="212" t="s">
        <v>1001</v>
      </c>
      <c r="E352" s="170">
        <v>96.0</v>
      </c>
      <c r="F352" s="1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07"/>
      <c r="C353" s="92"/>
      <c r="D353" s="134"/>
      <c r="E353" s="109"/>
      <c r="F353" s="1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07" t="s">
        <v>1541</v>
      </c>
      <c r="C354" s="92"/>
      <c r="D354" s="134"/>
      <c r="E354" s="109"/>
      <c r="F354" s="1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67">
        <v>1178.0</v>
      </c>
      <c r="C355" s="168" t="s">
        <v>1542</v>
      </c>
      <c r="D355" s="212" t="s">
        <v>1001</v>
      </c>
      <c r="E355" s="170">
        <v>418.2</v>
      </c>
      <c r="F355" s="1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67">
        <v>1180.0</v>
      </c>
      <c r="C356" s="168" t="s">
        <v>1544</v>
      </c>
      <c r="D356" s="212" t="s">
        <v>1001</v>
      </c>
      <c r="E356" s="170">
        <v>387.6</v>
      </c>
      <c r="F356" s="1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07"/>
      <c r="C357" s="92"/>
      <c r="D357" s="134"/>
      <c r="E357" s="171"/>
      <c r="F357" s="1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07" t="s">
        <v>1546</v>
      </c>
      <c r="C358" s="92"/>
      <c r="D358" s="134"/>
      <c r="E358" s="171"/>
      <c r="F358" s="1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67">
        <v>1179.0</v>
      </c>
      <c r="C359" s="168" t="s">
        <v>1547</v>
      </c>
      <c r="D359" s="212" t="s">
        <v>1001</v>
      </c>
      <c r="E359" s="170">
        <v>589.56</v>
      </c>
      <c r="F359" s="1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67">
        <v>1181.0</v>
      </c>
      <c r="C360" s="168" t="s">
        <v>1549</v>
      </c>
      <c r="D360" s="212" t="s">
        <v>1001</v>
      </c>
      <c r="E360" s="170">
        <v>534.48</v>
      </c>
      <c r="F360" s="1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07"/>
      <c r="C361" s="92"/>
      <c r="D361" s="134"/>
      <c r="E361" s="214"/>
      <c r="F361" s="1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215" t="s">
        <v>1551</v>
      </c>
      <c r="C362" s="216"/>
      <c r="D362" s="217"/>
      <c r="E362" s="214"/>
      <c r="F362" s="1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218" t="s">
        <v>1552</v>
      </c>
      <c r="C363" s="216"/>
      <c r="D363" s="219"/>
      <c r="E363" s="214"/>
      <c r="F363" s="1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220" t="s">
        <v>1553</v>
      </c>
      <c r="C364" s="221" t="s">
        <v>744</v>
      </c>
      <c r="D364" s="222" t="s">
        <v>1555</v>
      </c>
      <c r="E364" s="223">
        <v>1590.0</v>
      </c>
      <c r="F364" s="1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224"/>
      <c r="C365" s="225"/>
      <c r="E365" s="226"/>
      <c r="F365" s="1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218" t="s">
        <v>1380</v>
      </c>
      <c r="C366" s="227"/>
      <c r="E366" s="228"/>
      <c r="F366" s="1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229" t="s">
        <v>1558</v>
      </c>
      <c r="C367" s="230" t="s">
        <v>1363</v>
      </c>
      <c r="D367" s="222" t="s">
        <v>1555</v>
      </c>
      <c r="E367" s="231">
        <v>294.0</v>
      </c>
      <c r="F367" s="1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224"/>
      <c r="C368" s="232"/>
      <c r="E368" s="226"/>
      <c r="F368" s="1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218" t="s">
        <v>1385</v>
      </c>
      <c r="C369" s="227"/>
      <c r="E369" s="228"/>
      <c r="F369" s="1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229" t="s">
        <v>1561</v>
      </c>
      <c r="C370" s="233" t="s">
        <v>1363</v>
      </c>
      <c r="D370" s="222" t="s">
        <v>1555</v>
      </c>
      <c r="E370" s="234">
        <v>294.0</v>
      </c>
      <c r="F370" s="1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224"/>
      <c r="C371" s="225"/>
      <c r="E371" s="226"/>
      <c r="F371" s="1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235" t="s">
        <v>1393</v>
      </c>
      <c r="C372" s="227"/>
      <c r="E372" s="228"/>
      <c r="F372" s="1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229" t="s">
        <v>1563</v>
      </c>
      <c r="C373" s="233" t="s">
        <v>1363</v>
      </c>
      <c r="D373" s="222" t="s">
        <v>1555</v>
      </c>
      <c r="E373" s="234">
        <v>294.0</v>
      </c>
      <c r="F373" s="1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07"/>
      <c r="C374" s="92"/>
      <c r="E374" s="109"/>
      <c r="F374" s="1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07" t="s">
        <v>1565</v>
      </c>
      <c r="C375" s="92"/>
      <c r="E375" s="109"/>
      <c r="F375" s="1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229" t="s">
        <v>1567</v>
      </c>
      <c r="C376" s="233" t="s">
        <v>744</v>
      </c>
      <c r="D376" s="222" t="s">
        <v>1555</v>
      </c>
      <c r="E376" s="234">
        <v>1746.0</v>
      </c>
      <c r="F376" s="1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07"/>
      <c r="C377" s="92"/>
      <c r="E377" s="109"/>
      <c r="F377" s="1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07" t="s">
        <v>1208</v>
      </c>
      <c r="C378" s="92"/>
      <c r="E378" s="109"/>
      <c r="F378" s="1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229" t="s">
        <v>1569</v>
      </c>
      <c r="C379" s="233" t="s">
        <v>744</v>
      </c>
      <c r="D379" s="222" t="s">
        <v>1555</v>
      </c>
      <c r="E379" s="234">
        <v>1684.0</v>
      </c>
      <c r="F379" s="1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07"/>
      <c r="C380" s="92"/>
      <c r="E380" s="109"/>
      <c r="F380" s="1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07" t="s">
        <v>1202</v>
      </c>
      <c r="C381" s="92"/>
      <c r="E381" s="109"/>
      <c r="F381" s="1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229" t="s">
        <v>1571</v>
      </c>
      <c r="C382" s="233" t="s">
        <v>744</v>
      </c>
      <c r="D382" s="222" t="s">
        <v>1555</v>
      </c>
      <c r="E382" s="234">
        <v>1684.0</v>
      </c>
      <c r="F382" s="1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07"/>
      <c r="C383" s="92"/>
      <c r="E383" s="109"/>
      <c r="F383" s="1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07" t="s">
        <v>1220</v>
      </c>
      <c r="C384" s="92"/>
      <c r="E384" s="109"/>
      <c r="F384" s="1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229" t="s">
        <v>1575</v>
      </c>
      <c r="C385" s="233" t="s">
        <v>744</v>
      </c>
      <c r="D385" s="222" t="s">
        <v>1555</v>
      </c>
      <c r="E385" s="234">
        <v>1684.0</v>
      </c>
      <c r="F385" s="1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07"/>
      <c r="C386" s="92"/>
      <c r="E386" s="109"/>
      <c r="F386" s="1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07" t="s">
        <v>1214</v>
      </c>
      <c r="C387" s="92"/>
      <c r="E387" s="109"/>
      <c r="F387" s="1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229" t="s">
        <v>1578</v>
      </c>
      <c r="C388" s="233" t="s">
        <v>744</v>
      </c>
      <c r="D388" s="222" t="s">
        <v>1555</v>
      </c>
      <c r="E388" s="234">
        <v>1684.0</v>
      </c>
      <c r="F388" s="1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07"/>
      <c r="C389" s="92"/>
      <c r="E389" s="109"/>
      <c r="F389" s="1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07" t="s">
        <v>1581</v>
      </c>
      <c r="C390" s="92"/>
      <c r="E390" s="236"/>
      <c r="F390" s="1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229" t="s">
        <v>1582</v>
      </c>
      <c r="C391" s="233" t="s">
        <v>306</v>
      </c>
      <c r="D391" s="222" t="s">
        <v>1555</v>
      </c>
      <c r="E391" s="234">
        <v>248.0</v>
      </c>
      <c r="F391" s="1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229" t="s">
        <v>1583</v>
      </c>
      <c r="C392" s="233" t="s">
        <v>751</v>
      </c>
      <c r="D392" s="222" t="s">
        <v>1555</v>
      </c>
      <c r="E392" s="234">
        <v>344.0</v>
      </c>
      <c r="F392" s="1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229" t="s">
        <v>1585</v>
      </c>
      <c r="C393" s="233" t="s">
        <v>363</v>
      </c>
      <c r="D393" s="222" t="s">
        <v>1555</v>
      </c>
      <c r="E393" s="234">
        <v>294.0</v>
      </c>
      <c r="F393" s="1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229" t="s">
        <v>1586</v>
      </c>
      <c r="C394" s="233" t="s">
        <v>378</v>
      </c>
      <c r="D394" s="222" t="s">
        <v>1555</v>
      </c>
      <c r="E394" s="234">
        <v>536.0</v>
      </c>
      <c r="F394" s="1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229" t="s">
        <v>1588</v>
      </c>
      <c r="C395" s="233" t="s">
        <v>416</v>
      </c>
      <c r="D395" s="222" t="s">
        <v>1555</v>
      </c>
      <c r="E395" s="234">
        <v>342.0</v>
      </c>
      <c r="F395" s="1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229" t="s">
        <v>1589</v>
      </c>
      <c r="C396" s="233" t="s">
        <v>419</v>
      </c>
      <c r="D396" s="222" t="s">
        <v>1555</v>
      </c>
      <c r="E396" s="234">
        <v>694.0</v>
      </c>
      <c r="F396" s="1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229" t="s">
        <v>1591</v>
      </c>
      <c r="C397" s="233" t="s">
        <v>1335</v>
      </c>
      <c r="D397" s="222" t="s">
        <v>1555</v>
      </c>
      <c r="E397" s="234">
        <v>628.0</v>
      </c>
      <c r="F397" s="1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229" t="s">
        <v>1593</v>
      </c>
      <c r="C398" s="233" t="s">
        <v>1302</v>
      </c>
      <c r="D398" s="222" t="s">
        <v>1555</v>
      </c>
      <c r="E398" s="234">
        <v>694.0</v>
      </c>
      <c r="F398" s="1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229" t="s">
        <v>1594</v>
      </c>
      <c r="C399" s="233" t="s">
        <v>482</v>
      </c>
      <c r="D399" s="222" t="s">
        <v>1555</v>
      </c>
      <c r="E399" s="234">
        <v>1308.0</v>
      </c>
      <c r="F399" s="1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229" t="s">
        <v>1596</v>
      </c>
      <c r="C400" s="233" t="s">
        <v>502</v>
      </c>
      <c r="D400" s="222" t="s">
        <v>1555</v>
      </c>
      <c r="E400" s="234">
        <v>1206.0</v>
      </c>
      <c r="F400" s="1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229" t="s">
        <v>1597</v>
      </c>
      <c r="C401" s="233" t="s">
        <v>1598</v>
      </c>
      <c r="D401" s="222" t="s">
        <v>1555</v>
      </c>
      <c r="E401" s="234">
        <v>1584.0</v>
      </c>
      <c r="F401" s="1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229" t="s">
        <v>1600</v>
      </c>
      <c r="C402" s="233" t="s">
        <v>395</v>
      </c>
      <c r="D402" s="222" t="s">
        <v>1555</v>
      </c>
      <c r="E402" s="234">
        <v>244.0</v>
      </c>
      <c r="F402" s="1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229" t="s">
        <v>1602</v>
      </c>
      <c r="C403" s="233" t="s">
        <v>359</v>
      </c>
      <c r="D403" s="222" t="s">
        <v>1555</v>
      </c>
      <c r="E403" s="234">
        <v>532.0</v>
      </c>
      <c r="F403" s="1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229" t="s">
        <v>1603</v>
      </c>
      <c r="C404" s="233" t="s">
        <v>710</v>
      </c>
      <c r="D404" s="222" t="s">
        <v>1555</v>
      </c>
      <c r="E404" s="234">
        <v>628.0</v>
      </c>
      <c r="F404" s="1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229" t="s">
        <v>1605</v>
      </c>
      <c r="C405" s="233" t="s">
        <v>731</v>
      </c>
      <c r="D405" s="222" t="s">
        <v>1555</v>
      </c>
      <c r="E405" s="234">
        <v>404.0</v>
      </c>
      <c r="F405" s="1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07"/>
      <c r="C406" s="92"/>
      <c r="E406" s="3"/>
      <c r="F406" s="1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07"/>
      <c r="C407" s="92"/>
      <c r="D407" s="134"/>
      <c r="E407" s="3"/>
      <c r="F407" s="1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07"/>
      <c r="C408" s="92"/>
      <c r="D408" s="134"/>
      <c r="E408" s="3"/>
      <c r="F408" s="1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07"/>
      <c r="C409" s="92"/>
      <c r="D409" s="134"/>
      <c r="E409" s="3"/>
      <c r="F409" s="1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07"/>
      <c r="C410" s="92"/>
      <c r="D410" s="134"/>
      <c r="E410" s="3"/>
      <c r="F410" s="1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07"/>
      <c r="C411" s="92"/>
      <c r="D411" s="134"/>
      <c r="E411" s="3"/>
      <c r="F411" s="1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07"/>
      <c r="C412" s="92"/>
      <c r="D412" s="134"/>
      <c r="E412" s="3"/>
      <c r="F412" s="1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07"/>
      <c r="C413" s="92"/>
      <c r="D413" s="134"/>
      <c r="E413" s="3"/>
      <c r="F413" s="1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07"/>
      <c r="C414" s="92"/>
      <c r="D414" s="134"/>
      <c r="E414" s="3"/>
      <c r="F414" s="1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07"/>
      <c r="C415" s="92"/>
      <c r="D415" s="134"/>
      <c r="E415" s="3"/>
      <c r="F415" s="1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07"/>
      <c r="C416" s="92"/>
      <c r="D416" s="134"/>
      <c r="E416" s="3"/>
      <c r="F416" s="1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07"/>
      <c r="C417" s="92"/>
      <c r="D417" s="134"/>
      <c r="E417" s="3"/>
      <c r="F417" s="1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07"/>
      <c r="C418" s="92"/>
      <c r="D418" s="134"/>
      <c r="E418" s="3"/>
      <c r="F418" s="1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07"/>
      <c r="C419" s="92"/>
      <c r="D419" s="134"/>
      <c r="E419" s="3"/>
      <c r="F419" s="1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07"/>
      <c r="C420" s="92"/>
      <c r="D420" s="134"/>
      <c r="E420" s="3"/>
      <c r="F420" s="1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07"/>
      <c r="C421" s="92"/>
      <c r="D421" s="134"/>
      <c r="E421" s="3"/>
      <c r="F421" s="1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07"/>
      <c r="C422" s="92"/>
      <c r="D422" s="134"/>
      <c r="E422" s="3"/>
      <c r="F422" s="1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07"/>
      <c r="C423" s="92"/>
      <c r="D423" s="134"/>
      <c r="E423" s="3"/>
      <c r="F423" s="1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07"/>
      <c r="C424" s="92"/>
      <c r="D424" s="134"/>
      <c r="E424" s="3"/>
      <c r="F424" s="1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07"/>
      <c r="C425" s="92"/>
      <c r="D425" s="134"/>
      <c r="E425" s="3"/>
      <c r="F425" s="1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07"/>
      <c r="C426" s="92"/>
      <c r="D426" s="134"/>
      <c r="E426" s="3"/>
      <c r="F426" s="1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07"/>
      <c r="C427" s="92"/>
      <c r="D427" s="134"/>
      <c r="E427" s="3"/>
      <c r="F427" s="1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07"/>
      <c r="C428" s="92"/>
      <c r="D428" s="134"/>
      <c r="E428" s="3"/>
      <c r="F428" s="1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07"/>
      <c r="C429" s="92"/>
      <c r="D429" s="134"/>
      <c r="E429" s="3"/>
      <c r="F429" s="1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07"/>
      <c r="C430" s="92"/>
      <c r="D430" s="134"/>
      <c r="E430" s="3"/>
      <c r="F430" s="1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07"/>
      <c r="C431" s="92"/>
      <c r="D431" s="134"/>
      <c r="E431" s="3"/>
      <c r="F431" s="1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07"/>
      <c r="C432" s="92"/>
      <c r="D432" s="134"/>
      <c r="E432" s="3"/>
      <c r="F432" s="1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07"/>
      <c r="C433" s="92"/>
      <c r="D433" s="134"/>
      <c r="E433" s="3"/>
      <c r="F433" s="1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07"/>
      <c r="C434" s="92"/>
      <c r="D434" s="134"/>
      <c r="E434" s="3"/>
      <c r="F434" s="1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07"/>
      <c r="C435" s="92"/>
      <c r="D435" s="134"/>
      <c r="E435" s="3"/>
      <c r="F435" s="1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07"/>
      <c r="C436" s="92"/>
      <c r="D436" s="134"/>
      <c r="E436" s="3"/>
      <c r="F436" s="1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07"/>
      <c r="C437" s="92"/>
      <c r="D437" s="134"/>
      <c r="E437" s="3"/>
      <c r="F437" s="1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07"/>
      <c r="C438" s="92"/>
      <c r="D438" s="134"/>
      <c r="E438" s="3"/>
      <c r="F438" s="1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07"/>
      <c r="C439" s="92"/>
      <c r="D439" s="134"/>
      <c r="E439" s="3"/>
      <c r="F439" s="1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07"/>
      <c r="C440" s="92"/>
      <c r="D440" s="134"/>
      <c r="E440" s="3"/>
      <c r="F440" s="1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07"/>
      <c r="C441" s="92"/>
      <c r="D441" s="134"/>
      <c r="E441" s="3"/>
      <c r="F441" s="1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07"/>
      <c r="C442" s="92"/>
      <c r="D442" s="134"/>
      <c r="E442" s="3"/>
      <c r="F442" s="1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07"/>
      <c r="C443" s="92"/>
      <c r="D443" s="134"/>
      <c r="E443" s="3"/>
      <c r="F443" s="1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07"/>
      <c r="C444" s="92"/>
      <c r="D444" s="134"/>
      <c r="E444" s="3"/>
      <c r="F444" s="1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07"/>
      <c r="C445" s="92"/>
      <c r="D445" s="134"/>
      <c r="E445" s="3"/>
      <c r="F445" s="1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07"/>
      <c r="C446" s="92"/>
      <c r="D446" s="134"/>
      <c r="E446" s="3"/>
      <c r="F446" s="1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07"/>
      <c r="C447" s="92"/>
      <c r="D447" s="134"/>
      <c r="E447" s="3"/>
      <c r="F447" s="1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07"/>
      <c r="C448" s="92"/>
      <c r="D448" s="134"/>
      <c r="E448" s="3"/>
      <c r="F448" s="1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07"/>
      <c r="C449" s="92"/>
      <c r="D449" s="134"/>
      <c r="E449" s="3"/>
      <c r="F449" s="1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07"/>
      <c r="C450" s="92"/>
      <c r="D450" s="134"/>
      <c r="E450" s="3"/>
      <c r="F450" s="1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07"/>
      <c r="C451" s="92"/>
      <c r="D451" s="134"/>
      <c r="E451" s="3"/>
      <c r="F451" s="1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07"/>
      <c r="C452" s="92"/>
      <c r="D452" s="134"/>
      <c r="E452" s="3"/>
      <c r="F452" s="1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07"/>
      <c r="C453" s="92"/>
      <c r="D453" s="134"/>
      <c r="E453" s="3"/>
      <c r="F453" s="1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07"/>
      <c r="C454" s="92"/>
      <c r="D454" s="134"/>
      <c r="E454" s="3"/>
      <c r="F454" s="1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07"/>
      <c r="C455" s="92"/>
      <c r="D455" s="134"/>
      <c r="E455" s="3"/>
      <c r="F455" s="1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07"/>
      <c r="C456" s="92"/>
      <c r="D456" s="134"/>
      <c r="E456" s="3"/>
      <c r="F456" s="1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07"/>
      <c r="C457" s="92"/>
      <c r="D457" s="134"/>
      <c r="E457" s="3"/>
      <c r="F457" s="1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07"/>
      <c r="C458" s="92"/>
      <c r="D458" s="134"/>
      <c r="E458" s="3"/>
      <c r="F458" s="1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07"/>
      <c r="C459" s="92"/>
      <c r="D459" s="134"/>
      <c r="E459" s="3"/>
      <c r="F459" s="1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07"/>
      <c r="C460" s="92"/>
      <c r="D460" s="134"/>
      <c r="E460" s="3"/>
      <c r="F460" s="1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07"/>
      <c r="C461" s="92"/>
      <c r="D461" s="134"/>
      <c r="E461" s="3"/>
      <c r="F461" s="1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07"/>
      <c r="C462" s="92"/>
      <c r="D462" s="134"/>
      <c r="E462" s="3"/>
      <c r="F462" s="1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07"/>
      <c r="C463" s="92"/>
      <c r="D463" s="134"/>
      <c r="E463" s="3"/>
      <c r="F463" s="1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07"/>
      <c r="C464" s="92"/>
      <c r="D464" s="134"/>
      <c r="E464" s="3"/>
      <c r="F464" s="1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07"/>
      <c r="C465" s="92"/>
      <c r="D465" s="134"/>
      <c r="E465" s="3"/>
      <c r="F465" s="1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07"/>
      <c r="C466" s="92"/>
      <c r="D466" s="134"/>
      <c r="E466" s="3"/>
      <c r="F466" s="1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07"/>
      <c r="C467" s="92"/>
      <c r="D467" s="134"/>
      <c r="E467" s="3"/>
      <c r="F467" s="1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07"/>
      <c r="C468" s="92"/>
      <c r="D468" s="134"/>
      <c r="E468" s="3"/>
      <c r="F468" s="1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07"/>
      <c r="C469" s="92"/>
      <c r="D469" s="134"/>
      <c r="E469" s="3"/>
      <c r="F469" s="1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07"/>
      <c r="C470" s="92"/>
      <c r="D470" s="134"/>
      <c r="E470" s="3"/>
      <c r="F470" s="1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07"/>
      <c r="C471" s="92"/>
      <c r="D471" s="134"/>
      <c r="E471" s="3"/>
      <c r="F471" s="1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07"/>
      <c r="C472" s="92"/>
      <c r="D472" s="134"/>
      <c r="E472" s="3"/>
      <c r="F472" s="1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07"/>
      <c r="C473" s="92"/>
      <c r="D473" s="134"/>
      <c r="E473" s="3"/>
      <c r="F473" s="1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07"/>
      <c r="C474" s="92"/>
      <c r="D474" s="134"/>
      <c r="E474" s="3"/>
      <c r="F474" s="1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07"/>
      <c r="C475" s="92"/>
      <c r="D475" s="134"/>
      <c r="E475" s="3"/>
      <c r="F475" s="1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07"/>
      <c r="C476" s="92"/>
      <c r="D476" s="134"/>
      <c r="E476" s="3"/>
      <c r="F476" s="1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07"/>
      <c r="C477" s="92"/>
      <c r="D477" s="134"/>
      <c r="E477" s="3"/>
      <c r="F477" s="1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07"/>
      <c r="C478" s="92"/>
      <c r="D478" s="134"/>
      <c r="E478" s="3"/>
      <c r="F478" s="1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07"/>
      <c r="C479" s="92"/>
      <c r="D479" s="134"/>
      <c r="E479" s="3"/>
      <c r="F479" s="1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07"/>
      <c r="C480" s="92"/>
      <c r="D480" s="134"/>
      <c r="E480" s="3"/>
      <c r="F480" s="1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07"/>
      <c r="C481" s="92"/>
      <c r="D481" s="134"/>
      <c r="E481" s="3"/>
      <c r="F481" s="1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07"/>
      <c r="C482" s="92"/>
      <c r="D482" s="134"/>
      <c r="E482" s="3"/>
      <c r="F482" s="1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07"/>
      <c r="C483" s="92"/>
      <c r="D483" s="134"/>
      <c r="E483" s="3"/>
      <c r="F483" s="1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07"/>
      <c r="C484" s="92"/>
      <c r="D484" s="134"/>
      <c r="E484" s="3"/>
      <c r="F484" s="1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07"/>
      <c r="C485" s="92"/>
      <c r="D485" s="134"/>
      <c r="E485" s="3"/>
      <c r="F485" s="1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07"/>
      <c r="C486" s="92"/>
      <c r="D486" s="134"/>
      <c r="E486" s="3"/>
      <c r="F486" s="1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07"/>
      <c r="C487" s="92"/>
      <c r="D487" s="134"/>
      <c r="E487" s="3"/>
      <c r="F487" s="1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07"/>
      <c r="C488" s="92"/>
      <c r="D488" s="134"/>
      <c r="E488" s="3"/>
      <c r="F488" s="1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07"/>
      <c r="C489" s="92"/>
      <c r="D489" s="134"/>
      <c r="E489" s="3"/>
      <c r="F489" s="1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07"/>
      <c r="C490" s="92"/>
      <c r="D490" s="134"/>
      <c r="E490" s="3"/>
      <c r="F490" s="1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07"/>
      <c r="C491" s="92"/>
      <c r="D491" s="134"/>
      <c r="E491" s="3"/>
      <c r="F491" s="1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07"/>
      <c r="C492" s="92"/>
      <c r="D492" s="134"/>
      <c r="E492" s="3"/>
      <c r="F492" s="1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07"/>
      <c r="C493" s="92"/>
      <c r="D493" s="134"/>
      <c r="E493" s="3"/>
      <c r="F493" s="1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07"/>
      <c r="C494" s="92"/>
      <c r="D494" s="134"/>
      <c r="E494" s="3"/>
      <c r="F494" s="1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07"/>
      <c r="C495" s="92"/>
      <c r="D495" s="134"/>
      <c r="E495" s="3"/>
      <c r="F495" s="1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07"/>
      <c r="C496" s="92"/>
      <c r="D496" s="134"/>
      <c r="E496" s="3"/>
      <c r="F496" s="1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07"/>
      <c r="C497" s="92"/>
      <c r="D497" s="134"/>
      <c r="E497" s="3"/>
      <c r="F497" s="1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07"/>
      <c r="C498" s="92"/>
      <c r="D498" s="134"/>
      <c r="E498" s="3"/>
      <c r="F498" s="1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07"/>
      <c r="C499" s="92"/>
      <c r="D499" s="134"/>
      <c r="E499" s="3"/>
      <c r="F499" s="1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07"/>
      <c r="C500" s="92"/>
      <c r="D500" s="134"/>
      <c r="E500" s="3"/>
      <c r="F500" s="1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07"/>
      <c r="C501" s="92"/>
      <c r="D501" s="134"/>
      <c r="E501" s="3"/>
      <c r="F501" s="1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07"/>
      <c r="C502" s="92"/>
      <c r="D502" s="134"/>
      <c r="E502" s="3"/>
      <c r="F502" s="1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07"/>
      <c r="C503" s="92"/>
      <c r="D503" s="134"/>
      <c r="E503" s="3"/>
      <c r="F503" s="1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07"/>
      <c r="C504" s="92"/>
      <c r="D504" s="134"/>
      <c r="E504" s="3"/>
      <c r="F504" s="1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07"/>
      <c r="C505" s="92"/>
      <c r="D505" s="134"/>
      <c r="E505" s="3"/>
      <c r="F505" s="1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07"/>
      <c r="C506" s="92"/>
      <c r="D506" s="134"/>
      <c r="E506" s="3"/>
      <c r="F506" s="1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07"/>
      <c r="C507" s="92"/>
      <c r="D507" s="134"/>
      <c r="E507" s="3"/>
      <c r="F507" s="1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07"/>
      <c r="C508" s="92"/>
      <c r="D508" s="134"/>
      <c r="E508" s="3"/>
      <c r="F508" s="1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07"/>
      <c r="C509" s="92"/>
      <c r="D509" s="134"/>
      <c r="E509" s="3"/>
      <c r="F509" s="1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07"/>
      <c r="C510" s="92"/>
      <c r="D510" s="134"/>
      <c r="E510" s="3"/>
      <c r="F510" s="1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07"/>
      <c r="C511" s="92"/>
      <c r="D511" s="134"/>
      <c r="E511" s="3"/>
      <c r="F511" s="1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07"/>
      <c r="C512" s="92"/>
      <c r="D512" s="134"/>
      <c r="E512" s="3"/>
      <c r="F512" s="1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07"/>
      <c r="C513" s="92"/>
      <c r="D513" s="134"/>
      <c r="E513" s="3"/>
      <c r="F513" s="1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07"/>
      <c r="C514" s="92"/>
      <c r="D514" s="134"/>
      <c r="E514" s="3"/>
      <c r="F514" s="1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07"/>
      <c r="C515" s="92"/>
      <c r="D515" s="134"/>
      <c r="E515" s="3"/>
      <c r="F515" s="1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07"/>
      <c r="C516" s="92"/>
      <c r="D516" s="134"/>
      <c r="E516" s="3"/>
      <c r="F516" s="1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07"/>
      <c r="C517" s="92"/>
      <c r="D517" s="134"/>
      <c r="E517" s="3"/>
      <c r="F517" s="1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07"/>
      <c r="C518" s="92"/>
      <c r="D518" s="134"/>
      <c r="E518" s="3"/>
      <c r="F518" s="1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07"/>
      <c r="C519" s="92"/>
      <c r="D519" s="134"/>
      <c r="E519" s="3"/>
      <c r="F519" s="1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07"/>
      <c r="C520" s="92"/>
      <c r="D520" s="134"/>
      <c r="E520" s="3"/>
      <c r="F520" s="1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07"/>
      <c r="C521" s="92"/>
      <c r="D521" s="134"/>
      <c r="E521" s="3"/>
      <c r="F521" s="1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07"/>
      <c r="C522" s="92"/>
      <c r="D522" s="134"/>
      <c r="E522" s="3"/>
      <c r="F522" s="1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07"/>
      <c r="C523" s="92"/>
      <c r="D523" s="134"/>
      <c r="E523" s="3"/>
      <c r="F523" s="1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07"/>
      <c r="C524" s="92"/>
      <c r="D524" s="134"/>
      <c r="E524" s="3"/>
      <c r="F524" s="1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07"/>
      <c r="C525" s="92"/>
      <c r="D525" s="134"/>
      <c r="E525" s="3"/>
      <c r="F525" s="1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07"/>
      <c r="C526" s="92"/>
      <c r="D526" s="134"/>
      <c r="E526" s="3"/>
      <c r="F526" s="1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07"/>
      <c r="C527" s="92"/>
      <c r="D527" s="134"/>
      <c r="E527" s="3"/>
      <c r="F527" s="1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07"/>
      <c r="C528" s="92"/>
      <c r="D528" s="134"/>
      <c r="E528" s="3"/>
      <c r="F528" s="1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07"/>
      <c r="C529" s="92"/>
      <c r="D529" s="134"/>
      <c r="E529" s="3"/>
      <c r="F529" s="1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07"/>
      <c r="C530" s="92"/>
      <c r="D530" s="134"/>
      <c r="E530" s="3"/>
      <c r="F530" s="1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07"/>
      <c r="C531" s="92"/>
      <c r="D531" s="134"/>
      <c r="E531" s="3"/>
      <c r="F531" s="1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07"/>
      <c r="C532" s="92"/>
      <c r="D532" s="134"/>
      <c r="E532" s="3"/>
      <c r="F532" s="1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07"/>
      <c r="C533" s="92"/>
      <c r="D533" s="134"/>
      <c r="E533" s="3"/>
      <c r="F533" s="1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07"/>
      <c r="C534" s="92"/>
      <c r="D534" s="134"/>
      <c r="E534" s="3"/>
      <c r="F534" s="1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07"/>
      <c r="C535" s="92"/>
      <c r="D535" s="134"/>
      <c r="E535" s="3"/>
      <c r="F535" s="1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07"/>
      <c r="C536" s="92"/>
      <c r="D536" s="134"/>
      <c r="E536" s="237"/>
      <c r="F536" s="1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07"/>
      <c r="C537" s="92"/>
      <c r="D537" s="134"/>
      <c r="E537" s="237"/>
      <c r="F537" s="1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07"/>
      <c r="C538" s="92"/>
      <c r="D538" s="134"/>
      <c r="E538" s="237"/>
      <c r="F538" s="1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07"/>
      <c r="C539" s="92"/>
      <c r="D539" s="134"/>
      <c r="E539" s="237"/>
      <c r="F539" s="1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07"/>
      <c r="C540" s="92"/>
      <c r="D540" s="134"/>
      <c r="E540" s="237"/>
      <c r="F540" s="1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07"/>
      <c r="C541" s="92"/>
      <c r="D541" s="134"/>
      <c r="E541" s="237"/>
      <c r="F541" s="1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07"/>
      <c r="C542" s="92"/>
      <c r="D542" s="134"/>
      <c r="E542" s="237"/>
      <c r="F542" s="1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07"/>
      <c r="C543" s="92"/>
      <c r="D543" s="134"/>
      <c r="E543" s="237"/>
      <c r="F543" s="1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07"/>
      <c r="C544" s="92"/>
      <c r="D544" s="134"/>
      <c r="E544" s="237"/>
      <c r="F544" s="1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07"/>
      <c r="C545" s="92"/>
      <c r="D545" s="134"/>
      <c r="E545" s="237"/>
      <c r="F545" s="1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07"/>
      <c r="C546" s="92"/>
      <c r="D546" s="134"/>
      <c r="E546" s="237"/>
      <c r="F546" s="1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07"/>
      <c r="C547" s="92"/>
      <c r="D547" s="134"/>
      <c r="E547" s="237"/>
      <c r="F547" s="1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07"/>
      <c r="C548" s="92"/>
      <c r="D548" s="134"/>
      <c r="E548" s="237"/>
      <c r="F548" s="1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07"/>
      <c r="C549" s="92"/>
      <c r="D549" s="134"/>
      <c r="E549" s="237"/>
      <c r="F549" s="1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07"/>
      <c r="C550" s="92"/>
      <c r="D550" s="134"/>
      <c r="E550" s="237"/>
      <c r="F550" s="1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07"/>
      <c r="C551" s="92"/>
      <c r="D551" s="134"/>
      <c r="E551" s="237"/>
      <c r="F551" s="1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07"/>
      <c r="C552" s="92"/>
      <c r="D552" s="134"/>
      <c r="E552" s="3"/>
      <c r="F552" s="1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07"/>
      <c r="C553" s="92"/>
      <c r="D553" s="134"/>
      <c r="E553" s="3"/>
      <c r="F553" s="1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07"/>
      <c r="C554" s="92"/>
      <c r="D554" s="134"/>
      <c r="E554" s="3"/>
      <c r="F554" s="1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07"/>
      <c r="C555" s="92"/>
      <c r="D555" s="134"/>
      <c r="E555" s="3"/>
      <c r="F555" s="1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07"/>
      <c r="C556" s="92"/>
      <c r="D556" s="134"/>
      <c r="E556" s="3"/>
      <c r="F556" s="1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07"/>
      <c r="C557" s="92"/>
      <c r="D557" s="134"/>
      <c r="E557" s="3"/>
      <c r="F557" s="1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07"/>
      <c r="C558" s="92"/>
      <c r="D558" s="134"/>
      <c r="E558" s="3"/>
      <c r="F558" s="1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07"/>
      <c r="C559" s="92"/>
      <c r="D559" s="134"/>
      <c r="E559" s="3"/>
      <c r="F559" s="1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07"/>
      <c r="C560" s="92"/>
      <c r="D560" s="134"/>
      <c r="E560" s="3"/>
      <c r="F560" s="1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07"/>
      <c r="C561" s="92"/>
      <c r="D561" s="134"/>
      <c r="E561" s="3"/>
      <c r="F561" s="1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07"/>
      <c r="C562" s="92"/>
      <c r="D562" s="134"/>
      <c r="E562" s="3"/>
      <c r="F562" s="1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07"/>
      <c r="C563" s="92"/>
      <c r="D563" s="134"/>
      <c r="E563" s="3"/>
      <c r="F563" s="1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07"/>
      <c r="C564" s="92"/>
      <c r="D564" s="134"/>
      <c r="E564" s="3"/>
      <c r="F564" s="1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07"/>
      <c r="C565" s="92"/>
      <c r="D565" s="134"/>
      <c r="E565" s="3"/>
      <c r="F565" s="1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07"/>
      <c r="C566" s="92"/>
      <c r="D566" s="134"/>
      <c r="E566" s="3"/>
      <c r="F566" s="1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07"/>
      <c r="C567" s="92"/>
      <c r="D567" s="134"/>
      <c r="E567" s="3"/>
      <c r="F567" s="1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07"/>
      <c r="C568" s="92"/>
      <c r="D568" s="134"/>
      <c r="E568" s="3"/>
      <c r="F568" s="1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07"/>
      <c r="C569" s="92"/>
      <c r="D569" s="134"/>
      <c r="E569" s="3"/>
      <c r="F569" s="1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07"/>
      <c r="C570" s="92"/>
      <c r="D570" s="134"/>
      <c r="E570" s="3"/>
      <c r="F570" s="1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07"/>
      <c r="C571" s="92"/>
      <c r="D571" s="134"/>
      <c r="E571" s="3"/>
      <c r="F571" s="1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07"/>
      <c r="C572" s="92"/>
      <c r="D572" s="134"/>
      <c r="E572" s="3"/>
      <c r="F572" s="1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07"/>
      <c r="C573" s="92"/>
      <c r="D573" s="134"/>
      <c r="E573" s="3"/>
      <c r="F573" s="1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07"/>
      <c r="C574" s="92"/>
      <c r="D574" s="134"/>
      <c r="E574" s="3"/>
      <c r="F574" s="1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07"/>
      <c r="C575" s="92"/>
      <c r="D575" s="134"/>
      <c r="E575" s="3"/>
      <c r="F575" s="1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07"/>
      <c r="C576" s="92"/>
      <c r="D576" s="134"/>
      <c r="E576" s="3"/>
      <c r="F576" s="1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07"/>
      <c r="C577" s="92"/>
      <c r="D577" s="134"/>
      <c r="E577" s="3"/>
      <c r="F577" s="1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07"/>
      <c r="C578" s="92"/>
      <c r="D578" s="134"/>
      <c r="E578" s="3"/>
      <c r="F578" s="1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07"/>
      <c r="C579" s="92"/>
      <c r="D579" s="134"/>
      <c r="E579" s="3"/>
      <c r="F579" s="1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07"/>
      <c r="C580" s="92"/>
      <c r="D580" s="134"/>
      <c r="E580" s="3"/>
      <c r="F580" s="1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07"/>
      <c r="C581" s="92"/>
      <c r="D581" s="134"/>
      <c r="E581" s="3"/>
      <c r="F581" s="1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07"/>
      <c r="C582" s="92"/>
      <c r="D582" s="134"/>
      <c r="E582" s="3"/>
      <c r="F582" s="1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07"/>
      <c r="C583" s="92"/>
      <c r="D583" s="134"/>
      <c r="E583" s="3"/>
      <c r="F583" s="1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07"/>
      <c r="C584" s="92"/>
      <c r="D584" s="134"/>
      <c r="E584" s="3"/>
      <c r="F584" s="1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07"/>
      <c r="C585" s="92"/>
      <c r="D585" s="134"/>
      <c r="E585" s="3"/>
      <c r="F585" s="1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07"/>
      <c r="C586" s="92"/>
      <c r="D586" s="134"/>
      <c r="E586" s="3"/>
      <c r="F586" s="1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07"/>
      <c r="C587" s="92"/>
      <c r="D587" s="134"/>
      <c r="E587" s="3"/>
      <c r="F587" s="1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07"/>
      <c r="C588" s="92"/>
      <c r="D588" s="134"/>
      <c r="E588" s="3"/>
      <c r="F588" s="1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07"/>
      <c r="C589" s="92"/>
      <c r="D589" s="134"/>
      <c r="E589" s="3"/>
      <c r="F589" s="1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07"/>
      <c r="C590" s="92"/>
      <c r="D590" s="134"/>
      <c r="E590" s="3"/>
      <c r="F590" s="1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07"/>
      <c r="C591" s="92"/>
      <c r="D591" s="134"/>
      <c r="E591" s="3"/>
      <c r="F591" s="1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07"/>
      <c r="C592" s="92"/>
      <c r="D592" s="134"/>
      <c r="E592" s="3"/>
      <c r="F592" s="1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07"/>
      <c r="C593" s="92"/>
      <c r="D593" s="134"/>
      <c r="E593" s="3"/>
      <c r="F593" s="1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07"/>
      <c r="C594" s="92"/>
      <c r="D594" s="134"/>
      <c r="E594" s="3"/>
      <c r="F594" s="1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07"/>
      <c r="C595" s="92"/>
      <c r="D595" s="134"/>
      <c r="E595" s="3"/>
      <c r="F595" s="1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07"/>
      <c r="C596" s="92"/>
      <c r="D596" s="134"/>
      <c r="E596" s="3"/>
      <c r="F596" s="1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07"/>
      <c r="C597" s="92"/>
      <c r="D597" s="134"/>
      <c r="E597" s="3"/>
      <c r="F597" s="1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07"/>
      <c r="C598" s="92"/>
      <c r="D598" s="134"/>
      <c r="E598" s="3"/>
      <c r="F598" s="1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07"/>
      <c r="C599" s="92"/>
      <c r="D599" s="134"/>
      <c r="E599" s="3"/>
      <c r="F599" s="1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07"/>
      <c r="C600" s="92"/>
      <c r="D600" s="134"/>
      <c r="E600" s="3"/>
      <c r="F600" s="1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07"/>
      <c r="C601" s="92"/>
      <c r="D601" s="134"/>
      <c r="E601" s="3"/>
      <c r="F601" s="1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07"/>
      <c r="C602" s="92"/>
      <c r="D602" s="134"/>
      <c r="E602" s="3"/>
      <c r="F602" s="1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07"/>
      <c r="C603" s="92"/>
      <c r="D603" s="134"/>
      <c r="E603" s="241"/>
      <c r="F603" s="1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07"/>
      <c r="C604" s="92"/>
      <c r="D604" s="134"/>
      <c r="E604" s="157"/>
      <c r="F604" s="1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07"/>
      <c r="C605" s="92"/>
      <c r="D605" s="134"/>
      <c r="E605" s="157"/>
      <c r="F605" s="1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07"/>
      <c r="C606" s="92"/>
      <c r="D606" s="134"/>
      <c r="E606" s="157"/>
      <c r="F606" s="1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07"/>
      <c r="C607" s="92"/>
      <c r="D607" s="134"/>
      <c r="E607" s="157"/>
      <c r="F607" s="1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07"/>
      <c r="C608" s="92"/>
      <c r="D608" s="134"/>
      <c r="E608" s="157"/>
      <c r="F608" s="1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07"/>
      <c r="C609" s="92"/>
      <c r="D609" s="134"/>
      <c r="E609" s="157"/>
      <c r="F609" s="1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07"/>
      <c r="C610" s="92"/>
      <c r="D610" s="134"/>
      <c r="E610" s="241"/>
      <c r="F610" s="1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07"/>
      <c r="C611" s="92"/>
      <c r="D611" s="134"/>
      <c r="E611" s="241"/>
      <c r="F611" s="1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07"/>
      <c r="C612" s="92"/>
      <c r="D612" s="134"/>
      <c r="E612" s="157"/>
      <c r="F612" s="1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07"/>
      <c r="C613" s="92"/>
      <c r="D613" s="134"/>
      <c r="E613" s="157"/>
      <c r="F613" s="1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07"/>
      <c r="C614" s="92"/>
      <c r="D614" s="134"/>
      <c r="E614" s="157"/>
      <c r="F614" s="1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07"/>
      <c r="C615" s="92"/>
      <c r="D615" s="134"/>
      <c r="E615" s="3"/>
      <c r="F615" s="1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07"/>
      <c r="C616" s="92"/>
      <c r="D616" s="134"/>
      <c r="E616" s="3"/>
      <c r="F616" s="1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>
      <c r="A617" s="1"/>
      <c r="B617" s="107"/>
      <c r="C617" s="92"/>
      <c r="D617" s="134"/>
      <c r="E617" s="3"/>
      <c r="F617" s="1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>
      <c r="A618" s="1"/>
      <c r="B618" s="107"/>
      <c r="C618" s="92"/>
      <c r="D618" s="134"/>
      <c r="E618" s="3"/>
      <c r="F618" s="1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>
      <c r="A619" s="1"/>
      <c r="B619" s="107"/>
      <c r="C619" s="92"/>
      <c r="D619" s="134"/>
      <c r="E619" s="3"/>
      <c r="F619" s="1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>
      <c r="A620" s="1"/>
      <c r="B620" s="107"/>
      <c r="C620" s="92"/>
      <c r="D620" s="134"/>
      <c r="E620" s="3"/>
      <c r="F620" s="1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>
      <c r="A621" s="1"/>
      <c r="B621" s="107"/>
      <c r="C621" s="92"/>
      <c r="D621" s="134"/>
      <c r="E621" s="3"/>
      <c r="F621" s="1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>
      <c r="A622" s="1"/>
      <c r="B622" s="107"/>
      <c r="C622" s="92"/>
      <c r="D622" s="134"/>
      <c r="E622" s="3"/>
      <c r="F622" s="1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>
      <c r="A623" s="1"/>
      <c r="B623" s="107"/>
      <c r="C623" s="92"/>
      <c r="D623" s="134"/>
      <c r="E623" s="3"/>
      <c r="F623" s="1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>
      <c r="A624" s="1"/>
      <c r="B624" s="107"/>
      <c r="C624" s="92"/>
      <c r="D624" s="134"/>
      <c r="E624" s="3"/>
      <c r="F624" s="1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>
      <c r="A625" s="1"/>
      <c r="B625" s="107"/>
      <c r="C625" s="92"/>
      <c r="D625" s="134"/>
      <c r="E625" s="3"/>
      <c r="F625" s="1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>
      <c r="A626" s="1"/>
      <c r="B626" s="107"/>
      <c r="C626" s="92"/>
      <c r="D626" s="134"/>
      <c r="E626" s="3"/>
      <c r="F626" s="1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>
      <c r="A627" s="1"/>
      <c r="B627" s="107"/>
      <c r="C627" s="92"/>
      <c r="D627" s="134"/>
      <c r="E627" s="3"/>
      <c r="F627" s="1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>
      <c r="A628" s="1"/>
      <c r="B628" s="107"/>
      <c r="C628" s="92"/>
      <c r="D628" s="134"/>
      <c r="E628" s="3"/>
      <c r="F628" s="1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>
      <c r="A629" s="1"/>
      <c r="B629" s="107"/>
      <c r="C629" s="92"/>
      <c r="D629" s="134"/>
      <c r="E629" s="3"/>
      <c r="F629" s="1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>
      <c r="A630" s="1"/>
      <c r="B630" s="107"/>
      <c r="C630" s="92"/>
      <c r="D630" s="134"/>
      <c r="E630" s="3"/>
      <c r="F630" s="1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>
      <c r="A631" s="1"/>
      <c r="B631" s="107"/>
      <c r="C631" s="92"/>
      <c r="D631" s="134"/>
      <c r="E631" s="3"/>
      <c r="F631" s="1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>
      <c r="A632" s="1"/>
      <c r="B632" s="107"/>
      <c r="C632" s="92"/>
      <c r="D632" s="134"/>
      <c r="E632" s="3"/>
      <c r="F632" s="1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>
      <c r="A633" s="1"/>
      <c r="B633" s="107"/>
      <c r="C633" s="92"/>
      <c r="D633" s="134"/>
      <c r="E633" s="3"/>
      <c r="F633" s="1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>
      <c r="A634" s="1"/>
      <c r="B634" s="107"/>
      <c r="C634" s="92"/>
      <c r="D634" s="134"/>
      <c r="E634" s="3"/>
      <c r="F634" s="1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>
      <c r="A635" s="1"/>
      <c r="B635" s="107"/>
      <c r="C635" s="92"/>
      <c r="D635" s="134"/>
      <c r="E635" s="3"/>
      <c r="F635" s="1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>
      <c r="A636" s="1"/>
      <c r="B636" s="107"/>
      <c r="C636" s="92"/>
      <c r="D636" s="134"/>
      <c r="E636" s="3"/>
      <c r="F636" s="1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>
      <c r="A637" s="1"/>
      <c r="B637" s="107"/>
      <c r="C637" s="92"/>
      <c r="D637" s="134"/>
      <c r="E637" s="3"/>
      <c r="F637" s="1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>
      <c r="A638" s="1"/>
      <c r="B638" s="107"/>
      <c r="C638" s="92"/>
      <c r="D638" s="134"/>
      <c r="E638" s="3"/>
      <c r="F638" s="1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>
      <c r="A639" s="1"/>
      <c r="B639" s="107"/>
      <c r="C639" s="92"/>
      <c r="D639" s="134"/>
      <c r="E639" s="3"/>
      <c r="F639" s="1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>
      <c r="A640" s="1"/>
      <c r="B640" s="107"/>
      <c r="C640" s="92"/>
      <c r="D640" s="134"/>
      <c r="E640" s="3"/>
      <c r="F640" s="1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>
      <c r="A641" s="1"/>
      <c r="B641" s="107"/>
      <c r="C641" s="92"/>
      <c r="D641" s="134"/>
      <c r="E641" s="3"/>
      <c r="F641" s="1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>
      <c r="A642" s="1"/>
      <c r="B642" s="107"/>
      <c r="C642" s="92"/>
      <c r="D642" s="134"/>
      <c r="E642" s="3"/>
      <c r="F642" s="1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>
      <c r="A643" s="1"/>
      <c r="B643" s="107"/>
      <c r="C643" s="92"/>
      <c r="D643" s="134"/>
      <c r="E643" s="3"/>
      <c r="F643" s="1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>
      <c r="A644" s="1"/>
      <c r="B644" s="107"/>
      <c r="C644" s="92"/>
      <c r="D644" s="134"/>
      <c r="E644" s="3"/>
      <c r="F644" s="1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>
      <c r="A645" s="1"/>
      <c r="B645" s="107"/>
      <c r="C645" s="92"/>
      <c r="D645" s="134"/>
      <c r="E645" s="3"/>
      <c r="F645" s="1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>
      <c r="A646" s="1"/>
      <c r="B646" s="107"/>
      <c r="C646" s="92"/>
      <c r="D646" s="134"/>
      <c r="E646" s="3"/>
      <c r="F646" s="1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>
      <c r="A647" s="1"/>
      <c r="B647" s="107"/>
      <c r="C647" s="92"/>
      <c r="D647" s="134"/>
      <c r="E647" s="3"/>
      <c r="F647" s="1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>
      <c r="A648" s="1"/>
      <c r="B648" s="107"/>
      <c r="C648" s="92"/>
      <c r="D648" s="134"/>
      <c r="E648" s="3"/>
      <c r="F648" s="1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>
      <c r="A649" s="1"/>
      <c r="B649" s="107"/>
      <c r="C649" s="92"/>
      <c r="D649" s="134"/>
      <c r="E649" s="3"/>
      <c r="F649" s="1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>
      <c r="A650" s="1"/>
      <c r="B650" s="107"/>
      <c r="C650" s="92"/>
      <c r="D650" s="134"/>
      <c r="E650" s="3"/>
      <c r="F650" s="1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>
      <c r="A651" s="1"/>
      <c r="B651" s="107"/>
      <c r="C651" s="92"/>
      <c r="D651" s="134"/>
      <c r="E651" s="3"/>
      <c r="F651" s="1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>
      <c r="A652" s="1"/>
      <c r="B652" s="107"/>
      <c r="C652" s="92"/>
      <c r="D652" s="134"/>
      <c r="E652" s="3"/>
      <c r="F652" s="1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>
      <c r="A653" s="1"/>
      <c r="B653" s="20"/>
      <c r="C653" s="1"/>
      <c r="D653" s="3"/>
      <c r="E653" s="3"/>
      <c r="F653" s="1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>
      <c r="A654" s="1"/>
      <c r="B654" s="20"/>
      <c r="C654" s="1"/>
      <c r="D654" s="3"/>
      <c r="E654" s="3"/>
      <c r="F654" s="1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>
      <c r="A655" s="1"/>
      <c r="B655" s="20"/>
      <c r="C655" s="1"/>
      <c r="D655" s="3"/>
      <c r="E655" s="3"/>
      <c r="F655" s="1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>
      <c r="A656" s="1"/>
      <c r="B656" s="20"/>
      <c r="C656" s="1"/>
      <c r="D656" s="3"/>
      <c r="E656" s="3"/>
      <c r="F656" s="1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>
      <c r="A657" s="1"/>
      <c r="B657" s="20"/>
      <c r="C657" s="1"/>
      <c r="D657" s="3"/>
      <c r="E657" s="3"/>
      <c r="F657" s="1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>
      <c r="A658" s="1"/>
      <c r="B658" s="20"/>
      <c r="C658" s="1"/>
      <c r="D658" s="3"/>
      <c r="E658" s="3"/>
      <c r="F658" s="1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>
      <c r="A659" s="1"/>
      <c r="B659" s="20"/>
      <c r="C659" s="1"/>
      <c r="D659" s="3"/>
      <c r="E659" s="3"/>
      <c r="F659" s="1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>
      <c r="A660" s="1"/>
      <c r="B660" s="20"/>
      <c r="C660" s="1"/>
      <c r="D660" s="3"/>
      <c r="E660" s="3"/>
      <c r="F660" s="1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>
      <c r="A661" s="1"/>
      <c r="B661" s="20"/>
      <c r="C661" s="1"/>
      <c r="D661" s="3"/>
      <c r="E661" s="3"/>
      <c r="F661" s="1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>
      <c r="A662" s="1"/>
      <c r="B662" s="20"/>
      <c r="C662" s="1"/>
      <c r="D662" s="3"/>
      <c r="E662" s="3"/>
      <c r="F662" s="1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>
      <c r="A663" s="1"/>
      <c r="B663" s="20"/>
      <c r="C663" s="1"/>
      <c r="D663" s="3"/>
      <c r="E663" s="3"/>
      <c r="F663" s="1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>
      <c r="A664" s="1"/>
      <c r="B664" s="20"/>
      <c r="C664" s="1"/>
      <c r="D664" s="3"/>
      <c r="E664" s="3"/>
      <c r="F664" s="1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>
      <c r="A665" s="1"/>
      <c r="B665" s="20"/>
      <c r="C665" s="1"/>
      <c r="D665" s="3"/>
      <c r="E665" s="3"/>
      <c r="F665" s="1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>
      <c r="A666" s="1"/>
      <c r="B666" s="20"/>
      <c r="C666" s="1"/>
      <c r="D666" s="3"/>
      <c r="E666" s="3"/>
      <c r="F666" s="1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>
      <c r="A667" s="1"/>
      <c r="B667" s="20"/>
      <c r="C667" s="1"/>
      <c r="D667" s="3"/>
      <c r="E667" s="3"/>
      <c r="F667" s="1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>
      <c r="A668" s="1"/>
      <c r="B668" s="20"/>
      <c r="C668" s="1"/>
      <c r="D668" s="3"/>
      <c r="E668" s="3"/>
      <c r="F668" s="1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>
      <c r="A669" s="1"/>
      <c r="B669" s="20"/>
      <c r="C669" s="1"/>
      <c r="D669" s="3"/>
      <c r="E669" s="3"/>
      <c r="F669" s="1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>
      <c r="A670" s="1"/>
      <c r="B670" s="20"/>
      <c r="C670" s="1"/>
      <c r="D670" s="3"/>
      <c r="E670" s="3"/>
      <c r="F670" s="1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>
      <c r="A671" s="1"/>
      <c r="B671" s="20"/>
      <c r="C671" s="1"/>
      <c r="D671" s="3"/>
      <c r="E671" s="3"/>
      <c r="F671" s="1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>
      <c r="A672" s="1"/>
      <c r="B672" s="20"/>
      <c r="C672" s="1"/>
      <c r="D672" s="3"/>
      <c r="E672" s="3"/>
      <c r="F672" s="1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>
      <c r="A673" s="1"/>
      <c r="B673" s="20"/>
      <c r="C673" s="1"/>
      <c r="D673" s="3"/>
      <c r="E673" s="3"/>
      <c r="F673" s="1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>
      <c r="A674" s="1"/>
      <c r="B674" s="20"/>
      <c r="C674" s="1"/>
      <c r="D674" s="3"/>
      <c r="E674" s="3"/>
      <c r="F674" s="1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>
      <c r="A675" s="1"/>
      <c r="B675" s="20"/>
      <c r="C675" s="1"/>
      <c r="D675" s="3"/>
      <c r="E675" s="3"/>
      <c r="F675" s="1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>
      <c r="A676" s="1"/>
      <c r="B676" s="20"/>
      <c r="C676" s="1"/>
      <c r="D676" s="3"/>
      <c r="E676" s="3"/>
      <c r="F676" s="1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>
      <c r="A677" s="1"/>
      <c r="B677" s="20"/>
      <c r="C677" s="1"/>
      <c r="D677" s="3"/>
      <c r="E677" s="3"/>
      <c r="F677" s="1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>
      <c r="A678" s="1"/>
      <c r="B678" s="20"/>
      <c r="C678" s="1"/>
      <c r="D678" s="3"/>
      <c r="E678" s="3"/>
      <c r="F678" s="1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>
      <c r="A679" s="1"/>
      <c r="B679" s="20"/>
      <c r="C679" s="1"/>
      <c r="D679" s="3"/>
      <c r="E679" s="3"/>
      <c r="F679" s="1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>
      <c r="A680" s="1"/>
      <c r="B680" s="20"/>
      <c r="C680" s="1"/>
      <c r="D680" s="3"/>
      <c r="E680" s="3"/>
      <c r="F680" s="1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>
      <c r="A681" s="1"/>
      <c r="B681" s="20"/>
      <c r="C681" s="1"/>
      <c r="D681" s="3"/>
      <c r="E681" s="3"/>
      <c r="F681" s="1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>
      <c r="A682" s="1"/>
      <c r="B682" s="20"/>
      <c r="C682" s="1"/>
      <c r="D682" s="3"/>
      <c r="E682" s="3"/>
      <c r="F682" s="1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>
      <c r="A683" s="1"/>
      <c r="B683" s="20"/>
      <c r="C683" s="1"/>
      <c r="D683" s="3"/>
      <c r="E683" s="3"/>
      <c r="F683" s="1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>
      <c r="A684" s="1"/>
      <c r="B684" s="20"/>
      <c r="C684" s="1"/>
      <c r="D684" s="3"/>
      <c r="E684" s="3"/>
      <c r="F684" s="1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>
      <c r="A685" s="1"/>
      <c r="B685" s="20"/>
      <c r="C685" s="1"/>
      <c r="D685" s="3"/>
      <c r="E685" s="3"/>
      <c r="F685" s="1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>
      <c r="A686" s="1"/>
      <c r="B686" s="20"/>
      <c r="C686" s="1"/>
      <c r="D686" s="3"/>
      <c r="E686" s="3"/>
      <c r="F686" s="1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>
      <c r="A687" s="1"/>
      <c r="B687" s="20"/>
      <c r="C687" s="1"/>
      <c r="D687" s="3"/>
      <c r="E687" s="3"/>
      <c r="F687" s="1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>
      <c r="A688" s="1"/>
      <c r="B688" s="20"/>
      <c r="C688" s="1"/>
      <c r="D688" s="3"/>
      <c r="E688" s="3"/>
      <c r="F688" s="1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>
      <c r="A689" s="1"/>
      <c r="B689" s="20"/>
      <c r="C689" s="1"/>
      <c r="D689" s="3"/>
      <c r="E689" s="3"/>
      <c r="F689" s="1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>
      <c r="A690" s="1"/>
      <c r="B690" s="20"/>
      <c r="C690" s="1"/>
      <c r="D690" s="3"/>
      <c r="E690" s="3"/>
      <c r="F690" s="1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>
      <c r="A691" s="1"/>
      <c r="B691" s="20"/>
      <c r="C691" s="1"/>
      <c r="D691" s="3"/>
      <c r="E691" s="3"/>
      <c r="F691" s="1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>
      <c r="A692" s="1"/>
      <c r="B692" s="20"/>
      <c r="C692" s="1"/>
      <c r="D692" s="3"/>
      <c r="E692" s="3"/>
      <c r="F692" s="1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>
      <c r="A693" s="1"/>
      <c r="B693" s="20"/>
      <c r="C693" s="1"/>
      <c r="D693" s="3"/>
      <c r="E693" s="3"/>
      <c r="F693" s="1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>
      <c r="A694" s="1"/>
      <c r="B694" s="20"/>
      <c r="C694" s="1"/>
      <c r="D694" s="3"/>
      <c r="E694" s="3"/>
      <c r="F694" s="1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>
      <c r="A695" s="1"/>
      <c r="B695" s="20"/>
      <c r="C695" s="1"/>
      <c r="D695" s="3"/>
      <c r="E695" s="3"/>
      <c r="F695" s="1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>
      <c r="A696" s="1"/>
      <c r="B696" s="20"/>
      <c r="C696" s="1"/>
      <c r="D696" s="3"/>
      <c r="E696" s="3"/>
      <c r="F696" s="1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>
      <c r="A697" s="1"/>
      <c r="B697" s="20"/>
      <c r="C697" s="1"/>
      <c r="D697" s="3"/>
      <c r="E697" s="3"/>
      <c r="F697" s="1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>
      <c r="A698" s="1"/>
      <c r="B698" s="20"/>
      <c r="C698" s="1"/>
      <c r="D698" s="3"/>
      <c r="E698" s="3"/>
      <c r="F698" s="1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>
      <c r="A699" s="1"/>
      <c r="B699" s="20"/>
      <c r="C699" s="1"/>
      <c r="D699" s="3"/>
      <c r="E699" s="3"/>
      <c r="F699" s="1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>
      <c r="A700" s="1"/>
      <c r="B700" s="20"/>
      <c r="C700" s="1"/>
      <c r="D700" s="3"/>
      <c r="E700" s="3"/>
      <c r="F700" s="1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>
      <c r="A701" s="1"/>
      <c r="B701" s="20"/>
      <c r="C701" s="1"/>
      <c r="D701" s="3"/>
      <c r="E701" s="3"/>
      <c r="F701" s="1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>
      <c r="A702" s="1"/>
      <c r="B702" s="20"/>
      <c r="C702" s="1"/>
      <c r="D702" s="3"/>
      <c r="E702" s="3"/>
      <c r="F702" s="1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>
      <c r="A703" s="1"/>
      <c r="B703" s="20"/>
      <c r="C703" s="1"/>
      <c r="D703" s="3"/>
      <c r="E703" s="3"/>
      <c r="F703" s="1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>
      <c r="A704" s="1"/>
      <c r="B704" s="20"/>
      <c r="C704" s="1"/>
      <c r="D704" s="3"/>
      <c r="E704" s="3"/>
      <c r="F704" s="1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>
      <c r="A705" s="1"/>
      <c r="B705" s="20"/>
      <c r="C705" s="1"/>
      <c r="D705" s="3"/>
      <c r="E705" s="3"/>
      <c r="F705" s="1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>
      <c r="A706" s="1"/>
      <c r="B706" s="20"/>
      <c r="C706" s="1"/>
      <c r="D706" s="3"/>
      <c r="E706" s="3"/>
      <c r="F706" s="1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>
      <c r="A707" s="1"/>
      <c r="B707" s="20"/>
      <c r="C707" s="1"/>
      <c r="D707" s="3"/>
      <c r="E707" s="3"/>
      <c r="F707" s="1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>
      <c r="A708" s="1"/>
      <c r="B708" s="20"/>
      <c r="C708" s="1"/>
      <c r="D708" s="3"/>
      <c r="E708" s="3"/>
      <c r="F708" s="1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>
      <c r="A709" s="1"/>
      <c r="B709" s="20"/>
      <c r="C709" s="1"/>
      <c r="D709" s="3"/>
      <c r="E709" s="3"/>
      <c r="F709" s="1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>
      <c r="A710" s="1"/>
      <c r="B710" s="20"/>
      <c r="C710" s="1"/>
      <c r="D710" s="3"/>
      <c r="E710" s="3"/>
      <c r="F710" s="1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>
      <c r="A711" s="1"/>
      <c r="B711" s="20"/>
      <c r="C711" s="1"/>
      <c r="D711" s="3"/>
      <c r="E711" s="3"/>
      <c r="F711" s="1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>
      <c r="A712" s="1"/>
      <c r="B712" s="20"/>
      <c r="C712" s="1"/>
      <c r="D712" s="3"/>
      <c r="E712" s="3"/>
      <c r="F712" s="1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>
      <c r="A713" s="1"/>
      <c r="B713" s="20"/>
      <c r="C713" s="1"/>
      <c r="D713" s="3"/>
      <c r="E713" s="3"/>
      <c r="F713" s="1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>
      <c r="A714" s="1"/>
      <c r="B714" s="20"/>
      <c r="C714" s="1"/>
      <c r="D714" s="3"/>
      <c r="E714" s="3"/>
      <c r="F714" s="1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>
      <c r="A715" s="1"/>
      <c r="B715" s="20"/>
      <c r="C715" s="1"/>
      <c r="D715" s="3"/>
      <c r="E715" s="3"/>
      <c r="F715" s="1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>
      <c r="A716" s="1"/>
      <c r="B716" s="20"/>
      <c r="C716" s="1"/>
      <c r="D716" s="3"/>
      <c r="E716" s="3"/>
      <c r="F716" s="1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>
      <c r="A717" s="1"/>
      <c r="B717" s="20"/>
      <c r="C717" s="1"/>
      <c r="D717" s="3"/>
      <c r="E717" s="3"/>
      <c r="F717" s="1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>
      <c r="A718" s="1"/>
      <c r="B718" s="20"/>
      <c r="C718" s="1"/>
      <c r="D718" s="3"/>
      <c r="E718" s="3"/>
      <c r="F718" s="1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>
      <c r="A719" s="1"/>
      <c r="B719" s="20"/>
      <c r="C719" s="1"/>
      <c r="D719" s="3"/>
      <c r="E719" s="3"/>
      <c r="F719" s="1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>
      <c r="A720" s="1"/>
      <c r="B720" s="20"/>
      <c r="C720" s="1"/>
      <c r="D720" s="3"/>
      <c r="E720" s="3"/>
      <c r="F720" s="1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>
      <c r="A721" s="1"/>
      <c r="B721" s="20"/>
      <c r="C721" s="1"/>
      <c r="D721" s="3"/>
      <c r="E721" s="3"/>
      <c r="F721" s="1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>
      <c r="A722" s="1"/>
      <c r="B722" s="20"/>
      <c r="C722" s="1"/>
      <c r="D722" s="3"/>
      <c r="E722" s="3"/>
      <c r="F722" s="1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>
      <c r="A723" s="1"/>
      <c r="B723" s="20"/>
      <c r="C723" s="1"/>
      <c r="D723" s="3"/>
      <c r="E723" s="3"/>
      <c r="F723" s="1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>
      <c r="A724" s="1"/>
      <c r="B724" s="20"/>
      <c r="C724" s="1"/>
      <c r="D724" s="3"/>
      <c r="E724" s="3"/>
      <c r="F724" s="1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>
      <c r="A725" s="1"/>
      <c r="B725" s="20"/>
      <c r="C725" s="1"/>
      <c r="D725" s="3"/>
      <c r="E725" s="3"/>
      <c r="F725" s="1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>
      <c r="A726" s="1"/>
      <c r="B726" s="20"/>
      <c r="C726" s="1"/>
      <c r="D726" s="3"/>
      <c r="E726" s="3"/>
      <c r="F726" s="1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>
      <c r="A727" s="1"/>
      <c r="B727" s="20"/>
      <c r="C727" s="1"/>
      <c r="D727" s="3"/>
      <c r="E727" s="3"/>
      <c r="F727" s="1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>
      <c r="A728" s="1"/>
      <c r="B728" s="20"/>
      <c r="C728" s="1"/>
      <c r="D728" s="3"/>
      <c r="E728" s="3"/>
      <c r="F728" s="1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>
      <c r="A729" s="1"/>
      <c r="B729" s="20"/>
      <c r="C729" s="1"/>
      <c r="D729" s="3"/>
      <c r="E729" s="3"/>
      <c r="F729" s="1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>
      <c r="A730" s="1"/>
      <c r="B730" s="20"/>
      <c r="C730" s="1"/>
      <c r="D730" s="3"/>
      <c r="E730" s="3"/>
      <c r="F730" s="1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>
      <c r="A731" s="1"/>
      <c r="B731" s="20"/>
      <c r="C731" s="1"/>
      <c r="D731" s="3"/>
      <c r="E731" s="3"/>
      <c r="F731" s="1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>
      <c r="A732" s="1"/>
      <c r="B732" s="20"/>
      <c r="C732" s="1"/>
      <c r="D732" s="3"/>
      <c r="E732" s="3"/>
      <c r="F732" s="1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>
      <c r="A733" s="1"/>
      <c r="B733" s="20"/>
      <c r="C733" s="1"/>
      <c r="D733" s="3"/>
      <c r="E733" s="3"/>
      <c r="F733" s="1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>
      <c r="A734" s="1"/>
      <c r="B734" s="20"/>
      <c r="C734" s="1"/>
      <c r="D734" s="3"/>
      <c r="E734" s="3"/>
      <c r="F734" s="1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>
      <c r="A735" s="1"/>
      <c r="B735" s="20"/>
      <c r="C735" s="1"/>
      <c r="D735" s="3"/>
      <c r="E735" s="3"/>
      <c r="F735" s="1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>
      <c r="A736" s="1"/>
      <c r="B736" s="20"/>
      <c r="C736" s="1"/>
      <c r="D736" s="3"/>
      <c r="E736" s="3"/>
      <c r="F736" s="1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>
      <c r="A737" s="1"/>
      <c r="B737" s="20"/>
      <c r="C737" s="1"/>
      <c r="D737" s="3"/>
      <c r="E737" s="3"/>
      <c r="F737" s="1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>
      <c r="A738" s="1"/>
      <c r="B738" s="20"/>
      <c r="C738" s="1"/>
      <c r="D738" s="3"/>
      <c r="E738" s="3"/>
      <c r="F738" s="1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>
      <c r="A739" s="1"/>
      <c r="B739" s="20"/>
      <c r="C739" s="1"/>
      <c r="D739" s="3"/>
      <c r="E739" s="3"/>
      <c r="F739" s="1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>
      <c r="A740" s="1"/>
      <c r="B740" s="20"/>
      <c r="C740" s="1"/>
      <c r="D740" s="3"/>
      <c r="E740" s="3"/>
      <c r="F740" s="1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>
      <c r="A741" s="1"/>
      <c r="B741" s="20"/>
      <c r="C741" s="1"/>
      <c r="D741" s="3"/>
      <c r="E741" s="3"/>
      <c r="F741" s="1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>
      <c r="A742" s="1"/>
      <c r="B742" s="20"/>
      <c r="C742" s="1"/>
      <c r="D742" s="3"/>
      <c r="E742" s="3"/>
      <c r="F742" s="1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>
      <c r="A743" s="1"/>
      <c r="B743" s="20"/>
      <c r="C743" s="1"/>
      <c r="D743" s="3"/>
      <c r="E743" s="3"/>
      <c r="F743" s="1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>
      <c r="A744" s="1"/>
      <c r="B744" s="20"/>
      <c r="C744" s="1"/>
      <c r="D744" s="3"/>
      <c r="E744" s="3"/>
      <c r="F744" s="1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>
      <c r="A745" s="1"/>
      <c r="B745" s="20"/>
      <c r="C745" s="1"/>
      <c r="D745" s="3"/>
      <c r="E745" s="3"/>
      <c r="F745" s="1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>
      <c r="A746" s="1"/>
      <c r="B746" s="20"/>
      <c r="C746" s="1"/>
      <c r="D746" s="3"/>
      <c r="E746" s="3"/>
      <c r="F746" s="1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>
      <c r="A747" s="1"/>
      <c r="B747" s="20"/>
      <c r="C747" s="1"/>
      <c r="D747" s="3"/>
      <c r="E747" s="3"/>
      <c r="F747" s="1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>
      <c r="A748" s="1"/>
      <c r="B748" s="20"/>
      <c r="C748" s="1"/>
      <c r="D748" s="3"/>
      <c r="E748" s="3"/>
      <c r="F748" s="1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>
      <c r="A749" s="1"/>
      <c r="B749" s="20"/>
      <c r="C749" s="1"/>
      <c r="D749" s="3"/>
      <c r="E749" s="3"/>
      <c r="F749" s="1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>
      <c r="A750" s="1"/>
      <c r="B750" s="20"/>
      <c r="C750" s="1"/>
      <c r="D750" s="3"/>
      <c r="E750" s="3"/>
      <c r="F750" s="1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>
      <c r="A751" s="1"/>
      <c r="B751" s="20"/>
      <c r="C751" s="1"/>
      <c r="D751" s="3"/>
      <c r="E751" s="3"/>
      <c r="F751" s="1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>
      <c r="A752" s="1"/>
      <c r="B752" s="20"/>
      <c r="C752" s="1"/>
      <c r="D752" s="3"/>
      <c r="E752" s="3"/>
      <c r="F752" s="1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>
      <c r="A753" s="1"/>
      <c r="B753" s="20"/>
      <c r="C753" s="1"/>
      <c r="D753" s="3"/>
      <c r="E753" s="3"/>
      <c r="F753" s="1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>
      <c r="A754" s="1"/>
      <c r="B754" s="20"/>
      <c r="C754" s="1"/>
      <c r="D754" s="3"/>
      <c r="E754" s="3"/>
      <c r="F754" s="1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>
      <c r="A755" s="1"/>
      <c r="B755" s="20"/>
      <c r="C755" s="1"/>
      <c r="D755" s="3"/>
      <c r="E755" s="3"/>
      <c r="F755" s="1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>
      <c r="A756" s="1"/>
      <c r="B756" s="20"/>
      <c r="C756" s="1"/>
      <c r="D756" s="3"/>
      <c r="E756" s="3"/>
      <c r="F756" s="1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>
      <c r="A757" s="1"/>
      <c r="B757" s="20"/>
      <c r="C757" s="1"/>
      <c r="D757" s="3"/>
      <c r="E757" s="3"/>
      <c r="F757" s="1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>
      <c r="A758" s="1"/>
      <c r="B758" s="20"/>
      <c r="C758" s="1"/>
      <c r="D758" s="3"/>
      <c r="E758" s="3"/>
      <c r="F758" s="1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>
      <c r="A759" s="1"/>
      <c r="B759" s="20"/>
      <c r="C759" s="1"/>
      <c r="D759" s="3"/>
      <c r="E759" s="3"/>
      <c r="F759" s="1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>
      <c r="A760" s="1"/>
      <c r="B760" s="20"/>
      <c r="C760" s="1"/>
      <c r="D760" s="3"/>
      <c r="E760" s="3"/>
      <c r="F760" s="1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>
      <c r="A761" s="1"/>
      <c r="B761" s="20"/>
      <c r="C761" s="1"/>
      <c r="D761" s="3"/>
      <c r="E761" s="3"/>
      <c r="F761" s="1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>
      <c r="A762" s="1"/>
      <c r="B762" s="20"/>
      <c r="C762" s="1"/>
      <c r="D762" s="3"/>
      <c r="E762" s="3"/>
      <c r="F762" s="1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>
      <c r="A763" s="1"/>
      <c r="B763" s="20"/>
      <c r="C763" s="1"/>
      <c r="D763" s="3"/>
      <c r="E763" s="3"/>
      <c r="F763" s="1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>
      <c r="A764" s="1"/>
      <c r="B764" s="20"/>
      <c r="C764" s="1"/>
      <c r="D764" s="3"/>
      <c r="E764" s="3"/>
      <c r="F764" s="1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>
      <c r="A765" s="1"/>
      <c r="B765" s="20"/>
      <c r="C765" s="1"/>
      <c r="D765" s="3"/>
      <c r="E765" s="3"/>
      <c r="F765" s="1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>
      <c r="A766" s="1"/>
      <c r="B766" s="20"/>
      <c r="C766" s="1"/>
      <c r="D766" s="3"/>
      <c r="E766" s="3"/>
      <c r="F766" s="1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>
      <c r="A767" s="1"/>
      <c r="B767" s="20"/>
      <c r="C767" s="1"/>
      <c r="D767" s="3"/>
      <c r="E767" s="3"/>
      <c r="F767" s="1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>
      <c r="A768" s="1"/>
      <c r="B768" s="20"/>
      <c r="C768" s="1"/>
      <c r="D768" s="3"/>
      <c r="E768" s="3"/>
      <c r="F768" s="1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>
      <c r="A769" s="1"/>
      <c r="B769" s="20"/>
      <c r="C769" s="1"/>
      <c r="D769" s="3"/>
      <c r="E769" s="3"/>
      <c r="F769" s="1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>
      <c r="A770" s="1"/>
      <c r="B770" s="20"/>
      <c r="C770" s="1"/>
      <c r="D770" s="3"/>
      <c r="E770" s="3"/>
      <c r="F770" s="1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>
      <c r="A771" s="1"/>
      <c r="B771" s="20"/>
      <c r="C771" s="1"/>
      <c r="D771" s="3"/>
      <c r="E771" s="3"/>
      <c r="F771" s="1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>
      <c r="A772" s="1"/>
      <c r="B772" s="20"/>
      <c r="C772" s="1"/>
      <c r="D772" s="3"/>
      <c r="E772" s="3"/>
      <c r="F772" s="1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>
      <c r="A773" s="1"/>
      <c r="B773" s="20"/>
      <c r="C773" s="1"/>
      <c r="D773" s="3"/>
      <c r="E773" s="3"/>
      <c r="F773" s="1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>
      <c r="A774" s="1"/>
      <c r="B774" s="20"/>
      <c r="C774" s="1"/>
      <c r="D774" s="3"/>
      <c r="E774" s="3"/>
      <c r="F774" s="1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>
      <c r="A775" s="1"/>
      <c r="B775" s="20"/>
      <c r="C775" s="1"/>
      <c r="D775" s="3"/>
      <c r="E775" s="3"/>
      <c r="F775" s="1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>
      <c r="A776" s="1"/>
      <c r="B776" s="20"/>
      <c r="C776" s="1"/>
      <c r="D776" s="3"/>
      <c r="E776" s="3"/>
      <c r="F776" s="1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>
      <c r="A777" s="1"/>
      <c r="B777" s="20"/>
      <c r="C777" s="1"/>
      <c r="D777" s="3"/>
      <c r="E777" s="3"/>
      <c r="F777" s="1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>
      <c r="A778" s="1"/>
      <c r="B778" s="20"/>
      <c r="C778" s="1"/>
      <c r="D778" s="3"/>
      <c r="E778" s="3"/>
      <c r="F778" s="1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>
      <c r="A779" s="1"/>
      <c r="B779" s="20"/>
      <c r="C779" s="1"/>
      <c r="D779" s="3"/>
      <c r="E779" s="3"/>
      <c r="F779" s="1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>
      <c r="A780" s="1"/>
      <c r="B780" s="20"/>
      <c r="C780" s="1"/>
      <c r="D780" s="3"/>
      <c r="E780" s="3"/>
      <c r="F780" s="1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>
      <c r="A781" s="1"/>
      <c r="B781" s="20"/>
      <c r="C781" s="1"/>
      <c r="D781" s="3"/>
      <c r="E781" s="3"/>
      <c r="F781" s="1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>
      <c r="A782" s="1"/>
      <c r="B782" s="20"/>
      <c r="C782" s="1"/>
      <c r="D782" s="3"/>
      <c r="E782" s="3"/>
      <c r="F782" s="1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>
      <c r="A783" s="1"/>
      <c r="B783" s="20"/>
      <c r="C783" s="1"/>
      <c r="D783" s="3"/>
      <c r="E783" s="3"/>
      <c r="F783" s="1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>
      <c r="A784" s="1"/>
      <c r="B784" s="20"/>
      <c r="C784" s="1"/>
      <c r="D784" s="3"/>
      <c r="E784" s="3"/>
      <c r="F784" s="1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>
      <c r="A785" s="1"/>
      <c r="B785" s="20"/>
      <c r="C785" s="1"/>
      <c r="D785" s="3"/>
      <c r="E785" s="3"/>
      <c r="F785" s="1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>
      <c r="A786" s="1"/>
      <c r="B786" s="20"/>
      <c r="C786" s="1"/>
      <c r="D786" s="3"/>
      <c r="E786" s="3"/>
      <c r="F786" s="1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>
      <c r="A787" s="1"/>
      <c r="B787" s="20"/>
      <c r="C787" s="1"/>
      <c r="D787" s="3"/>
      <c r="E787" s="3"/>
      <c r="F787" s="1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>
      <c r="A788" s="1"/>
      <c r="B788" s="20"/>
      <c r="C788" s="1"/>
      <c r="D788" s="3"/>
      <c r="E788" s="3"/>
      <c r="F788" s="1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>
      <c r="A789" s="1"/>
      <c r="B789" s="20"/>
      <c r="C789" s="1"/>
      <c r="D789" s="3"/>
      <c r="E789" s="3"/>
      <c r="F789" s="1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>
      <c r="A790" s="1"/>
      <c r="B790" s="20"/>
      <c r="C790" s="1"/>
      <c r="D790" s="3"/>
      <c r="E790" s="3"/>
      <c r="F790" s="1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>
      <c r="A791" s="1"/>
      <c r="B791" s="20"/>
      <c r="C791" s="1"/>
      <c r="D791" s="3"/>
      <c r="E791" s="3"/>
      <c r="F791" s="1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>
      <c r="A792" s="1"/>
      <c r="B792" s="20"/>
      <c r="C792" s="1"/>
      <c r="D792" s="3"/>
      <c r="E792" s="3"/>
      <c r="F792" s="1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>
      <c r="A793" s="1"/>
      <c r="B793" s="20"/>
      <c r="C793" s="1"/>
      <c r="D793" s="3"/>
      <c r="E793" s="3"/>
      <c r="F793" s="1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>
      <c r="A794" s="1"/>
      <c r="B794" s="20"/>
      <c r="C794" s="1"/>
      <c r="D794" s="3"/>
      <c r="E794" s="3"/>
      <c r="F794" s="1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>
      <c r="A795" s="1"/>
      <c r="B795" s="20"/>
      <c r="C795" s="1"/>
      <c r="D795" s="3"/>
      <c r="E795" s="3"/>
      <c r="F795" s="1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>
      <c r="A796" s="1"/>
      <c r="B796" s="20"/>
      <c r="C796" s="1"/>
      <c r="D796" s="3"/>
      <c r="E796" s="3"/>
      <c r="F796" s="1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>
      <c r="A797" s="1"/>
      <c r="B797" s="20"/>
      <c r="C797" s="1"/>
      <c r="D797" s="3"/>
      <c r="E797" s="3"/>
      <c r="F797" s="1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>
      <c r="A798" s="1"/>
      <c r="B798" s="20"/>
      <c r="C798" s="1"/>
      <c r="D798" s="3"/>
      <c r="E798" s="3"/>
      <c r="F798" s="1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>
      <c r="A799" s="1"/>
      <c r="B799" s="20"/>
      <c r="C799" s="1"/>
      <c r="D799" s="3"/>
      <c r="E799" s="3"/>
      <c r="F799" s="1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>
      <c r="A800" s="1"/>
      <c r="B800" s="20"/>
      <c r="C800" s="1"/>
      <c r="D800" s="3"/>
      <c r="E800" s="3"/>
      <c r="F800" s="1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>
      <c r="A801" s="1"/>
      <c r="B801" s="20"/>
      <c r="C801" s="1"/>
      <c r="D801" s="3"/>
      <c r="E801" s="3"/>
      <c r="F801" s="1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>
      <c r="A802" s="1"/>
      <c r="B802" s="20"/>
      <c r="C802" s="1"/>
      <c r="D802" s="3"/>
      <c r="E802" s="3"/>
      <c r="F802" s="1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>
      <c r="A803" s="1"/>
      <c r="B803" s="20"/>
      <c r="C803" s="1"/>
      <c r="D803" s="3"/>
      <c r="E803" s="3"/>
      <c r="F803" s="1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>
      <c r="A804" s="1"/>
      <c r="B804" s="20"/>
      <c r="C804" s="1"/>
      <c r="D804" s="3"/>
      <c r="E804" s="3"/>
      <c r="F804" s="1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>
      <c r="A805" s="1"/>
      <c r="B805" s="20"/>
      <c r="C805" s="1"/>
      <c r="D805" s="3"/>
      <c r="E805" s="3"/>
      <c r="F805" s="1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>
      <c r="A806" s="1"/>
      <c r="B806" s="20"/>
      <c r="C806" s="1"/>
      <c r="D806" s="3"/>
      <c r="E806" s="3"/>
      <c r="F806" s="1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>
      <c r="A807" s="1"/>
      <c r="B807" s="20"/>
      <c r="C807" s="1"/>
      <c r="D807" s="3"/>
      <c r="E807" s="3"/>
      <c r="F807" s="1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>
      <c r="A808" s="1"/>
      <c r="B808" s="20"/>
      <c r="C808" s="1"/>
      <c r="D808" s="3"/>
      <c r="E808" s="3"/>
      <c r="F808" s="1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>
      <c r="A809" s="1"/>
      <c r="B809" s="20"/>
      <c r="C809" s="1"/>
      <c r="D809" s="3"/>
      <c r="E809" s="3"/>
      <c r="F809" s="1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>
      <c r="A810" s="1"/>
      <c r="B810" s="20"/>
      <c r="C810" s="1"/>
      <c r="D810" s="3"/>
      <c r="E810" s="3"/>
      <c r="F810" s="1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>
      <c r="A811" s="1"/>
      <c r="B811" s="20"/>
      <c r="C811" s="1"/>
      <c r="D811" s="3"/>
      <c r="E811" s="3"/>
      <c r="F811" s="1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>
      <c r="A812" s="1"/>
      <c r="B812" s="20"/>
      <c r="C812" s="1"/>
      <c r="D812" s="3"/>
      <c r="E812" s="3"/>
      <c r="F812" s="1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>
      <c r="A813" s="1"/>
      <c r="B813" s="20"/>
      <c r="C813" s="1"/>
      <c r="D813" s="3"/>
      <c r="E813" s="3"/>
      <c r="F813" s="1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>
      <c r="A814" s="1"/>
      <c r="B814" s="20"/>
      <c r="C814" s="1"/>
      <c r="D814" s="3"/>
      <c r="E814" s="3"/>
      <c r="F814" s="1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>
      <c r="A815" s="1"/>
      <c r="B815" s="20"/>
      <c r="C815" s="1"/>
      <c r="D815" s="3"/>
      <c r="E815" s="3"/>
      <c r="F815" s="1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>
      <c r="A816" s="1"/>
      <c r="B816" s="20"/>
      <c r="C816" s="1"/>
      <c r="D816" s="3"/>
      <c r="E816" s="3"/>
      <c r="F816" s="1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>
      <c r="A817" s="1"/>
      <c r="B817" s="20"/>
      <c r="C817" s="1"/>
      <c r="D817" s="3"/>
      <c r="E817" s="3"/>
      <c r="F817" s="1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>
      <c r="A818" s="1"/>
      <c r="B818" s="20"/>
      <c r="C818" s="1"/>
      <c r="D818" s="3"/>
      <c r="E818" s="3"/>
      <c r="F818" s="1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>
      <c r="A819" s="1"/>
      <c r="B819" s="20"/>
      <c r="C819" s="1"/>
      <c r="D819" s="3"/>
      <c r="E819" s="3"/>
      <c r="F819" s="1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>
      <c r="A820" s="1"/>
      <c r="B820" s="20"/>
      <c r="C820" s="1"/>
      <c r="D820" s="3"/>
      <c r="E820" s="3"/>
      <c r="F820" s="1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>
      <c r="A821" s="1"/>
      <c r="B821" s="20"/>
      <c r="C821" s="1"/>
      <c r="D821" s="3"/>
      <c r="E821" s="3"/>
      <c r="F821" s="1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>
      <c r="A822" s="1"/>
      <c r="B822" s="20"/>
      <c r="C822" s="1"/>
      <c r="D822" s="3"/>
      <c r="E822" s="3"/>
      <c r="F822" s="1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>
      <c r="A823" s="1"/>
      <c r="B823" s="20"/>
      <c r="C823" s="1"/>
      <c r="D823" s="3"/>
      <c r="E823" s="3"/>
      <c r="F823" s="1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>
      <c r="A824" s="1"/>
      <c r="B824" s="20"/>
      <c r="C824" s="1"/>
      <c r="D824" s="3"/>
      <c r="E824" s="3"/>
      <c r="F824" s="1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>
      <c r="A825" s="1"/>
      <c r="B825" s="20"/>
      <c r="C825" s="1"/>
      <c r="D825" s="3"/>
      <c r="E825" s="3"/>
      <c r="F825" s="1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>
      <c r="A826" s="1"/>
      <c r="B826" s="20"/>
      <c r="C826" s="1"/>
      <c r="D826" s="3"/>
      <c r="E826" s="3"/>
      <c r="F826" s="1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>
      <c r="A827" s="1"/>
      <c r="B827" s="20"/>
      <c r="C827" s="1"/>
      <c r="D827" s="3"/>
      <c r="E827" s="3"/>
      <c r="F827" s="1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>
      <c r="A828" s="1"/>
      <c r="B828" s="20"/>
      <c r="C828" s="1"/>
      <c r="D828" s="3"/>
      <c r="E828" s="3"/>
      <c r="F828" s="1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>
      <c r="A829" s="1"/>
      <c r="B829" s="20"/>
      <c r="C829" s="1"/>
      <c r="D829" s="3"/>
      <c r="E829" s="3"/>
      <c r="F829" s="1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>
      <c r="A830" s="1"/>
      <c r="B830" s="20"/>
      <c r="C830" s="1"/>
      <c r="D830" s="3"/>
      <c r="E830" s="3"/>
      <c r="F830" s="1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>
      <c r="A831" s="1"/>
      <c r="B831" s="20"/>
      <c r="C831" s="1"/>
      <c r="D831" s="3"/>
      <c r="E831" s="3"/>
      <c r="F831" s="1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>
      <c r="A832" s="1"/>
      <c r="B832" s="20"/>
      <c r="C832" s="1"/>
      <c r="D832" s="3"/>
      <c r="E832" s="3"/>
      <c r="F832" s="1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>
      <c r="A833" s="1"/>
      <c r="B833" s="20"/>
      <c r="C833" s="1"/>
      <c r="D833" s="3"/>
      <c r="E833" s="3"/>
      <c r="F833" s="1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>
      <c r="A834" s="1"/>
      <c r="B834" s="20"/>
      <c r="C834" s="1"/>
      <c r="D834" s="3"/>
      <c r="E834" s="3"/>
      <c r="F834" s="1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>
      <c r="A835" s="1"/>
      <c r="B835" s="20"/>
      <c r="C835" s="1"/>
      <c r="D835" s="3"/>
      <c r="E835" s="3"/>
      <c r="F835" s="1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>
      <c r="A836" s="1"/>
      <c r="B836" s="20"/>
      <c r="C836" s="1"/>
      <c r="D836" s="3"/>
      <c r="E836" s="3"/>
      <c r="F836" s="1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>
      <c r="A837" s="1"/>
      <c r="B837" s="20"/>
      <c r="C837" s="1"/>
      <c r="D837" s="3"/>
      <c r="E837" s="3"/>
      <c r="F837" s="1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>
      <c r="A838" s="1"/>
      <c r="B838" s="20"/>
      <c r="C838" s="1"/>
      <c r="D838" s="3"/>
      <c r="E838" s="3"/>
      <c r="F838" s="1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>
      <c r="A839" s="1"/>
      <c r="B839" s="20"/>
      <c r="C839" s="1"/>
      <c r="D839" s="3"/>
      <c r="E839" s="3"/>
      <c r="F839" s="1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>
      <c r="A840" s="1"/>
      <c r="B840" s="20"/>
      <c r="C840" s="1"/>
      <c r="D840" s="3"/>
      <c r="E840" s="3"/>
      <c r="F840" s="1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>
      <c r="A841" s="1"/>
      <c r="B841" s="20"/>
      <c r="C841" s="1"/>
      <c r="D841" s="3"/>
      <c r="E841" s="3"/>
      <c r="F841" s="1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>
      <c r="A842" s="1"/>
      <c r="B842" s="20"/>
      <c r="C842" s="1"/>
      <c r="D842" s="3"/>
      <c r="E842" s="3"/>
      <c r="F842" s="1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>
      <c r="A843" s="1"/>
      <c r="B843" s="20"/>
      <c r="C843" s="1"/>
      <c r="D843" s="3"/>
      <c r="E843" s="3"/>
      <c r="F843" s="1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>
      <c r="A844" s="1"/>
      <c r="B844" s="20"/>
      <c r="C844" s="1"/>
      <c r="D844" s="3"/>
      <c r="E844" s="3"/>
      <c r="F844" s="1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>
      <c r="A845" s="1"/>
      <c r="B845" s="20"/>
      <c r="C845" s="1"/>
      <c r="D845" s="3"/>
      <c r="E845" s="3"/>
      <c r="F845" s="1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>
      <c r="A846" s="1"/>
      <c r="B846" s="20"/>
      <c r="C846" s="1"/>
      <c r="D846" s="3"/>
      <c r="E846" s="3"/>
      <c r="F846" s="1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>
      <c r="A847" s="1"/>
      <c r="B847" s="20"/>
      <c r="C847" s="1"/>
      <c r="D847" s="3"/>
      <c r="E847" s="3"/>
      <c r="F847" s="1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>
      <c r="A848" s="1"/>
      <c r="B848" s="20"/>
      <c r="C848" s="1"/>
      <c r="D848" s="3"/>
      <c r="E848" s="3"/>
      <c r="F848" s="1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>
      <c r="A849" s="1"/>
      <c r="B849" s="20"/>
      <c r="C849" s="1"/>
      <c r="D849" s="3"/>
      <c r="E849" s="3"/>
      <c r="F849" s="1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>
      <c r="A850" s="1"/>
      <c r="B850" s="20"/>
      <c r="C850" s="1"/>
      <c r="D850" s="3"/>
      <c r="E850" s="3"/>
      <c r="F850" s="1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>
      <c r="A851" s="1"/>
      <c r="B851" s="20"/>
      <c r="C851" s="1"/>
      <c r="D851" s="3"/>
      <c r="E851" s="3"/>
      <c r="F851" s="1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>
      <c r="A852" s="1"/>
      <c r="B852" s="20"/>
      <c r="C852" s="1"/>
      <c r="D852" s="3"/>
      <c r="E852" s="3"/>
      <c r="F852" s="1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>
      <c r="A853" s="1"/>
      <c r="B853" s="20"/>
      <c r="C853" s="1"/>
      <c r="D853" s="3"/>
      <c r="E853" s="3"/>
      <c r="F853" s="1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>
      <c r="A854" s="1"/>
      <c r="B854" s="20"/>
      <c r="C854" s="1"/>
      <c r="D854" s="3"/>
      <c r="E854" s="3"/>
      <c r="F854" s="1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>
      <c r="A855" s="1"/>
      <c r="B855" s="20"/>
      <c r="C855" s="1"/>
      <c r="D855" s="3"/>
      <c r="E855" s="3"/>
      <c r="F855" s="1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>
      <c r="A856" s="1"/>
      <c r="B856" s="20"/>
      <c r="C856" s="1"/>
      <c r="D856" s="3"/>
      <c r="E856" s="3"/>
      <c r="F856" s="1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>
      <c r="A857" s="1"/>
      <c r="B857" s="20"/>
      <c r="C857" s="1"/>
      <c r="D857" s="3"/>
      <c r="E857" s="3"/>
      <c r="F857" s="1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>
      <c r="A858" s="1"/>
      <c r="B858" s="20"/>
      <c r="C858" s="1"/>
      <c r="D858" s="3"/>
      <c r="E858" s="3"/>
      <c r="F858" s="1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>
      <c r="A859" s="1"/>
      <c r="B859" s="20"/>
      <c r="C859" s="1"/>
      <c r="D859" s="3"/>
      <c r="E859" s="3"/>
      <c r="F859" s="1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>
      <c r="A860" s="1"/>
      <c r="B860" s="20"/>
      <c r="C860" s="1"/>
      <c r="D860" s="3"/>
      <c r="E860" s="3"/>
      <c r="F860" s="1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>
      <c r="A861" s="1"/>
      <c r="B861" s="20"/>
      <c r="C861" s="1"/>
      <c r="D861" s="3"/>
      <c r="E861" s="3"/>
      <c r="F861" s="1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>
      <c r="A862" s="1"/>
      <c r="B862" s="20"/>
      <c r="C862" s="1"/>
      <c r="D862" s="3"/>
      <c r="E862" s="3"/>
      <c r="F862" s="1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>
      <c r="A863" s="1"/>
      <c r="B863" s="20"/>
      <c r="C863" s="1"/>
      <c r="D863" s="3"/>
      <c r="E863" s="3"/>
      <c r="F863" s="1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>
      <c r="A864" s="1"/>
      <c r="B864" s="20"/>
      <c r="C864" s="1"/>
      <c r="D864" s="3"/>
      <c r="E864" s="3"/>
      <c r="F864" s="1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>
      <c r="A865" s="1"/>
      <c r="B865" s="20"/>
      <c r="C865" s="1"/>
      <c r="D865" s="3"/>
      <c r="E865" s="3"/>
      <c r="F865" s="1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>
      <c r="A866" s="1"/>
      <c r="B866" s="20"/>
      <c r="C866" s="1"/>
      <c r="D866" s="3"/>
      <c r="E866" s="3"/>
      <c r="F866" s="1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>
      <c r="A867" s="1"/>
      <c r="B867" s="20"/>
      <c r="C867" s="1"/>
      <c r="D867" s="3"/>
      <c r="E867" s="3"/>
      <c r="F867" s="1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>
      <c r="A868" s="1"/>
      <c r="B868" s="20"/>
      <c r="C868" s="1"/>
      <c r="D868" s="3"/>
      <c r="E868" s="3"/>
      <c r="F868" s="1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>
      <c r="A869" s="1"/>
      <c r="B869" s="20"/>
      <c r="C869" s="1"/>
      <c r="D869" s="3"/>
      <c r="E869" s="3"/>
      <c r="F869" s="1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>
      <c r="A870" s="1"/>
      <c r="B870" s="20"/>
      <c r="C870" s="1"/>
      <c r="D870" s="3"/>
      <c r="E870" s="3"/>
      <c r="F870" s="1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>
      <c r="A871" s="1"/>
      <c r="B871" s="20"/>
      <c r="C871" s="1"/>
      <c r="D871" s="3"/>
      <c r="E871" s="3"/>
      <c r="F871" s="1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>
      <c r="A872" s="1"/>
      <c r="B872" s="20"/>
      <c r="C872" s="1"/>
      <c r="D872" s="3"/>
      <c r="E872" s="3"/>
      <c r="F872" s="1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>
      <c r="A873" s="1"/>
      <c r="B873" s="20"/>
      <c r="C873" s="1"/>
      <c r="D873" s="3"/>
      <c r="E873" s="3"/>
      <c r="F873" s="1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>
      <c r="A874" s="1"/>
      <c r="B874" s="20"/>
      <c r="C874" s="1"/>
      <c r="D874" s="3"/>
      <c r="E874" s="3"/>
      <c r="F874" s="1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>
      <c r="A875" s="1"/>
      <c r="B875" s="20"/>
      <c r="C875" s="1"/>
      <c r="D875" s="3"/>
      <c r="E875" s="3"/>
      <c r="F875" s="1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>
      <c r="A876" s="1"/>
      <c r="B876" s="20"/>
      <c r="C876" s="1"/>
      <c r="D876" s="3"/>
      <c r="E876" s="3"/>
      <c r="F876" s="1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>
      <c r="A877" s="1"/>
      <c r="B877" s="20"/>
      <c r="C877" s="1"/>
      <c r="D877" s="3"/>
      <c r="E877" s="3"/>
      <c r="F877" s="1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>
      <c r="A878" s="1"/>
      <c r="B878" s="20"/>
      <c r="C878" s="1"/>
      <c r="D878" s="3"/>
      <c r="E878" s="3"/>
      <c r="F878" s="1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>
      <c r="A879" s="1"/>
      <c r="B879" s="20"/>
      <c r="C879" s="1"/>
      <c r="D879" s="3"/>
      <c r="E879" s="3"/>
      <c r="F879" s="1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>
      <c r="A880" s="1"/>
      <c r="B880" s="20"/>
      <c r="C880" s="1"/>
      <c r="D880" s="3"/>
      <c r="E880" s="3"/>
      <c r="F880" s="1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>
      <c r="A881" s="1"/>
      <c r="B881" s="20"/>
      <c r="C881" s="1"/>
      <c r="D881" s="3"/>
      <c r="E881" s="3"/>
      <c r="F881" s="1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>
      <c r="A882" s="1"/>
      <c r="B882" s="20"/>
      <c r="C882" s="1"/>
      <c r="D882" s="3"/>
      <c r="E882" s="3"/>
      <c r="F882" s="1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>
      <c r="A883" s="1"/>
      <c r="B883" s="20"/>
      <c r="C883" s="1"/>
      <c r="D883" s="3"/>
      <c r="E883" s="3"/>
      <c r="F883" s="1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>
      <c r="A884" s="1"/>
      <c r="B884" s="20"/>
      <c r="C884" s="1"/>
      <c r="D884" s="3"/>
      <c r="E884" s="3"/>
      <c r="F884" s="1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>
      <c r="A885" s="1"/>
      <c r="B885" s="20"/>
      <c r="C885" s="1"/>
      <c r="D885" s="3"/>
      <c r="E885" s="3"/>
      <c r="F885" s="1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>
      <c r="A886" s="1"/>
      <c r="B886" s="20"/>
      <c r="C886" s="1"/>
      <c r="D886" s="3"/>
      <c r="E886" s="3"/>
      <c r="F886" s="1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>
      <c r="A887" s="1"/>
      <c r="B887" s="20"/>
      <c r="C887" s="1"/>
      <c r="D887" s="3"/>
      <c r="E887" s="3"/>
      <c r="F887" s="1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>
      <c r="A888" s="1"/>
      <c r="B888" s="20"/>
      <c r="C888" s="1"/>
      <c r="D888" s="3"/>
      <c r="E888" s="3"/>
      <c r="F888" s="1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>
      <c r="A889" s="1"/>
      <c r="B889" s="20"/>
      <c r="C889" s="1"/>
      <c r="D889" s="3"/>
      <c r="E889" s="3"/>
      <c r="F889" s="1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>
      <c r="A890" s="1"/>
      <c r="B890" s="20"/>
      <c r="C890" s="1"/>
      <c r="D890" s="3"/>
      <c r="E890" s="3"/>
      <c r="F890" s="1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>
      <c r="A891" s="1"/>
      <c r="B891" s="20"/>
      <c r="C891" s="1"/>
      <c r="D891" s="3"/>
      <c r="E891" s="3"/>
      <c r="F891" s="1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>
      <c r="A892" s="1"/>
      <c r="B892" s="20"/>
      <c r="C892" s="1"/>
      <c r="D892" s="3"/>
      <c r="E892" s="3"/>
      <c r="F892" s="1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>
      <c r="A893" s="1"/>
      <c r="B893" s="20"/>
      <c r="C893" s="1"/>
      <c r="D893" s="3"/>
      <c r="E893" s="3"/>
      <c r="F893" s="1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>
      <c r="A894" s="1"/>
      <c r="B894" s="20"/>
      <c r="C894" s="1"/>
      <c r="D894" s="3"/>
      <c r="E894" s="3"/>
      <c r="F894" s="1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>
      <c r="A895" s="1"/>
      <c r="B895" s="20"/>
      <c r="C895" s="1"/>
      <c r="D895" s="3"/>
      <c r="E895" s="3"/>
      <c r="F895" s="1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>
      <c r="A896" s="1"/>
      <c r="B896" s="20"/>
      <c r="C896" s="1"/>
      <c r="D896" s="3"/>
      <c r="E896" s="3"/>
      <c r="F896" s="1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>
      <c r="A897" s="1"/>
      <c r="B897" s="20"/>
      <c r="C897" s="1"/>
      <c r="D897" s="3"/>
      <c r="E897" s="3"/>
      <c r="F897" s="1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>
      <c r="A898" s="1"/>
      <c r="B898" s="20"/>
      <c r="C898" s="1"/>
      <c r="D898" s="3"/>
      <c r="E898" s="3"/>
      <c r="F898" s="1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>
      <c r="A899" s="1"/>
      <c r="B899" s="20"/>
      <c r="C899" s="1"/>
      <c r="D899" s="3"/>
      <c r="E899" s="3"/>
      <c r="F899" s="1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>
      <c r="A900" s="1"/>
      <c r="B900" s="20"/>
      <c r="C900" s="1"/>
      <c r="D900" s="3"/>
      <c r="E900" s="3"/>
      <c r="F900" s="1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>
      <c r="A901" s="1"/>
      <c r="B901" s="20"/>
      <c r="C901" s="1"/>
      <c r="D901" s="3"/>
      <c r="E901" s="3"/>
      <c r="F901" s="1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>
      <c r="A902" s="1"/>
      <c r="B902" s="20"/>
      <c r="C902" s="1"/>
      <c r="D902" s="3"/>
      <c r="E902" s="3"/>
      <c r="F902" s="1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>
      <c r="A903" s="1"/>
      <c r="B903" s="20"/>
      <c r="C903" s="1"/>
      <c r="D903" s="3"/>
      <c r="E903" s="3"/>
      <c r="F903" s="1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>
      <c r="A904" s="1"/>
      <c r="B904" s="20"/>
      <c r="C904" s="1"/>
      <c r="D904" s="3"/>
      <c r="E904" s="3"/>
      <c r="F904" s="1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>
      <c r="A905" s="1"/>
      <c r="B905" s="20"/>
      <c r="C905" s="1"/>
      <c r="D905" s="3"/>
      <c r="E905" s="3"/>
      <c r="F905" s="1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>
      <c r="A906" s="1"/>
      <c r="B906" s="20"/>
      <c r="C906" s="1"/>
      <c r="D906" s="3"/>
      <c r="E906" s="3"/>
      <c r="F906" s="1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>
      <c r="A907" s="1"/>
      <c r="B907" s="20"/>
      <c r="C907" s="1"/>
      <c r="D907" s="3"/>
      <c r="E907" s="3"/>
      <c r="F907" s="1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>
      <c r="A908" s="1"/>
      <c r="B908" s="20"/>
      <c r="C908" s="1"/>
      <c r="D908" s="3"/>
      <c r="E908" s="3"/>
      <c r="F908" s="1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>
      <c r="A909" s="1"/>
      <c r="B909" s="20"/>
      <c r="C909" s="1"/>
      <c r="D909" s="3"/>
      <c r="E909" s="3"/>
      <c r="F909" s="1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>
      <c r="A910" s="1"/>
      <c r="B910" s="20"/>
      <c r="C910" s="1"/>
      <c r="D910" s="3"/>
      <c r="E910" s="3"/>
      <c r="F910" s="1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>
      <c r="A911" s="1"/>
      <c r="B911" s="20"/>
      <c r="C911" s="1"/>
      <c r="D911" s="3"/>
      <c r="E911" s="3"/>
      <c r="F911" s="1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>
      <c r="A912" s="1"/>
      <c r="B912" s="20"/>
      <c r="C912" s="1"/>
      <c r="D912" s="3"/>
      <c r="E912" s="3"/>
      <c r="F912" s="1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>
      <c r="A913" s="1"/>
      <c r="B913" s="20"/>
      <c r="C913" s="1"/>
      <c r="D913" s="3"/>
      <c r="E913" s="3"/>
      <c r="F913" s="1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>
      <c r="A914" s="1"/>
      <c r="B914" s="20"/>
      <c r="C914" s="1"/>
      <c r="D914" s="3"/>
      <c r="E914" s="3"/>
      <c r="F914" s="1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>
      <c r="A915" s="1"/>
      <c r="B915" s="20"/>
      <c r="C915" s="1"/>
      <c r="D915" s="3"/>
      <c r="E915" s="3"/>
      <c r="F915" s="1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>
      <c r="A916" s="1"/>
      <c r="B916" s="20"/>
      <c r="C916" s="1"/>
      <c r="D916" s="3"/>
      <c r="E916" s="3"/>
      <c r="F916" s="1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>
      <c r="A917" s="1"/>
      <c r="B917" s="20"/>
      <c r="C917" s="1"/>
      <c r="D917" s="3"/>
      <c r="E917" s="3"/>
      <c r="F917" s="1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>
      <c r="A918" s="1"/>
      <c r="B918" s="20"/>
      <c r="C918" s="1"/>
      <c r="D918" s="3"/>
      <c r="E918" s="3"/>
      <c r="F918" s="1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>
      <c r="A919" s="1"/>
      <c r="B919" s="20"/>
      <c r="C919" s="1"/>
      <c r="D919" s="3"/>
      <c r="E919" s="3"/>
      <c r="F919" s="1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>
      <c r="A920" s="1"/>
      <c r="B920" s="20"/>
      <c r="C920" s="1"/>
      <c r="D920" s="3"/>
      <c r="E920" s="3"/>
      <c r="F920" s="1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>
      <c r="A921" s="1"/>
      <c r="B921" s="20"/>
      <c r="C921" s="1"/>
      <c r="D921" s="3"/>
      <c r="E921" s="3"/>
      <c r="F921" s="1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>
      <c r="A922" s="1"/>
      <c r="B922" s="20"/>
      <c r="C922" s="1"/>
      <c r="D922" s="3"/>
      <c r="E922" s="3"/>
      <c r="F922" s="1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>
      <c r="A923" s="1"/>
      <c r="B923" s="20"/>
      <c r="C923" s="1"/>
      <c r="D923" s="3"/>
      <c r="E923" s="3"/>
      <c r="F923" s="1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>
      <c r="A924" s="1"/>
      <c r="B924" s="20"/>
      <c r="C924" s="1"/>
      <c r="D924" s="3"/>
      <c r="E924" s="3"/>
      <c r="F924" s="1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>
      <c r="A925" s="1"/>
      <c r="B925" s="20"/>
      <c r="C925" s="1"/>
      <c r="D925" s="3"/>
      <c r="E925" s="3"/>
      <c r="F925" s="1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>
      <c r="A926" s="1"/>
      <c r="B926" s="20"/>
      <c r="C926" s="1"/>
      <c r="D926" s="3"/>
      <c r="E926" s="3"/>
      <c r="F926" s="1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>
      <c r="A927" s="1"/>
      <c r="B927" s="20"/>
      <c r="C927" s="1"/>
      <c r="D927" s="3"/>
      <c r="E927" s="3"/>
      <c r="F927" s="1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>
      <c r="A928" s="1"/>
      <c r="B928" s="20"/>
      <c r="C928" s="1"/>
      <c r="D928" s="3"/>
      <c r="E928" s="3"/>
      <c r="F928" s="1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>
      <c r="A929" s="1"/>
      <c r="B929" s="20"/>
      <c r="C929" s="1"/>
      <c r="D929" s="3"/>
      <c r="E929" s="3"/>
      <c r="F929" s="1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>
      <c r="A930" s="1"/>
      <c r="B930" s="20"/>
      <c r="C930" s="1"/>
      <c r="D930" s="3"/>
      <c r="E930" s="3"/>
      <c r="F930" s="1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>
      <c r="A931" s="1"/>
      <c r="B931" s="20"/>
      <c r="C931" s="1"/>
      <c r="D931" s="3"/>
      <c r="E931" s="3"/>
      <c r="F931" s="1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>
      <c r="A932" s="1"/>
      <c r="B932" s="20"/>
      <c r="C932" s="1"/>
      <c r="D932" s="3"/>
      <c r="E932" s="3"/>
      <c r="F932" s="1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>
      <c r="A933" s="1"/>
      <c r="B933" s="20"/>
      <c r="C933" s="1"/>
      <c r="D933" s="3"/>
      <c r="E933" s="3"/>
      <c r="F933" s="1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>
      <c r="A934" s="1"/>
      <c r="B934" s="20"/>
      <c r="C934" s="1"/>
      <c r="D934" s="3"/>
      <c r="E934" s="3"/>
      <c r="F934" s="1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>
      <c r="A935" s="1"/>
      <c r="B935" s="20"/>
      <c r="C935" s="1"/>
      <c r="D935" s="3"/>
      <c r="E935" s="3"/>
      <c r="F935" s="1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>
      <c r="A936" s="1"/>
      <c r="B936" s="20"/>
      <c r="C936" s="1"/>
      <c r="D936" s="3"/>
      <c r="E936" s="3"/>
      <c r="F936" s="1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>
      <c r="A937" s="1"/>
      <c r="B937" s="20"/>
      <c r="C937" s="1"/>
      <c r="D937" s="3"/>
      <c r="E937" s="3"/>
      <c r="F937" s="1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>
      <c r="A938" s="1"/>
      <c r="B938" s="20"/>
      <c r="C938" s="1"/>
      <c r="D938" s="3"/>
      <c r="E938" s="3"/>
      <c r="F938" s="1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>
      <c r="A939" s="1"/>
      <c r="B939" s="20"/>
      <c r="C939" s="1"/>
      <c r="D939" s="3"/>
      <c r="E939" s="3"/>
      <c r="F939" s="1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>
      <c r="A940" s="1"/>
      <c r="B940" s="20"/>
      <c r="C940" s="1"/>
      <c r="D940" s="3"/>
      <c r="E940" s="3"/>
      <c r="F940" s="1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>
      <c r="A941" s="1"/>
      <c r="B941" s="20"/>
      <c r="C941" s="1"/>
      <c r="D941" s="3"/>
      <c r="E941" s="3"/>
      <c r="F941" s="1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>
      <c r="A942" s="1"/>
      <c r="B942" s="20"/>
      <c r="C942" s="1"/>
      <c r="D942" s="3"/>
      <c r="E942" s="3"/>
      <c r="F942" s="1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>
      <c r="A943" s="1"/>
      <c r="B943" s="20"/>
      <c r="C943" s="1"/>
      <c r="D943" s="3"/>
      <c r="E943" s="3"/>
      <c r="F943" s="1"/>
      <c r="G943" s="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>
      <c r="A944" s="1"/>
      <c r="B944" s="20"/>
      <c r="C944" s="1"/>
      <c r="D944" s="3"/>
      <c r="E944" s="3"/>
      <c r="F944" s="1"/>
      <c r="G944" s="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>
      <c r="A945" s="1"/>
      <c r="B945" s="20"/>
      <c r="C945" s="1"/>
      <c r="D945" s="3"/>
      <c r="E945" s="3"/>
      <c r="F945" s="1"/>
      <c r="G945" s="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>
      <c r="A946" s="1"/>
      <c r="B946" s="20"/>
      <c r="C946" s="1"/>
      <c r="D946" s="3"/>
      <c r="E946" s="3"/>
      <c r="F946" s="1"/>
      <c r="G946" s="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>
      <c r="A947" s="1"/>
      <c r="B947" s="20"/>
      <c r="C947" s="1"/>
      <c r="D947" s="3"/>
      <c r="E947" s="3"/>
      <c r="F947" s="1"/>
      <c r="G947" s="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>
      <c r="A948" s="1"/>
      <c r="B948" s="20"/>
      <c r="C948" s="1"/>
      <c r="D948" s="3"/>
      <c r="E948" s="3"/>
      <c r="F948" s="1"/>
      <c r="G948" s="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>
      <c r="A949" s="1"/>
      <c r="B949" s="20"/>
      <c r="C949" s="1"/>
      <c r="D949" s="3"/>
      <c r="E949" s="3"/>
      <c r="F949" s="1"/>
      <c r="G949" s="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>
      <c r="A950" s="1"/>
      <c r="B950" s="20"/>
      <c r="C950" s="1"/>
      <c r="D950" s="3"/>
      <c r="E950" s="3"/>
      <c r="F950" s="1"/>
      <c r="G950" s="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>
      <c r="A951" s="1"/>
      <c r="B951" s="20"/>
      <c r="C951" s="1"/>
      <c r="D951" s="3"/>
      <c r="E951" s="3"/>
      <c r="F951" s="1"/>
      <c r="G951" s="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>
      <c r="A952" s="1"/>
      <c r="B952" s="20"/>
      <c r="C952" s="1"/>
      <c r="D952" s="3"/>
      <c r="E952" s="3"/>
      <c r="F952" s="1"/>
      <c r="G952" s="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>
      <c r="A953" s="1"/>
      <c r="B953" s="20"/>
      <c r="C953" s="1"/>
      <c r="D953" s="3"/>
      <c r="E953" s="3"/>
      <c r="F953" s="1"/>
      <c r="G953" s="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>
      <c r="A954" s="1"/>
      <c r="B954" s="20"/>
      <c r="C954" s="1"/>
      <c r="D954" s="3"/>
      <c r="E954" s="3"/>
      <c r="F954" s="1"/>
      <c r="G954" s="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>
      <c r="A955" s="1"/>
      <c r="B955" s="20"/>
      <c r="C955" s="1"/>
      <c r="D955" s="3"/>
      <c r="E955" s="3"/>
      <c r="F955" s="1"/>
      <c r="G955" s="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>
      <c r="A956" s="1"/>
      <c r="B956" s="20"/>
      <c r="C956" s="1"/>
      <c r="D956" s="3"/>
      <c r="E956" s="3"/>
      <c r="F956" s="1"/>
      <c r="G956" s="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>
      <c r="A957" s="1"/>
      <c r="B957" s="20"/>
      <c r="C957" s="1"/>
      <c r="D957" s="3"/>
      <c r="E957" s="3"/>
      <c r="F957" s="1"/>
      <c r="G957" s="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>
      <c r="A958" s="1"/>
      <c r="B958" s="20"/>
      <c r="C958" s="1"/>
      <c r="D958" s="3"/>
      <c r="E958" s="3"/>
      <c r="F958" s="1"/>
      <c r="G958" s="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>
      <c r="A959" s="1"/>
      <c r="B959" s="20"/>
      <c r="C959" s="1"/>
      <c r="D959" s="3"/>
      <c r="E959" s="3"/>
      <c r="F959" s="1"/>
      <c r="G959" s="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>
      <c r="A960" s="1"/>
      <c r="B960" s="20"/>
      <c r="C960" s="1"/>
      <c r="D960" s="3"/>
      <c r="E960" s="3"/>
      <c r="F960" s="1"/>
      <c r="G960" s="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>
      <c r="A961" s="1"/>
      <c r="B961" s="20"/>
      <c r="C961" s="1"/>
      <c r="D961" s="3"/>
      <c r="E961" s="3"/>
      <c r="F961" s="1"/>
      <c r="G961" s="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>
      <c r="A962" s="1"/>
      <c r="B962" s="20"/>
      <c r="C962" s="1"/>
      <c r="D962" s="3"/>
      <c r="E962" s="3"/>
      <c r="F962" s="1"/>
      <c r="G962" s="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>
      <c r="A963" s="1"/>
      <c r="B963" s="20"/>
      <c r="C963" s="1"/>
      <c r="D963" s="3"/>
      <c r="E963" s="3"/>
      <c r="F963" s="1"/>
      <c r="G963" s="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>
      <c r="A964" s="1"/>
      <c r="B964" s="20"/>
      <c r="C964" s="1"/>
      <c r="D964" s="3"/>
      <c r="E964" s="3"/>
      <c r="F964" s="1"/>
      <c r="G964" s="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>
      <c r="A965" s="1"/>
      <c r="B965" s="20"/>
      <c r="C965" s="1"/>
      <c r="D965" s="3"/>
      <c r="E965" s="3"/>
      <c r="F965" s="1"/>
      <c r="G965" s="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>
      <c r="A966" s="1"/>
      <c r="B966" s="20"/>
      <c r="C966" s="1"/>
      <c r="D966" s="3"/>
      <c r="E966" s="3"/>
      <c r="F966" s="1"/>
      <c r="G966" s="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>
      <c r="A967" s="1"/>
      <c r="B967" s="20"/>
      <c r="C967" s="1"/>
      <c r="D967" s="3"/>
      <c r="E967" s="3"/>
      <c r="F967" s="1"/>
      <c r="G967" s="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>
      <c r="A968" s="1"/>
      <c r="B968" s="20"/>
      <c r="C968" s="1"/>
      <c r="D968" s="3"/>
      <c r="E968" s="3"/>
      <c r="F968" s="1"/>
      <c r="G968" s="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>
      <c r="A969" s="1"/>
      <c r="B969" s="20"/>
      <c r="C969" s="1"/>
      <c r="D969" s="3"/>
      <c r="E969" s="3"/>
      <c r="F969" s="1"/>
      <c r="G969" s="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>
      <c r="A970" s="1"/>
      <c r="B970" s="20"/>
      <c r="C970" s="1"/>
      <c r="D970" s="3"/>
      <c r="E970" s="3"/>
      <c r="F970" s="1"/>
      <c r="G970" s="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>
      <c r="A971" s="1"/>
      <c r="B971" s="20"/>
      <c r="C971" s="1"/>
      <c r="D971" s="3"/>
      <c r="E971" s="3"/>
      <c r="F971" s="1"/>
      <c r="G971" s="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>
      <c r="A972" s="1"/>
      <c r="B972" s="20"/>
      <c r="C972" s="1"/>
      <c r="D972" s="3"/>
      <c r="E972" s="3"/>
      <c r="F972" s="1"/>
      <c r="G972" s="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>
      <c r="A973" s="1"/>
      <c r="B973" s="20"/>
      <c r="C973" s="1"/>
      <c r="D973" s="3"/>
      <c r="E973" s="3"/>
      <c r="F973" s="1"/>
      <c r="G973" s="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>
      <c r="A974" s="1"/>
      <c r="B974" s="20"/>
      <c r="C974" s="1"/>
      <c r="D974" s="3"/>
      <c r="E974" s="3"/>
      <c r="F974" s="1"/>
      <c r="G974" s="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>
      <c r="A975" s="1"/>
      <c r="B975" s="20"/>
      <c r="C975" s="1"/>
      <c r="D975" s="3"/>
      <c r="E975" s="3"/>
      <c r="F975" s="1"/>
      <c r="G975" s="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>
      <c r="A976" s="1"/>
      <c r="B976" s="20"/>
      <c r="C976" s="1"/>
      <c r="D976" s="3"/>
      <c r="E976" s="3"/>
      <c r="F976" s="1"/>
      <c r="G976" s="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>
      <c r="A977" s="1"/>
      <c r="B977" s="20"/>
      <c r="C977" s="1"/>
      <c r="D977" s="3"/>
      <c r="E977" s="3"/>
      <c r="F977" s="1"/>
      <c r="G977" s="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>
      <c r="A978" s="1"/>
      <c r="B978" s="20"/>
      <c r="C978" s="1"/>
      <c r="D978" s="3"/>
      <c r="E978" s="3"/>
      <c r="F978" s="1"/>
      <c r="G978" s="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>
      <c r="A979" s="1"/>
      <c r="B979" s="20"/>
      <c r="C979" s="1"/>
      <c r="D979" s="3"/>
      <c r="E979" s="3"/>
      <c r="F979" s="1"/>
      <c r="G979" s="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>
      <c r="A980" s="1"/>
      <c r="B980" s="20"/>
      <c r="C980" s="1"/>
      <c r="D980" s="3"/>
      <c r="E980" s="3"/>
      <c r="F980" s="1"/>
      <c r="G980" s="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>
      <c r="A981" s="1"/>
      <c r="B981" s="20"/>
      <c r="C981" s="1"/>
      <c r="D981" s="3"/>
      <c r="E981" s="3"/>
      <c r="F981" s="1"/>
      <c r="G981" s="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>
      <c r="A982" s="1"/>
      <c r="B982" s="20"/>
      <c r="C982" s="1"/>
      <c r="D982" s="3"/>
      <c r="E982" s="3"/>
      <c r="F982" s="1"/>
      <c r="G982" s="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>
      <c r="A983" s="1"/>
      <c r="B983" s="20"/>
      <c r="C983" s="1"/>
      <c r="D983" s="3"/>
      <c r="E983" s="3"/>
      <c r="F983" s="1"/>
      <c r="G983" s="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>
      <c r="A984" s="1"/>
      <c r="B984" s="20"/>
      <c r="C984" s="1"/>
      <c r="D984" s="3"/>
      <c r="E984" s="3"/>
      <c r="F984" s="1"/>
      <c r="G984" s="3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>
      <c r="A985" s="1"/>
      <c r="B985" s="20"/>
      <c r="C985" s="1"/>
      <c r="D985" s="3"/>
      <c r="E985" s="3"/>
      <c r="F985" s="1"/>
      <c r="G985" s="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>
      <c r="A986" s="1"/>
      <c r="B986" s="20"/>
      <c r="C986" s="1"/>
      <c r="D986" s="3"/>
      <c r="E986" s="3"/>
      <c r="F986" s="1"/>
      <c r="G986" s="3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>
      <c r="A987" s="1"/>
      <c r="B987" s="20"/>
      <c r="C987" s="1"/>
      <c r="D987" s="3"/>
      <c r="E987" s="3"/>
      <c r="F987" s="1"/>
      <c r="G987" s="3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>
      <c r="A988" s="1"/>
      <c r="B988" s="20"/>
      <c r="C988" s="1"/>
      <c r="D988" s="3"/>
      <c r="E988" s="3"/>
      <c r="F988" s="1"/>
      <c r="G988" s="3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>
      <c r="A989" s="1"/>
      <c r="B989" s="20"/>
      <c r="C989" s="1"/>
      <c r="D989" s="3"/>
      <c r="E989" s="3"/>
      <c r="F989" s="1"/>
      <c r="G989" s="3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>
      <c r="A990" s="1"/>
      <c r="B990" s="20"/>
      <c r="C990" s="1"/>
      <c r="D990" s="3"/>
      <c r="E990" s="3"/>
      <c r="F990" s="1"/>
      <c r="G990" s="3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>
      <c r="A991" s="1"/>
      <c r="B991" s="20"/>
      <c r="C991" s="1"/>
      <c r="D991" s="3"/>
      <c r="E991" s="3"/>
      <c r="F991" s="1"/>
      <c r="G991" s="3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>
      <c r="A992" s="1"/>
      <c r="B992" s="20"/>
      <c r="C992" s="1"/>
      <c r="D992" s="3"/>
      <c r="E992" s="3"/>
      <c r="F992" s="1"/>
      <c r="G992" s="3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>
      <c r="A993" s="1"/>
      <c r="B993" s="20"/>
      <c r="C993" s="1"/>
      <c r="D993" s="3"/>
      <c r="E993" s="3"/>
      <c r="F993" s="1"/>
      <c r="G993" s="3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>
      <c r="A994" s="1"/>
      <c r="B994" s="20"/>
      <c r="C994" s="1"/>
      <c r="D994" s="3"/>
      <c r="E994" s="3"/>
      <c r="F994" s="1"/>
      <c r="G994" s="3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>
      <c r="A995" s="1"/>
      <c r="B995" s="20"/>
      <c r="C995" s="1"/>
      <c r="D995" s="3"/>
      <c r="E995" s="3"/>
      <c r="F995" s="1"/>
      <c r="G995" s="3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>
      <c r="A996" s="1"/>
      <c r="B996" s="20"/>
      <c r="C996" s="1"/>
      <c r="D996" s="3"/>
      <c r="E996" s="3"/>
      <c r="F996" s="1"/>
      <c r="G996" s="3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>
      <c r="A997" s="1"/>
      <c r="B997" s="20"/>
      <c r="C997" s="1"/>
      <c r="D997" s="3"/>
      <c r="E997" s="3"/>
      <c r="F997" s="1"/>
      <c r="G997" s="3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>
      <c r="A998" s="1"/>
      <c r="B998" s="20"/>
      <c r="C998" s="1"/>
      <c r="D998" s="3"/>
      <c r="E998" s="3"/>
      <c r="F998" s="1"/>
      <c r="G998" s="3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>
      <c r="A999" s="1"/>
      <c r="B999" s="20"/>
      <c r="C999" s="1"/>
      <c r="D999" s="3"/>
      <c r="E999" s="3"/>
      <c r="F999" s="1"/>
      <c r="G999" s="3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>
      <c r="A1000" s="1"/>
      <c r="B1000" s="20"/>
      <c r="C1000" s="1"/>
      <c r="D1000" s="3"/>
      <c r="E1000" s="3"/>
      <c r="F1000" s="1"/>
      <c r="G1000" s="3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>
      <c r="A1001" s="1"/>
      <c r="B1001" s="20"/>
      <c r="C1001" s="1"/>
      <c r="D1001" s="3"/>
      <c r="E1001" s="3"/>
      <c r="F1001" s="1"/>
      <c r="G1001" s="3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>
      <c r="A1002" s="1"/>
      <c r="B1002" s="20"/>
      <c r="C1002" s="1"/>
      <c r="D1002" s="3"/>
      <c r="E1002" s="3"/>
      <c r="F1002" s="1"/>
      <c r="G1002" s="3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>
      <c r="A1003" s="1"/>
      <c r="B1003" s="20"/>
      <c r="C1003" s="1"/>
      <c r="D1003" s="3"/>
      <c r="E1003" s="3"/>
      <c r="F1003" s="1"/>
      <c r="G1003" s="3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>
      <c r="A1004" s="1"/>
      <c r="B1004" s="20"/>
      <c r="C1004" s="1"/>
      <c r="D1004" s="3"/>
      <c r="E1004" s="3"/>
      <c r="F1004" s="1"/>
      <c r="G1004" s="3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  <row r="1005">
      <c r="A1005" s="1"/>
      <c r="B1005" s="20"/>
      <c r="C1005" s="1"/>
      <c r="D1005" s="3"/>
      <c r="E1005" s="3"/>
      <c r="F1005" s="1"/>
      <c r="G1005" s="3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</row>
    <row r="1006">
      <c r="A1006" s="1"/>
      <c r="B1006" s="20"/>
      <c r="C1006" s="1"/>
      <c r="D1006" s="3"/>
      <c r="E1006" s="3"/>
      <c r="F1006" s="1"/>
      <c r="G1006" s="3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</row>
    <row r="1007">
      <c r="A1007" s="1"/>
      <c r="B1007" s="20"/>
      <c r="C1007" s="1"/>
      <c r="D1007" s="3"/>
      <c r="E1007" s="3"/>
      <c r="F1007" s="1"/>
      <c r="G1007" s="3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</row>
    <row r="1008">
      <c r="A1008" s="1"/>
      <c r="B1008" s="20"/>
      <c r="C1008" s="1"/>
      <c r="D1008" s="3"/>
      <c r="E1008" s="3"/>
      <c r="F1008" s="1"/>
      <c r="G1008" s="3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</row>
    <row r="1009">
      <c r="A1009" s="1"/>
      <c r="B1009" s="20"/>
      <c r="C1009" s="1"/>
      <c r="D1009" s="3"/>
      <c r="E1009" s="3"/>
      <c r="F1009" s="1"/>
      <c r="G1009" s="3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</row>
    <row r="1010">
      <c r="A1010" s="1"/>
      <c r="B1010" s="20"/>
      <c r="C1010" s="1"/>
      <c r="D1010" s="3"/>
      <c r="E1010" s="3"/>
      <c r="F1010" s="1"/>
      <c r="G1010" s="3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</row>
    <row r="1011">
      <c r="A1011" s="1"/>
      <c r="B1011" s="20"/>
      <c r="C1011" s="1"/>
      <c r="D1011" s="3"/>
      <c r="E1011" s="3"/>
      <c r="F1011" s="1"/>
      <c r="G1011" s="3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</row>
    <row r="1012">
      <c r="A1012" s="1"/>
      <c r="B1012" s="20"/>
      <c r="C1012" s="1"/>
      <c r="D1012" s="3"/>
      <c r="E1012" s="3"/>
      <c r="F1012" s="1"/>
      <c r="G1012" s="3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</row>
    <row r="1013">
      <c r="A1013" s="1"/>
      <c r="B1013" s="20"/>
      <c r="C1013" s="1"/>
      <c r="D1013" s="3"/>
      <c r="E1013" s="3"/>
      <c r="F1013" s="1"/>
      <c r="G1013" s="3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</row>
    <row r="1014">
      <c r="A1014" s="1"/>
      <c r="B1014" s="20"/>
      <c r="C1014" s="1"/>
      <c r="D1014" s="3"/>
      <c r="E1014" s="3"/>
      <c r="F1014" s="1"/>
      <c r="G1014" s="3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</row>
    <row r="1015">
      <c r="A1015" s="1"/>
      <c r="B1015" s="20"/>
      <c r="C1015" s="1"/>
      <c r="D1015" s="3"/>
      <c r="E1015" s="3"/>
      <c r="F1015" s="1"/>
      <c r="G1015" s="3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</row>
    <row r="1016">
      <c r="A1016" s="1"/>
      <c r="B1016" s="20"/>
      <c r="C1016" s="1"/>
      <c r="D1016" s="3"/>
      <c r="E1016" s="3"/>
      <c r="F1016" s="1"/>
      <c r="G1016" s="3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</row>
    <row r="1017">
      <c r="A1017" s="1"/>
      <c r="B1017" s="20"/>
      <c r="C1017" s="1"/>
      <c r="D1017" s="3"/>
      <c r="E1017" s="3"/>
      <c r="F1017" s="1"/>
      <c r="G1017" s="3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</row>
    <row r="1018">
      <c r="A1018" s="1"/>
      <c r="B1018" s="20"/>
      <c r="C1018" s="1"/>
      <c r="D1018" s="3"/>
      <c r="E1018" s="3"/>
      <c r="F1018" s="1"/>
      <c r="G1018" s="3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</row>
    <row r="1019">
      <c r="A1019" s="1"/>
      <c r="B1019" s="20"/>
      <c r="C1019" s="1"/>
      <c r="D1019" s="3"/>
      <c r="E1019" s="3"/>
      <c r="F1019" s="1"/>
      <c r="G1019" s="3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</row>
    <row r="1020">
      <c r="A1020" s="1"/>
      <c r="B1020" s="20"/>
      <c r="C1020" s="1"/>
      <c r="D1020" s="3"/>
      <c r="E1020" s="3"/>
      <c r="F1020" s="1"/>
      <c r="G1020" s="3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</row>
    <row r="1021">
      <c r="A1021" s="1"/>
      <c r="B1021" s="20"/>
      <c r="C1021" s="1"/>
      <c r="D1021" s="3"/>
      <c r="E1021" s="3"/>
      <c r="F1021" s="1"/>
      <c r="G1021" s="3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</row>
    <row r="1022">
      <c r="A1022" s="1"/>
      <c r="B1022" s="20"/>
      <c r="C1022" s="1"/>
      <c r="D1022" s="3"/>
      <c r="E1022" s="3"/>
      <c r="F1022" s="1"/>
      <c r="G1022" s="3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</row>
    <row r="1023">
      <c r="A1023" s="1"/>
      <c r="B1023" s="20"/>
      <c r="C1023" s="1"/>
      <c r="D1023" s="3"/>
      <c r="E1023" s="3"/>
      <c r="F1023" s="1"/>
      <c r="G1023" s="3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</row>
    <row r="1024">
      <c r="A1024" s="1"/>
      <c r="B1024" s="20"/>
      <c r="C1024" s="1"/>
      <c r="D1024" s="3"/>
      <c r="E1024" s="3"/>
      <c r="F1024" s="1"/>
      <c r="G1024" s="3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</row>
    <row r="1025">
      <c r="A1025" s="1"/>
      <c r="B1025" s="20"/>
      <c r="C1025" s="1"/>
      <c r="D1025" s="3"/>
      <c r="E1025" s="3"/>
      <c r="F1025" s="1"/>
      <c r="G1025" s="3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</row>
    <row r="1026">
      <c r="A1026" s="1"/>
      <c r="B1026" s="20"/>
      <c r="C1026" s="1"/>
      <c r="D1026" s="3"/>
      <c r="E1026" s="3"/>
      <c r="F1026" s="1"/>
      <c r="G1026" s="3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</row>
    <row r="1027">
      <c r="A1027" s="1"/>
      <c r="B1027" s="20"/>
      <c r="C1027" s="1"/>
      <c r="D1027" s="3"/>
      <c r="E1027" s="3"/>
      <c r="F1027" s="1"/>
      <c r="G1027" s="3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</row>
    <row r="1028">
      <c r="A1028" s="1"/>
      <c r="B1028" s="20"/>
      <c r="C1028" s="1"/>
      <c r="D1028" s="3"/>
      <c r="E1028" s="3"/>
      <c r="F1028" s="1"/>
      <c r="G1028" s="3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</row>
    <row r="1029">
      <c r="A1029" s="1"/>
      <c r="B1029" s="20"/>
      <c r="C1029" s="1"/>
      <c r="D1029" s="3"/>
      <c r="E1029" s="3"/>
      <c r="F1029" s="1"/>
      <c r="G1029" s="3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</row>
    <row r="1030">
      <c r="A1030" s="1"/>
      <c r="B1030" s="20"/>
      <c r="C1030" s="1"/>
      <c r="D1030" s="3"/>
      <c r="E1030" s="3"/>
      <c r="F1030" s="1"/>
      <c r="G1030" s="3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</row>
    <row r="1031">
      <c r="A1031" s="1"/>
      <c r="B1031" s="20"/>
      <c r="C1031" s="1"/>
      <c r="D1031" s="3"/>
      <c r="E1031" s="3"/>
      <c r="F1031" s="1"/>
      <c r="G1031" s="3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</row>
    <row r="1032">
      <c r="A1032" s="1"/>
      <c r="B1032" s="20"/>
      <c r="C1032" s="1"/>
      <c r="D1032" s="3"/>
      <c r="E1032" s="3"/>
      <c r="F1032" s="1"/>
      <c r="G1032" s="3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</row>
    <row r="1033">
      <c r="A1033" s="1"/>
      <c r="B1033" s="20"/>
      <c r="C1033" s="1"/>
      <c r="D1033" s="3"/>
      <c r="E1033" s="3"/>
      <c r="F1033" s="1"/>
      <c r="G1033" s="3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</row>
    <row r="1034">
      <c r="A1034" s="1"/>
      <c r="B1034" s="20"/>
      <c r="C1034" s="1"/>
      <c r="D1034" s="3"/>
      <c r="E1034" s="3"/>
      <c r="F1034" s="1"/>
      <c r="G1034" s="3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</row>
    <row r="1035">
      <c r="A1035" s="1"/>
      <c r="B1035" s="20"/>
      <c r="C1035" s="1"/>
      <c r="D1035" s="3"/>
      <c r="E1035" s="3"/>
      <c r="F1035" s="1"/>
      <c r="G1035" s="3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</row>
    <row r="1036">
      <c r="A1036" s="1"/>
      <c r="B1036" s="20"/>
      <c r="C1036" s="1"/>
      <c r="D1036" s="3"/>
      <c r="E1036" s="3"/>
      <c r="F1036" s="1"/>
      <c r="G1036" s="3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</row>
    <row r="1037">
      <c r="A1037" s="1"/>
      <c r="B1037" s="20"/>
      <c r="C1037" s="1"/>
      <c r="D1037" s="3"/>
      <c r="E1037" s="3"/>
      <c r="F1037" s="1"/>
      <c r="G1037" s="3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</row>
    <row r="1038">
      <c r="A1038" s="1"/>
      <c r="B1038" s="20"/>
      <c r="C1038" s="1"/>
      <c r="D1038" s="3"/>
      <c r="E1038" s="3"/>
      <c r="F1038" s="1"/>
      <c r="G1038" s="3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</row>
    <row r="1039">
      <c r="A1039" s="1"/>
      <c r="B1039" s="20"/>
      <c r="C1039" s="1"/>
      <c r="D1039" s="3"/>
      <c r="E1039" s="3"/>
      <c r="F1039" s="1"/>
      <c r="G1039" s="3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</row>
    <row r="1040">
      <c r="A1040" s="1"/>
      <c r="B1040" s="20"/>
      <c r="C1040" s="1"/>
      <c r="D1040" s="3"/>
      <c r="E1040" s="3"/>
      <c r="F1040" s="1"/>
      <c r="G1040" s="3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</row>
    <row r="1041">
      <c r="A1041" s="1"/>
      <c r="B1041" s="20"/>
      <c r="C1041" s="1"/>
      <c r="D1041" s="3"/>
      <c r="E1041" s="3"/>
      <c r="F1041" s="1"/>
      <c r="G1041" s="3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</row>
    <row r="1042">
      <c r="A1042" s="1"/>
      <c r="B1042" s="20"/>
      <c r="C1042" s="1"/>
      <c r="D1042" s="3"/>
      <c r="E1042" s="3"/>
      <c r="F1042" s="1"/>
      <c r="G1042" s="3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</row>
    <row r="1043">
      <c r="A1043" s="1"/>
      <c r="B1043" s="20"/>
      <c r="C1043" s="1"/>
      <c r="D1043" s="3"/>
      <c r="E1043" s="3"/>
      <c r="F1043" s="1"/>
      <c r="G1043" s="3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</row>
    <row r="1044">
      <c r="A1044" s="1"/>
      <c r="B1044" s="20"/>
      <c r="C1044" s="1"/>
      <c r="D1044" s="3"/>
      <c r="E1044" s="3"/>
      <c r="F1044" s="1"/>
      <c r="G1044" s="3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</row>
    <row r="1045">
      <c r="A1045" s="1"/>
      <c r="B1045" s="20"/>
      <c r="C1045" s="1"/>
      <c r="D1045" s="3"/>
      <c r="E1045" s="3"/>
      <c r="F1045" s="1"/>
      <c r="G1045" s="3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</row>
    <row r="1046">
      <c r="A1046" s="1"/>
      <c r="B1046" s="20"/>
      <c r="C1046" s="1"/>
      <c r="D1046" s="3"/>
      <c r="E1046" s="3"/>
      <c r="F1046" s="1"/>
      <c r="G1046" s="3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</row>
    <row r="1047">
      <c r="A1047" s="1"/>
      <c r="B1047" s="20"/>
      <c r="C1047" s="1"/>
      <c r="D1047" s="3"/>
      <c r="E1047" s="3"/>
      <c r="F1047" s="1"/>
      <c r="G1047" s="3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</row>
    <row r="1048">
      <c r="A1048" s="1"/>
      <c r="B1048" s="20"/>
      <c r="C1048" s="1"/>
      <c r="D1048" s="3"/>
      <c r="E1048" s="3"/>
      <c r="F1048" s="1"/>
      <c r="G1048" s="3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</row>
    <row r="1049">
      <c r="A1049" s="1"/>
      <c r="B1049" s="20"/>
      <c r="C1049" s="1"/>
      <c r="D1049" s="3"/>
      <c r="E1049" s="3"/>
      <c r="F1049" s="1"/>
      <c r="G1049" s="3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</row>
    <row r="1050">
      <c r="A1050" s="1"/>
      <c r="B1050" s="20"/>
      <c r="C1050" s="1"/>
      <c r="D1050" s="3"/>
      <c r="E1050" s="3"/>
      <c r="F1050" s="1"/>
      <c r="G1050" s="3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</row>
    <row r="1051">
      <c r="A1051" s="1"/>
      <c r="B1051" s="20"/>
      <c r="C1051" s="1"/>
      <c r="D1051" s="3"/>
      <c r="E1051" s="3"/>
      <c r="F1051" s="1"/>
      <c r="G1051" s="3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</row>
    <row r="1052">
      <c r="A1052" s="1"/>
      <c r="B1052" s="20"/>
      <c r="C1052" s="1"/>
      <c r="D1052" s="3"/>
      <c r="E1052" s="3"/>
      <c r="F1052" s="1"/>
      <c r="G1052" s="3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</row>
    <row r="1053">
      <c r="A1053" s="1"/>
      <c r="B1053" s="20"/>
      <c r="C1053" s="1"/>
      <c r="D1053" s="3"/>
      <c r="E1053" s="3"/>
      <c r="F1053" s="1"/>
      <c r="G1053" s="3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</row>
    <row r="1054">
      <c r="A1054" s="1"/>
      <c r="B1054" s="20"/>
      <c r="C1054" s="1"/>
      <c r="D1054" s="3"/>
      <c r="E1054" s="3"/>
      <c r="F1054" s="1"/>
      <c r="G1054" s="3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</row>
    <row r="1055">
      <c r="A1055" s="1"/>
      <c r="B1055" s="20"/>
      <c r="C1055" s="1"/>
      <c r="D1055" s="3"/>
      <c r="E1055" s="3"/>
      <c r="F1055" s="1"/>
      <c r="G1055" s="3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</row>
    <row r="1056">
      <c r="A1056" s="1"/>
      <c r="B1056" s="20"/>
      <c r="C1056" s="1"/>
      <c r="D1056" s="3"/>
      <c r="E1056" s="3"/>
      <c r="F1056" s="1"/>
      <c r="G1056" s="3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</row>
    <row r="1057">
      <c r="A1057" s="1"/>
      <c r="B1057" s="20"/>
      <c r="C1057" s="1"/>
      <c r="D1057" s="3"/>
      <c r="E1057" s="3"/>
      <c r="F1057" s="1"/>
      <c r="G1057" s="3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</row>
    <row r="1058">
      <c r="A1058" s="1"/>
      <c r="B1058" s="20"/>
      <c r="C1058" s="1"/>
      <c r="D1058" s="3"/>
      <c r="E1058" s="3"/>
      <c r="F1058" s="1"/>
      <c r="G1058" s="3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</row>
    <row r="1059">
      <c r="A1059" s="1"/>
      <c r="B1059" s="20"/>
      <c r="C1059" s="1"/>
      <c r="D1059" s="3"/>
      <c r="E1059" s="3"/>
      <c r="F1059" s="1"/>
      <c r="G1059" s="3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</row>
    <row r="1060">
      <c r="A1060" s="1"/>
      <c r="B1060" s="20"/>
      <c r="C1060" s="1"/>
      <c r="D1060" s="3"/>
      <c r="E1060" s="3"/>
      <c r="F1060" s="1"/>
      <c r="G1060" s="3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</row>
    <row r="1061">
      <c r="A1061" s="1"/>
      <c r="B1061" s="20"/>
      <c r="C1061" s="1"/>
      <c r="D1061" s="3"/>
      <c r="E1061" s="3"/>
      <c r="F1061" s="1"/>
      <c r="G1061" s="3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</row>
    <row r="1062">
      <c r="A1062" s="1"/>
      <c r="B1062" s="20"/>
      <c r="C1062" s="1"/>
      <c r="D1062" s="3"/>
      <c r="E1062" s="3"/>
      <c r="F1062" s="1"/>
      <c r="G1062" s="3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</row>
    <row r="1063">
      <c r="A1063" s="1"/>
      <c r="B1063" s="20"/>
      <c r="C1063" s="1"/>
      <c r="D1063" s="3"/>
      <c r="E1063" s="3"/>
      <c r="F1063" s="1"/>
      <c r="G1063" s="3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</row>
    <row r="1064">
      <c r="A1064" s="1"/>
      <c r="B1064" s="20"/>
      <c r="C1064" s="1"/>
      <c r="D1064" s="3"/>
      <c r="E1064" s="3"/>
      <c r="F1064" s="1"/>
      <c r="G1064" s="3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</row>
    <row r="1065">
      <c r="A1065" s="1"/>
      <c r="B1065" s="20"/>
      <c r="C1065" s="1"/>
      <c r="D1065" s="3"/>
      <c r="E1065" s="3"/>
      <c r="F1065" s="1"/>
      <c r="G1065" s="3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</row>
    <row r="1066">
      <c r="A1066" s="1"/>
      <c r="B1066" s="20"/>
      <c r="C1066" s="1"/>
      <c r="D1066" s="3"/>
      <c r="E1066" s="3"/>
      <c r="F1066" s="1"/>
      <c r="G1066" s="3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</row>
    <row r="1067">
      <c r="A1067" s="1"/>
      <c r="B1067" s="20"/>
      <c r="C1067" s="1"/>
      <c r="D1067" s="3"/>
      <c r="E1067" s="3"/>
      <c r="F1067" s="1"/>
      <c r="G1067" s="3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</row>
    <row r="1068">
      <c r="A1068" s="1"/>
      <c r="B1068" s="20"/>
      <c r="C1068" s="1"/>
      <c r="D1068" s="3"/>
      <c r="E1068" s="3"/>
      <c r="F1068" s="1"/>
      <c r="G1068" s="3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</row>
    <row r="1069">
      <c r="A1069" s="1"/>
      <c r="B1069" s="20"/>
      <c r="C1069" s="1"/>
      <c r="D1069" s="3"/>
      <c r="E1069" s="3"/>
      <c r="F1069" s="1"/>
      <c r="G1069" s="3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</row>
    <row r="1070">
      <c r="A1070" s="1"/>
      <c r="B1070" s="20"/>
      <c r="C1070" s="1"/>
      <c r="D1070" s="3"/>
      <c r="E1070" s="3"/>
      <c r="F1070" s="1"/>
      <c r="G1070" s="3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</row>
    <row r="1071">
      <c r="A1071" s="1"/>
      <c r="B1071" s="20"/>
      <c r="C1071" s="1"/>
      <c r="D1071" s="3"/>
      <c r="E1071" s="3"/>
      <c r="F1071" s="1"/>
      <c r="G1071" s="3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</row>
    <row r="1072">
      <c r="A1072" s="1"/>
      <c r="B1072" s="20"/>
      <c r="C1072" s="1"/>
      <c r="D1072" s="3"/>
      <c r="E1072" s="3"/>
      <c r="F1072" s="1"/>
      <c r="G1072" s="3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</row>
    <row r="1073">
      <c r="A1073" s="1"/>
      <c r="B1073" s="20"/>
      <c r="C1073" s="1"/>
      <c r="D1073" s="3"/>
      <c r="E1073" s="3"/>
      <c r="F1073" s="1"/>
      <c r="G1073" s="3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</row>
    <row r="1074">
      <c r="A1074" s="1"/>
      <c r="B1074" s="20"/>
      <c r="C1074" s="1"/>
      <c r="D1074" s="3"/>
      <c r="E1074" s="3"/>
      <c r="F1074" s="1"/>
      <c r="G1074" s="3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</row>
    <row r="1075">
      <c r="A1075" s="1"/>
      <c r="B1075" s="20"/>
      <c r="C1075" s="1"/>
      <c r="D1075" s="3"/>
      <c r="E1075" s="3"/>
      <c r="F1075" s="1"/>
      <c r="G1075" s="3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</row>
    <row r="1076">
      <c r="A1076" s="1"/>
      <c r="B1076" s="20"/>
      <c r="C1076" s="1"/>
      <c r="D1076" s="3"/>
      <c r="E1076" s="3"/>
      <c r="F1076" s="1"/>
      <c r="G1076" s="3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</row>
    <row r="1077">
      <c r="A1077" s="1"/>
      <c r="B1077" s="20"/>
      <c r="C1077" s="1"/>
      <c r="D1077" s="3"/>
      <c r="E1077" s="3"/>
      <c r="F1077" s="1"/>
      <c r="G1077" s="3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</row>
    <row r="1078">
      <c r="A1078" s="1"/>
      <c r="B1078" s="20"/>
      <c r="C1078" s="1"/>
      <c r="D1078" s="3"/>
      <c r="E1078" s="3"/>
      <c r="F1078" s="1"/>
      <c r="G1078" s="3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</row>
    <row r="1079">
      <c r="A1079" s="1"/>
      <c r="B1079" s="20"/>
      <c r="C1079" s="1"/>
      <c r="D1079" s="3"/>
      <c r="E1079" s="3"/>
      <c r="F1079" s="1"/>
      <c r="G1079" s="3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</row>
    <row r="1080">
      <c r="A1080" s="1"/>
      <c r="B1080" s="20"/>
      <c r="C1080" s="1"/>
      <c r="D1080" s="3"/>
      <c r="E1080" s="3"/>
      <c r="F1080" s="1"/>
      <c r="G1080" s="3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</row>
    <row r="1081">
      <c r="A1081" s="1"/>
      <c r="B1081" s="20"/>
      <c r="C1081" s="1"/>
      <c r="D1081" s="3"/>
      <c r="E1081" s="3"/>
      <c r="F1081" s="1"/>
      <c r="G1081" s="3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</row>
    <row r="1082">
      <c r="A1082" s="1"/>
      <c r="B1082" s="20"/>
      <c r="C1082" s="1"/>
      <c r="D1082" s="3"/>
      <c r="E1082" s="3"/>
      <c r="F1082" s="1"/>
      <c r="G1082" s="3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</row>
    <row r="1083">
      <c r="A1083" s="1"/>
      <c r="B1083" s="20"/>
      <c r="C1083" s="1"/>
      <c r="D1083" s="3"/>
      <c r="E1083" s="3"/>
      <c r="F1083" s="1"/>
      <c r="G1083" s="3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</row>
    <row r="1084">
      <c r="A1084" s="1"/>
      <c r="B1084" s="20"/>
      <c r="C1084" s="1"/>
      <c r="D1084" s="3"/>
      <c r="E1084" s="3"/>
      <c r="F1084" s="1"/>
      <c r="G1084" s="3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</row>
    <row r="1085">
      <c r="A1085" s="1"/>
      <c r="B1085" s="20"/>
      <c r="C1085" s="1"/>
      <c r="D1085" s="3"/>
      <c r="E1085" s="3"/>
      <c r="F1085" s="1"/>
      <c r="G1085" s="3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</row>
    <row r="1086">
      <c r="A1086" s="1"/>
      <c r="B1086" s="20"/>
      <c r="C1086" s="1"/>
      <c r="D1086" s="3"/>
      <c r="E1086" s="3"/>
      <c r="F1086" s="1"/>
      <c r="G1086" s="3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</row>
    <row r="1087">
      <c r="A1087" s="1"/>
      <c r="B1087" s="20"/>
      <c r="C1087" s="1"/>
      <c r="D1087" s="3"/>
      <c r="E1087" s="3"/>
      <c r="F1087" s="1"/>
      <c r="G1087" s="3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</row>
    <row r="1088">
      <c r="A1088" s="1"/>
      <c r="B1088" s="20"/>
      <c r="C1088" s="1"/>
      <c r="D1088" s="3"/>
      <c r="E1088" s="3"/>
      <c r="F1088" s="1"/>
      <c r="G1088" s="3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</row>
    <row r="1089">
      <c r="A1089" s="1"/>
      <c r="B1089" s="20"/>
      <c r="C1089" s="1"/>
      <c r="D1089" s="3"/>
      <c r="E1089" s="3"/>
      <c r="F1089" s="1"/>
      <c r="G1089" s="3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</row>
    <row r="1090">
      <c r="A1090" s="1"/>
      <c r="B1090" s="20"/>
      <c r="C1090" s="1"/>
      <c r="D1090" s="3"/>
      <c r="E1090" s="3"/>
      <c r="F1090" s="1"/>
      <c r="G1090" s="3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</row>
    <row r="1091">
      <c r="A1091" s="1"/>
      <c r="B1091" s="20"/>
      <c r="C1091" s="1"/>
      <c r="D1091" s="3"/>
      <c r="E1091" s="3"/>
      <c r="F1091" s="1"/>
      <c r="G1091" s="3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</row>
    <row r="1092">
      <c r="A1092" s="1"/>
      <c r="B1092" s="20"/>
      <c r="C1092" s="1"/>
      <c r="D1092" s="3"/>
      <c r="E1092" s="3"/>
      <c r="F1092" s="1"/>
      <c r="G1092" s="3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</row>
    <row r="1093">
      <c r="A1093" s="1"/>
      <c r="B1093" s="20"/>
      <c r="C1093" s="1"/>
      <c r="D1093" s="3"/>
      <c r="E1093" s="3"/>
      <c r="F1093" s="1"/>
      <c r="G1093" s="3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</row>
    <row r="1094">
      <c r="A1094" s="1"/>
      <c r="B1094" s="20"/>
      <c r="C1094" s="1"/>
      <c r="D1094" s="3"/>
      <c r="E1094" s="3"/>
      <c r="F1094" s="1"/>
      <c r="G1094" s="3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</row>
    <row r="1095">
      <c r="A1095" s="1"/>
      <c r="B1095" s="20"/>
      <c r="C1095" s="1"/>
      <c r="D1095" s="3"/>
      <c r="E1095" s="3"/>
      <c r="F1095" s="1"/>
      <c r="G1095" s="3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</row>
    <row r="1096">
      <c r="A1096" s="1"/>
      <c r="B1096" s="20"/>
      <c r="C1096" s="1"/>
      <c r="D1096" s="3"/>
      <c r="E1096" s="3"/>
      <c r="F1096" s="1"/>
      <c r="G1096" s="3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</row>
    <row r="1097">
      <c r="A1097" s="1"/>
      <c r="B1097" s="20"/>
      <c r="C1097" s="1"/>
      <c r="D1097" s="3"/>
      <c r="E1097" s="3"/>
      <c r="F1097" s="1"/>
      <c r="G1097" s="3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</row>
    <row r="1098">
      <c r="A1098" s="1"/>
      <c r="B1098" s="20"/>
      <c r="C1098" s="1"/>
      <c r="D1098" s="3"/>
      <c r="E1098" s="3"/>
      <c r="F1098" s="1"/>
      <c r="G1098" s="3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</row>
    <row r="1099">
      <c r="A1099" s="1"/>
      <c r="B1099" s="20"/>
      <c r="C1099" s="1"/>
      <c r="D1099" s="3"/>
      <c r="E1099" s="3"/>
      <c r="F1099" s="1"/>
      <c r="G1099" s="3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</row>
    <row r="1100">
      <c r="A1100" s="1"/>
      <c r="B1100" s="20"/>
      <c r="C1100" s="1"/>
      <c r="D1100" s="3"/>
      <c r="E1100" s="3"/>
      <c r="F1100" s="1"/>
      <c r="G1100" s="3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</row>
    <row r="1101">
      <c r="A1101" s="1"/>
      <c r="B1101" s="20"/>
      <c r="C1101" s="1"/>
      <c r="D1101" s="3"/>
      <c r="E1101" s="3"/>
      <c r="F1101" s="1"/>
      <c r="G1101" s="3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</row>
    <row r="1102">
      <c r="A1102" s="1"/>
      <c r="B1102" s="20"/>
      <c r="C1102" s="1"/>
      <c r="D1102" s="3"/>
      <c r="E1102" s="3"/>
      <c r="F1102" s="1"/>
      <c r="G1102" s="3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</row>
    <row r="1103">
      <c r="A1103" s="1"/>
      <c r="B1103" s="20"/>
      <c r="C1103" s="1"/>
      <c r="D1103" s="3"/>
      <c r="E1103" s="3"/>
      <c r="F1103" s="1"/>
      <c r="G1103" s="3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</row>
    <row r="1104">
      <c r="A1104" s="1"/>
      <c r="B1104" s="20"/>
      <c r="C1104" s="1"/>
      <c r="D1104" s="3"/>
      <c r="E1104" s="3"/>
      <c r="F1104" s="1"/>
      <c r="G1104" s="3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</row>
    <row r="1105">
      <c r="A1105" s="1"/>
      <c r="B1105" s="20"/>
      <c r="C1105" s="1"/>
      <c r="D1105" s="3"/>
      <c r="E1105" s="3"/>
      <c r="F1105" s="1"/>
      <c r="G1105" s="3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</row>
    <row r="1106">
      <c r="A1106" s="1"/>
      <c r="B1106" s="20"/>
      <c r="C1106" s="1"/>
      <c r="D1106" s="3"/>
      <c r="E1106" s="3"/>
      <c r="F1106" s="1"/>
      <c r="G1106" s="3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</row>
    <row r="1107">
      <c r="A1107" s="1"/>
      <c r="B1107" s="20"/>
      <c r="C1107" s="1"/>
      <c r="D1107" s="3"/>
      <c r="E1107" s="3"/>
      <c r="F1107" s="1"/>
      <c r="G1107" s="3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</row>
    <row r="1108">
      <c r="A1108" s="1"/>
      <c r="B1108" s="20"/>
      <c r="C1108" s="1"/>
      <c r="D1108" s="3"/>
      <c r="E1108" s="3"/>
      <c r="F1108" s="1"/>
      <c r="G1108" s="3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</row>
    <row r="1109">
      <c r="A1109" s="1"/>
      <c r="B1109" s="20"/>
      <c r="C1109" s="1"/>
      <c r="D1109" s="3"/>
      <c r="E1109" s="3"/>
      <c r="F1109" s="1"/>
      <c r="G1109" s="3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</row>
    <row r="1110">
      <c r="A1110" s="1"/>
      <c r="B1110" s="20"/>
      <c r="C1110" s="1"/>
      <c r="D1110" s="3"/>
      <c r="E1110" s="3"/>
      <c r="F1110" s="1"/>
      <c r="G1110" s="3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</row>
    <row r="1111">
      <c r="A1111" s="1"/>
      <c r="B1111" s="20"/>
      <c r="C1111" s="1"/>
      <c r="D1111" s="3"/>
      <c r="E1111" s="3"/>
      <c r="F1111" s="1"/>
      <c r="G1111" s="3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</row>
    <row r="1112">
      <c r="A1112" s="1"/>
      <c r="B1112" s="20"/>
      <c r="C1112" s="1"/>
      <c r="D1112" s="3"/>
      <c r="E1112" s="3"/>
      <c r="F1112" s="1"/>
      <c r="G1112" s="3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</row>
    <row r="1113">
      <c r="A1113" s="1"/>
      <c r="B1113" s="20"/>
      <c r="C1113" s="1"/>
      <c r="D1113" s="3"/>
      <c r="E1113" s="3"/>
      <c r="F1113" s="1"/>
      <c r="G1113" s="3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</row>
    <row r="1114">
      <c r="A1114" s="1"/>
      <c r="B1114" s="20"/>
      <c r="C1114" s="1"/>
      <c r="D1114" s="3"/>
      <c r="E1114" s="3"/>
      <c r="F1114" s="1"/>
      <c r="G1114" s="3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</row>
    <row r="1115">
      <c r="A1115" s="1"/>
      <c r="B1115" s="20"/>
      <c r="C1115" s="1"/>
      <c r="D1115" s="3"/>
      <c r="E1115" s="3"/>
      <c r="F1115" s="1"/>
      <c r="G1115" s="3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</row>
    <row r="1116">
      <c r="A1116" s="1"/>
      <c r="B1116" s="20"/>
      <c r="C1116" s="1"/>
      <c r="D1116" s="3"/>
      <c r="E1116" s="3"/>
      <c r="F1116" s="1"/>
      <c r="G1116" s="3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</row>
    <row r="1117">
      <c r="A1117" s="1"/>
      <c r="B1117" s="20"/>
      <c r="C1117" s="1"/>
      <c r="D1117" s="3"/>
      <c r="E1117" s="3"/>
      <c r="F1117" s="1"/>
      <c r="G1117" s="3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</row>
    <row r="1118">
      <c r="A1118" s="1"/>
      <c r="B1118" s="20"/>
      <c r="C1118" s="1"/>
      <c r="D1118" s="3"/>
      <c r="E1118" s="3"/>
      <c r="F1118" s="1"/>
      <c r="G1118" s="3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</row>
    <row r="1119">
      <c r="A1119" s="1"/>
      <c r="B1119" s="20"/>
      <c r="C1119" s="1"/>
      <c r="D1119" s="3"/>
      <c r="E1119" s="3"/>
      <c r="F1119" s="1"/>
      <c r="G1119" s="3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</row>
    <row r="1120">
      <c r="A1120" s="1"/>
      <c r="B1120" s="20"/>
      <c r="C1120" s="1"/>
      <c r="D1120" s="3"/>
      <c r="E1120" s="3"/>
      <c r="F1120" s="1"/>
      <c r="G1120" s="3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</row>
    <row r="1121">
      <c r="A1121" s="1"/>
      <c r="B1121" s="20"/>
      <c r="C1121" s="1"/>
      <c r="D1121" s="3"/>
      <c r="E1121" s="3"/>
      <c r="F1121" s="1"/>
      <c r="G1121" s="3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</row>
    <row r="1122">
      <c r="A1122" s="1"/>
      <c r="B1122" s="20"/>
      <c r="C1122" s="1"/>
      <c r="D1122" s="3"/>
      <c r="E1122" s="3"/>
      <c r="F1122" s="1"/>
      <c r="G1122" s="3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</row>
    <row r="1123">
      <c r="A1123" s="1"/>
      <c r="B1123" s="20"/>
      <c r="C1123" s="1"/>
      <c r="D1123" s="3"/>
      <c r="E1123" s="3"/>
      <c r="F1123" s="1"/>
      <c r="G1123" s="3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</row>
    <row r="1124">
      <c r="A1124" s="1"/>
      <c r="B1124" s="20"/>
      <c r="C1124" s="1"/>
      <c r="D1124" s="3"/>
      <c r="E1124" s="3"/>
      <c r="F1124" s="1"/>
      <c r="G1124" s="3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</row>
    <row r="1125">
      <c r="A1125" s="1"/>
      <c r="B1125" s="20"/>
      <c r="C1125" s="1"/>
      <c r="D1125" s="3"/>
      <c r="E1125" s="3"/>
      <c r="F1125" s="1"/>
      <c r="G1125" s="3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</row>
    <row r="1126">
      <c r="A1126" s="1"/>
      <c r="B1126" s="20"/>
      <c r="C1126" s="1"/>
      <c r="D1126" s="3"/>
      <c r="E1126" s="3"/>
      <c r="F1126" s="1"/>
      <c r="G1126" s="3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</row>
    <row r="1127">
      <c r="A1127" s="1"/>
      <c r="B1127" s="20"/>
      <c r="C1127" s="1"/>
      <c r="D1127" s="3"/>
      <c r="E1127" s="3"/>
      <c r="F1127" s="1"/>
      <c r="G1127" s="3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</row>
    <row r="1128">
      <c r="A1128" s="1"/>
      <c r="B1128" s="20"/>
      <c r="C1128" s="1"/>
      <c r="D1128" s="3"/>
      <c r="E1128" s="3"/>
      <c r="F1128" s="1"/>
      <c r="G1128" s="3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</row>
    <row r="1129">
      <c r="A1129" s="1"/>
      <c r="B1129" s="20"/>
      <c r="C1129" s="1"/>
      <c r="D1129" s="3"/>
      <c r="E1129" s="3"/>
      <c r="F1129" s="1"/>
      <c r="G1129" s="3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</row>
    <row r="1130">
      <c r="A1130" s="1"/>
      <c r="B1130" s="20"/>
      <c r="C1130" s="1"/>
      <c r="D1130" s="3"/>
      <c r="E1130" s="3"/>
      <c r="F1130" s="1"/>
      <c r="G1130" s="3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</row>
    <row r="1131">
      <c r="A1131" s="1"/>
      <c r="B1131" s="20"/>
      <c r="C1131" s="1"/>
      <c r="D1131" s="3"/>
      <c r="E1131" s="3"/>
      <c r="F1131" s="1"/>
      <c r="G1131" s="3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</row>
    <row r="1132">
      <c r="A1132" s="1"/>
      <c r="B1132" s="20"/>
      <c r="C1132" s="1"/>
      <c r="D1132" s="3"/>
      <c r="E1132" s="3"/>
      <c r="F1132" s="1"/>
      <c r="G1132" s="3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</row>
    <row r="1133">
      <c r="A1133" s="1"/>
      <c r="B1133" s="20"/>
      <c r="C1133" s="1"/>
      <c r="D1133" s="3"/>
      <c r="E1133" s="3"/>
      <c r="F1133" s="1"/>
      <c r="G1133" s="3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</row>
    <row r="1134">
      <c r="A1134" s="1"/>
      <c r="B1134" s="20"/>
      <c r="C1134" s="1"/>
      <c r="D1134" s="3"/>
      <c r="E1134" s="3"/>
      <c r="F1134" s="1"/>
      <c r="G1134" s="3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</row>
    <row r="1135">
      <c r="A1135" s="1"/>
      <c r="B1135" s="20"/>
      <c r="C1135" s="1"/>
      <c r="D1135" s="3"/>
      <c r="E1135" s="3"/>
      <c r="F1135" s="1"/>
      <c r="G1135" s="3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</row>
    <row r="1136">
      <c r="A1136" s="1"/>
      <c r="B1136" s="20"/>
      <c r="C1136" s="1"/>
      <c r="D1136" s="3"/>
      <c r="E1136" s="3"/>
      <c r="F1136" s="1"/>
      <c r="G1136" s="3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</row>
    <row r="1137">
      <c r="A1137" s="1"/>
      <c r="B1137" s="20"/>
      <c r="C1137" s="1"/>
      <c r="D1137" s="3"/>
      <c r="E1137" s="3"/>
      <c r="F1137" s="1"/>
      <c r="G1137" s="3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</row>
    <row r="1138">
      <c r="A1138" s="1"/>
      <c r="B1138" s="20"/>
      <c r="C1138" s="1"/>
      <c r="D1138" s="3"/>
      <c r="E1138" s="3"/>
      <c r="F1138" s="1"/>
      <c r="G1138" s="3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</row>
    <row r="1139">
      <c r="A1139" s="1"/>
      <c r="B1139" s="20"/>
      <c r="C1139" s="1"/>
      <c r="D1139" s="3"/>
      <c r="E1139" s="3"/>
      <c r="F1139" s="1"/>
      <c r="G1139" s="3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</row>
    <row r="1140">
      <c r="A1140" s="1"/>
      <c r="B1140" s="20"/>
      <c r="C1140" s="1"/>
      <c r="D1140" s="3"/>
      <c r="E1140" s="3"/>
      <c r="F1140" s="1"/>
      <c r="G1140" s="3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</row>
    <row r="1141">
      <c r="A1141" s="1"/>
      <c r="B1141" s="20"/>
      <c r="C1141" s="1"/>
      <c r="D1141" s="3"/>
      <c r="E1141" s="3"/>
      <c r="F1141" s="1"/>
      <c r="G1141" s="3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</row>
    <row r="1142">
      <c r="A1142" s="1"/>
      <c r="B1142" s="20"/>
      <c r="C1142" s="1"/>
      <c r="D1142" s="3"/>
      <c r="E1142" s="3"/>
      <c r="F1142" s="1"/>
      <c r="G1142" s="3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</row>
    <row r="1143">
      <c r="A1143" s="1"/>
      <c r="B1143" s="20"/>
      <c r="C1143" s="1"/>
      <c r="D1143" s="3"/>
      <c r="E1143" s="3"/>
      <c r="F1143" s="1"/>
      <c r="G1143" s="3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</row>
    <row r="1144">
      <c r="A1144" s="1"/>
      <c r="B1144" s="20"/>
      <c r="C1144" s="1"/>
      <c r="D1144" s="3"/>
      <c r="E1144" s="3"/>
      <c r="F1144" s="1"/>
      <c r="G1144" s="3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</row>
    <row r="1145">
      <c r="A1145" s="1"/>
      <c r="B1145" s="20"/>
      <c r="C1145" s="1"/>
      <c r="D1145" s="3"/>
      <c r="E1145" s="3"/>
      <c r="F1145" s="1"/>
      <c r="G1145" s="3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</row>
    <row r="1146">
      <c r="A1146" s="1"/>
      <c r="B1146" s="20"/>
      <c r="C1146" s="1"/>
      <c r="D1146" s="3"/>
      <c r="E1146" s="3"/>
      <c r="F1146" s="1"/>
      <c r="G1146" s="3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</row>
    <row r="1147">
      <c r="A1147" s="1"/>
      <c r="B1147" s="20"/>
      <c r="C1147" s="1"/>
      <c r="D1147" s="3"/>
      <c r="E1147" s="3"/>
      <c r="F1147" s="1"/>
      <c r="G1147" s="3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</row>
    <row r="1148">
      <c r="A1148" s="1"/>
      <c r="B1148" s="20"/>
      <c r="C1148" s="1"/>
      <c r="D1148" s="3"/>
      <c r="E1148" s="3"/>
      <c r="F1148" s="1"/>
      <c r="G1148" s="3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</row>
    <row r="1149">
      <c r="A1149" s="1"/>
      <c r="B1149" s="20"/>
      <c r="C1149" s="1"/>
      <c r="D1149" s="3"/>
      <c r="E1149" s="3"/>
      <c r="F1149" s="1"/>
      <c r="G1149" s="3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</row>
    <row r="1150">
      <c r="A1150" s="1"/>
      <c r="B1150" s="20"/>
      <c r="C1150" s="1"/>
      <c r="D1150" s="3"/>
      <c r="E1150" s="3"/>
      <c r="F1150" s="1"/>
      <c r="G1150" s="3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</row>
    <row r="1151">
      <c r="A1151" s="1"/>
      <c r="B1151" s="20"/>
      <c r="C1151" s="1"/>
      <c r="D1151" s="3"/>
      <c r="E1151" s="3"/>
      <c r="F1151" s="1"/>
      <c r="G1151" s="3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</row>
    <row r="1152">
      <c r="A1152" s="1"/>
      <c r="B1152" s="20"/>
      <c r="C1152" s="1"/>
      <c r="D1152" s="3"/>
      <c r="E1152" s="3"/>
      <c r="F1152" s="1"/>
      <c r="G1152" s="3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</row>
    <row r="1153">
      <c r="A1153" s="1"/>
      <c r="B1153" s="20"/>
      <c r="C1153" s="1"/>
      <c r="D1153" s="3"/>
      <c r="E1153" s="3"/>
      <c r="F1153" s="1"/>
      <c r="G1153" s="3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</row>
    <row r="1154">
      <c r="A1154" s="1"/>
      <c r="B1154" s="20"/>
      <c r="C1154" s="1"/>
      <c r="D1154" s="3"/>
      <c r="E1154" s="3"/>
      <c r="F1154" s="1"/>
      <c r="G1154" s="3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</row>
    <row r="1155">
      <c r="A1155" s="1"/>
      <c r="B1155" s="20"/>
      <c r="C1155" s="1"/>
      <c r="D1155" s="3"/>
      <c r="E1155" s="3"/>
      <c r="F1155" s="1"/>
      <c r="G1155" s="3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</row>
    <row r="1156">
      <c r="A1156" s="1"/>
      <c r="B1156" s="20"/>
      <c r="C1156" s="1"/>
      <c r="D1156" s="3"/>
      <c r="E1156" s="3"/>
      <c r="F1156" s="1"/>
      <c r="G1156" s="3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</row>
    <row r="1157">
      <c r="A1157" s="1"/>
      <c r="B1157" s="20"/>
      <c r="C1157" s="1"/>
      <c r="D1157" s="3"/>
      <c r="E1157" s="3"/>
      <c r="F1157" s="1"/>
      <c r="G1157" s="3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</row>
    <row r="1158">
      <c r="A1158" s="1"/>
      <c r="B1158" s="20"/>
      <c r="C1158" s="1"/>
      <c r="D1158" s="3"/>
      <c r="E1158" s="3"/>
      <c r="F1158" s="1"/>
      <c r="G1158" s="3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</row>
    <row r="1159">
      <c r="A1159" s="1"/>
      <c r="B1159" s="20"/>
      <c r="C1159" s="1"/>
      <c r="D1159" s="3"/>
      <c r="E1159" s="3"/>
      <c r="F1159" s="1"/>
      <c r="G1159" s="3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</row>
    <row r="1160">
      <c r="A1160" s="1"/>
      <c r="B1160" s="20"/>
      <c r="C1160" s="1"/>
      <c r="D1160" s="3"/>
      <c r="E1160" s="3"/>
      <c r="F1160" s="1"/>
      <c r="G1160" s="3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</row>
    <row r="1161">
      <c r="A1161" s="1"/>
      <c r="B1161" s="20"/>
      <c r="C1161" s="1"/>
      <c r="D1161" s="3"/>
      <c r="E1161" s="3"/>
      <c r="F1161" s="1"/>
      <c r="G1161" s="3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</row>
    <row r="1162">
      <c r="A1162" s="1"/>
      <c r="B1162" s="20"/>
      <c r="C1162" s="1"/>
      <c r="D1162" s="3"/>
      <c r="E1162" s="3"/>
      <c r="F1162" s="1"/>
      <c r="G1162" s="3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</row>
    <row r="1163">
      <c r="A1163" s="1"/>
      <c r="B1163" s="20"/>
      <c r="C1163" s="1"/>
      <c r="D1163" s="3"/>
      <c r="E1163" s="3"/>
      <c r="F1163" s="1"/>
      <c r="G1163" s="3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</row>
    <row r="1164">
      <c r="A1164" s="1"/>
      <c r="B1164" s="20"/>
      <c r="C1164" s="1"/>
      <c r="D1164" s="3"/>
      <c r="E1164" s="3"/>
      <c r="F1164" s="1"/>
      <c r="G1164" s="3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</row>
    <row r="1165">
      <c r="A1165" s="1"/>
      <c r="B1165" s="20"/>
      <c r="C1165" s="1"/>
      <c r="D1165" s="3"/>
      <c r="E1165" s="3"/>
      <c r="F1165" s="1"/>
      <c r="G1165" s="3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</row>
    <row r="1166">
      <c r="A1166" s="1"/>
      <c r="B1166" s="20"/>
      <c r="C1166" s="1"/>
      <c r="D1166" s="3"/>
      <c r="E1166" s="3"/>
      <c r="F1166" s="1"/>
      <c r="G1166" s="3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</row>
    <row r="1167">
      <c r="A1167" s="1"/>
      <c r="B1167" s="20"/>
      <c r="C1167" s="1"/>
      <c r="D1167" s="3"/>
      <c r="E1167" s="3"/>
      <c r="F1167" s="1"/>
      <c r="G1167" s="3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</row>
    <row r="1168">
      <c r="A1168" s="1"/>
      <c r="B1168" s="20"/>
      <c r="C1168" s="1"/>
      <c r="D1168" s="3"/>
      <c r="E1168" s="3"/>
      <c r="F1168" s="1"/>
      <c r="G1168" s="3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</row>
    <row r="1169">
      <c r="A1169" s="1"/>
      <c r="B1169" s="20"/>
      <c r="C1169" s="1"/>
      <c r="D1169" s="3"/>
      <c r="E1169" s="3"/>
      <c r="F1169" s="1"/>
      <c r="G1169" s="3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</row>
    <row r="1170">
      <c r="A1170" s="1"/>
      <c r="B1170" s="20"/>
      <c r="C1170" s="1"/>
      <c r="D1170" s="3"/>
      <c r="E1170" s="3"/>
      <c r="F1170" s="1"/>
      <c r="G1170" s="3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</row>
    <row r="1171">
      <c r="A1171" s="1"/>
      <c r="B1171" s="20"/>
      <c r="C1171" s="1"/>
      <c r="D1171" s="3"/>
      <c r="E1171" s="3"/>
      <c r="F1171" s="1"/>
      <c r="G1171" s="3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</row>
    <row r="1172">
      <c r="A1172" s="1"/>
      <c r="B1172" s="20"/>
      <c r="C1172" s="1"/>
      <c r="D1172" s="3"/>
      <c r="E1172" s="3"/>
      <c r="F1172" s="1"/>
      <c r="G1172" s="3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</row>
    <row r="1173">
      <c r="A1173" s="1"/>
      <c r="B1173" s="20"/>
      <c r="C1173" s="1"/>
      <c r="D1173" s="3"/>
      <c r="E1173" s="3"/>
      <c r="F1173" s="1"/>
      <c r="G1173" s="3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</row>
    <row r="1174">
      <c r="A1174" s="1"/>
      <c r="B1174" s="20"/>
      <c r="C1174" s="1"/>
      <c r="D1174" s="3"/>
      <c r="E1174" s="3"/>
      <c r="F1174" s="1"/>
      <c r="G1174" s="3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</row>
    <row r="1175">
      <c r="A1175" s="1"/>
      <c r="B1175" s="20"/>
      <c r="C1175" s="1"/>
      <c r="D1175" s="3"/>
      <c r="E1175" s="3"/>
      <c r="F1175" s="1"/>
      <c r="G1175" s="3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</row>
    <row r="1176">
      <c r="A1176" s="1"/>
      <c r="B1176" s="20"/>
      <c r="C1176" s="1"/>
      <c r="D1176" s="3"/>
      <c r="E1176" s="3"/>
      <c r="F1176" s="1"/>
      <c r="G1176" s="3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</row>
    <row r="1177">
      <c r="A1177" s="1"/>
      <c r="B1177" s="20"/>
      <c r="C1177" s="1"/>
      <c r="D1177" s="3"/>
      <c r="E1177" s="3"/>
      <c r="F1177" s="1"/>
      <c r="G1177" s="3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</row>
    <row r="1178">
      <c r="A1178" s="1"/>
      <c r="B1178" s="20"/>
      <c r="C1178" s="1"/>
      <c r="D1178" s="3"/>
      <c r="E1178" s="3"/>
      <c r="F1178" s="1"/>
      <c r="G1178" s="3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</row>
    <row r="1179">
      <c r="A1179" s="1"/>
      <c r="B1179" s="20"/>
      <c r="C1179" s="1"/>
      <c r="D1179" s="3"/>
      <c r="E1179" s="3"/>
      <c r="F1179" s="1"/>
      <c r="G1179" s="3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</row>
    <row r="1180">
      <c r="A1180" s="1"/>
      <c r="B1180" s="20"/>
      <c r="C1180" s="1"/>
      <c r="D1180" s="3"/>
      <c r="E1180" s="3"/>
      <c r="F1180" s="1"/>
      <c r="G1180" s="3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</row>
    <row r="1181">
      <c r="A1181" s="1"/>
      <c r="B1181" s="20"/>
      <c r="C1181" s="1"/>
      <c r="D1181" s="3"/>
      <c r="E1181" s="3"/>
      <c r="F1181" s="1"/>
      <c r="G1181" s="3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</row>
    <row r="1182">
      <c r="A1182" s="1"/>
      <c r="B1182" s="20"/>
      <c r="C1182" s="1"/>
      <c r="D1182" s="3"/>
      <c r="E1182" s="3"/>
      <c r="F1182" s="1"/>
      <c r="G1182" s="3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</row>
    <row r="1183">
      <c r="A1183" s="1"/>
      <c r="B1183" s="20"/>
      <c r="C1183" s="1"/>
      <c r="D1183" s="3"/>
      <c r="E1183" s="3"/>
      <c r="F1183" s="1"/>
      <c r="G1183" s="3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</row>
    <row r="1184">
      <c r="A1184" s="1"/>
      <c r="B1184" s="20"/>
      <c r="C1184" s="1"/>
      <c r="D1184" s="3"/>
      <c r="E1184" s="3"/>
      <c r="F1184" s="1"/>
      <c r="G1184" s="3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</row>
    <row r="1185">
      <c r="A1185" s="1"/>
      <c r="B1185" s="20"/>
      <c r="C1185" s="1"/>
      <c r="D1185" s="3"/>
      <c r="E1185" s="3"/>
      <c r="F1185" s="1"/>
      <c r="G1185" s="3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</row>
    <row r="1186">
      <c r="A1186" s="1"/>
      <c r="B1186" s="20"/>
      <c r="C1186" s="1"/>
      <c r="D1186" s="3"/>
      <c r="E1186" s="3"/>
      <c r="F1186" s="1"/>
      <c r="G1186" s="3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</row>
    <row r="1187">
      <c r="A1187" s="1"/>
      <c r="B1187" s="20"/>
      <c r="C1187" s="1"/>
      <c r="D1187" s="3"/>
      <c r="E1187" s="3"/>
      <c r="F1187" s="1"/>
      <c r="G1187" s="3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</row>
    <row r="1188">
      <c r="A1188" s="1"/>
      <c r="B1188" s="20"/>
      <c r="C1188" s="1"/>
      <c r="D1188" s="3"/>
      <c r="E1188" s="3"/>
      <c r="F1188" s="1"/>
      <c r="G1188" s="3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</row>
    <row r="1189">
      <c r="A1189" s="1"/>
      <c r="B1189" s="20"/>
      <c r="C1189" s="1"/>
      <c r="D1189" s="3"/>
      <c r="E1189" s="3"/>
      <c r="F1189" s="1"/>
      <c r="G1189" s="3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</row>
    <row r="1190">
      <c r="A1190" s="1"/>
      <c r="B1190" s="20"/>
      <c r="C1190" s="1"/>
      <c r="D1190" s="3"/>
      <c r="E1190" s="3"/>
      <c r="F1190" s="1"/>
      <c r="G1190" s="3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</row>
    <row r="1191">
      <c r="A1191" s="1"/>
      <c r="B1191" s="20"/>
      <c r="C1191" s="1"/>
      <c r="D1191" s="3"/>
      <c r="E1191" s="3"/>
      <c r="F1191" s="1"/>
      <c r="G1191" s="3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</row>
    <row r="1192">
      <c r="A1192" s="1"/>
      <c r="B1192" s="20"/>
      <c r="C1192" s="1"/>
      <c r="D1192" s="3"/>
      <c r="E1192" s="3"/>
      <c r="F1192" s="1"/>
      <c r="G1192" s="3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</row>
    <row r="1193">
      <c r="A1193" s="1"/>
      <c r="B1193" s="20"/>
      <c r="C1193" s="1"/>
      <c r="D1193" s="3"/>
      <c r="E1193" s="3"/>
      <c r="F1193" s="1"/>
      <c r="G1193" s="3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</row>
    <row r="1194">
      <c r="A1194" s="1"/>
      <c r="B1194" s="20"/>
      <c r="C1194" s="1"/>
      <c r="D1194" s="3"/>
      <c r="E1194" s="3"/>
      <c r="F1194" s="1"/>
      <c r="G1194" s="3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</row>
    <row r="1195">
      <c r="A1195" s="1"/>
      <c r="B1195" s="20"/>
      <c r="C1195" s="1"/>
      <c r="D1195" s="3"/>
      <c r="E1195" s="3"/>
      <c r="F1195" s="1"/>
      <c r="G1195" s="3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</row>
    <row r="1196">
      <c r="A1196" s="1"/>
      <c r="B1196" s="20"/>
      <c r="C1196" s="1"/>
      <c r="D1196" s="3"/>
      <c r="E1196" s="3"/>
      <c r="F1196" s="1"/>
      <c r="G1196" s="3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</row>
    <row r="1197">
      <c r="A1197" s="1"/>
      <c r="B1197" s="20"/>
      <c r="C1197" s="1"/>
      <c r="D1197" s="3"/>
      <c r="E1197" s="3"/>
      <c r="F1197" s="1"/>
      <c r="G1197" s="3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</row>
    <row r="1198">
      <c r="A1198" s="1"/>
      <c r="B1198" s="20"/>
      <c r="C1198" s="1"/>
      <c r="D1198" s="3"/>
      <c r="E1198" s="3"/>
      <c r="F1198" s="1"/>
      <c r="G1198" s="3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</row>
    <row r="1199">
      <c r="A1199" s="1"/>
      <c r="B1199" s="20"/>
      <c r="C1199" s="1"/>
      <c r="D1199" s="3"/>
      <c r="E1199" s="3"/>
      <c r="F1199" s="1"/>
      <c r="G1199" s="3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</row>
    <row r="1200">
      <c r="A1200" s="1"/>
      <c r="B1200" s="20"/>
      <c r="C1200" s="1"/>
      <c r="D1200" s="3"/>
      <c r="E1200" s="3"/>
      <c r="F1200" s="1"/>
      <c r="G1200" s="3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</row>
    <row r="1201">
      <c r="A1201" s="1"/>
      <c r="B1201" s="20"/>
      <c r="C1201" s="1"/>
      <c r="D1201" s="3"/>
      <c r="E1201" s="3"/>
      <c r="F1201" s="1"/>
      <c r="G1201" s="3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</row>
    <row r="1202">
      <c r="A1202" s="1"/>
      <c r="B1202" s="20"/>
      <c r="C1202" s="1"/>
      <c r="D1202" s="3"/>
      <c r="E1202" s="3"/>
      <c r="F1202" s="1"/>
      <c r="G1202" s="3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</row>
    <row r="1203">
      <c r="A1203" s="1"/>
      <c r="B1203" s="20"/>
      <c r="C1203" s="1"/>
      <c r="D1203" s="3"/>
      <c r="E1203" s="3"/>
      <c r="F1203" s="1"/>
      <c r="G1203" s="3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</row>
    <row r="1204">
      <c r="A1204" s="1"/>
      <c r="B1204" s="20"/>
      <c r="C1204" s="1"/>
      <c r="D1204" s="3"/>
      <c r="E1204" s="3"/>
      <c r="F1204" s="1"/>
      <c r="G1204" s="3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</row>
    <row r="1205">
      <c r="A1205" s="1"/>
      <c r="B1205" s="20"/>
      <c r="C1205" s="1"/>
      <c r="D1205" s="3"/>
      <c r="E1205" s="3"/>
      <c r="F1205" s="1"/>
      <c r="G1205" s="3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</row>
    <row r="1206">
      <c r="A1206" s="1"/>
      <c r="B1206" s="20"/>
      <c r="C1206" s="1"/>
      <c r="D1206" s="3"/>
      <c r="E1206" s="3"/>
      <c r="F1206" s="1"/>
      <c r="G1206" s="3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</row>
    <row r="1207">
      <c r="A1207" s="1"/>
      <c r="B1207" s="20"/>
      <c r="C1207" s="1"/>
      <c r="D1207" s="3"/>
      <c r="E1207" s="3"/>
      <c r="F1207" s="1"/>
      <c r="G1207" s="3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</row>
    <row r="1208">
      <c r="A1208" s="1"/>
      <c r="B1208" s="20"/>
      <c r="C1208" s="1"/>
      <c r="D1208" s="3"/>
      <c r="E1208" s="3"/>
      <c r="F1208" s="1"/>
      <c r="G1208" s="3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</row>
    <row r="1209">
      <c r="A1209" s="1"/>
      <c r="B1209" s="20"/>
      <c r="C1209" s="1"/>
      <c r="D1209" s="3"/>
      <c r="E1209" s="3"/>
      <c r="F1209" s="1"/>
      <c r="G1209" s="3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</row>
    <row r="1210">
      <c r="A1210" s="1"/>
      <c r="B1210" s="20"/>
      <c r="C1210" s="1"/>
      <c r="D1210" s="3"/>
      <c r="E1210" s="3"/>
      <c r="F1210" s="1"/>
      <c r="G1210" s="3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</row>
    <row r="1211">
      <c r="A1211" s="1"/>
      <c r="B1211" s="20"/>
      <c r="C1211" s="1"/>
      <c r="D1211" s="3"/>
      <c r="E1211" s="3"/>
      <c r="F1211" s="1"/>
      <c r="G1211" s="3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</row>
    <row r="1212">
      <c r="A1212" s="1"/>
      <c r="B1212" s="20"/>
      <c r="C1212" s="1"/>
      <c r="D1212" s="3"/>
      <c r="E1212" s="3"/>
      <c r="F1212" s="1"/>
      <c r="G1212" s="3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</row>
    <row r="1213">
      <c r="A1213" s="1"/>
      <c r="B1213" s="20"/>
      <c r="C1213" s="1"/>
      <c r="D1213" s="3"/>
      <c r="E1213" s="3"/>
      <c r="F1213" s="1"/>
      <c r="G1213" s="3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</row>
    <row r="1214">
      <c r="A1214" s="1"/>
      <c r="B1214" s="20"/>
      <c r="C1214" s="1"/>
      <c r="D1214" s="3"/>
      <c r="E1214" s="3"/>
      <c r="F1214" s="1"/>
      <c r="G1214" s="3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</row>
    <row r="1215">
      <c r="A1215" s="1"/>
      <c r="B1215" s="20"/>
      <c r="C1215" s="1"/>
      <c r="D1215" s="3"/>
      <c r="E1215" s="3"/>
      <c r="F1215" s="1"/>
      <c r="G1215" s="3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</row>
    <row r="1216">
      <c r="A1216" s="1"/>
      <c r="B1216" s="20"/>
      <c r="C1216" s="1"/>
      <c r="D1216" s="3"/>
      <c r="E1216" s="3"/>
      <c r="F1216" s="1"/>
      <c r="G1216" s="3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</row>
    <row r="1217">
      <c r="A1217" s="1"/>
      <c r="B1217" s="20"/>
      <c r="C1217" s="1"/>
      <c r="D1217" s="3"/>
      <c r="E1217" s="3"/>
      <c r="F1217" s="1"/>
      <c r="G1217" s="3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</row>
    <row r="1218">
      <c r="A1218" s="1"/>
      <c r="B1218" s="20"/>
      <c r="C1218" s="1"/>
      <c r="D1218" s="3"/>
      <c r="E1218" s="3"/>
      <c r="F1218" s="1"/>
      <c r="G1218" s="3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</row>
    <row r="1219">
      <c r="A1219" s="1"/>
      <c r="B1219" s="20"/>
      <c r="C1219" s="1"/>
      <c r="D1219" s="3"/>
      <c r="E1219" s="3"/>
      <c r="F1219" s="1"/>
      <c r="G1219" s="3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</row>
    <row r="1220">
      <c r="A1220" s="1"/>
      <c r="B1220" s="20"/>
      <c r="C1220" s="1"/>
      <c r="D1220" s="3"/>
      <c r="E1220" s="3"/>
      <c r="F1220" s="1"/>
      <c r="G1220" s="3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</row>
    <row r="1221">
      <c r="A1221" s="1"/>
      <c r="B1221" s="20"/>
      <c r="C1221" s="1"/>
      <c r="D1221" s="3"/>
      <c r="E1221" s="3"/>
      <c r="F1221" s="1"/>
      <c r="G1221" s="3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</row>
    <row r="1222">
      <c r="A1222" s="1"/>
      <c r="B1222" s="20"/>
      <c r="C1222" s="1"/>
      <c r="D1222" s="3"/>
      <c r="E1222" s="3"/>
      <c r="F1222" s="1"/>
      <c r="G1222" s="3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</row>
    <row r="1223">
      <c r="A1223" s="1"/>
      <c r="B1223" s="20"/>
      <c r="C1223" s="1"/>
      <c r="D1223" s="3"/>
      <c r="E1223" s="3"/>
      <c r="F1223" s="1"/>
      <c r="G1223" s="3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</row>
    <row r="1224">
      <c r="A1224" s="1"/>
      <c r="B1224" s="20"/>
      <c r="C1224" s="1"/>
      <c r="D1224" s="3"/>
      <c r="E1224" s="3"/>
      <c r="F1224" s="1"/>
      <c r="G1224" s="3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</row>
    <row r="1225">
      <c r="A1225" s="1"/>
      <c r="B1225" s="20"/>
      <c r="C1225" s="1"/>
      <c r="D1225" s="3"/>
      <c r="E1225" s="3"/>
      <c r="F1225" s="1"/>
      <c r="G1225" s="3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</row>
    <row r="1226">
      <c r="A1226" s="1"/>
      <c r="B1226" s="20"/>
      <c r="C1226" s="1"/>
      <c r="D1226" s="3"/>
      <c r="E1226" s="3"/>
      <c r="F1226" s="1"/>
      <c r="G1226" s="3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</row>
    <row r="1227">
      <c r="A1227" s="1"/>
      <c r="B1227" s="20"/>
      <c r="C1227" s="1"/>
      <c r="D1227" s="3"/>
      <c r="E1227" s="3"/>
      <c r="F1227" s="1"/>
      <c r="G1227" s="3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</row>
    <row r="1228">
      <c r="A1228" s="1"/>
      <c r="B1228" s="20"/>
      <c r="C1228" s="1"/>
      <c r="D1228" s="3"/>
      <c r="E1228" s="3"/>
      <c r="F1228" s="1"/>
      <c r="G1228" s="3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</row>
    <row r="1229">
      <c r="A1229" s="1"/>
      <c r="B1229" s="20"/>
      <c r="C1229" s="1"/>
      <c r="D1229" s="3"/>
      <c r="E1229" s="3"/>
      <c r="F1229" s="1"/>
      <c r="G1229" s="3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</row>
    <row r="1230">
      <c r="A1230" s="1"/>
      <c r="B1230" s="20"/>
      <c r="C1230" s="1"/>
      <c r="D1230" s="3"/>
      <c r="E1230" s="3"/>
      <c r="F1230" s="1"/>
      <c r="G1230" s="3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</row>
    <row r="1231">
      <c r="A1231" s="1"/>
      <c r="B1231" s="20"/>
      <c r="C1231" s="1"/>
      <c r="D1231" s="3"/>
      <c r="E1231" s="3"/>
      <c r="F1231" s="1"/>
      <c r="G1231" s="3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</row>
    <row r="1232">
      <c r="A1232" s="1"/>
      <c r="B1232" s="20"/>
      <c r="C1232" s="1"/>
      <c r="D1232" s="3"/>
      <c r="E1232" s="3"/>
      <c r="F1232" s="1"/>
      <c r="G1232" s="3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</row>
    <row r="1233">
      <c r="A1233" s="1"/>
      <c r="B1233" s="20"/>
      <c r="C1233" s="1"/>
      <c r="D1233" s="3"/>
      <c r="E1233" s="3"/>
      <c r="F1233" s="1"/>
      <c r="G1233" s="3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</row>
    <row r="1234">
      <c r="A1234" s="1"/>
      <c r="B1234" s="20"/>
      <c r="C1234" s="1"/>
      <c r="D1234" s="3"/>
      <c r="E1234" s="3"/>
      <c r="F1234" s="1"/>
      <c r="G1234" s="3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</row>
    <row r="1235">
      <c r="A1235" s="1"/>
      <c r="B1235" s="20"/>
      <c r="C1235" s="1"/>
      <c r="D1235" s="3"/>
      <c r="E1235" s="3"/>
      <c r="F1235" s="1"/>
      <c r="G1235" s="3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</row>
    <row r="1236">
      <c r="A1236" s="1"/>
      <c r="B1236" s="20"/>
      <c r="C1236" s="1"/>
      <c r="D1236" s="3"/>
      <c r="E1236" s="3"/>
      <c r="F1236" s="1"/>
      <c r="G1236" s="3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</row>
    <row r="1237">
      <c r="A1237" s="1"/>
      <c r="B1237" s="20"/>
      <c r="C1237" s="1"/>
      <c r="D1237" s="3"/>
      <c r="E1237" s="3"/>
      <c r="F1237" s="1"/>
      <c r="G1237" s="3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</row>
    <row r="1238">
      <c r="A1238" s="1"/>
      <c r="B1238" s="20"/>
      <c r="C1238" s="1"/>
      <c r="D1238" s="3"/>
      <c r="E1238" s="3"/>
      <c r="F1238" s="1"/>
      <c r="G1238" s="3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</row>
    <row r="1239">
      <c r="A1239" s="1"/>
      <c r="B1239" s="20"/>
      <c r="C1239" s="1"/>
      <c r="D1239" s="3"/>
      <c r="E1239" s="3"/>
      <c r="F1239" s="1"/>
      <c r="G1239" s="3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</row>
    <row r="1240">
      <c r="A1240" s="1"/>
      <c r="B1240" s="20"/>
      <c r="C1240" s="1"/>
      <c r="D1240" s="3"/>
      <c r="E1240" s="3"/>
      <c r="F1240" s="1"/>
      <c r="G1240" s="3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</row>
    <row r="1241">
      <c r="A1241" s="1"/>
      <c r="B1241" s="20"/>
      <c r="C1241" s="1"/>
      <c r="D1241" s="3"/>
      <c r="E1241" s="3"/>
      <c r="F1241" s="1"/>
      <c r="G1241" s="3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</row>
    <row r="1242">
      <c r="A1242" s="1"/>
      <c r="B1242" s="20"/>
      <c r="C1242" s="1"/>
      <c r="D1242" s="3"/>
      <c r="E1242" s="3"/>
      <c r="F1242" s="1"/>
      <c r="G1242" s="3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</row>
    <row r="1243">
      <c r="A1243" s="1"/>
      <c r="B1243" s="20"/>
      <c r="C1243" s="1"/>
      <c r="D1243" s="3"/>
      <c r="E1243" s="3"/>
      <c r="F1243" s="1"/>
      <c r="G1243" s="3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</row>
    <row r="1244">
      <c r="A1244" s="1"/>
      <c r="B1244" s="20"/>
      <c r="C1244" s="1"/>
      <c r="D1244" s="3"/>
      <c r="E1244" s="3"/>
      <c r="F1244" s="1"/>
      <c r="G1244" s="3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</row>
    <row r="1245">
      <c r="A1245" s="1"/>
      <c r="B1245" s="20"/>
      <c r="C1245" s="1"/>
      <c r="D1245" s="3"/>
      <c r="E1245" s="3"/>
      <c r="F1245" s="1"/>
      <c r="G1245" s="3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</row>
    <row r="1246">
      <c r="A1246" s="1"/>
      <c r="B1246" s="20"/>
      <c r="C1246" s="1"/>
      <c r="D1246" s="3"/>
      <c r="E1246" s="3"/>
      <c r="F1246" s="1"/>
      <c r="G1246" s="3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</row>
    <row r="1247">
      <c r="A1247" s="1"/>
      <c r="B1247" s="20"/>
      <c r="C1247" s="1"/>
      <c r="D1247" s="3"/>
      <c r="E1247" s="3"/>
      <c r="F1247" s="1"/>
      <c r="G1247" s="3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</row>
    <row r="1248">
      <c r="A1248" s="1"/>
      <c r="B1248" s="20"/>
      <c r="C1248" s="1"/>
      <c r="D1248" s="3"/>
      <c r="E1248" s="3"/>
      <c r="F1248" s="1"/>
      <c r="G1248" s="3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</row>
    <row r="1249">
      <c r="A1249" s="1"/>
      <c r="B1249" s="20"/>
      <c r="C1249" s="1"/>
      <c r="D1249" s="3"/>
      <c r="E1249" s="3"/>
      <c r="F1249" s="1"/>
      <c r="G1249" s="3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</row>
    <row r="1250">
      <c r="A1250" s="1"/>
      <c r="B1250" s="20"/>
      <c r="C1250" s="1"/>
      <c r="D1250" s="3"/>
      <c r="E1250" s="3"/>
      <c r="F1250" s="1"/>
      <c r="G1250" s="3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</row>
    <row r="1251">
      <c r="A1251" s="1"/>
      <c r="B1251" s="20"/>
      <c r="C1251" s="1"/>
      <c r="D1251" s="3"/>
      <c r="E1251" s="3"/>
      <c r="F1251" s="1"/>
      <c r="G1251" s="3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</row>
    <row r="1252">
      <c r="A1252" s="1"/>
      <c r="B1252" s="20"/>
      <c r="C1252" s="1"/>
      <c r="D1252" s="3"/>
      <c r="E1252" s="3"/>
      <c r="F1252" s="1"/>
      <c r="G1252" s="3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</row>
    <row r="1253">
      <c r="A1253" s="1"/>
      <c r="B1253" s="20"/>
      <c r="C1253" s="1"/>
      <c r="D1253" s="3"/>
      <c r="E1253" s="3"/>
      <c r="F1253" s="1"/>
      <c r="G1253" s="3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</row>
    <row r="1254">
      <c r="A1254" s="1"/>
      <c r="B1254" s="20"/>
      <c r="C1254" s="1"/>
      <c r="D1254" s="3"/>
      <c r="E1254" s="3"/>
      <c r="F1254" s="1"/>
      <c r="G1254" s="3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</row>
    <row r="1255">
      <c r="A1255" s="1"/>
      <c r="B1255" s="20"/>
      <c r="C1255" s="1"/>
      <c r="D1255" s="3"/>
      <c r="E1255" s="3"/>
      <c r="F1255" s="1"/>
      <c r="G1255" s="3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</row>
    <row r="1256">
      <c r="A1256" s="1"/>
      <c r="B1256" s="20"/>
      <c r="C1256" s="1"/>
      <c r="D1256" s="3"/>
      <c r="E1256" s="3"/>
      <c r="F1256" s="1"/>
      <c r="G1256" s="3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</row>
    <row r="1257">
      <c r="A1257" s="1"/>
      <c r="B1257" s="20"/>
      <c r="C1257" s="1"/>
      <c r="D1257" s="3"/>
      <c r="E1257" s="3"/>
      <c r="F1257" s="1"/>
      <c r="G1257" s="3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</row>
    <row r="1258">
      <c r="A1258" s="1"/>
      <c r="B1258" s="20"/>
      <c r="C1258" s="1"/>
      <c r="D1258" s="3"/>
      <c r="E1258" s="3"/>
      <c r="F1258" s="1"/>
      <c r="G1258" s="3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</row>
    <row r="1259">
      <c r="A1259" s="1"/>
      <c r="B1259" s="20"/>
      <c r="C1259" s="1"/>
      <c r="D1259" s="3"/>
      <c r="E1259" s="3"/>
      <c r="F1259" s="1"/>
      <c r="G1259" s="3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</row>
    <row r="1260">
      <c r="A1260" s="1"/>
      <c r="B1260" s="20"/>
      <c r="C1260" s="1"/>
      <c r="D1260" s="3"/>
      <c r="E1260" s="3"/>
      <c r="F1260" s="1"/>
      <c r="G1260" s="3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</row>
    <row r="1261">
      <c r="A1261" s="1"/>
      <c r="B1261" s="20"/>
      <c r="C1261" s="1"/>
      <c r="D1261" s="3"/>
      <c r="E1261" s="3"/>
      <c r="F1261" s="1"/>
      <c r="G1261" s="3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</row>
    <row r="1262">
      <c r="A1262" s="1"/>
      <c r="B1262" s="20"/>
      <c r="C1262" s="1"/>
      <c r="D1262" s="3"/>
      <c r="E1262" s="3"/>
      <c r="F1262" s="1"/>
      <c r="G1262" s="3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</row>
    <row r="1263">
      <c r="A1263" s="1"/>
      <c r="B1263" s="20"/>
      <c r="C1263" s="1"/>
      <c r="D1263" s="3"/>
      <c r="E1263" s="3"/>
      <c r="F1263" s="1"/>
      <c r="G1263" s="3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</row>
    <row r="1264">
      <c r="A1264" s="1"/>
      <c r="B1264" s="20"/>
      <c r="C1264" s="1"/>
      <c r="D1264" s="3"/>
      <c r="E1264" s="3"/>
      <c r="F1264" s="1"/>
      <c r="G1264" s="3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</row>
    <row r="1265">
      <c r="A1265" s="1"/>
      <c r="B1265" s="20"/>
      <c r="C1265" s="1"/>
      <c r="D1265" s="3"/>
      <c r="E1265" s="3"/>
      <c r="F1265" s="1"/>
      <c r="G1265" s="3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</row>
    <row r="1266">
      <c r="A1266" s="1"/>
      <c r="B1266" s="20"/>
      <c r="C1266" s="1"/>
      <c r="D1266" s="3"/>
      <c r="E1266" s="3"/>
      <c r="F1266" s="1"/>
      <c r="G1266" s="3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</row>
    <row r="1267">
      <c r="A1267" s="1"/>
      <c r="B1267" s="20"/>
      <c r="C1267" s="1"/>
      <c r="D1267" s="3"/>
      <c r="E1267" s="3"/>
      <c r="F1267" s="1"/>
      <c r="G1267" s="3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</row>
    <row r="1268">
      <c r="A1268" s="1"/>
      <c r="B1268" s="20"/>
      <c r="C1268" s="1"/>
      <c r="D1268" s="3"/>
      <c r="E1268" s="3"/>
      <c r="F1268" s="1"/>
      <c r="G1268" s="3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</row>
    <row r="1269">
      <c r="A1269" s="1"/>
      <c r="B1269" s="20"/>
      <c r="C1269" s="1"/>
      <c r="D1269" s="3"/>
      <c r="E1269" s="3"/>
      <c r="F1269" s="1"/>
      <c r="G1269" s="3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</row>
    <row r="1270">
      <c r="A1270" s="1"/>
      <c r="B1270" s="20"/>
      <c r="C1270" s="1"/>
      <c r="D1270" s="3"/>
      <c r="E1270" s="3"/>
      <c r="F1270" s="1"/>
      <c r="G1270" s="3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</row>
    <row r="1271">
      <c r="A1271" s="1"/>
      <c r="B1271" s="20"/>
      <c r="C1271" s="1"/>
      <c r="D1271" s="3"/>
      <c r="E1271" s="3"/>
      <c r="F1271" s="1"/>
      <c r="G1271" s="3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</row>
    <row r="1272">
      <c r="A1272" s="1"/>
      <c r="B1272" s="20"/>
      <c r="C1272" s="1"/>
      <c r="D1272" s="3"/>
      <c r="E1272" s="3"/>
      <c r="F1272" s="1"/>
      <c r="G1272" s="3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</row>
    <row r="1273">
      <c r="A1273" s="1"/>
      <c r="B1273" s="20"/>
      <c r="C1273" s="1"/>
      <c r="D1273" s="3"/>
      <c r="E1273" s="3"/>
      <c r="F1273" s="1"/>
      <c r="G1273" s="3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</row>
    <row r="1274">
      <c r="A1274" s="1"/>
      <c r="B1274" s="20"/>
      <c r="C1274" s="1"/>
      <c r="D1274" s="3"/>
      <c r="E1274" s="3"/>
      <c r="F1274" s="1"/>
      <c r="G1274" s="3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</row>
    <row r="1275">
      <c r="A1275" s="1"/>
      <c r="B1275" s="20"/>
      <c r="C1275" s="1"/>
      <c r="D1275" s="3"/>
      <c r="E1275" s="3"/>
      <c r="F1275" s="1"/>
      <c r="G1275" s="3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</row>
    <row r="1276">
      <c r="A1276" s="1"/>
      <c r="B1276" s="20"/>
      <c r="C1276" s="1"/>
      <c r="D1276" s="3"/>
      <c r="E1276" s="3"/>
      <c r="F1276" s="1"/>
      <c r="G1276" s="3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</row>
    <row r="1277">
      <c r="A1277" s="1"/>
      <c r="B1277" s="20"/>
      <c r="C1277" s="1"/>
      <c r="D1277" s="3"/>
      <c r="E1277" s="3"/>
      <c r="F1277" s="1"/>
      <c r="G1277" s="3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</row>
    <row r="1278">
      <c r="A1278" s="1"/>
      <c r="B1278" s="20"/>
      <c r="C1278" s="1"/>
      <c r="D1278" s="3"/>
      <c r="E1278" s="3"/>
      <c r="F1278" s="1"/>
      <c r="G1278" s="3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</row>
    <row r="1279">
      <c r="A1279" s="1"/>
      <c r="B1279" s="20"/>
      <c r="C1279" s="1"/>
      <c r="D1279" s="3"/>
      <c r="E1279" s="3"/>
      <c r="F1279" s="1"/>
      <c r="G1279" s="3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</row>
    <row r="1280">
      <c r="A1280" s="1"/>
      <c r="B1280" s="20"/>
      <c r="C1280" s="1"/>
      <c r="D1280" s="3"/>
      <c r="E1280" s="3"/>
      <c r="F1280" s="1"/>
      <c r="G1280" s="3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</row>
    <row r="1281">
      <c r="A1281" s="1"/>
      <c r="B1281" s="20"/>
      <c r="C1281" s="1"/>
      <c r="D1281" s="3"/>
      <c r="E1281" s="3"/>
      <c r="F1281" s="1"/>
      <c r="G1281" s="3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</row>
    <row r="1282">
      <c r="A1282" s="1"/>
      <c r="B1282" s="20"/>
      <c r="C1282" s="1"/>
      <c r="D1282" s="3"/>
      <c r="E1282" s="3"/>
      <c r="F1282" s="1"/>
      <c r="G1282" s="3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</row>
    <row r="1283">
      <c r="A1283" s="1"/>
      <c r="B1283" s="20"/>
      <c r="C1283" s="1"/>
      <c r="D1283" s="3"/>
      <c r="E1283" s="3"/>
      <c r="F1283" s="1"/>
      <c r="G1283" s="3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</row>
    <row r="1284">
      <c r="A1284" s="1"/>
      <c r="B1284" s="20"/>
      <c r="C1284" s="1"/>
      <c r="D1284" s="3"/>
      <c r="E1284" s="3"/>
      <c r="F1284" s="1"/>
      <c r="G1284" s="3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</row>
    <row r="1285">
      <c r="A1285" s="1"/>
      <c r="B1285" s="20"/>
      <c r="C1285" s="1"/>
      <c r="D1285" s="3"/>
      <c r="E1285" s="3"/>
      <c r="F1285" s="1"/>
      <c r="G1285" s="3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</row>
    <row r="1286">
      <c r="A1286" s="1"/>
      <c r="B1286" s="20"/>
      <c r="C1286" s="1"/>
      <c r="D1286" s="3"/>
      <c r="E1286" s="3"/>
      <c r="F1286" s="1"/>
      <c r="G1286" s="3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</row>
    <row r="1287">
      <c r="A1287" s="1"/>
      <c r="B1287" s="20"/>
      <c r="C1287" s="1"/>
      <c r="D1287" s="3"/>
      <c r="E1287" s="3"/>
      <c r="F1287" s="1"/>
      <c r="G1287" s="3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</row>
    <row r="1288">
      <c r="A1288" s="1"/>
      <c r="B1288" s="20"/>
      <c r="C1288" s="1"/>
      <c r="D1288" s="3"/>
      <c r="E1288" s="3"/>
      <c r="F1288" s="1"/>
      <c r="G1288" s="3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</row>
    <row r="1289">
      <c r="A1289" s="1"/>
      <c r="B1289" s="20"/>
      <c r="C1289" s="1"/>
      <c r="D1289" s="3"/>
      <c r="E1289" s="3"/>
      <c r="F1289" s="1"/>
      <c r="G1289" s="3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</row>
    <row r="1290">
      <c r="A1290" s="1"/>
      <c r="B1290" s="20"/>
      <c r="C1290" s="1"/>
      <c r="D1290" s="3"/>
      <c r="E1290" s="3"/>
      <c r="F1290" s="1"/>
      <c r="G1290" s="3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</row>
    <row r="1291">
      <c r="A1291" s="1"/>
      <c r="B1291" s="20"/>
      <c r="C1291" s="1"/>
      <c r="D1291" s="3"/>
      <c r="E1291" s="3"/>
      <c r="F1291" s="1"/>
      <c r="G1291" s="3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</row>
    <row r="1292">
      <c r="A1292" s="1"/>
      <c r="B1292" s="20"/>
      <c r="C1292" s="1"/>
      <c r="D1292" s="3"/>
      <c r="E1292" s="3"/>
      <c r="F1292" s="1"/>
      <c r="G1292" s="3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</row>
    <row r="1293">
      <c r="A1293" s="1"/>
      <c r="B1293" s="20"/>
      <c r="C1293" s="1"/>
      <c r="D1293" s="3"/>
      <c r="E1293" s="3"/>
      <c r="F1293" s="1"/>
      <c r="G1293" s="3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</row>
    <row r="1294">
      <c r="A1294" s="1"/>
      <c r="B1294" s="20"/>
      <c r="C1294" s="1"/>
      <c r="D1294" s="3"/>
      <c r="E1294" s="3"/>
      <c r="F1294" s="1"/>
      <c r="G1294" s="3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</row>
    <row r="1295">
      <c r="A1295" s="1"/>
      <c r="B1295" s="20"/>
      <c r="C1295" s="1"/>
      <c r="D1295" s="3"/>
      <c r="E1295" s="3"/>
      <c r="F1295" s="1"/>
      <c r="G1295" s="3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</row>
    <row r="1296">
      <c r="A1296" s="1"/>
      <c r="B1296" s="20"/>
      <c r="C1296" s="1"/>
      <c r="D1296" s="3"/>
      <c r="E1296" s="3"/>
      <c r="F1296" s="1"/>
      <c r="G1296" s="3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</row>
    <row r="1297">
      <c r="A1297" s="1"/>
      <c r="B1297" s="20"/>
      <c r="C1297" s="1"/>
      <c r="D1297" s="3"/>
      <c r="E1297" s="3"/>
      <c r="F1297" s="1"/>
      <c r="G1297" s="3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</row>
    <row r="1298">
      <c r="A1298" s="1"/>
      <c r="B1298" s="20"/>
      <c r="C1298" s="1"/>
      <c r="D1298" s="3"/>
      <c r="E1298" s="3"/>
      <c r="F1298" s="1"/>
      <c r="G1298" s="3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</row>
    <row r="1299">
      <c r="A1299" s="1"/>
      <c r="B1299" s="20"/>
      <c r="C1299" s="1"/>
      <c r="D1299" s="3"/>
      <c r="E1299" s="3"/>
      <c r="F1299" s="1"/>
      <c r="G1299" s="3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</row>
    <row r="1300">
      <c r="A1300" s="1"/>
      <c r="B1300" s="20"/>
      <c r="C1300" s="1"/>
      <c r="D1300" s="3"/>
      <c r="E1300" s="3"/>
      <c r="F1300" s="1"/>
      <c r="G1300" s="3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</row>
    <row r="1301">
      <c r="A1301" s="1"/>
      <c r="B1301" s="20"/>
      <c r="C1301" s="1"/>
      <c r="D1301" s="3"/>
      <c r="E1301" s="3"/>
      <c r="F1301" s="1"/>
      <c r="G1301" s="3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</row>
    <row r="1302">
      <c r="A1302" s="1"/>
      <c r="B1302" s="20"/>
      <c r="C1302" s="1"/>
      <c r="D1302" s="3"/>
      <c r="E1302" s="3"/>
      <c r="F1302" s="1"/>
      <c r="G1302" s="3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</row>
    <row r="1303">
      <c r="A1303" s="1"/>
      <c r="B1303" s="20"/>
      <c r="C1303" s="1"/>
      <c r="D1303" s="3"/>
      <c r="E1303" s="3"/>
      <c r="F1303" s="1"/>
      <c r="G1303" s="3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</row>
    <row r="1304">
      <c r="A1304" s="1"/>
      <c r="B1304" s="20"/>
      <c r="C1304" s="1"/>
      <c r="D1304" s="3"/>
      <c r="E1304" s="3"/>
      <c r="F1304" s="1"/>
      <c r="G1304" s="3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</row>
    <row r="1305">
      <c r="A1305" s="1"/>
      <c r="B1305" s="20"/>
      <c r="C1305" s="1"/>
      <c r="D1305" s="3"/>
      <c r="E1305" s="3"/>
      <c r="F1305" s="1"/>
      <c r="G1305" s="3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</row>
    <row r="1306">
      <c r="A1306" s="1"/>
      <c r="B1306" s="20"/>
      <c r="C1306" s="1"/>
      <c r="D1306" s="3"/>
      <c r="E1306" s="3"/>
      <c r="F1306" s="1"/>
      <c r="G1306" s="3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</row>
    <row r="1307">
      <c r="A1307" s="1"/>
      <c r="B1307" s="20"/>
      <c r="C1307" s="1"/>
      <c r="D1307" s="3"/>
      <c r="E1307" s="3"/>
      <c r="F1307" s="1"/>
      <c r="G1307" s="3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</row>
    <row r="1308">
      <c r="A1308" s="1"/>
      <c r="B1308" s="20"/>
      <c r="C1308" s="1"/>
      <c r="D1308" s="3"/>
      <c r="E1308" s="3"/>
      <c r="F1308" s="1"/>
      <c r="G1308" s="3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</row>
    <row r="1309">
      <c r="A1309" s="1"/>
      <c r="B1309" s="20"/>
      <c r="C1309" s="1"/>
      <c r="D1309" s="3"/>
      <c r="E1309" s="3"/>
      <c r="F1309" s="1"/>
      <c r="G1309" s="3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</row>
    <row r="1310">
      <c r="A1310" s="1"/>
      <c r="B1310" s="20"/>
      <c r="C1310" s="1"/>
      <c r="D1310" s="3"/>
      <c r="E1310" s="3"/>
      <c r="F1310" s="1"/>
      <c r="G1310" s="3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</row>
    <row r="1311">
      <c r="A1311" s="1"/>
      <c r="B1311" s="20"/>
      <c r="C1311" s="1"/>
      <c r="D1311" s="3"/>
      <c r="E1311" s="3"/>
      <c r="F1311" s="1"/>
      <c r="G1311" s="3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</row>
    <row r="1312">
      <c r="A1312" s="1"/>
      <c r="B1312" s="20"/>
      <c r="C1312" s="1"/>
      <c r="D1312" s="3"/>
      <c r="E1312" s="3"/>
      <c r="F1312" s="1"/>
      <c r="G1312" s="3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</row>
    <row r="1313">
      <c r="A1313" s="1"/>
      <c r="B1313" s="20"/>
      <c r="C1313" s="1"/>
      <c r="D1313" s="3"/>
      <c r="E1313" s="3"/>
      <c r="F1313" s="1"/>
      <c r="G1313" s="3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</row>
    <row r="1314">
      <c r="A1314" s="1"/>
      <c r="B1314" s="20"/>
      <c r="C1314" s="1"/>
      <c r="D1314" s="3"/>
      <c r="E1314" s="3"/>
      <c r="F1314" s="1"/>
      <c r="G1314" s="3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</row>
    <row r="1315">
      <c r="A1315" s="1"/>
      <c r="B1315" s="20"/>
      <c r="C1315" s="1"/>
      <c r="D1315" s="3"/>
      <c r="E1315" s="3"/>
      <c r="F1315" s="1"/>
      <c r="G1315" s="3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</row>
    <row r="1316">
      <c r="A1316" s="1"/>
      <c r="B1316" s="20"/>
      <c r="C1316" s="1"/>
      <c r="D1316" s="3"/>
      <c r="E1316" s="3"/>
      <c r="F1316" s="1"/>
      <c r="G1316" s="3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</row>
    <row r="1317">
      <c r="A1317" s="1"/>
      <c r="B1317" s="20"/>
      <c r="C1317" s="1"/>
      <c r="D1317" s="3"/>
      <c r="E1317" s="3"/>
      <c r="F1317" s="1"/>
      <c r="G1317" s="3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</row>
    <row r="1318">
      <c r="A1318" s="1"/>
      <c r="B1318" s="20"/>
      <c r="C1318" s="1"/>
      <c r="D1318" s="3"/>
      <c r="E1318" s="3"/>
      <c r="F1318" s="1"/>
      <c r="G1318" s="3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</row>
    <row r="1319">
      <c r="A1319" s="1"/>
      <c r="B1319" s="20"/>
      <c r="C1319" s="1"/>
      <c r="D1319" s="3"/>
      <c r="E1319" s="3"/>
      <c r="F1319" s="1"/>
      <c r="G1319" s="3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</row>
    <row r="1320">
      <c r="A1320" s="1"/>
      <c r="B1320" s="20"/>
      <c r="C1320" s="1"/>
      <c r="D1320" s="3"/>
      <c r="E1320" s="3"/>
      <c r="F1320" s="1"/>
      <c r="G1320" s="3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</row>
    <row r="1321">
      <c r="A1321" s="1"/>
      <c r="B1321" s="20"/>
      <c r="C1321" s="1"/>
      <c r="D1321" s="3"/>
      <c r="E1321" s="3"/>
      <c r="F1321" s="1"/>
      <c r="G1321" s="3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</row>
    <row r="1322">
      <c r="A1322" s="1"/>
      <c r="B1322" s="20"/>
      <c r="C1322" s="1"/>
      <c r="D1322" s="3"/>
      <c r="E1322" s="3"/>
      <c r="F1322" s="1"/>
      <c r="G1322" s="3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</row>
    <row r="1323">
      <c r="A1323" s="1"/>
      <c r="B1323" s="20"/>
      <c r="C1323" s="1"/>
      <c r="D1323" s="3"/>
      <c r="E1323" s="3"/>
      <c r="F1323" s="1"/>
      <c r="G1323" s="3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</row>
    <row r="1324">
      <c r="A1324" s="1"/>
      <c r="B1324" s="20"/>
      <c r="C1324" s="1"/>
      <c r="D1324" s="3"/>
      <c r="E1324" s="3"/>
      <c r="F1324" s="1"/>
      <c r="G1324" s="3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</row>
    <row r="1325">
      <c r="A1325" s="1"/>
      <c r="B1325" s="20"/>
      <c r="C1325" s="1"/>
      <c r="D1325" s="3"/>
      <c r="E1325" s="3"/>
      <c r="F1325" s="1"/>
      <c r="G1325" s="3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</row>
    <row r="1326">
      <c r="A1326" s="1"/>
      <c r="B1326" s="20"/>
      <c r="C1326" s="1"/>
      <c r="D1326" s="3"/>
      <c r="E1326" s="3"/>
      <c r="F1326" s="1"/>
      <c r="G1326" s="3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</row>
    <row r="1327">
      <c r="A1327" s="1"/>
      <c r="B1327" s="20"/>
      <c r="C1327" s="1"/>
      <c r="D1327" s="3"/>
      <c r="E1327" s="3"/>
      <c r="F1327" s="1"/>
      <c r="G1327" s="3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</row>
    <row r="1328">
      <c r="A1328" s="1"/>
      <c r="B1328" s="20"/>
      <c r="C1328" s="1"/>
      <c r="D1328" s="3"/>
      <c r="E1328" s="3"/>
      <c r="F1328" s="1"/>
      <c r="G1328" s="3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</row>
    <row r="1329">
      <c r="A1329" s="1"/>
      <c r="B1329" s="20"/>
      <c r="C1329" s="1"/>
      <c r="D1329" s="3"/>
      <c r="E1329" s="3"/>
      <c r="F1329" s="1"/>
      <c r="G1329" s="3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</row>
    <row r="1330">
      <c r="A1330" s="1"/>
      <c r="B1330" s="20"/>
      <c r="C1330" s="1"/>
      <c r="D1330" s="3"/>
      <c r="E1330" s="3"/>
      <c r="F1330" s="1"/>
      <c r="G1330" s="3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</row>
    <row r="1331">
      <c r="A1331" s="1"/>
      <c r="B1331" s="20"/>
      <c r="C1331" s="1"/>
      <c r="D1331" s="3"/>
      <c r="E1331" s="3"/>
      <c r="F1331" s="1"/>
      <c r="G1331" s="3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</row>
    <row r="1332">
      <c r="A1332" s="1"/>
      <c r="B1332" s="20"/>
      <c r="C1332" s="1"/>
      <c r="D1332" s="3"/>
      <c r="E1332" s="3"/>
      <c r="F1332" s="1"/>
      <c r="G1332" s="3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</row>
    <row r="1333">
      <c r="A1333" s="1"/>
      <c r="B1333" s="20"/>
      <c r="C1333" s="1"/>
      <c r="D1333" s="3"/>
      <c r="E1333" s="3"/>
      <c r="F1333" s="1"/>
      <c r="G1333" s="3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</row>
    <row r="1334">
      <c r="A1334" s="1"/>
      <c r="B1334" s="20"/>
      <c r="C1334" s="1"/>
      <c r="D1334" s="3"/>
      <c r="E1334" s="3"/>
      <c r="F1334" s="1"/>
      <c r="G1334" s="3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</row>
    <row r="1335">
      <c r="A1335" s="1"/>
      <c r="B1335" s="20"/>
      <c r="C1335" s="1"/>
      <c r="D1335" s="3"/>
      <c r="E1335" s="3"/>
      <c r="F1335" s="1"/>
      <c r="G1335" s="3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</row>
    <row r="1336">
      <c r="A1336" s="1"/>
      <c r="B1336" s="20"/>
      <c r="C1336" s="1"/>
      <c r="D1336" s="3"/>
      <c r="E1336" s="3"/>
      <c r="F1336" s="1"/>
      <c r="G1336" s="3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</row>
    <row r="1337">
      <c r="A1337" s="1"/>
      <c r="B1337" s="20"/>
      <c r="C1337" s="1"/>
      <c r="D1337" s="3"/>
      <c r="E1337" s="3"/>
      <c r="F1337" s="1"/>
      <c r="G1337" s="3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</row>
    <row r="1338">
      <c r="A1338" s="1"/>
      <c r="B1338" s="20"/>
      <c r="C1338" s="1"/>
      <c r="D1338" s="3"/>
      <c r="E1338" s="3"/>
      <c r="F1338" s="1"/>
      <c r="G1338" s="3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</row>
    <row r="1339">
      <c r="A1339" s="1"/>
      <c r="B1339" s="20"/>
      <c r="C1339" s="1"/>
      <c r="D1339" s="3"/>
      <c r="E1339" s="3"/>
      <c r="F1339" s="1"/>
      <c r="G1339" s="3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</row>
    <row r="1340">
      <c r="A1340" s="1"/>
      <c r="B1340" s="20"/>
      <c r="C1340" s="1"/>
      <c r="D1340" s="3"/>
      <c r="E1340" s="3"/>
      <c r="F1340" s="1"/>
      <c r="G1340" s="3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</row>
    <row r="1341">
      <c r="A1341" s="1"/>
      <c r="B1341" s="20"/>
      <c r="C1341" s="1"/>
      <c r="D1341" s="3"/>
      <c r="E1341" s="3"/>
      <c r="F1341" s="1"/>
      <c r="G1341" s="3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</row>
    <row r="1342">
      <c r="A1342" s="1"/>
      <c r="B1342" s="20"/>
      <c r="C1342" s="1"/>
      <c r="D1342" s="3"/>
      <c r="E1342" s="3"/>
      <c r="F1342" s="1"/>
      <c r="G1342" s="3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</row>
    <row r="1343">
      <c r="A1343" s="1"/>
      <c r="B1343" s="20"/>
      <c r="C1343" s="1"/>
      <c r="D1343" s="3"/>
      <c r="E1343" s="3"/>
      <c r="F1343" s="1"/>
      <c r="G1343" s="3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</row>
    <row r="1344">
      <c r="A1344" s="1"/>
      <c r="B1344" s="20"/>
      <c r="C1344" s="1"/>
      <c r="D1344" s="3"/>
      <c r="E1344" s="3"/>
      <c r="F1344" s="1"/>
      <c r="G1344" s="3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</row>
    <row r="1345">
      <c r="A1345" s="1"/>
      <c r="B1345" s="20"/>
      <c r="C1345" s="1"/>
      <c r="D1345" s="3"/>
      <c r="E1345" s="3"/>
      <c r="F1345" s="1"/>
      <c r="G1345" s="3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</row>
    <row r="1346">
      <c r="A1346" s="1"/>
      <c r="B1346" s="20"/>
      <c r="C1346" s="1"/>
      <c r="D1346" s="3"/>
      <c r="E1346" s="3"/>
      <c r="F1346" s="1"/>
      <c r="G1346" s="3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</row>
    <row r="1347">
      <c r="A1347" s="1"/>
      <c r="B1347" s="20"/>
      <c r="C1347" s="1"/>
      <c r="D1347" s="3"/>
      <c r="E1347" s="3"/>
      <c r="F1347" s="1"/>
      <c r="G1347" s="3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</row>
    <row r="1348">
      <c r="A1348" s="1"/>
      <c r="B1348" s="20"/>
      <c r="C1348" s="1"/>
      <c r="D1348" s="3"/>
      <c r="E1348" s="3"/>
      <c r="F1348" s="1"/>
      <c r="G1348" s="3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</row>
    <row r="1349">
      <c r="A1349" s="1"/>
      <c r="B1349" s="20"/>
      <c r="C1349" s="1"/>
      <c r="D1349" s="3"/>
      <c r="E1349" s="3"/>
      <c r="F1349" s="1"/>
      <c r="G1349" s="3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</row>
    <row r="1350">
      <c r="A1350" s="1"/>
      <c r="B1350" s="20"/>
      <c r="C1350" s="1"/>
      <c r="D1350" s="3"/>
      <c r="E1350" s="3"/>
      <c r="F1350" s="1"/>
      <c r="G1350" s="3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</row>
    <row r="1351">
      <c r="A1351" s="1"/>
      <c r="B1351" s="20"/>
      <c r="C1351" s="1"/>
      <c r="D1351" s="3"/>
      <c r="E1351" s="3"/>
      <c r="F1351" s="1"/>
      <c r="G1351" s="3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</row>
    <row r="1352">
      <c r="A1352" s="1"/>
      <c r="B1352" s="20"/>
      <c r="C1352" s="1"/>
      <c r="D1352" s="3"/>
      <c r="E1352" s="3"/>
      <c r="F1352" s="1"/>
      <c r="G1352" s="3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</row>
    <row r="1353">
      <c r="A1353" s="1"/>
      <c r="B1353" s="20"/>
      <c r="C1353" s="1"/>
      <c r="D1353" s="3"/>
      <c r="E1353" s="3"/>
      <c r="F1353" s="1"/>
      <c r="G1353" s="3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</row>
    <row r="1354">
      <c r="A1354" s="1"/>
      <c r="B1354" s="20"/>
      <c r="C1354" s="1"/>
      <c r="D1354" s="3"/>
      <c r="E1354" s="3"/>
      <c r="F1354" s="1"/>
      <c r="G1354" s="3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</row>
    <row r="1355">
      <c r="A1355" s="1"/>
      <c r="B1355" s="20"/>
      <c r="C1355" s="1"/>
      <c r="D1355" s="3"/>
      <c r="E1355" s="3"/>
      <c r="F1355" s="1"/>
      <c r="G1355" s="3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</row>
    <row r="1356">
      <c r="A1356" s="1"/>
      <c r="B1356" s="20"/>
      <c r="C1356" s="1"/>
      <c r="D1356" s="3"/>
      <c r="E1356" s="3"/>
      <c r="F1356" s="1"/>
      <c r="G1356" s="3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</row>
    <row r="1357">
      <c r="A1357" s="1"/>
      <c r="B1357" s="20"/>
      <c r="C1357" s="1"/>
      <c r="D1357" s="3"/>
      <c r="E1357" s="3"/>
      <c r="F1357" s="1"/>
      <c r="G1357" s="3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</row>
    <row r="1358">
      <c r="A1358" s="1"/>
      <c r="B1358" s="20"/>
      <c r="C1358" s="1"/>
      <c r="D1358" s="3"/>
      <c r="E1358" s="3"/>
      <c r="F1358" s="1"/>
      <c r="G1358" s="3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</row>
    <row r="1359">
      <c r="A1359" s="1"/>
      <c r="B1359" s="20"/>
      <c r="C1359" s="1"/>
      <c r="D1359" s="3"/>
      <c r="E1359" s="3"/>
      <c r="F1359" s="1"/>
      <c r="G1359" s="3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</row>
    <row r="1360">
      <c r="A1360" s="1"/>
      <c r="B1360" s="20"/>
      <c r="C1360" s="1"/>
      <c r="D1360" s="3"/>
      <c r="E1360" s="3"/>
      <c r="F1360" s="1"/>
      <c r="G1360" s="3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</row>
    <row r="1361">
      <c r="A1361" s="1"/>
      <c r="B1361" s="20"/>
      <c r="C1361" s="1"/>
      <c r="D1361" s="3"/>
      <c r="E1361" s="3"/>
      <c r="F1361" s="1"/>
      <c r="G1361" s="3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</row>
    <row r="1362">
      <c r="A1362" s="1"/>
      <c r="B1362" s="20"/>
      <c r="C1362" s="1"/>
      <c r="D1362" s="3"/>
      <c r="E1362" s="3"/>
      <c r="F1362" s="1"/>
      <c r="G1362" s="3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</row>
    <row r="1363">
      <c r="A1363" s="1"/>
      <c r="B1363" s="20"/>
      <c r="C1363" s="1"/>
      <c r="D1363" s="3"/>
      <c r="E1363" s="3"/>
      <c r="F1363" s="1"/>
      <c r="G1363" s="3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</row>
    <row r="1364">
      <c r="A1364" s="1"/>
      <c r="B1364" s="20"/>
      <c r="C1364" s="1"/>
      <c r="D1364" s="3"/>
      <c r="E1364" s="3"/>
      <c r="F1364" s="1"/>
      <c r="G1364" s="3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</row>
    <row r="1365">
      <c r="A1365" s="1"/>
      <c r="B1365" s="20"/>
      <c r="C1365" s="1"/>
      <c r="D1365" s="3"/>
      <c r="E1365" s="3"/>
      <c r="F1365" s="1"/>
      <c r="G1365" s="3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</row>
    <row r="1366">
      <c r="A1366" s="1"/>
      <c r="B1366" s="20"/>
      <c r="C1366" s="1"/>
      <c r="D1366" s="3"/>
      <c r="E1366" s="3"/>
      <c r="F1366" s="1"/>
      <c r="G1366" s="3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</row>
    <row r="1367">
      <c r="A1367" s="1"/>
      <c r="B1367" s="20"/>
      <c r="C1367" s="1"/>
      <c r="D1367" s="3"/>
      <c r="E1367" s="3"/>
      <c r="F1367" s="1"/>
      <c r="G1367" s="3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</row>
    <row r="1368">
      <c r="A1368" s="1"/>
      <c r="B1368" s="20"/>
      <c r="C1368" s="1"/>
      <c r="D1368" s="3"/>
      <c r="E1368" s="3"/>
      <c r="F1368" s="1"/>
      <c r="G1368" s="3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</row>
    <row r="1369">
      <c r="A1369" s="1"/>
      <c r="B1369" s="20"/>
      <c r="C1369" s="1"/>
      <c r="D1369" s="3"/>
      <c r="E1369" s="3"/>
      <c r="F1369" s="1"/>
      <c r="G1369" s="3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</row>
    <row r="1370">
      <c r="A1370" s="1"/>
      <c r="B1370" s="20"/>
      <c r="C1370" s="1"/>
      <c r="D1370" s="3"/>
      <c r="E1370" s="3"/>
      <c r="F1370" s="1"/>
      <c r="G1370" s="3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</row>
    <row r="1371">
      <c r="A1371" s="1"/>
      <c r="B1371" s="20"/>
      <c r="C1371" s="1"/>
      <c r="D1371" s="3"/>
      <c r="E1371" s="3"/>
      <c r="F1371" s="1"/>
      <c r="G1371" s="3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</row>
    <row r="1372">
      <c r="A1372" s="1"/>
      <c r="B1372" s="20"/>
      <c r="C1372" s="1"/>
      <c r="D1372" s="3"/>
      <c r="E1372" s="3"/>
      <c r="F1372" s="1"/>
      <c r="G1372" s="3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</row>
    <row r="1373">
      <c r="A1373" s="1"/>
      <c r="B1373" s="20"/>
      <c r="C1373" s="1"/>
      <c r="D1373" s="3"/>
      <c r="E1373" s="3"/>
      <c r="F1373" s="1"/>
      <c r="G1373" s="3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</row>
    <row r="1374">
      <c r="A1374" s="1"/>
      <c r="B1374" s="20"/>
      <c r="C1374" s="1"/>
      <c r="D1374" s="3"/>
      <c r="E1374" s="3"/>
      <c r="F1374" s="1"/>
      <c r="G1374" s="3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</row>
  </sheetData>
  <printOptions horizontalCentered="1"/>
  <pageMargins bottom="0.75" footer="0.0" header="0.0" left="0.7" right="0.7" top="0.75"/>
  <pageSetup fitToHeight="0" paperSize="12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75" outlineLevelCol="1"/>
  <cols>
    <col customWidth="1" min="1" max="1" width="1.57"/>
    <col customWidth="1" min="2" max="2" width="47.57"/>
    <col customWidth="1" min="3" max="3" width="95.14"/>
    <col customWidth="1" min="4" max="4" width="21.86"/>
    <col collapsed="1" customWidth="1" min="5" max="5" width="22.71"/>
    <col customWidth="1" hidden="1" min="6" max="6" width="14.29" outlineLevel="1"/>
    <col collapsed="1" customWidth="1" min="7" max="7" width="13.43"/>
    <col hidden="1" min="8" max="8" width="14.43" outlineLevel="1"/>
    <col hidden="1" min="13" max="13" width="14.43"/>
  </cols>
  <sheetData>
    <row r="1" ht="6.0" customHeight="1">
      <c r="A1" s="255"/>
      <c r="B1" s="91"/>
      <c r="C1" s="92"/>
      <c r="D1" s="56"/>
      <c r="E1" s="56"/>
      <c r="F1" s="56"/>
      <c r="G1" s="93"/>
      <c r="H1" s="93"/>
      <c r="I1" s="93"/>
      <c r="J1" s="93"/>
      <c r="K1" s="93"/>
      <c r="L1" s="56"/>
      <c r="M1" s="91"/>
    </row>
    <row r="2" ht="63.0" customHeight="1">
      <c r="A2" s="96"/>
      <c r="B2" s="98" t="s">
        <v>878</v>
      </c>
      <c r="C2" s="98" t="s">
        <v>879</v>
      </c>
      <c r="D2" s="99" t="s">
        <v>836</v>
      </c>
      <c r="E2" s="100" t="s">
        <v>837</v>
      </c>
      <c r="F2" s="101"/>
      <c r="G2" s="105" t="s">
        <v>838</v>
      </c>
      <c r="H2" s="134">
        <v>1.06</v>
      </c>
      <c r="I2" s="105" t="s">
        <v>881</v>
      </c>
      <c r="J2" s="105" t="s">
        <v>882</v>
      </c>
      <c r="K2" s="93"/>
      <c r="L2" s="56"/>
      <c r="M2" s="91"/>
    </row>
    <row r="3" ht="18.75" customHeight="1">
      <c r="A3" s="256"/>
      <c r="B3" s="107" t="s">
        <v>1935</v>
      </c>
      <c r="C3" s="166"/>
      <c r="D3" s="257"/>
      <c r="E3" s="109"/>
      <c r="F3" s="120"/>
      <c r="G3" s="248"/>
      <c r="H3" s="115"/>
      <c r="I3" s="93"/>
      <c r="J3" s="93"/>
      <c r="K3" s="93"/>
      <c r="L3" s="56"/>
      <c r="M3" s="258"/>
    </row>
    <row r="4">
      <c r="A4" s="256"/>
      <c r="B4" s="111" t="s">
        <v>1936</v>
      </c>
      <c r="C4" s="112" t="s">
        <v>417</v>
      </c>
      <c r="D4" s="137">
        <v>315.88</v>
      </c>
      <c r="E4" s="52">
        <v>342.0</v>
      </c>
      <c r="F4" s="109">
        <f t="shared" ref="F4:F18" si="1">H4*$H$2</f>
        <v>341.32</v>
      </c>
      <c r="G4" s="248">
        <f t="shared" ref="G4:G18" si="2">IFERROR(DIVIDE(MINUS(E4,D4),D4),)</f>
        <v>0.08268962897</v>
      </c>
      <c r="H4" s="132">
        <f>VLOOKUP(M4,'NEW PTMT'!$B$4:$E1406,4,0)</f>
        <v>322</v>
      </c>
      <c r="I4" s="134">
        <f t="array" ref="I4:J1406">IFERROR(VLOOKUP(B4:B1406,PACKING!$A$3:$D1406,{3,4},0),"")</f>
        <v>54</v>
      </c>
      <c r="J4" s="134">
        <v>216.0</v>
      </c>
      <c r="K4" s="93"/>
      <c r="L4" s="56"/>
      <c r="M4" s="126" t="s">
        <v>305</v>
      </c>
    </row>
    <row r="5">
      <c r="A5" s="256"/>
      <c r="B5" s="111" t="s">
        <v>1937</v>
      </c>
      <c r="C5" s="118" t="s">
        <v>1938</v>
      </c>
      <c r="D5" s="52">
        <v>383.72</v>
      </c>
      <c r="E5" s="52">
        <v>416.0</v>
      </c>
      <c r="F5" s="109">
        <f t="shared" si="1"/>
        <v>415.52</v>
      </c>
      <c r="G5" s="248">
        <f t="shared" si="2"/>
        <v>0.0841238403</v>
      </c>
      <c r="H5" s="132">
        <f>VLOOKUP(M5,'NEW PTMT'!$B$4:$E1406,4,0)</f>
        <v>392</v>
      </c>
      <c r="I5" s="93">
        <v>33.0</v>
      </c>
      <c r="J5" s="93">
        <v>132.0</v>
      </c>
      <c r="K5" s="93"/>
      <c r="L5" s="56"/>
      <c r="M5" s="126" t="s">
        <v>338</v>
      </c>
    </row>
    <row r="6">
      <c r="A6" s="256"/>
      <c r="B6" s="111" t="s">
        <v>1939</v>
      </c>
      <c r="C6" s="118" t="s">
        <v>363</v>
      </c>
      <c r="D6" s="52">
        <v>351.92</v>
      </c>
      <c r="E6" s="52">
        <v>378.0</v>
      </c>
      <c r="F6" s="109">
        <f t="shared" si="1"/>
        <v>379.48</v>
      </c>
      <c r="G6" s="248">
        <f t="shared" si="2"/>
        <v>0.07410775176</v>
      </c>
      <c r="H6" s="132">
        <f>VLOOKUP(M6,'NEW PTMT'!$B$4:$E1406,4,0)</f>
        <v>358</v>
      </c>
      <c r="I6" s="93">
        <v>33.0</v>
      </c>
      <c r="J6" s="93">
        <v>132.0</v>
      </c>
      <c r="K6" s="93"/>
      <c r="L6" s="56"/>
      <c r="M6" s="126" t="s">
        <v>362</v>
      </c>
    </row>
    <row r="7">
      <c r="A7" s="256"/>
      <c r="B7" s="111" t="s">
        <v>1940</v>
      </c>
      <c r="C7" s="118" t="s">
        <v>666</v>
      </c>
      <c r="D7" s="52">
        <v>606.32</v>
      </c>
      <c r="E7" s="52">
        <v>654.0</v>
      </c>
      <c r="F7" s="109">
        <f t="shared" si="1"/>
        <v>655.08</v>
      </c>
      <c r="G7" s="248">
        <f t="shared" si="2"/>
        <v>0.07863834279</v>
      </c>
      <c r="H7" s="132">
        <f>VLOOKUP(M7,'NEW PTMT'!$B$4:$E1406,4,0)</f>
        <v>618</v>
      </c>
      <c r="I7" s="93">
        <v>28.0</v>
      </c>
      <c r="J7" s="93">
        <v>112.0</v>
      </c>
      <c r="K7" s="93"/>
      <c r="L7" s="56"/>
      <c r="M7" s="126" t="s">
        <v>380</v>
      </c>
    </row>
    <row r="8">
      <c r="A8" s="256"/>
      <c r="B8" s="111" t="s">
        <v>1941</v>
      </c>
      <c r="C8" s="118" t="s">
        <v>682</v>
      </c>
      <c r="D8" s="52">
        <v>457.92</v>
      </c>
      <c r="E8" s="52">
        <v>496.0</v>
      </c>
      <c r="F8" s="109">
        <f t="shared" si="1"/>
        <v>496.08</v>
      </c>
      <c r="G8" s="248">
        <f t="shared" si="2"/>
        <v>0.08315863033</v>
      </c>
      <c r="H8" s="132">
        <f>VLOOKUP(M8,'NEW PTMT'!$B$4:$E1406,4,0)</f>
        <v>468</v>
      </c>
      <c r="I8" s="93">
        <v>30.0</v>
      </c>
      <c r="J8" s="93">
        <v>120.0</v>
      </c>
      <c r="K8" s="93"/>
      <c r="L8" s="56"/>
      <c r="M8" s="126" t="s">
        <v>398</v>
      </c>
    </row>
    <row r="9">
      <c r="A9" s="256"/>
      <c r="B9" s="111" t="s">
        <v>1942</v>
      </c>
      <c r="C9" s="118" t="s">
        <v>692</v>
      </c>
      <c r="D9" s="52">
        <v>698.0</v>
      </c>
      <c r="E9" s="52">
        <v>754.0</v>
      </c>
      <c r="F9" s="109">
        <f t="shared" si="1"/>
        <v>754.72</v>
      </c>
      <c r="G9" s="248">
        <f t="shared" si="2"/>
        <v>0.08022922636</v>
      </c>
      <c r="H9" s="132">
        <f>VLOOKUP(M9,'NEW PTMT'!$B$4:$E1406,4,0)</f>
        <v>712</v>
      </c>
      <c r="I9" s="93">
        <v>13.0</v>
      </c>
      <c r="J9" s="93">
        <v>52.0</v>
      </c>
      <c r="K9" s="93"/>
      <c r="L9" s="56"/>
      <c r="M9" s="126" t="s">
        <v>418</v>
      </c>
    </row>
    <row r="10">
      <c r="A10" s="256"/>
      <c r="B10" s="111" t="s">
        <v>1943</v>
      </c>
      <c r="C10" s="118" t="s">
        <v>1944</v>
      </c>
      <c r="D10" s="52">
        <v>669.9200000000001</v>
      </c>
      <c r="E10" s="52">
        <v>724.0</v>
      </c>
      <c r="F10" s="109">
        <f t="shared" si="1"/>
        <v>725.04</v>
      </c>
      <c r="G10" s="248">
        <f t="shared" si="2"/>
        <v>0.08072605684</v>
      </c>
      <c r="H10" s="132">
        <f>VLOOKUP(M10,'NEW PTMT'!$B$4:$E1406,4,0)</f>
        <v>684</v>
      </c>
      <c r="I10" s="134">
        <v>30.0</v>
      </c>
      <c r="J10" s="134">
        <v>120.0</v>
      </c>
      <c r="K10" s="93"/>
      <c r="L10" s="56"/>
      <c r="M10" s="126" t="s">
        <v>438</v>
      </c>
    </row>
    <row r="11">
      <c r="A11" s="256"/>
      <c r="B11" s="123" t="s">
        <v>1945</v>
      </c>
      <c r="C11" s="124" t="s">
        <v>1946</v>
      </c>
      <c r="D11" s="125">
        <v>739.8867840000001</v>
      </c>
      <c r="E11" s="52">
        <v>798.0</v>
      </c>
      <c r="F11" s="109">
        <f t="shared" si="1"/>
        <v>799.24</v>
      </c>
      <c r="G11" s="248">
        <f t="shared" si="2"/>
        <v>0.07854338969</v>
      </c>
      <c r="H11" s="132">
        <f>VLOOKUP(M11,'NEW PTMT'!$B$4:$E1406,4,0)</f>
        <v>754</v>
      </c>
      <c r="I11" s="93">
        <v>13.0</v>
      </c>
      <c r="J11" s="93">
        <v>52.0</v>
      </c>
      <c r="K11" s="93"/>
      <c r="L11" s="56"/>
      <c r="M11" s="126" t="s">
        <v>461</v>
      </c>
    </row>
    <row r="12">
      <c r="A12" s="256"/>
      <c r="B12" s="111" t="s">
        <v>1947</v>
      </c>
      <c r="C12" s="118" t="s">
        <v>913</v>
      </c>
      <c r="D12" s="52">
        <v>1666.3200000000002</v>
      </c>
      <c r="E12" s="52">
        <v>1798.0</v>
      </c>
      <c r="F12" s="109">
        <f t="shared" si="1"/>
        <v>1799.88</v>
      </c>
      <c r="G12" s="248">
        <f t="shared" si="2"/>
        <v>0.07902443708</v>
      </c>
      <c r="H12" s="132">
        <f>VLOOKUP(M12,'NEW PTMT'!$B$4:$E1406,4,0)</f>
        <v>1698</v>
      </c>
      <c r="I12" s="134">
        <v>13.0</v>
      </c>
      <c r="J12" s="134">
        <v>52.0</v>
      </c>
      <c r="K12" s="93"/>
      <c r="L12" s="56"/>
      <c r="M12" s="126" t="s">
        <v>481</v>
      </c>
    </row>
    <row r="13">
      <c r="A13" s="256"/>
      <c r="B13" s="111" t="s">
        <v>1948</v>
      </c>
      <c r="C13" s="118" t="s">
        <v>1949</v>
      </c>
      <c r="D13" s="52">
        <v>1620.0</v>
      </c>
      <c r="E13" s="52">
        <v>1748.0</v>
      </c>
      <c r="F13" s="109">
        <f t="shared" si="1"/>
        <v>1746.88</v>
      </c>
      <c r="G13" s="248">
        <f t="shared" si="2"/>
        <v>0.07901234568</v>
      </c>
      <c r="H13" s="132">
        <f>VLOOKUP(M13,'NEW PTMT'!$B$4:$E1406,4,0)</f>
        <v>1648</v>
      </c>
      <c r="I13" s="134">
        <v>13.0</v>
      </c>
      <c r="J13" s="134">
        <v>52.0</v>
      </c>
      <c r="K13" s="93"/>
      <c r="L13" s="56"/>
      <c r="M13" s="126" t="s">
        <v>501</v>
      </c>
    </row>
    <row r="14">
      <c r="A14" s="256"/>
      <c r="B14" s="111" t="s">
        <v>1085</v>
      </c>
      <c r="C14" s="118" t="s">
        <v>523</v>
      </c>
      <c r="D14" s="52">
        <v>2217.52</v>
      </c>
      <c r="E14" s="52">
        <v>2394.0</v>
      </c>
      <c r="F14" s="109">
        <f t="shared" si="1"/>
        <v>2393.48</v>
      </c>
      <c r="G14" s="248">
        <f t="shared" si="2"/>
        <v>0.07958440059</v>
      </c>
      <c r="H14" s="132">
        <f>VLOOKUP(M14,'NEW PTMT'!$B$4:$E1406,4,0)</f>
        <v>2258</v>
      </c>
      <c r="I14" s="134"/>
      <c r="J14" s="134"/>
      <c r="K14" s="93"/>
      <c r="L14" s="56"/>
      <c r="M14" s="126" t="s">
        <v>521</v>
      </c>
    </row>
    <row r="15">
      <c r="A15" s="256"/>
      <c r="B15" s="111" t="s">
        <v>1950</v>
      </c>
      <c r="C15" s="118" t="s">
        <v>1124</v>
      </c>
      <c r="D15" s="52">
        <v>1890.0</v>
      </c>
      <c r="E15" s="52">
        <v>2044.0</v>
      </c>
      <c r="F15" s="109">
        <f t="shared" si="1"/>
        <v>2043.68</v>
      </c>
      <c r="G15" s="248">
        <f t="shared" si="2"/>
        <v>0.08148148148</v>
      </c>
      <c r="H15" s="132">
        <f>VLOOKUP(M15,'NEW PTMT'!$B$4:$E1406,4,0)</f>
        <v>1928</v>
      </c>
      <c r="I15" s="134">
        <v>6.0</v>
      </c>
      <c r="J15" s="134">
        <v>24.0</v>
      </c>
      <c r="K15" s="93"/>
      <c r="L15" s="56"/>
      <c r="M15" s="126" t="s">
        <v>543</v>
      </c>
    </row>
    <row r="16">
      <c r="A16" s="256"/>
      <c r="B16" s="111" t="s">
        <v>1951</v>
      </c>
      <c r="C16" s="118" t="s">
        <v>395</v>
      </c>
      <c r="D16" s="52">
        <v>288.32</v>
      </c>
      <c r="E16" s="52">
        <v>312.0</v>
      </c>
      <c r="F16" s="109">
        <f t="shared" si="1"/>
        <v>311.64</v>
      </c>
      <c r="G16" s="248">
        <f t="shared" si="2"/>
        <v>0.08213096559</v>
      </c>
      <c r="H16" s="132">
        <f>VLOOKUP(M16,'NEW PTMT'!$B$4:$E1406,4,0)</f>
        <v>294</v>
      </c>
      <c r="I16" s="93">
        <v>66.0</v>
      </c>
      <c r="J16" s="93">
        <v>198.0</v>
      </c>
      <c r="K16" s="93"/>
      <c r="L16" s="56"/>
      <c r="M16" s="126" t="s">
        <v>562</v>
      </c>
    </row>
    <row r="17">
      <c r="A17" s="256"/>
      <c r="B17" s="111" t="s">
        <v>1952</v>
      </c>
      <c r="C17" s="118" t="s">
        <v>1953</v>
      </c>
      <c r="D17" s="52">
        <v>538.4376</v>
      </c>
      <c r="E17" s="52">
        <v>582.0</v>
      </c>
      <c r="F17" s="109">
        <f t="shared" si="1"/>
        <v>580.88</v>
      </c>
      <c r="G17" s="248">
        <f t="shared" si="2"/>
        <v>0.08090519681</v>
      </c>
      <c r="H17" s="132">
        <f>VLOOKUP(M17,'NEW PTMT'!$B$4:$E1406,4,0)</f>
        <v>548</v>
      </c>
      <c r="I17" s="93">
        <v>35.0</v>
      </c>
      <c r="J17" s="93">
        <v>140.0</v>
      </c>
      <c r="K17" s="93"/>
      <c r="L17" s="56"/>
      <c r="M17" s="126" t="s">
        <v>582</v>
      </c>
    </row>
    <row r="18">
      <c r="A18" s="133"/>
      <c r="B18" s="111" t="s">
        <v>1954</v>
      </c>
      <c r="C18" s="118" t="s">
        <v>1946</v>
      </c>
      <c r="D18" s="52">
        <v>756.0</v>
      </c>
      <c r="E18" s="52">
        <v>814.0</v>
      </c>
      <c r="F18" s="109">
        <f t="shared" si="1"/>
        <v>814.08</v>
      </c>
      <c r="G18" s="248">
        <f t="shared" si="2"/>
        <v>0.07671957672</v>
      </c>
      <c r="H18" s="132">
        <f>VLOOKUP(M18,'NEW PTMT'!$B$4:$E1406,4,0)</f>
        <v>768</v>
      </c>
      <c r="I18" s="134">
        <v>30.0</v>
      </c>
      <c r="J18" s="134">
        <v>120.0</v>
      </c>
      <c r="K18" s="93"/>
      <c r="L18" s="56"/>
      <c r="M18" s="126" t="s">
        <v>600</v>
      </c>
    </row>
    <row r="19" ht="18.75" customHeight="1">
      <c r="A19" s="96"/>
      <c r="B19" s="149"/>
      <c r="C19" s="204"/>
      <c r="D19" s="259"/>
      <c r="E19" s="109"/>
      <c r="F19" s="120"/>
      <c r="G19" s="248"/>
      <c r="H19" s="115"/>
      <c r="I19" s="93"/>
      <c r="J19" s="93"/>
      <c r="K19" s="93"/>
      <c r="L19" s="56"/>
      <c r="M19" s="91"/>
    </row>
    <row r="20" ht="18.75" customHeight="1">
      <c r="A20" s="256"/>
      <c r="B20" s="107" t="s">
        <v>1955</v>
      </c>
      <c r="C20" s="92"/>
      <c r="D20" s="93"/>
      <c r="E20" s="109"/>
      <c r="F20" s="120"/>
      <c r="G20" s="248"/>
      <c r="H20" s="115"/>
      <c r="I20" s="93"/>
      <c r="J20" s="93"/>
      <c r="K20" s="93"/>
      <c r="L20" s="56"/>
      <c r="M20" s="91"/>
    </row>
    <row r="21">
      <c r="A21" s="256"/>
      <c r="B21" s="111" t="s">
        <v>1956</v>
      </c>
      <c r="C21" s="118" t="s">
        <v>417</v>
      </c>
      <c r="D21" s="52">
        <f t="shared" ref="D21:E21" si="3">D4</f>
        <v>315.88</v>
      </c>
      <c r="E21" s="52">
        <f t="shared" si="3"/>
        <v>342</v>
      </c>
      <c r="F21" s="120"/>
      <c r="G21" s="248">
        <f t="shared" ref="G21:G35" si="5">IFERROR(DIVIDE(MINUS(E21,D21),D21),)</f>
        <v>0.08268962897</v>
      </c>
      <c r="H21" s="115"/>
      <c r="I21" s="134">
        <v>54.0</v>
      </c>
      <c r="J21" s="134">
        <v>216.0</v>
      </c>
      <c r="K21" s="93"/>
      <c r="L21" s="56"/>
      <c r="M21" s="91"/>
    </row>
    <row r="22">
      <c r="A22" s="256"/>
      <c r="B22" s="111" t="s">
        <v>1957</v>
      </c>
      <c r="C22" s="118" t="s">
        <v>1938</v>
      </c>
      <c r="D22" s="52">
        <f t="shared" ref="D22:E22" si="4">D5</f>
        <v>383.72</v>
      </c>
      <c r="E22" s="52">
        <f t="shared" si="4"/>
        <v>416</v>
      </c>
      <c r="F22" s="120"/>
      <c r="G22" s="248">
        <f t="shared" si="5"/>
        <v>0.0841238403</v>
      </c>
      <c r="H22" s="115"/>
      <c r="I22" s="93">
        <v>33.0</v>
      </c>
      <c r="J22" s="93">
        <v>132.0</v>
      </c>
      <c r="K22" s="93"/>
      <c r="L22" s="56"/>
      <c r="M22" s="91"/>
    </row>
    <row r="23">
      <c r="A23" s="256"/>
      <c r="B23" s="111" t="s">
        <v>1959</v>
      </c>
      <c r="C23" s="118" t="s">
        <v>363</v>
      </c>
      <c r="D23" s="52">
        <f t="shared" ref="D23:E23" si="6">D6</f>
        <v>351.92</v>
      </c>
      <c r="E23" s="52">
        <f t="shared" si="6"/>
        <v>378</v>
      </c>
      <c r="F23" s="120"/>
      <c r="G23" s="248">
        <f t="shared" si="5"/>
        <v>0.07410775176</v>
      </c>
      <c r="H23" s="115"/>
      <c r="I23" s="93">
        <v>33.0</v>
      </c>
      <c r="J23" s="93">
        <v>132.0</v>
      </c>
      <c r="K23" s="93"/>
      <c r="L23" s="56"/>
      <c r="M23" s="91"/>
    </row>
    <row r="24">
      <c r="A24" s="256"/>
      <c r="B24" s="111" t="s">
        <v>1961</v>
      </c>
      <c r="C24" s="118" t="s">
        <v>666</v>
      </c>
      <c r="D24" s="52">
        <f t="shared" ref="D24:E24" si="7">D7</f>
        <v>606.32</v>
      </c>
      <c r="E24" s="52">
        <f t="shared" si="7"/>
        <v>654</v>
      </c>
      <c r="F24" s="120"/>
      <c r="G24" s="248">
        <f t="shared" si="5"/>
        <v>0.07863834279</v>
      </c>
      <c r="H24" s="115"/>
      <c r="I24" s="93">
        <v>28.0</v>
      </c>
      <c r="J24" s="93">
        <v>112.0</v>
      </c>
      <c r="K24" s="93"/>
      <c r="L24" s="56"/>
      <c r="M24" s="91"/>
    </row>
    <row r="25">
      <c r="A25" s="256"/>
      <c r="B25" s="111" t="s">
        <v>1962</v>
      </c>
      <c r="C25" s="118" t="s">
        <v>682</v>
      </c>
      <c r="D25" s="52">
        <f t="shared" ref="D25:E25" si="8">D8</f>
        <v>457.92</v>
      </c>
      <c r="E25" s="52">
        <f t="shared" si="8"/>
        <v>496</v>
      </c>
      <c r="F25" s="120"/>
      <c r="G25" s="248">
        <f t="shared" si="5"/>
        <v>0.08315863033</v>
      </c>
      <c r="H25" s="115"/>
      <c r="I25" s="93">
        <v>30.0</v>
      </c>
      <c r="J25" s="93">
        <v>120.0</v>
      </c>
      <c r="K25" s="93"/>
      <c r="L25" s="56"/>
      <c r="M25" s="91"/>
    </row>
    <row r="26">
      <c r="A26" s="256"/>
      <c r="B26" s="111" t="s">
        <v>1963</v>
      </c>
      <c r="C26" s="118" t="s">
        <v>692</v>
      </c>
      <c r="D26" s="52">
        <f t="shared" ref="D26:E26" si="9">D9</f>
        <v>698</v>
      </c>
      <c r="E26" s="52">
        <f t="shared" si="9"/>
        <v>754</v>
      </c>
      <c r="F26" s="120"/>
      <c r="G26" s="248">
        <f t="shared" si="5"/>
        <v>0.08022922636</v>
      </c>
      <c r="H26" s="115"/>
      <c r="I26" s="93">
        <v>13.0</v>
      </c>
      <c r="J26" s="93">
        <v>52.0</v>
      </c>
      <c r="K26" s="93"/>
      <c r="L26" s="56"/>
      <c r="M26" s="91"/>
    </row>
    <row r="27">
      <c r="A27" s="256"/>
      <c r="B27" s="111" t="s">
        <v>1964</v>
      </c>
      <c r="C27" s="118" t="s">
        <v>1944</v>
      </c>
      <c r="D27" s="52">
        <f t="shared" ref="D27:E27" si="10">D10</f>
        <v>669.92</v>
      </c>
      <c r="E27" s="52">
        <f t="shared" si="10"/>
        <v>724</v>
      </c>
      <c r="F27" s="120"/>
      <c r="G27" s="248">
        <f t="shared" si="5"/>
        <v>0.08072605684</v>
      </c>
      <c r="H27" s="115"/>
      <c r="I27" s="134">
        <v>30.0</v>
      </c>
      <c r="J27" s="134">
        <v>120.0</v>
      </c>
      <c r="K27" s="93"/>
      <c r="L27" s="56"/>
      <c r="M27" s="91"/>
    </row>
    <row r="28">
      <c r="A28" s="256"/>
      <c r="B28" s="123" t="s">
        <v>1965</v>
      </c>
      <c r="C28" s="124" t="s">
        <v>1946</v>
      </c>
      <c r="D28" s="52">
        <f t="shared" ref="D28:E28" si="11">D11</f>
        <v>739.886784</v>
      </c>
      <c r="E28" s="52">
        <f t="shared" si="11"/>
        <v>798</v>
      </c>
      <c r="F28" s="120"/>
      <c r="G28" s="248">
        <f t="shared" si="5"/>
        <v>0.07854338969</v>
      </c>
      <c r="H28" s="115"/>
      <c r="I28" s="93">
        <v>13.0</v>
      </c>
      <c r="J28" s="93">
        <v>52.0</v>
      </c>
      <c r="K28" s="93"/>
      <c r="L28" s="56"/>
      <c r="M28" s="91"/>
    </row>
    <row r="29">
      <c r="A29" s="256"/>
      <c r="B29" s="111" t="s">
        <v>1966</v>
      </c>
      <c r="C29" s="118" t="s">
        <v>913</v>
      </c>
      <c r="D29" s="52">
        <f t="shared" ref="D29:E29" si="12">D12</f>
        <v>1666.32</v>
      </c>
      <c r="E29" s="52">
        <f t="shared" si="12"/>
        <v>1798</v>
      </c>
      <c r="F29" s="120"/>
      <c r="G29" s="248">
        <f t="shared" si="5"/>
        <v>0.07902443708</v>
      </c>
      <c r="H29" s="115"/>
      <c r="I29" s="134">
        <v>13.0</v>
      </c>
      <c r="J29" s="134">
        <v>52.0</v>
      </c>
      <c r="K29" s="93"/>
      <c r="L29" s="56"/>
      <c r="M29" s="91"/>
    </row>
    <row r="30">
      <c r="A30" s="256"/>
      <c r="B30" s="111" t="s">
        <v>1967</v>
      </c>
      <c r="C30" s="118" t="s">
        <v>1949</v>
      </c>
      <c r="D30" s="52">
        <f t="shared" ref="D30:E30" si="13">D13</f>
        <v>1620</v>
      </c>
      <c r="E30" s="52">
        <f t="shared" si="13"/>
        <v>1748</v>
      </c>
      <c r="F30" s="109"/>
      <c r="G30" s="248">
        <f t="shared" si="5"/>
        <v>0.07901234568</v>
      </c>
      <c r="H30" s="93"/>
      <c r="I30" s="134">
        <v>13.0</v>
      </c>
      <c r="J30" s="134">
        <v>52.0</v>
      </c>
      <c r="K30" s="93"/>
      <c r="L30" s="56"/>
      <c r="M30" s="91"/>
    </row>
    <row r="31">
      <c r="A31" s="256"/>
      <c r="B31" s="111" t="s">
        <v>1091</v>
      </c>
      <c r="C31" s="118" t="s">
        <v>523</v>
      </c>
      <c r="D31" s="52">
        <f t="shared" ref="D31:E31" si="14">D14</f>
        <v>2217.52</v>
      </c>
      <c r="E31" s="52">
        <f t="shared" si="14"/>
        <v>2394</v>
      </c>
      <c r="F31" s="109"/>
      <c r="G31" s="248">
        <f t="shared" si="5"/>
        <v>0.07958440059</v>
      </c>
      <c r="H31" s="93"/>
      <c r="I31" s="134"/>
      <c r="J31" s="134"/>
      <c r="K31" s="93"/>
      <c r="L31" s="56"/>
      <c r="M31" s="91"/>
    </row>
    <row r="32">
      <c r="A32" s="256"/>
      <c r="B32" s="111" t="s">
        <v>1972</v>
      </c>
      <c r="C32" s="118" t="s">
        <v>1124</v>
      </c>
      <c r="D32" s="52">
        <f t="shared" ref="D32:E32" si="15">D15</f>
        <v>1890</v>
      </c>
      <c r="E32" s="52">
        <f t="shared" si="15"/>
        <v>2044</v>
      </c>
      <c r="F32" s="109"/>
      <c r="G32" s="248">
        <f t="shared" si="5"/>
        <v>0.08148148148</v>
      </c>
      <c r="H32" s="93"/>
      <c r="I32" s="134">
        <v>6.0</v>
      </c>
      <c r="J32" s="134">
        <v>24.0</v>
      </c>
      <c r="K32" s="93"/>
      <c r="L32" s="56"/>
      <c r="M32" s="91"/>
    </row>
    <row r="33">
      <c r="A33" s="256"/>
      <c r="B33" s="111" t="s">
        <v>1974</v>
      </c>
      <c r="C33" s="118" t="s">
        <v>395</v>
      </c>
      <c r="D33" s="52">
        <f t="shared" ref="D33:E33" si="16">D16</f>
        <v>288.32</v>
      </c>
      <c r="E33" s="52">
        <f t="shared" si="16"/>
        <v>312</v>
      </c>
      <c r="F33" s="109"/>
      <c r="G33" s="248">
        <f t="shared" si="5"/>
        <v>0.08213096559</v>
      </c>
      <c r="H33" s="93"/>
      <c r="I33" s="93">
        <v>66.0</v>
      </c>
      <c r="J33" s="93">
        <v>198.0</v>
      </c>
      <c r="K33" s="93"/>
      <c r="L33" s="56"/>
      <c r="M33" s="91"/>
    </row>
    <row r="34">
      <c r="A34" s="256"/>
      <c r="B34" s="111" t="s">
        <v>1977</v>
      </c>
      <c r="C34" s="118" t="s">
        <v>1953</v>
      </c>
      <c r="D34" s="52">
        <f t="shared" ref="D34:E34" si="17">D17</f>
        <v>538.4376</v>
      </c>
      <c r="E34" s="52">
        <f t="shared" si="17"/>
        <v>582</v>
      </c>
      <c r="F34" s="120"/>
      <c r="G34" s="248">
        <f t="shared" si="5"/>
        <v>0.08090519681</v>
      </c>
      <c r="H34" s="115"/>
      <c r="I34" s="93">
        <v>35.0</v>
      </c>
      <c r="J34" s="93">
        <v>140.0</v>
      </c>
      <c r="K34" s="93"/>
      <c r="L34" s="56"/>
      <c r="M34" s="91"/>
    </row>
    <row r="35">
      <c r="A35" s="256"/>
      <c r="B35" s="111" t="s">
        <v>1979</v>
      </c>
      <c r="C35" s="118" t="s">
        <v>1946</v>
      </c>
      <c r="D35" s="52">
        <f t="shared" ref="D35:E35" si="18">D18</f>
        <v>756</v>
      </c>
      <c r="E35" s="52">
        <f t="shared" si="18"/>
        <v>814</v>
      </c>
      <c r="F35" s="120"/>
      <c r="G35" s="248">
        <f t="shared" si="5"/>
        <v>0.07671957672</v>
      </c>
      <c r="H35" s="115"/>
      <c r="I35" s="134">
        <v>30.0</v>
      </c>
      <c r="J35" s="134">
        <v>120.0</v>
      </c>
      <c r="K35" s="93"/>
      <c r="L35" s="56"/>
      <c r="M35" s="91"/>
    </row>
    <row r="36" ht="18.75" customHeight="1">
      <c r="A36" s="267"/>
      <c r="B36" s="149"/>
      <c r="C36" s="204"/>
      <c r="D36" s="259"/>
      <c r="E36" s="109"/>
      <c r="F36" s="120"/>
      <c r="G36" s="248"/>
      <c r="H36" s="115"/>
      <c r="I36" s="93"/>
      <c r="J36" s="93"/>
      <c r="K36" s="93"/>
      <c r="L36" s="56"/>
      <c r="M36" s="91"/>
    </row>
    <row r="37" ht="18.75" customHeight="1">
      <c r="A37" s="256"/>
      <c r="B37" s="107" t="s">
        <v>1983</v>
      </c>
      <c r="C37" s="166"/>
      <c r="D37" s="257"/>
      <c r="E37" s="109"/>
      <c r="F37" s="120"/>
      <c r="G37" s="248"/>
      <c r="H37" s="115"/>
      <c r="I37" s="93"/>
      <c r="J37" s="93"/>
      <c r="K37" s="93"/>
      <c r="L37" s="56"/>
      <c r="M37" s="91"/>
    </row>
    <row r="38">
      <c r="A38" s="256"/>
      <c r="B38" s="111" t="s">
        <v>1984</v>
      </c>
      <c r="C38" s="268" t="s">
        <v>417</v>
      </c>
      <c r="D38" s="52">
        <f t="shared" ref="D38:E38" si="19">D21</f>
        <v>315.88</v>
      </c>
      <c r="E38" s="52">
        <f t="shared" si="19"/>
        <v>342</v>
      </c>
      <c r="F38" s="120"/>
      <c r="G38" s="248">
        <f t="shared" ref="G38:G52" si="21">IFERROR(DIVIDE(MINUS(E38,D38),D38),)</f>
        <v>0.08268962897</v>
      </c>
      <c r="H38" s="115"/>
      <c r="I38" s="134">
        <v>54.0</v>
      </c>
      <c r="J38" s="134">
        <v>216.0</v>
      </c>
      <c r="K38" s="93"/>
      <c r="L38" s="56"/>
      <c r="M38" s="91"/>
    </row>
    <row r="39">
      <c r="A39" s="256"/>
      <c r="B39" s="111" t="s">
        <v>1988</v>
      </c>
      <c r="C39" s="118" t="s">
        <v>1938</v>
      </c>
      <c r="D39" s="52">
        <f t="shared" ref="D39:E39" si="20">D22</f>
        <v>383.72</v>
      </c>
      <c r="E39" s="52">
        <f t="shared" si="20"/>
        <v>416</v>
      </c>
      <c r="F39" s="120"/>
      <c r="G39" s="248">
        <f t="shared" si="21"/>
        <v>0.0841238403</v>
      </c>
      <c r="H39" s="115"/>
      <c r="I39" s="93">
        <v>33.0</v>
      </c>
      <c r="J39" s="93">
        <v>132.0</v>
      </c>
      <c r="K39" s="93"/>
      <c r="L39" s="56"/>
      <c r="M39" s="91"/>
    </row>
    <row r="40">
      <c r="A40" s="256"/>
      <c r="B40" s="111" t="s">
        <v>1992</v>
      </c>
      <c r="C40" s="118" t="s">
        <v>363</v>
      </c>
      <c r="D40" s="52">
        <f t="shared" ref="D40:E40" si="22">D23</f>
        <v>351.92</v>
      </c>
      <c r="E40" s="52">
        <f t="shared" si="22"/>
        <v>378</v>
      </c>
      <c r="F40" s="120"/>
      <c r="G40" s="248">
        <f t="shared" si="21"/>
        <v>0.07410775176</v>
      </c>
      <c r="H40" s="115"/>
      <c r="I40" s="93">
        <v>33.0</v>
      </c>
      <c r="J40" s="93">
        <v>132.0</v>
      </c>
      <c r="K40" s="93"/>
      <c r="L40" s="56"/>
      <c r="M40" s="91"/>
    </row>
    <row r="41">
      <c r="A41" s="256"/>
      <c r="B41" s="111" t="s">
        <v>1995</v>
      </c>
      <c r="C41" s="118" t="s">
        <v>666</v>
      </c>
      <c r="D41" s="52">
        <f t="shared" ref="D41:E41" si="23">D24</f>
        <v>606.32</v>
      </c>
      <c r="E41" s="52">
        <f t="shared" si="23"/>
        <v>654</v>
      </c>
      <c r="F41" s="120"/>
      <c r="G41" s="248">
        <f t="shared" si="21"/>
        <v>0.07863834279</v>
      </c>
      <c r="H41" s="115"/>
      <c r="I41" s="93">
        <v>28.0</v>
      </c>
      <c r="J41" s="93">
        <v>112.0</v>
      </c>
      <c r="K41" s="93"/>
      <c r="L41" s="56"/>
      <c r="M41" s="91"/>
    </row>
    <row r="42">
      <c r="A42" s="256"/>
      <c r="B42" s="111" t="s">
        <v>1998</v>
      </c>
      <c r="C42" s="118" t="s">
        <v>682</v>
      </c>
      <c r="D42" s="52">
        <f t="shared" ref="D42:E42" si="24">D25</f>
        <v>457.92</v>
      </c>
      <c r="E42" s="52">
        <f t="shared" si="24"/>
        <v>496</v>
      </c>
      <c r="F42" s="120"/>
      <c r="G42" s="248">
        <f t="shared" si="21"/>
        <v>0.08315863033</v>
      </c>
      <c r="H42" s="115"/>
      <c r="I42" s="93">
        <v>30.0</v>
      </c>
      <c r="J42" s="93">
        <v>120.0</v>
      </c>
      <c r="K42" s="93"/>
      <c r="L42" s="56"/>
      <c r="M42" s="91"/>
    </row>
    <row r="43">
      <c r="A43" s="256"/>
      <c r="B43" s="111" t="s">
        <v>1999</v>
      </c>
      <c r="C43" s="118" t="s">
        <v>692</v>
      </c>
      <c r="D43" s="52">
        <f t="shared" ref="D43:E43" si="25">D26</f>
        <v>698</v>
      </c>
      <c r="E43" s="52">
        <f t="shared" si="25"/>
        <v>754</v>
      </c>
      <c r="F43" s="120"/>
      <c r="G43" s="248">
        <f t="shared" si="21"/>
        <v>0.08022922636</v>
      </c>
      <c r="H43" s="115"/>
      <c r="I43" s="93">
        <v>13.0</v>
      </c>
      <c r="J43" s="93">
        <v>52.0</v>
      </c>
      <c r="K43" s="93"/>
      <c r="L43" s="56"/>
      <c r="M43" s="91"/>
    </row>
    <row r="44">
      <c r="A44" s="256"/>
      <c r="B44" s="111" t="s">
        <v>2001</v>
      </c>
      <c r="C44" s="118" t="s">
        <v>1944</v>
      </c>
      <c r="D44" s="52">
        <f t="shared" ref="D44:E44" si="26">D27</f>
        <v>669.92</v>
      </c>
      <c r="E44" s="52">
        <f t="shared" si="26"/>
        <v>724</v>
      </c>
      <c r="F44" s="120"/>
      <c r="G44" s="248">
        <f t="shared" si="21"/>
        <v>0.08072605684</v>
      </c>
      <c r="H44" s="115"/>
      <c r="I44" s="134">
        <v>30.0</v>
      </c>
      <c r="J44" s="134">
        <v>120.0</v>
      </c>
      <c r="K44" s="93"/>
      <c r="L44" s="56"/>
      <c r="M44" s="91"/>
    </row>
    <row r="45">
      <c r="A45" s="256"/>
      <c r="B45" s="123" t="s">
        <v>2003</v>
      </c>
      <c r="C45" s="124" t="s">
        <v>1946</v>
      </c>
      <c r="D45" s="52">
        <f t="shared" ref="D45:E45" si="27">D28</f>
        <v>739.886784</v>
      </c>
      <c r="E45" s="52">
        <f t="shared" si="27"/>
        <v>798</v>
      </c>
      <c r="F45" s="120"/>
      <c r="G45" s="248">
        <f t="shared" si="21"/>
        <v>0.07854338969</v>
      </c>
      <c r="H45" s="115"/>
      <c r="I45" s="93">
        <v>13.0</v>
      </c>
      <c r="J45" s="93">
        <v>52.0</v>
      </c>
      <c r="K45" s="93"/>
      <c r="L45" s="56"/>
      <c r="M45" s="91"/>
    </row>
    <row r="46">
      <c r="A46" s="256"/>
      <c r="B46" s="111" t="s">
        <v>2005</v>
      </c>
      <c r="C46" s="118" t="s">
        <v>913</v>
      </c>
      <c r="D46" s="52">
        <f t="shared" ref="D46:E46" si="28">D29</f>
        <v>1666.32</v>
      </c>
      <c r="E46" s="52">
        <f t="shared" si="28"/>
        <v>1798</v>
      </c>
      <c r="F46" s="120"/>
      <c r="G46" s="248">
        <f t="shared" si="21"/>
        <v>0.07902443708</v>
      </c>
      <c r="H46" s="115"/>
      <c r="I46" s="134">
        <v>13.0</v>
      </c>
      <c r="J46" s="134">
        <v>52.0</v>
      </c>
      <c r="K46" s="93"/>
      <c r="L46" s="56"/>
      <c r="M46" s="91"/>
    </row>
    <row r="47">
      <c r="A47" s="256"/>
      <c r="B47" s="111" t="s">
        <v>2008</v>
      </c>
      <c r="C47" s="118" t="s">
        <v>1949</v>
      </c>
      <c r="D47" s="52">
        <f t="shared" ref="D47:E47" si="29">D30</f>
        <v>1620</v>
      </c>
      <c r="E47" s="52">
        <f t="shared" si="29"/>
        <v>1748</v>
      </c>
      <c r="F47" s="109"/>
      <c r="G47" s="248">
        <f t="shared" si="21"/>
        <v>0.07901234568</v>
      </c>
      <c r="H47" s="93"/>
      <c r="I47" s="134">
        <v>13.0</v>
      </c>
      <c r="J47" s="134">
        <v>52.0</v>
      </c>
      <c r="K47" s="93"/>
      <c r="L47" s="56"/>
      <c r="M47" s="91"/>
    </row>
    <row r="48">
      <c r="A48" s="256"/>
      <c r="B48" s="111" t="s">
        <v>1095</v>
      </c>
      <c r="C48" s="118" t="s">
        <v>523</v>
      </c>
      <c r="D48" s="52">
        <f t="shared" ref="D48:E48" si="30">D31</f>
        <v>2217.52</v>
      </c>
      <c r="E48" s="52">
        <f t="shared" si="30"/>
        <v>2394</v>
      </c>
      <c r="F48" s="109"/>
      <c r="G48" s="248">
        <f t="shared" si="21"/>
        <v>0.07958440059</v>
      </c>
      <c r="H48" s="93"/>
      <c r="I48" s="134"/>
      <c r="J48" s="134"/>
      <c r="K48" s="93"/>
      <c r="L48" s="56"/>
      <c r="M48" s="91"/>
    </row>
    <row r="49">
      <c r="A49" s="256"/>
      <c r="B49" s="111" t="s">
        <v>2010</v>
      </c>
      <c r="C49" s="118" t="s">
        <v>1124</v>
      </c>
      <c r="D49" s="52">
        <f t="shared" ref="D49:E49" si="31">D32</f>
        <v>1890</v>
      </c>
      <c r="E49" s="52">
        <f t="shared" si="31"/>
        <v>2044</v>
      </c>
      <c r="F49" s="109"/>
      <c r="G49" s="248">
        <f t="shared" si="21"/>
        <v>0.08148148148</v>
      </c>
      <c r="H49" s="93"/>
      <c r="I49" s="134">
        <v>6.0</v>
      </c>
      <c r="J49" s="134">
        <v>24.0</v>
      </c>
      <c r="K49" s="93"/>
      <c r="L49" s="56"/>
      <c r="M49" s="91"/>
    </row>
    <row r="50">
      <c r="A50" s="256"/>
      <c r="B50" s="111" t="s">
        <v>2012</v>
      </c>
      <c r="C50" s="118" t="s">
        <v>395</v>
      </c>
      <c r="D50" s="52">
        <f t="shared" ref="D50:E50" si="32">D33</f>
        <v>288.32</v>
      </c>
      <c r="E50" s="52">
        <f t="shared" si="32"/>
        <v>312</v>
      </c>
      <c r="F50" s="109"/>
      <c r="G50" s="248">
        <f t="shared" si="21"/>
        <v>0.08213096559</v>
      </c>
      <c r="H50" s="93"/>
      <c r="I50" s="93">
        <v>66.0</v>
      </c>
      <c r="J50" s="93">
        <v>198.0</v>
      </c>
      <c r="K50" s="93"/>
      <c r="L50" s="56"/>
      <c r="M50" s="91"/>
    </row>
    <row r="51">
      <c r="A51" s="256"/>
      <c r="B51" s="111" t="s">
        <v>2014</v>
      </c>
      <c r="C51" s="118" t="s">
        <v>1953</v>
      </c>
      <c r="D51" s="52">
        <f t="shared" ref="D51:E51" si="33">D34</f>
        <v>538.4376</v>
      </c>
      <c r="E51" s="52">
        <f t="shared" si="33"/>
        <v>582</v>
      </c>
      <c r="F51" s="120"/>
      <c r="G51" s="248">
        <f t="shared" si="21"/>
        <v>0.08090519681</v>
      </c>
      <c r="H51" s="115"/>
      <c r="I51" s="93">
        <v>35.0</v>
      </c>
      <c r="J51" s="93">
        <v>140.0</v>
      </c>
      <c r="K51" s="93"/>
      <c r="L51" s="56"/>
      <c r="M51" s="91"/>
    </row>
    <row r="52">
      <c r="A52" s="256"/>
      <c r="B52" s="111" t="s">
        <v>2016</v>
      </c>
      <c r="C52" s="118" t="s">
        <v>1946</v>
      </c>
      <c r="D52" s="52">
        <f t="shared" ref="D52:E52" si="34">D35</f>
        <v>756</v>
      </c>
      <c r="E52" s="52">
        <f t="shared" si="34"/>
        <v>814</v>
      </c>
      <c r="F52" s="120"/>
      <c r="G52" s="248">
        <f t="shared" si="21"/>
        <v>0.07671957672</v>
      </c>
      <c r="H52" s="115"/>
      <c r="I52" s="134">
        <v>30.0</v>
      </c>
      <c r="J52" s="134">
        <v>120.0</v>
      </c>
      <c r="K52" s="93"/>
      <c r="L52" s="56"/>
      <c r="M52" s="91"/>
    </row>
    <row r="53" ht="18.75" customHeight="1">
      <c r="A53" s="267"/>
      <c r="B53" s="149"/>
      <c r="C53" s="204"/>
      <c r="D53" s="259"/>
      <c r="E53" s="109"/>
      <c r="F53" s="120"/>
      <c r="G53" s="248"/>
      <c r="H53" s="115"/>
      <c r="I53" s="93"/>
      <c r="J53" s="93"/>
      <c r="K53" s="93"/>
      <c r="L53" s="56"/>
      <c r="M53" s="91"/>
    </row>
    <row r="54" ht="18.75" customHeight="1">
      <c r="A54" s="256"/>
      <c r="B54" s="107" t="s">
        <v>2020</v>
      </c>
      <c r="C54" s="166"/>
      <c r="D54" s="257"/>
      <c r="E54" s="109"/>
      <c r="F54" s="120"/>
      <c r="G54" s="248"/>
      <c r="H54" s="115"/>
      <c r="I54" s="93"/>
      <c r="J54" s="93"/>
      <c r="K54" s="93"/>
      <c r="L54" s="56"/>
      <c r="M54" s="91"/>
    </row>
    <row r="55">
      <c r="A55" s="256"/>
      <c r="B55" s="111" t="s">
        <v>2022</v>
      </c>
      <c r="C55" s="118" t="s">
        <v>417</v>
      </c>
      <c r="D55" s="52">
        <f t="shared" ref="D55:E55" si="35">D38</f>
        <v>315.88</v>
      </c>
      <c r="E55" s="52">
        <f t="shared" si="35"/>
        <v>342</v>
      </c>
      <c r="F55" s="120"/>
      <c r="G55" s="248">
        <f t="shared" ref="G55:G69" si="37">IFERROR(DIVIDE(MINUS(E55,D55),D55),)</f>
        <v>0.08268962897</v>
      </c>
      <c r="H55" s="115"/>
      <c r="I55" s="134">
        <v>54.0</v>
      </c>
      <c r="J55" s="134">
        <v>216.0</v>
      </c>
      <c r="K55" s="93"/>
      <c r="L55" s="56"/>
      <c r="M55" s="91"/>
    </row>
    <row r="56">
      <c r="A56" s="256"/>
      <c r="B56" s="111" t="s">
        <v>2026</v>
      </c>
      <c r="C56" s="118" t="s">
        <v>1938</v>
      </c>
      <c r="D56" s="52">
        <f t="shared" ref="D56:E56" si="36">D39</f>
        <v>383.72</v>
      </c>
      <c r="E56" s="52">
        <f t="shared" si="36"/>
        <v>416</v>
      </c>
      <c r="F56" s="120"/>
      <c r="G56" s="248">
        <f t="shared" si="37"/>
        <v>0.0841238403</v>
      </c>
      <c r="H56" s="115"/>
      <c r="I56" s="93">
        <v>33.0</v>
      </c>
      <c r="J56" s="93">
        <v>132.0</v>
      </c>
      <c r="K56" s="93"/>
      <c r="L56" s="56"/>
      <c r="M56" s="91"/>
    </row>
    <row r="57">
      <c r="A57" s="256"/>
      <c r="B57" s="111" t="s">
        <v>2028</v>
      </c>
      <c r="C57" s="118" t="s">
        <v>363</v>
      </c>
      <c r="D57" s="52">
        <f t="shared" ref="D57:E57" si="38">D40</f>
        <v>351.92</v>
      </c>
      <c r="E57" s="52">
        <f t="shared" si="38"/>
        <v>378</v>
      </c>
      <c r="F57" s="120"/>
      <c r="G57" s="248">
        <f t="shared" si="37"/>
        <v>0.07410775176</v>
      </c>
      <c r="H57" s="115"/>
      <c r="I57" s="93">
        <v>33.0</v>
      </c>
      <c r="J57" s="93">
        <v>132.0</v>
      </c>
      <c r="K57" s="93"/>
      <c r="L57" s="56"/>
      <c r="M57" s="91"/>
    </row>
    <row r="58">
      <c r="A58" s="256"/>
      <c r="B58" s="111" t="s">
        <v>2030</v>
      </c>
      <c r="C58" s="118" t="s">
        <v>666</v>
      </c>
      <c r="D58" s="52">
        <f t="shared" ref="D58:E58" si="39">D41</f>
        <v>606.32</v>
      </c>
      <c r="E58" s="52">
        <f t="shared" si="39"/>
        <v>654</v>
      </c>
      <c r="F58" s="120"/>
      <c r="G58" s="248">
        <f t="shared" si="37"/>
        <v>0.07863834279</v>
      </c>
      <c r="H58" s="115"/>
      <c r="I58" s="93">
        <v>28.0</v>
      </c>
      <c r="J58" s="93">
        <v>112.0</v>
      </c>
      <c r="K58" s="93"/>
      <c r="L58" s="56"/>
      <c r="M58" s="91"/>
    </row>
    <row r="59">
      <c r="A59" s="256"/>
      <c r="B59" s="111" t="s">
        <v>2032</v>
      </c>
      <c r="C59" s="118" t="s">
        <v>682</v>
      </c>
      <c r="D59" s="52">
        <f t="shared" ref="D59:E59" si="40">D42</f>
        <v>457.92</v>
      </c>
      <c r="E59" s="52">
        <f t="shared" si="40"/>
        <v>496</v>
      </c>
      <c r="F59" s="120"/>
      <c r="G59" s="248">
        <f t="shared" si="37"/>
        <v>0.08315863033</v>
      </c>
      <c r="H59" s="115"/>
      <c r="I59" s="93">
        <v>30.0</v>
      </c>
      <c r="J59" s="93">
        <v>120.0</v>
      </c>
      <c r="K59" s="93"/>
      <c r="L59" s="56"/>
      <c r="M59" s="91"/>
    </row>
    <row r="60">
      <c r="A60" s="256"/>
      <c r="B60" s="111" t="s">
        <v>2034</v>
      </c>
      <c r="C60" s="118" t="s">
        <v>692</v>
      </c>
      <c r="D60" s="52">
        <f t="shared" ref="D60:E60" si="41">D43</f>
        <v>698</v>
      </c>
      <c r="E60" s="52">
        <f t="shared" si="41"/>
        <v>754</v>
      </c>
      <c r="F60" s="120"/>
      <c r="G60" s="248">
        <f t="shared" si="37"/>
        <v>0.08022922636</v>
      </c>
      <c r="H60" s="115"/>
      <c r="I60" s="93">
        <v>13.0</v>
      </c>
      <c r="J60" s="93">
        <v>52.0</v>
      </c>
      <c r="K60" s="93"/>
      <c r="L60" s="56"/>
      <c r="M60" s="91"/>
    </row>
    <row r="61">
      <c r="A61" s="256"/>
      <c r="B61" s="111" t="s">
        <v>2036</v>
      </c>
      <c r="C61" s="118" t="s">
        <v>1944</v>
      </c>
      <c r="D61" s="52">
        <f t="shared" ref="D61:E61" si="42">D44</f>
        <v>669.92</v>
      </c>
      <c r="E61" s="52">
        <f t="shared" si="42"/>
        <v>724</v>
      </c>
      <c r="F61" s="120"/>
      <c r="G61" s="248">
        <f t="shared" si="37"/>
        <v>0.08072605684</v>
      </c>
      <c r="H61" s="115"/>
      <c r="I61" s="134">
        <v>30.0</v>
      </c>
      <c r="J61" s="134">
        <v>120.0</v>
      </c>
      <c r="K61" s="93"/>
      <c r="L61" s="56"/>
      <c r="M61" s="91"/>
    </row>
    <row r="62">
      <c r="A62" s="256"/>
      <c r="B62" s="111" t="s">
        <v>2038</v>
      </c>
      <c r="C62" s="118" t="s">
        <v>1946</v>
      </c>
      <c r="D62" s="52">
        <f t="shared" ref="D62:E62" si="43">D45</f>
        <v>739.886784</v>
      </c>
      <c r="E62" s="52">
        <f t="shared" si="43"/>
        <v>798</v>
      </c>
      <c r="F62" s="120"/>
      <c r="G62" s="248">
        <f t="shared" si="37"/>
        <v>0.07854338969</v>
      </c>
      <c r="H62" s="115"/>
      <c r="I62" s="93">
        <v>13.0</v>
      </c>
      <c r="J62" s="93">
        <v>52.0</v>
      </c>
      <c r="K62" s="93"/>
      <c r="L62" s="56"/>
      <c r="M62" s="91"/>
    </row>
    <row r="63">
      <c r="A63" s="256"/>
      <c r="B63" s="111" t="s">
        <v>2039</v>
      </c>
      <c r="C63" s="118" t="s">
        <v>913</v>
      </c>
      <c r="D63" s="52">
        <f t="shared" ref="D63:E63" si="44">D46</f>
        <v>1666.32</v>
      </c>
      <c r="E63" s="52">
        <f t="shared" si="44"/>
        <v>1798</v>
      </c>
      <c r="F63" s="120"/>
      <c r="G63" s="248">
        <f t="shared" si="37"/>
        <v>0.07902443708</v>
      </c>
      <c r="H63" s="115"/>
      <c r="I63" s="134">
        <v>13.0</v>
      </c>
      <c r="J63" s="134">
        <v>52.0</v>
      </c>
      <c r="K63" s="93"/>
      <c r="L63" s="56"/>
      <c r="M63" s="91"/>
    </row>
    <row r="64">
      <c r="A64" s="256"/>
      <c r="B64" s="111" t="s">
        <v>2041</v>
      </c>
      <c r="C64" s="118" t="s">
        <v>1949</v>
      </c>
      <c r="D64" s="52">
        <f t="shared" ref="D64:E64" si="45">D47</f>
        <v>1620</v>
      </c>
      <c r="E64" s="52">
        <f t="shared" si="45"/>
        <v>1748</v>
      </c>
      <c r="F64" s="109"/>
      <c r="G64" s="248">
        <f t="shared" si="37"/>
        <v>0.07901234568</v>
      </c>
      <c r="H64" s="93"/>
      <c r="I64" s="134">
        <v>13.0</v>
      </c>
      <c r="J64" s="134">
        <v>52.0</v>
      </c>
      <c r="K64" s="93"/>
      <c r="L64" s="56"/>
      <c r="M64" s="91"/>
    </row>
    <row r="65">
      <c r="A65" s="256"/>
      <c r="B65" s="111" t="s">
        <v>1088</v>
      </c>
      <c r="C65" s="118" t="s">
        <v>523</v>
      </c>
      <c r="D65" s="52">
        <f t="shared" ref="D65:E65" si="46">D48</f>
        <v>2217.52</v>
      </c>
      <c r="E65" s="52">
        <f t="shared" si="46"/>
        <v>2394</v>
      </c>
      <c r="F65" s="109"/>
      <c r="G65" s="248">
        <f t="shared" si="37"/>
        <v>0.07958440059</v>
      </c>
      <c r="H65" s="93"/>
      <c r="I65" s="134"/>
      <c r="J65" s="134"/>
      <c r="K65" s="93"/>
      <c r="L65" s="56"/>
      <c r="M65" s="91"/>
    </row>
    <row r="66">
      <c r="A66" s="256"/>
      <c r="B66" s="111" t="s">
        <v>2044</v>
      </c>
      <c r="C66" s="118" t="s">
        <v>1124</v>
      </c>
      <c r="D66" s="52">
        <f t="shared" ref="D66:E66" si="47">D49</f>
        <v>1890</v>
      </c>
      <c r="E66" s="52">
        <f t="shared" si="47"/>
        <v>2044</v>
      </c>
      <c r="F66" s="109"/>
      <c r="G66" s="248">
        <f t="shared" si="37"/>
        <v>0.08148148148</v>
      </c>
      <c r="H66" s="93"/>
      <c r="I66" s="134">
        <v>6.0</v>
      </c>
      <c r="J66" s="134">
        <v>24.0</v>
      </c>
      <c r="K66" s="93"/>
      <c r="L66" s="56"/>
      <c r="M66" s="91"/>
    </row>
    <row r="67">
      <c r="A67" s="256"/>
      <c r="B67" s="111" t="s">
        <v>2048</v>
      </c>
      <c r="C67" s="118" t="s">
        <v>395</v>
      </c>
      <c r="D67" s="52">
        <f t="shared" ref="D67:E67" si="48">D50</f>
        <v>288.32</v>
      </c>
      <c r="E67" s="52">
        <f t="shared" si="48"/>
        <v>312</v>
      </c>
      <c r="F67" s="109"/>
      <c r="G67" s="248">
        <f t="shared" si="37"/>
        <v>0.08213096559</v>
      </c>
      <c r="H67" s="93"/>
      <c r="I67" s="93">
        <v>66.0</v>
      </c>
      <c r="J67" s="93">
        <v>198.0</v>
      </c>
      <c r="K67" s="93"/>
      <c r="L67" s="56"/>
      <c r="M67" s="91"/>
    </row>
    <row r="68">
      <c r="A68" s="256"/>
      <c r="B68" s="111" t="s">
        <v>2052</v>
      </c>
      <c r="C68" s="118" t="s">
        <v>1953</v>
      </c>
      <c r="D68" s="52">
        <f t="shared" ref="D68:E68" si="49">D51</f>
        <v>538.4376</v>
      </c>
      <c r="E68" s="52">
        <f t="shared" si="49"/>
        <v>582</v>
      </c>
      <c r="F68" s="120"/>
      <c r="G68" s="248">
        <f t="shared" si="37"/>
        <v>0.08090519681</v>
      </c>
      <c r="H68" s="115"/>
      <c r="I68" s="93">
        <v>35.0</v>
      </c>
      <c r="J68" s="93">
        <v>140.0</v>
      </c>
      <c r="K68" s="93"/>
      <c r="L68" s="56"/>
      <c r="M68" s="91"/>
    </row>
    <row r="69">
      <c r="A69" s="256"/>
      <c r="B69" s="111" t="s">
        <v>2057</v>
      </c>
      <c r="C69" s="118" t="s">
        <v>1946</v>
      </c>
      <c r="D69" s="52">
        <f t="shared" ref="D69:E69" si="50">D52</f>
        <v>756</v>
      </c>
      <c r="E69" s="52">
        <f t="shared" si="50"/>
        <v>814</v>
      </c>
      <c r="F69" s="120"/>
      <c r="G69" s="248">
        <f t="shared" si="37"/>
        <v>0.07671957672</v>
      </c>
      <c r="H69" s="115"/>
      <c r="I69" s="134">
        <v>30.0</v>
      </c>
      <c r="J69" s="134">
        <v>120.0</v>
      </c>
      <c r="K69" s="93"/>
      <c r="L69" s="56"/>
      <c r="M69" s="91"/>
    </row>
    <row r="70" ht="18.75" customHeight="1">
      <c r="A70" s="267"/>
      <c r="B70" s="91"/>
      <c r="C70" s="92"/>
      <c r="D70" s="56"/>
      <c r="E70" s="109"/>
      <c r="F70" s="120"/>
      <c r="G70" s="248"/>
      <c r="H70" s="115"/>
      <c r="I70" s="93"/>
      <c r="J70" s="93"/>
      <c r="K70" s="93"/>
      <c r="L70" s="56"/>
      <c r="M70" s="91"/>
    </row>
    <row r="71" ht="18.75" customHeight="1">
      <c r="A71" s="256"/>
      <c r="B71" s="107" t="s">
        <v>2061</v>
      </c>
      <c r="C71" s="92"/>
      <c r="D71" s="56"/>
      <c r="E71" s="109"/>
      <c r="F71" s="120"/>
      <c r="G71" s="248"/>
      <c r="H71" s="115"/>
      <c r="I71" s="93"/>
      <c r="J71" s="93"/>
      <c r="K71" s="93"/>
      <c r="L71" s="56"/>
      <c r="M71" s="91"/>
    </row>
    <row r="72">
      <c r="A72" s="256"/>
      <c r="B72" s="111" t="s">
        <v>2062</v>
      </c>
      <c r="C72" s="118" t="s">
        <v>417</v>
      </c>
      <c r="D72" s="52">
        <f t="shared" ref="D72:E72" si="51">D55</f>
        <v>315.88</v>
      </c>
      <c r="E72" s="52">
        <f t="shared" si="51"/>
        <v>342</v>
      </c>
      <c r="F72" s="120"/>
      <c r="G72" s="248">
        <f t="shared" ref="G72:G86" si="53">IFERROR(DIVIDE(MINUS(E72,D72),D72),)</f>
        <v>0.08268962897</v>
      </c>
      <c r="H72" s="115"/>
      <c r="I72" s="134">
        <v>54.0</v>
      </c>
      <c r="J72" s="134">
        <v>216.0</v>
      </c>
      <c r="K72" s="93"/>
      <c r="L72" s="56"/>
      <c r="M72" s="91"/>
    </row>
    <row r="73">
      <c r="A73" s="256"/>
      <c r="B73" s="111" t="s">
        <v>2071</v>
      </c>
      <c r="C73" s="118" t="s">
        <v>1938</v>
      </c>
      <c r="D73" s="52">
        <f t="shared" ref="D73:E73" si="52">D56</f>
        <v>383.72</v>
      </c>
      <c r="E73" s="52">
        <f t="shared" si="52"/>
        <v>416</v>
      </c>
      <c r="F73" s="120"/>
      <c r="G73" s="248">
        <f t="shared" si="53"/>
        <v>0.0841238403</v>
      </c>
      <c r="H73" s="115"/>
      <c r="I73" s="93">
        <v>33.0</v>
      </c>
      <c r="J73" s="93">
        <v>132.0</v>
      </c>
      <c r="K73" s="93"/>
      <c r="L73" s="56"/>
      <c r="M73" s="91"/>
    </row>
    <row r="74">
      <c r="A74" s="256"/>
      <c r="B74" s="111" t="s">
        <v>2074</v>
      </c>
      <c r="C74" s="118" t="s">
        <v>363</v>
      </c>
      <c r="D74" s="52">
        <f t="shared" ref="D74:E74" si="54">D57</f>
        <v>351.92</v>
      </c>
      <c r="E74" s="52">
        <f t="shared" si="54"/>
        <v>378</v>
      </c>
      <c r="F74" s="120"/>
      <c r="G74" s="248">
        <f t="shared" si="53"/>
        <v>0.07410775176</v>
      </c>
      <c r="H74" s="115"/>
      <c r="I74" s="93">
        <v>33.0</v>
      </c>
      <c r="J74" s="93">
        <v>132.0</v>
      </c>
      <c r="K74" s="93"/>
      <c r="L74" s="56"/>
      <c r="M74" s="91"/>
    </row>
    <row r="75">
      <c r="A75" s="256"/>
      <c r="B75" s="111" t="s">
        <v>2079</v>
      </c>
      <c r="C75" s="118" t="s">
        <v>666</v>
      </c>
      <c r="D75" s="52">
        <f t="shared" ref="D75:E75" si="55">D58</f>
        <v>606.32</v>
      </c>
      <c r="E75" s="52">
        <f t="shared" si="55"/>
        <v>654</v>
      </c>
      <c r="F75" s="120"/>
      <c r="G75" s="248">
        <f t="shared" si="53"/>
        <v>0.07863834279</v>
      </c>
      <c r="H75" s="115"/>
      <c r="I75" s="93">
        <v>28.0</v>
      </c>
      <c r="J75" s="93">
        <v>112.0</v>
      </c>
      <c r="K75" s="93"/>
      <c r="L75" s="56"/>
      <c r="M75" s="91"/>
    </row>
    <row r="76">
      <c r="A76" s="256"/>
      <c r="B76" s="111" t="s">
        <v>2080</v>
      </c>
      <c r="C76" s="118" t="s">
        <v>682</v>
      </c>
      <c r="D76" s="52">
        <f t="shared" ref="D76:E76" si="56">D59</f>
        <v>457.92</v>
      </c>
      <c r="E76" s="52">
        <f t="shared" si="56"/>
        <v>496</v>
      </c>
      <c r="F76" s="120"/>
      <c r="G76" s="248">
        <f t="shared" si="53"/>
        <v>0.08315863033</v>
      </c>
      <c r="H76" s="115"/>
      <c r="I76" s="93">
        <v>30.0</v>
      </c>
      <c r="J76" s="93">
        <v>120.0</v>
      </c>
      <c r="K76" s="93"/>
      <c r="L76" s="56"/>
      <c r="M76" s="91"/>
    </row>
    <row r="77">
      <c r="A77" s="256"/>
      <c r="B77" s="111" t="s">
        <v>2082</v>
      </c>
      <c r="C77" s="118" t="s">
        <v>692</v>
      </c>
      <c r="D77" s="52">
        <f t="shared" ref="D77:E77" si="57">D60</f>
        <v>698</v>
      </c>
      <c r="E77" s="52">
        <f t="shared" si="57"/>
        <v>754</v>
      </c>
      <c r="F77" s="120"/>
      <c r="G77" s="248">
        <f t="shared" si="53"/>
        <v>0.08022922636</v>
      </c>
      <c r="H77" s="115"/>
      <c r="I77" s="93">
        <v>13.0</v>
      </c>
      <c r="J77" s="93">
        <v>52.0</v>
      </c>
      <c r="K77" s="93"/>
      <c r="L77" s="56"/>
      <c r="M77" s="91"/>
    </row>
    <row r="78">
      <c r="A78" s="256"/>
      <c r="B78" s="111" t="s">
        <v>2085</v>
      </c>
      <c r="C78" s="118" t="s">
        <v>1944</v>
      </c>
      <c r="D78" s="52">
        <f t="shared" ref="D78:E78" si="58">D61</f>
        <v>669.92</v>
      </c>
      <c r="E78" s="52">
        <f t="shared" si="58"/>
        <v>724</v>
      </c>
      <c r="F78" s="120"/>
      <c r="G78" s="248">
        <f t="shared" si="53"/>
        <v>0.08072605684</v>
      </c>
      <c r="H78" s="115"/>
      <c r="I78" s="134">
        <v>30.0</v>
      </c>
      <c r="J78" s="134">
        <v>120.0</v>
      </c>
      <c r="K78" s="93"/>
      <c r="L78" s="56"/>
      <c r="M78" s="91"/>
    </row>
    <row r="79">
      <c r="A79" s="256"/>
      <c r="B79" s="111" t="s">
        <v>2090</v>
      </c>
      <c r="C79" s="118" t="s">
        <v>1946</v>
      </c>
      <c r="D79" s="52">
        <f t="shared" ref="D79:E79" si="59">D62</f>
        <v>739.886784</v>
      </c>
      <c r="E79" s="52">
        <f t="shared" si="59"/>
        <v>798</v>
      </c>
      <c r="F79" s="120"/>
      <c r="G79" s="248">
        <f t="shared" si="53"/>
        <v>0.07854338969</v>
      </c>
      <c r="H79" s="115"/>
      <c r="I79" s="93">
        <v>13.0</v>
      </c>
      <c r="J79" s="93">
        <v>52.0</v>
      </c>
      <c r="K79" s="93"/>
      <c r="L79" s="56"/>
      <c r="M79" s="91"/>
    </row>
    <row r="80">
      <c r="A80" s="256"/>
      <c r="B80" s="111" t="s">
        <v>2093</v>
      </c>
      <c r="C80" s="118" t="s">
        <v>913</v>
      </c>
      <c r="D80" s="52">
        <f t="shared" ref="D80:E80" si="60">D63</f>
        <v>1666.32</v>
      </c>
      <c r="E80" s="52">
        <f t="shared" si="60"/>
        <v>1798</v>
      </c>
      <c r="F80" s="120"/>
      <c r="G80" s="248">
        <f t="shared" si="53"/>
        <v>0.07902443708</v>
      </c>
      <c r="H80" s="115"/>
      <c r="I80" s="134">
        <v>13.0</v>
      </c>
      <c r="J80" s="134">
        <v>52.0</v>
      </c>
      <c r="K80" s="93"/>
      <c r="L80" s="56"/>
      <c r="M80" s="91"/>
    </row>
    <row r="81">
      <c r="A81" s="256"/>
      <c r="B81" s="111" t="s">
        <v>2097</v>
      </c>
      <c r="C81" s="118" t="s">
        <v>1949</v>
      </c>
      <c r="D81" s="52">
        <f t="shared" ref="D81:E81" si="61">D64</f>
        <v>1620</v>
      </c>
      <c r="E81" s="52">
        <f t="shared" si="61"/>
        <v>1748</v>
      </c>
      <c r="F81" s="109"/>
      <c r="G81" s="248">
        <f t="shared" si="53"/>
        <v>0.07901234568</v>
      </c>
      <c r="H81" s="93"/>
      <c r="I81" s="134">
        <v>13.0</v>
      </c>
      <c r="J81" s="134">
        <v>52.0</v>
      </c>
      <c r="K81" s="93"/>
      <c r="L81" s="56"/>
      <c r="M81" s="91"/>
    </row>
    <row r="82">
      <c r="A82" s="256"/>
      <c r="B82" s="111" t="s">
        <v>1103</v>
      </c>
      <c r="C82" s="118" t="s">
        <v>523</v>
      </c>
      <c r="D82" s="52">
        <f t="shared" ref="D82:E82" si="62">D65</f>
        <v>2217.52</v>
      </c>
      <c r="E82" s="52">
        <f t="shared" si="62"/>
        <v>2394</v>
      </c>
      <c r="F82" s="109"/>
      <c r="G82" s="248">
        <f t="shared" si="53"/>
        <v>0.07958440059</v>
      </c>
      <c r="H82" s="93"/>
      <c r="I82" s="134"/>
      <c r="J82" s="134"/>
      <c r="K82" s="93"/>
      <c r="L82" s="56"/>
      <c r="M82" s="91"/>
    </row>
    <row r="83">
      <c r="A83" s="256"/>
      <c r="B83" s="111" t="s">
        <v>2100</v>
      </c>
      <c r="C83" s="118" t="s">
        <v>1124</v>
      </c>
      <c r="D83" s="52">
        <f t="shared" ref="D83:E83" si="63">D66</f>
        <v>1890</v>
      </c>
      <c r="E83" s="52">
        <f t="shared" si="63"/>
        <v>2044</v>
      </c>
      <c r="F83" s="109"/>
      <c r="G83" s="248">
        <f t="shared" si="53"/>
        <v>0.08148148148</v>
      </c>
      <c r="H83" s="93"/>
      <c r="I83" s="134">
        <v>6.0</v>
      </c>
      <c r="J83" s="134">
        <v>24.0</v>
      </c>
      <c r="K83" s="93"/>
      <c r="L83" s="56"/>
      <c r="M83" s="91"/>
    </row>
    <row r="84">
      <c r="A84" s="256"/>
      <c r="B84" s="111" t="s">
        <v>2102</v>
      </c>
      <c r="C84" s="118" t="s">
        <v>395</v>
      </c>
      <c r="D84" s="52">
        <f t="shared" ref="D84:E84" si="64">D67</f>
        <v>288.32</v>
      </c>
      <c r="E84" s="52">
        <f t="shared" si="64"/>
        <v>312</v>
      </c>
      <c r="F84" s="109"/>
      <c r="G84" s="248">
        <f t="shared" si="53"/>
        <v>0.08213096559</v>
      </c>
      <c r="H84" s="93"/>
      <c r="I84" s="93">
        <v>66.0</v>
      </c>
      <c r="J84" s="93">
        <v>198.0</v>
      </c>
      <c r="K84" s="93"/>
      <c r="L84" s="56"/>
      <c r="M84" s="91"/>
    </row>
    <row r="85">
      <c r="A85" s="256"/>
      <c r="B85" s="111" t="s">
        <v>2105</v>
      </c>
      <c r="C85" s="118" t="s">
        <v>1953</v>
      </c>
      <c r="D85" s="52">
        <f t="shared" ref="D85:E85" si="65">D68</f>
        <v>538.4376</v>
      </c>
      <c r="E85" s="52">
        <f t="shared" si="65"/>
        <v>582</v>
      </c>
      <c r="F85" s="120"/>
      <c r="G85" s="248">
        <f t="shared" si="53"/>
        <v>0.08090519681</v>
      </c>
      <c r="H85" s="93"/>
      <c r="I85" s="93">
        <v>35.0</v>
      </c>
      <c r="J85" s="93">
        <v>140.0</v>
      </c>
      <c r="K85" s="93"/>
      <c r="L85" s="56"/>
      <c r="M85" s="91"/>
    </row>
    <row r="86">
      <c r="A86" s="133"/>
      <c r="B86" s="111" t="s">
        <v>2108</v>
      </c>
      <c r="C86" s="118" t="s">
        <v>1946</v>
      </c>
      <c r="D86" s="52">
        <f t="shared" ref="D86:E86" si="66">D69</f>
        <v>756</v>
      </c>
      <c r="E86" s="52">
        <f t="shared" si="66"/>
        <v>814</v>
      </c>
      <c r="F86" s="120"/>
      <c r="G86" s="248">
        <f t="shared" si="53"/>
        <v>0.07671957672</v>
      </c>
      <c r="H86" s="93"/>
      <c r="I86" s="134">
        <v>30.0</v>
      </c>
      <c r="J86" s="134">
        <v>120.0</v>
      </c>
      <c r="K86" s="93"/>
      <c r="L86" s="56"/>
      <c r="M86" s="91"/>
    </row>
    <row r="87" ht="18.75" customHeight="1">
      <c r="A87" s="96"/>
      <c r="B87" s="149"/>
      <c r="C87" s="204"/>
      <c r="D87" s="259"/>
      <c r="E87" s="109"/>
      <c r="F87" s="120"/>
      <c r="G87" s="248"/>
      <c r="H87" s="93"/>
      <c r="I87" s="93"/>
      <c r="J87" s="93"/>
      <c r="K87" s="93"/>
      <c r="L87" s="56"/>
      <c r="M87" s="91"/>
    </row>
    <row r="88" ht="18.75" customHeight="1">
      <c r="A88" s="256"/>
      <c r="B88" s="107" t="s">
        <v>2110</v>
      </c>
      <c r="C88" s="92"/>
      <c r="D88" s="56"/>
      <c r="E88" s="109"/>
      <c r="F88" s="120"/>
      <c r="G88" s="248"/>
      <c r="H88" s="93"/>
      <c r="I88" s="93"/>
      <c r="J88" s="93"/>
      <c r="K88" s="93"/>
      <c r="L88" s="56"/>
      <c r="M88" s="91"/>
    </row>
    <row r="89">
      <c r="A89" s="256"/>
      <c r="B89" s="111" t="s">
        <v>2111</v>
      </c>
      <c r="C89" s="118" t="s">
        <v>417</v>
      </c>
      <c r="D89" s="52">
        <f t="shared" ref="D89:E89" si="67">D72</f>
        <v>315.88</v>
      </c>
      <c r="E89" s="52">
        <f t="shared" si="67"/>
        <v>342</v>
      </c>
      <c r="F89" s="120"/>
      <c r="G89" s="248">
        <f t="shared" ref="G89:G103" si="69">IFERROR(DIVIDE(MINUS(E89,D89),D89),)</f>
        <v>0.08268962897</v>
      </c>
      <c r="H89" s="93"/>
      <c r="I89" s="134">
        <v>54.0</v>
      </c>
      <c r="J89" s="134">
        <v>216.0</v>
      </c>
      <c r="K89" s="93"/>
      <c r="L89" s="56"/>
      <c r="M89" s="91"/>
    </row>
    <row r="90">
      <c r="A90" s="256"/>
      <c r="B90" s="111" t="s">
        <v>2112</v>
      </c>
      <c r="C90" s="118" t="s">
        <v>1938</v>
      </c>
      <c r="D90" s="52">
        <f t="shared" ref="D90:E90" si="68">D73</f>
        <v>383.72</v>
      </c>
      <c r="E90" s="52">
        <f t="shared" si="68"/>
        <v>416</v>
      </c>
      <c r="F90" s="120"/>
      <c r="G90" s="248">
        <f t="shared" si="69"/>
        <v>0.0841238403</v>
      </c>
      <c r="H90" s="93"/>
      <c r="I90" s="93">
        <v>33.0</v>
      </c>
      <c r="J90" s="93">
        <v>132.0</v>
      </c>
      <c r="K90" s="93"/>
      <c r="L90" s="56"/>
      <c r="M90" s="91"/>
    </row>
    <row r="91">
      <c r="A91" s="256"/>
      <c r="B91" s="111" t="s">
        <v>2113</v>
      </c>
      <c r="C91" s="118" t="s">
        <v>363</v>
      </c>
      <c r="D91" s="52">
        <f t="shared" ref="D91:E91" si="70">D74</f>
        <v>351.92</v>
      </c>
      <c r="E91" s="52">
        <f t="shared" si="70"/>
        <v>378</v>
      </c>
      <c r="F91" s="120"/>
      <c r="G91" s="248">
        <f t="shared" si="69"/>
        <v>0.07410775176</v>
      </c>
      <c r="H91" s="93"/>
      <c r="I91" s="93">
        <v>33.0</v>
      </c>
      <c r="J91" s="93">
        <v>132.0</v>
      </c>
      <c r="K91" s="93"/>
      <c r="L91" s="56"/>
      <c r="M91" s="91"/>
    </row>
    <row r="92">
      <c r="A92" s="256"/>
      <c r="B92" s="111" t="s">
        <v>2114</v>
      </c>
      <c r="C92" s="118" t="s">
        <v>666</v>
      </c>
      <c r="D92" s="52">
        <f t="shared" ref="D92:E92" si="71">D75</f>
        <v>606.32</v>
      </c>
      <c r="E92" s="52">
        <f t="shared" si="71"/>
        <v>654</v>
      </c>
      <c r="F92" s="120"/>
      <c r="G92" s="248">
        <f t="shared" si="69"/>
        <v>0.07863834279</v>
      </c>
      <c r="H92" s="93"/>
      <c r="I92" s="93">
        <v>28.0</v>
      </c>
      <c r="J92" s="93">
        <v>112.0</v>
      </c>
      <c r="K92" s="93"/>
      <c r="L92" s="56"/>
      <c r="M92" s="91"/>
    </row>
    <row r="93">
      <c r="A93" s="256"/>
      <c r="B93" s="111" t="s">
        <v>2115</v>
      </c>
      <c r="C93" s="118" t="s">
        <v>682</v>
      </c>
      <c r="D93" s="52">
        <f t="shared" ref="D93:E93" si="72">D76</f>
        <v>457.92</v>
      </c>
      <c r="E93" s="52">
        <f t="shared" si="72"/>
        <v>496</v>
      </c>
      <c r="F93" s="120"/>
      <c r="G93" s="248">
        <f t="shared" si="69"/>
        <v>0.08315863033</v>
      </c>
      <c r="H93" s="93"/>
      <c r="I93" s="93">
        <v>30.0</v>
      </c>
      <c r="J93" s="93">
        <v>120.0</v>
      </c>
      <c r="K93" s="93"/>
      <c r="L93" s="56"/>
      <c r="M93" s="91"/>
    </row>
    <row r="94">
      <c r="A94" s="256"/>
      <c r="B94" s="111" t="s">
        <v>2116</v>
      </c>
      <c r="C94" s="118" t="s">
        <v>692</v>
      </c>
      <c r="D94" s="52">
        <f t="shared" ref="D94:E94" si="73">D77</f>
        <v>698</v>
      </c>
      <c r="E94" s="52">
        <f t="shared" si="73"/>
        <v>754</v>
      </c>
      <c r="F94" s="120"/>
      <c r="G94" s="248">
        <f t="shared" si="69"/>
        <v>0.08022922636</v>
      </c>
      <c r="H94" s="93"/>
      <c r="I94" s="93">
        <v>13.0</v>
      </c>
      <c r="J94" s="93">
        <v>52.0</v>
      </c>
      <c r="K94" s="93"/>
      <c r="L94" s="56"/>
      <c r="M94" s="91"/>
    </row>
    <row r="95">
      <c r="A95" s="256"/>
      <c r="B95" s="111" t="s">
        <v>2117</v>
      </c>
      <c r="C95" s="118" t="s">
        <v>1944</v>
      </c>
      <c r="D95" s="52">
        <f t="shared" ref="D95:E95" si="74">D78</f>
        <v>669.92</v>
      </c>
      <c r="E95" s="52">
        <f t="shared" si="74"/>
        <v>724</v>
      </c>
      <c r="F95" s="120"/>
      <c r="G95" s="248">
        <f t="shared" si="69"/>
        <v>0.08072605684</v>
      </c>
      <c r="H95" s="93"/>
      <c r="I95" s="134">
        <v>30.0</v>
      </c>
      <c r="J95" s="134">
        <v>120.0</v>
      </c>
      <c r="K95" s="93"/>
      <c r="L95" s="56"/>
      <c r="M95" s="91"/>
    </row>
    <row r="96">
      <c r="A96" s="256"/>
      <c r="B96" s="111" t="s">
        <v>2118</v>
      </c>
      <c r="C96" s="118" t="s">
        <v>1946</v>
      </c>
      <c r="D96" s="52">
        <f t="shared" ref="D96:E96" si="75">D79</f>
        <v>739.886784</v>
      </c>
      <c r="E96" s="52">
        <f t="shared" si="75"/>
        <v>798</v>
      </c>
      <c r="F96" s="120"/>
      <c r="G96" s="248">
        <f t="shared" si="69"/>
        <v>0.07854338969</v>
      </c>
      <c r="H96" s="93"/>
      <c r="I96" s="93">
        <v>13.0</v>
      </c>
      <c r="J96" s="93">
        <v>52.0</v>
      </c>
      <c r="K96" s="93"/>
      <c r="L96" s="56"/>
      <c r="M96" s="91"/>
    </row>
    <row r="97">
      <c r="A97" s="256"/>
      <c r="B97" s="111" t="s">
        <v>2119</v>
      </c>
      <c r="C97" s="118" t="s">
        <v>913</v>
      </c>
      <c r="D97" s="52">
        <f t="shared" ref="D97:E97" si="76">D80</f>
        <v>1666.32</v>
      </c>
      <c r="E97" s="52">
        <f t="shared" si="76"/>
        <v>1798</v>
      </c>
      <c r="F97" s="120"/>
      <c r="G97" s="248">
        <f t="shared" si="69"/>
        <v>0.07902443708</v>
      </c>
      <c r="H97" s="93"/>
      <c r="I97" s="134">
        <v>13.0</v>
      </c>
      <c r="J97" s="134">
        <v>52.0</v>
      </c>
      <c r="K97" s="93"/>
      <c r="L97" s="56"/>
      <c r="M97" s="91"/>
    </row>
    <row r="98">
      <c r="A98" s="256"/>
      <c r="B98" s="111" t="s">
        <v>2120</v>
      </c>
      <c r="C98" s="118" t="s">
        <v>1949</v>
      </c>
      <c r="D98" s="52">
        <f t="shared" ref="D98:E98" si="77">D81</f>
        <v>1620</v>
      </c>
      <c r="E98" s="52">
        <f t="shared" si="77"/>
        <v>1748</v>
      </c>
      <c r="F98" s="109"/>
      <c r="G98" s="248">
        <f t="shared" si="69"/>
        <v>0.07901234568</v>
      </c>
      <c r="H98" s="93"/>
      <c r="I98" s="134">
        <v>13.0</v>
      </c>
      <c r="J98" s="134">
        <v>52.0</v>
      </c>
      <c r="K98" s="93"/>
      <c r="L98" s="56"/>
      <c r="M98" s="91"/>
    </row>
    <row r="99">
      <c r="A99" s="256"/>
      <c r="B99" s="111" t="s">
        <v>1099</v>
      </c>
      <c r="C99" s="118" t="s">
        <v>523</v>
      </c>
      <c r="D99" s="52">
        <f t="shared" ref="D99:E99" si="78">D82</f>
        <v>2217.52</v>
      </c>
      <c r="E99" s="52">
        <f t="shared" si="78"/>
        <v>2394</v>
      </c>
      <c r="F99" s="109"/>
      <c r="G99" s="248">
        <f t="shared" si="69"/>
        <v>0.07958440059</v>
      </c>
      <c r="H99" s="93"/>
      <c r="I99" s="134"/>
      <c r="J99" s="134"/>
      <c r="K99" s="93"/>
      <c r="L99" s="56"/>
      <c r="M99" s="91"/>
    </row>
    <row r="100">
      <c r="A100" s="256"/>
      <c r="B100" s="111" t="s">
        <v>2121</v>
      </c>
      <c r="C100" s="118" t="s">
        <v>1124</v>
      </c>
      <c r="D100" s="52">
        <f t="shared" ref="D100:E100" si="79">D83</f>
        <v>1890</v>
      </c>
      <c r="E100" s="52">
        <f t="shared" si="79"/>
        <v>2044</v>
      </c>
      <c r="F100" s="109"/>
      <c r="G100" s="248">
        <f t="shared" si="69"/>
        <v>0.08148148148</v>
      </c>
      <c r="H100" s="93"/>
      <c r="I100" s="134">
        <v>6.0</v>
      </c>
      <c r="J100" s="134">
        <v>24.0</v>
      </c>
      <c r="K100" s="93"/>
      <c r="L100" s="56"/>
      <c r="M100" s="91"/>
    </row>
    <row r="101">
      <c r="A101" s="256"/>
      <c r="B101" s="111" t="s">
        <v>2122</v>
      </c>
      <c r="C101" s="118" t="s">
        <v>395</v>
      </c>
      <c r="D101" s="52">
        <f t="shared" ref="D101:E101" si="80">D84</f>
        <v>288.32</v>
      </c>
      <c r="E101" s="52">
        <f t="shared" si="80"/>
        <v>312</v>
      </c>
      <c r="F101" s="109"/>
      <c r="G101" s="248">
        <f t="shared" si="69"/>
        <v>0.08213096559</v>
      </c>
      <c r="H101" s="93"/>
      <c r="I101" s="93">
        <v>66.0</v>
      </c>
      <c r="J101" s="93">
        <v>198.0</v>
      </c>
      <c r="K101" s="93"/>
      <c r="L101" s="56"/>
      <c r="M101" s="91"/>
    </row>
    <row r="102">
      <c r="A102" s="256"/>
      <c r="B102" s="111" t="s">
        <v>2123</v>
      </c>
      <c r="C102" s="118" t="s">
        <v>1953</v>
      </c>
      <c r="D102" s="52">
        <f t="shared" ref="D102:E102" si="81">D85</f>
        <v>538.4376</v>
      </c>
      <c r="E102" s="52">
        <f t="shared" si="81"/>
        <v>582</v>
      </c>
      <c r="F102" s="109"/>
      <c r="G102" s="248">
        <f t="shared" si="69"/>
        <v>0.08090519681</v>
      </c>
      <c r="H102" s="115"/>
      <c r="I102" s="93">
        <v>35.0</v>
      </c>
      <c r="J102" s="93">
        <v>140.0</v>
      </c>
      <c r="K102" s="93"/>
      <c r="L102" s="56"/>
      <c r="M102" s="91"/>
    </row>
    <row r="103">
      <c r="A103" s="133"/>
      <c r="B103" s="111" t="s">
        <v>2124</v>
      </c>
      <c r="C103" s="118" t="s">
        <v>1946</v>
      </c>
      <c r="D103" s="52">
        <f t="shared" ref="D103:E103" si="82">D86</f>
        <v>756</v>
      </c>
      <c r="E103" s="52">
        <f t="shared" si="82"/>
        <v>814</v>
      </c>
      <c r="F103" s="109"/>
      <c r="G103" s="248">
        <f t="shared" si="69"/>
        <v>0.07671957672</v>
      </c>
      <c r="H103" s="115"/>
      <c r="I103" s="134">
        <v>30.0</v>
      </c>
      <c r="J103" s="134">
        <v>120.0</v>
      </c>
      <c r="K103" s="93"/>
      <c r="L103" s="56"/>
      <c r="M103" s="91"/>
    </row>
    <row r="104" ht="18.75" customHeight="1">
      <c r="A104" s="133"/>
      <c r="B104" s="91"/>
      <c r="C104" s="92"/>
      <c r="D104" s="56"/>
      <c r="E104" s="109"/>
      <c r="F104" s="109"/>
      <c r="G104" s="248"/>
      <c r="H104" s="115"/>
      <c r="I104" s="93"/>
      <c r="J104" s="93"/>
      <c r="K104" s="93"/>
      <c r="L104" s="56"/>
      <c r="M104" s="91"/>
    </row>
    <row r="105" ht="18.75" customHeight="1">
      <c r="A105" s="133"/>
      <c r="B105" s="107" t="s">
        <v>1109</v>
      </c>
      <c r="C105" s="272"/>
      <c r="D105" s="56"/>
      <c r="E105" s="109"/>
      <c r="F105" s="109"/>
      <c r="G105" s="248" t="str">
        <f>IFERROR(DIVIDE(MINUS(E105,D105),E105),)</f>
        <v/>
      </c>
      <c r="H105" s="93"/>
      <c r="I105" s="93"/>
      <c r="J105" s="93"/>
      <c r="K105" s="93"/>
      <c r="L105" s="56"/>
      <c r="M105" s="91"/>
    </row>
    <row r="106">
      <c r="A106" s="133"/>
      <c r="B106" s="111" t="s">
        <v>2125</v>
      </c>
      <c r="C106" s="141" t="s">
        <v>306</v>
      </c>
      <c r="D106" s="52">
        <v>419.5056</v>
      </c>
      <c r="E106" s="52">
        <v>452.0</v>
      </c>
      <c r="F106" s="109">
        <f t="shared" ref="F106:F121" si="83">H106*$H$2</f>
        <v>451.56</v>
      </c>
      <c r="G106" s="248">
        <f t="shared" ref="G106:G121" si="84">IFERROR(DIVIDE(MINUS(E106,D106),D106),)</f>
        <v>0.07745879912</v>
      </c>
      <c r="H106" s="132">
        <f>VLOOKUP(M106,'NEW PTMT'!$B$4:$E1406,4,0)</f>
        <v>426</v>
      </c>
      <c r="I106" s="93">
        <v>33.0</v>
      </c>
      <c r="J106" s="93">
        <v>132.0</v>
      </c>
      <c r="K106" s="93"/>
      <c r="L106" s="56"/>
      <c r="M106" s="126" t="s">
        <v>620</v>
      </c>
    </row>
    <row r="107">
      <c r="A107" s="133"/>
      <c r="B107" s="111" t="s">
        <v>2126</v>
      </c>
      <c r="C107" s="145" t="s">
        <v>339</v>
      </c>
      <c r="D107" s="52">
        <v>516.0</v>
      </c>
      <c r="E107" s="52">
        <v>558.0</v>
      </c>
      <c r="F107" s="109">
        <f t="shared" si="83"/>
        <v>557.56</v>
      </c>
      <c r="G107" s="248">
        <f t="shared" si="84"/>
        <v>0.08139534884</v>
      </c>
      <c r="H107" s="132">
        <f>VLOOKUP(M107,'NEW PTMT'!$B$4:$E1406,4,0)</f>
        <v>526</v>
      </c>
      <c r="I107" s="93">
        <v>33.0</v>
      </c>
      <c r="J107" s="93">
        <v>99.0</v>
      </c>
      <c r="K107" s="93"/>
      <c r="L107" s="56"/>
      <c r="M107" s="126" t="s">
        <v>637</v>
      </c>
    </row>
    <row r="108">
      <c r="A108" s="133"/>
      <c r="B108" s="111" t="s">
        <v>2127</v>
      </c>
      <c r="C108" s="118" t="s">
        <v>363</v>
      </c>
      <c r="D108" s="52">
        <v>447.530304</v>
      </c>
      <c r="E108" s="52">
        <v>484.0</v>
      </c>
      <c r="F108" s="109">
        <f t="shared" si="83"/>
        <v>483.36</v>
      </c>
      <c r="G108" s="248">
        <f t="shared" si="84"/>
        <v>0.08149100893</v>
      </c>
      <c r="H108" s="132">
        <f>VLOOKUP(M108,'NEW PTMT'!$B$4:$E1406,4,0)</f>
        <v>456</v>
      </c>
      <c r="I108" s="134">
        <v>33.0</v>
      </c>
      <c r="J108" s="134">
        <v>132.0</v>
      </c>
      <c r="K108" s="93"/>
      <c r="L108" s="56"/>
      <c r="M108" s="126" t="s">
        <v>651</v>
      </c>
    </row>
    <row r="109">
      <c r="A109" s="133"/>
      <c r="B109" s="111" t="s">
        <v>2128</v>
      </c>
      <c r="C109" s="145" t="s">
        <v>666</v>
      </c>
      <c r="D109" s="52">
        <v>775.9200000000001</v>
      </c>
      <c r="E109" s="52">
        <v>842.0</v>
      </c>
      <c r="F109" s="109">
        <f t="shared" si="83"/>
        <v>839.52</v>
      </c>
      <c r="G109" s="248">
        <f t="shared" si="84"/>
        <v>0.08516341891</v>
      </c>
      <c r="H109" s="132">
        <f>VLOOKUP(M109,'NEW PTMT'!$B$4:$E1406,4,0)</f>
        <v>792</v>
      </c>
      <c r="I109" s="93">
        <v>24.0</v>
      </c>
      <c r="J109" s="134">
        <v>48.0</v>
      </c>
      <c r="K109" s="93"/>
      <c r="L109" s="56"/>
      <c r="M109" s="126" t="s">
        <v>665</v>
      </c>
    </row>
    <row r="110">
      <c r="A110" s="133"/>
      <c r="B110" s="111" t="s">
        <v>2129</v>
      </c>
      <c r="C110" s="145" t="s">
        <v>682</v>
      </c>
      <c r="D110" s="52">
        <v>527.6256</v>
      </c>
      <c r="E110" s="52">
        <v>572.0</v>
      </c>
      <c r="F110" s="109">
        <f t="shared" si="83"/>
        <v>570.28</v>
      </c>
      <c r="G110" s="248">
        <f t="shared" si="84"/>
        <v>0.08410206025</v>
      </c>
      <c r="H110" s="132">
        <f>VLOOKUP(M110,'NEW PTMT'!$B$4:$E1406,4,0)</f>
        <v>538</v>
      </c>
      <c r="I110" s="93">
        <v>30.0</v>
      </c>
      <c r="J110" s="134">
        <v>90.0</v>
      </c>
      <c r="K110" s="93"/>
      <c r="L110" s="56"/>
      <c r="M110" s="126" t="s">
        <v>681</v>
      </c>
    </row>
    <row r="111">
      <c r="A111" s="133"/>
      <c r="B111" s="111" t="s">
        <v>2130</v>
      </c>
      <c r="C111" s="145" t="s">
        <v>692</v>
      </c>
      <c r="D111" s="52">
        <v>832.0</v>
      </c>
      <c r="E111" s="52">
        <v>898.0</v>
      </c>
      <c r="F111" s="109">
        <f t="shared" si="83"/>
        <v>898.88</v>
      </c>
      <c r="G111" s="248">
        <f t="shared" si="84"/>
        <v>0.07932692308</v>
      </c>
      <c r="H111" s="132">
        <f>VLOOKUP(M111,'NEW PTMT'!$B$4:$E1406,4,0)</f>
        <v>848</v>
      </c>
      <c r="I111" s="93">
        <v>13.0</v>
      </c>
      <c r="J111" s="93">
        <v>52.0</v>
      </c>
      <c r="K111" s="93"/>
      <c r="L111" s="56"/>
      <c r="M111" s="126" t="s">
        <v>691</v>
      </c>
    </row>
    <row r="112">
      <c r="A112" s="133"/>
      <c r="B112" s="111" t="s">
        <v>2131</v>
      </c>
      <c r="C112" s="118" t="s">
        <v>1944</v>
      </c>
      <c r="D112" s="52">
        <v>784.0</v>
      </c>
      <c r="E112" s="52">
        <v>846.0</v>
      </c>
      <c r="F112" s="109">
        <f t="shared" si="83"/>
        <v>845.88</v>
      </c>
      <c r="G112" s="248">
        <f t="shared" si="84"/>
        <v>0.07908163265</v>
      </c>
      <c r="H112" s="132">
        <f>VLOOKUP(M112,'NEW PTMT'!$B$4:$E1406,4,0)</f>
        <v>798</v>
      </c>
      <c r="I112" s="134">
        <v>30.0</v>
      </c>
      <c r="J112" s="134">
        <v>120.0</v>
      </c>
      <c r="K112" s="93"/>
      <c r="L112" s="56"/>
      <c r="M112" s="126" t="s">
        <v>694</v>
      </c>
    </row>
    <row r="113">
      <c r="A113" s="133"/>
      <c r="B113" s="111" t="s">
        <v>2132</v>
      </c>
      <c r="C113" s="145" t="s">
        <v>2133</v>
      </c>
      <c r="D113" s="52">
        <v>832.0</v>
      </c>
      <c r="E113" s="52">
        <v>898.0</v>
      </c>
      <c r="F113" s="109">
        <f t="shared" si="83"/>
        <v>898.88</v>
      </c>
      <c r="G113" s="248">
        <f t="shared" si="84"/>
        <v>0.07932692308</v>
      </c>
      <c r="H113" s="132">
        <f>VLOOKUP(M113,'NEW PTMT'!$B$4:$E1406,4,0)</f>
        <v>848</v>
      </c>
      <c r="I113" s="93">
        <v>13.0</v>
      </c>
      <c r="J113" s="93">
        <v>52.0</v>
      </c>
      <c r="K113" s="93"/>
      <c r="L113" s="56"/>
      <c r="M113" s="126" t="s">
        <v>695</v>
      </c>
    </row>
    <row r="114">
      <c r="A114" s="133"/>
      <c r="B114" s="111" t="s">
        <v>2134</v>
      </c>
      <c r="C114" s="145" t="s">
        <v>913</v>
      </c>
      <c r="D114" s="52">
        <v>1729.92</v>
      </c>
      <c r="E114" s="52">
        <v>1872.0</v>
      </c>
      <c r="F114" s="109">
        <f t="shared" si="83"/>
        <v>1869.84</v>
      </c>
      <c r="G114" s="248">
        <f t="shared" si="84"/>
        <v>0.08213096559</v>
      </c>
      <c r="H114" s="132">
        <f>VLOOKUP(M114,'NEW PTMT'!$B$4:$E1406,4,0)</f>
        <v>1764</v>
      </c>
      <c r="I114" s="93">
        <v>13.0</v>
      </c>
      <c r="J114" s="93">
        <v>52.0</v>
      </c>
      <c r="K114" s="93"/>
      <c r="L114" s="56"/>
      <c r="M114" s="126" t="s">
        <v>697</v>
      </c>
    </row>
    <row r="115">
      <c r="A115" s="133"/>
      <c r="B115" s="111" t="s">
        <v>2135</v>
      </c>
      <c r="C115" s="145" t="s">
        <v>1949</v>
      </c>
      <c r="D115" s="52">
        <v>1666.3200000000002</v>
      </c>
      <c r="E115" s="52">
        <v>1798.0</v>
      </c>
      <c r="F115" s="109">
        <f t="shared" si="83"/>
        <v>1799.88</v>
      </c>
      <c r="G115" s="248">
        <f t="shared" si="84"/>
        <v>0.07902443708</v>
      </c>
      <c r="H115" s="132">
        <f>VLOOKUP(M115,'NEW PTMT'!$B$4:$E1406,4,0)</f>
        <v>1698</v>
      </c>
      <c r="I115" s="93">
        <v>13.0</v>
      </c>
      <c r="J115" s="93">
        <v>52.0</v>
      </c>
      <c r="K115" s="93"/>
      <c r="L115" s="56"/>
      <c r="M115" s="126" t="s">
        <v>700</v>
      </c>
    </row>
    <row r="116">
      <c r="A116" s="133"/>
      <c r="B116" s="111" t="s">
        <v>1110</v>
      </c>
      <c r="C116" s="145" t="s">
        <v>523</v>
      </c>
      <c r="D116" s="52">
        <v>2424.0</v>
      </c>
      <c r="E116" s="52">
        <v>2616.0</v>
      </c>
      <c r="F116" s="109">
        <f t="shared" si="83"/>
        <v>2616.08</v>
      </c>
      <c r="G116" s="248">
        <f t="shared" si="84"/>
        <v>0.07920792079</v>
      </c>
      <c r="H116" s="132">
        <f>VLOOKUP(M116,'NEW PTMT'!$B$4:$E1406,4,0)</f>
        <v>2468</v>
      </c>
      <c r="I116" s="93"/>
      <c r="J116" s="93"/>
      <c r="K116" s="93"/>
      <c r="L116" s="56"/>
      <c r="M116" s="126" t="s">
        <v>702</v>
      </c>
    </row>
    <row r="117">
      <c r="A117" s="133"/>
      <c r="B117" s="111" t="s">
        <v>2136</v>
      </c>
      <c r="C117" s="145" t="s">
        <v>705</v>
      </c>
      <c r="D117" s="52">
        <v>2098.0</v>
      </c>
      <c r="E117" s="52">
        <v>2266.0</v>
      </c>
      <c r="F117" s="109">
        <f t="shared" si="83"/>
        <v>2266.28</v>
      </c>
      <c r="G117" s="248">
        <f t="shared" si="84"/>
        <v>0.08007626311</v>
      </c>
      <c r="H117" s="132">
        <f>VLOOKUP(M117,'NEW PTMT'!$B$4:$E1406,4,0)</f>
        <v>2138</v>
      </c>
      <c r="I117" s="93">
        <v>6.0</v>
      </c>
      <c r="J117" s="93">
        <v>24.0</v>
      </c>
      <c r="K117" s="93"/>
      <c r="L117" s="56"/>
      <c r="M117" s="126" t="s">
        <v>704</v>
      </c>
    </row>
    <row r="118">
      <c r="A118" s="133"/>
      <c r="B118" s="111" t="s">
        <v>2137</v>
      </c>
      <c r="C118" s="145" t="s">
        <v>395</v>
      </c>
      <c r="D118" s="52">
        <v>374.0</v>
      </c>
      <c r="E118" s="52">
        <v>402.0</v>
      </c>
      <c r="F118" s="109">
        <f t="shared" si="83"/>
        <v>400.68</v>
      </c>
      <c r="G118" s="248">
        <f t="shared" si="84"/>
        <v>0.07486631016</v>
      </c>
      <c r="H118" s="132">
        <f>VLOOKUP(M118,'NEW PTMT'!$B$4:$E1406,4,0)</f>
        <v>378</v>
      </c>
      <c r="I118" s="93">
        <v>66.0</v>
      </c>
      <c r="J118" s="93">
        <v>198.0</v>
      </c>
      <c r="K118" s="93"/>
      <c r="L118" s="56"/>
      <c r="M118" s="126" t="s">
        <v>706</v>
      </c>
    </row>
    <row r="119">
      <c r="A119" s="133"/>
      <c r="B119" s="111" t="s">
        <v>2138</v>
      </c>
      <c r="C119" s="145" t="s">
        <v>359</v>
      </c>
      <c r="D119" s="52">
        <v>724.0</v>
      </c>
      <c r="E119" s="52">
        <v>782.0</v>
      </c>
      <c r="F119" s="109">
        <f t="shared" si="83"/>
        <v>782.28</v>
      </c>
      <c r="G119" s="248">
        <f t="shared" si="84"/>
        <v>0.08011049724</v>
      </c>
      <c r="H119" s="132">
        <f>VLOOKUP(M119,'NEW PTMT'!$B$4:$E1406,4,0)</f>
        <v>738</v>
      </c>
      <c r="I119" s="93">
        <v>23.0</v>
      </c>
      <c r="J119" s="93">
        <v>92.0</v>
      </c>
      <c r="K119" s="93"/>
      <c r="L119" s="56"/>
      <c r="M119" s="126" t="s">
        <v>707</v>
      </c>
    </row>
    <row r="120">
      <c r="A120" s="133"/>
      <c r="B120" s="111" t="s">
        <v>2139</v>
      </c>
      <c r="C120" s="118" t="s">
        <v>1137</v>
      </c>
      <c r="D120" s="52">
        <v>724.0</v>
      </c>
      <c r="E120" s="52">
        <v>782.0</v>
      </c>
      <c r="F120" s="109">
        <f t="shared" si="83"/>
        <v>782.28</v>
      </c>
      <c r="G120" s="248">
        <f t="shared" si="84"/>
        <v>0.08011049724</v>
      </c>
      <c r="H120" s="132">
        <f>VLOOKUP(M120,'NEW PTMT'!$B$4:$E1406,4,0)</f>
        <v>738</v>
      </c>
      <c r="I120" s="134">
        <v>30.0</v>
      </c>
      <c r="J120" s="134">
        <v>90.0</v>
      </c>
      <c r="K120" s="93"/>
      <c r="L120" s="56"/>
      <c r="M120" s="126" t="s">
        <v>709</v>
      </c>
    </row>
    <row r="121">
      <c r="A121" s="133"/>
      <c r="B121" s="123" t="s">
        <v>2140</v>
      </c>
      <c r="C121" s="277" t="s">
        <v>1145</v>
      </c>
      <c r="D121" s="52">
        <v>1884.0</v>
      </c>
      <c r="E121" s="52">
        <v>2034.0</v>
      </c>
      <c r="F121" s="109">
        <f t="shared" si="83"/>
        <v>2033.08</v>
      </c>
      <c r="G121" s="248">
        <f t="shared" si="84"/>
        <v>0.07961783439</v>
      </c>
      <c r="H121" s="132">
        <f>VLOOKUP(M121,'NEW PTMT'!$B$4:$E1406,4,0)</f>
        <v>1918</v>
      </c>
      <c r="I121" s="93">
        <v>14.0</v>
      </c>
      <c r="J121" s="93">
        <v>56.0</v>
      </c>
      <c r="K121" s="93"/>
      <c r="L121" s="56"/>
      <c r="M121" s="126" t="s">
        <v>711</v>
      </c>
    </row>
    <row r="122" ht="18.75" customHeight="1">
      <c r="A122" s="96"/>
      <c r="B122" s="185"/>
      <c r="C122" s="204"/>
      <c r="D122" s="259"/>
      <c r="E122" s="109"/>
      <c r="F122" s="109"/>
      <c r="G122" s="248"/>
      <c r="H122" s="93"/>
      <c r="I122" s="93"/>
      <c r="J122" s="93"/>
      <c r="K122" s="93"/>
      <c r="L122" s="56"/>
      <c r="M122" s="91"/>
    </row>
    <row r="123" ht="18.75" customHeight="1">
      <c r="A123" s="133"/>
      <c r="B123" s="107" t="s">
        <v>1115</v>
      </c>
      <c r="C123" s="272"/>
      <c r="D123" s="272"/>
      <c r="E123" s="109"/>
      <c r="F123" s="109"/>
      <c r="G123" s="248"/>
      <c r="H123" s="93"/>
      <c r="I123" s="93"/>
      <c r="J123" s="93"/>
      <c r="K123" s="93"/>
      <c r="L123" s="56"/>
      <c r="M123" s="126"/>
    </row>
    <row r="124">
      <c r="A124" s="133"/>
      <c r="B124" s="111" t="s">
        <v>2141</v>
      </c>
      <c r="C124" s="141" t="s">
        <v>306</v>
      </c>
      <c r="D124" s="52">
        <f t="shared" ref="D124:E124" si="85">D106</f>
        <v>419.5056</v>
      </c>
      <c r="E124" s="52">
        <f t="shared" si="85"/>
        <v>452</v>
      </c>
      <c r="F124" s="109"/>
      <c r="G124" s="248">
        <f t="shared" ref="G124:G139" si="87">IFERROR(DIVIDE(MINUS(E124,D124),D124),)</f>
        <v>0.07745879912</v>
      </c>
      <c r="H124" s="115"/>
      <c r="I124" s="93">
        <v>33.0</v>
      </c>
      <c r="J124" s="93">
        <v>132.0</v>
      </c>
      <c r="K124" s="93"/>
      <c r="L124" s="56"/>
      <c r="M124" s="126"/>
    </row>
    <row r="125">
      <c r="A125" s="133"/>
      <c r="B125" s="111" t="s">
        <v>2142</v>
      </c>
      <c r="C125" s="145" t="s">
        <v>339</v>
      </c>
      <c r="D125" s="52">
        <f t="shared" ref="D125:E125" si="86">D107</f>
        <v>516</v>
      </c>
      <c r="E125" s="52">
        <f t="shared" si="86"/>
        <v>558</v>
      </c>
      <c r="F125" s="109"/>
      <c r="G125" s="248">
        <f t="shared" si="87"/>
        <v>0.08139534884</v>
      </c>
      <c r="H125" s="115"/>
      <c r="I125" s="93">
        <v>33.0</v>
      </c>
      <c r="J125" s="93">
        <v>99.0</v>
      </c>
      <c r="K125" s="93"/>
      <c r="L125" s="56"/>
      <c r="M125" s="126"/>
    </row>
    <row r="126">
      <c r="A126" s="133"/>
      <c r="B126" s="111" t="s">
        <v>2143</v>
      </c>
      <c r="C126" s="118" t="s">
        <v>363</v>
      </c>
      <c r="D126" s="52">
        <f t="shared" ref="D126:E126" si="88">D108</f>
        <v>447.530304</v>
      </c>
      <c r="E126" s="52">
        <f t="shared" si="88"/>
        <v>484</v>
      </c>
      <c r="F126" s="109"/>
      <c r="G126" s="248">
        <f t="shared" si="87"/>
        <v>0.08149100893</v>
      </c>
      <c r="H126" s="115"/>
      <c r="I126" s="134">
        <v>33.0</v>
      </c>
      <c r="J126" s="134">
        <v>132.0</v>
      </c>
      <c r="K126" s="93"/>
      <c r="L126" s="56"/>
      <c r="M126" s="126"/>
    </row>
    <row r="127">
      <c r="A127" s="133"/>
      <c r="B127" s="111" t="s">
        <v>2144</v>
      </c>
      <c r="C127" s="145" t="s">
        <v>666</v>
      </c>
      <c r="D127" s="52">
        <f t="shared" ref="D127:E127" si="89">D109</f>
        <v>775.92</v>
      </c>
      <c r="E127" s="52">
        <f t="shared" si="89"/>
        <v>842</v>
      </c>
      <c r="F127" s="109"/>
      <c r="G127" s="248">
        <f t="shared" si="87"/>
        <v>0.08516341891</v>
      </c>
      <c r="H127" s="115"/>
      <c r="I127" s="93">
        <v>24.0</v>
      </c>
      <c r="J127" s="134">
        <v>48.0</v>
      </c>
      <c r="K127" s="93"/>
      <c r="L127" s="56"/>
      <c r="M127" s="126"/>
    </row>
    <row r="128">
      <c r="A128" s="133"/>
      <c r="B128" s="111" t="s">
        <v>2145</v>
      </c>
      <c r="C128" s="145" t="s">
        <v>682</v>
      </c>
      <c r="D128" s="52">
        <f t="shared" ref="D128:E128" si="90">D110</f>
        <v>527.6256</v>
      </c>
      <c r="E128" s="52">
        <f t="shared" si="90"/>
        <v>572</v>
      </c>
      <c r="F128" s="109"/>
      <c r="G128" s="248">
        <f t="shared" si="87"/>
        <v>0.08410206025</v>
      </c>
      <c r="H128" s="115"/>
      <c r="I128" s="93">
        <v>30.0</v>
      </c>
      <c r="J128" s="134">
        <v>90.0</v>
      </c>
      <c r="K128" s="93"/>
      <c r="L128" s="56"/>
      <c r="M128" s="126"/>
    </row>
    <row r="129">
      <c r="A129" s="133"/>
      <c r="B129" s="111" t="s">
        <v>2146</v>
      </c>
      <c r="C129" s="145" t="s">
        <v>692</v>
      </c>
      <c r="D129" s="52">
        <f t="shared" ref="D129:E129" si="91">D111</f>
        <v>832</v>
      </c>
      <c r="E129" s="52">
        <f t="shared" si="91"/>
        <v>898</v>
      </c>
      <c r="F129" s="109"/>
      <c r="G129" s="248">
        <f t="shared" si="87"/>
        <v>0.07932692308</v>
      </c>
      <c r="H129" s="115"/>
      <c r="I129" s="93">
        <v>13.0</v>
      </c>
      <c r="J129" s="93">
        <v>52.0</v>
      </c>
      <c r="K129" s="93"/>
      <c r="L129" s="56"/>
      <c r="M129" s="126"/>
    </row>
    <row r="130">
      <c r="A130" s="133"/>
      <c r="B130" s="111" t="s">
        <v>2147</v>
      </c>
      <c r="C130" s="118" t="s">
        <v>1944</v>
      </c>
      <c r="D130" s="52">
        <f t="shared" ref="D130:E130" si="92">D112</f>
        <v>784</v>
      </c>
      <c r="E130" s="52">
        <f t="shared" si="92"/>
        <v>846</v>
      </c>
      <c r="F130" s="109"/>
      <c r="G130" s="248">
        <f t="shared" si="87"/>
        <v>0.07908163265</v>
      </c>
      <c r="H130" s="115"/>
      <c r="I130" s="134">
        <v>30.0</v>
      </c>
      <c r="J130" s="134">
        <v>120.0</v>
      </c>
      <c r="K130" s="93"/>
      <c r="L130" s="56"/>
      <c r="M130" s="126"/>
    </row>
    <row r="131">
      <c r="A131" s="133"/>
      <c r="B131" s="111" t="s">
        <v>2148</v>
      </c>
      <c r="C131" s="145" t="s">
        <v>2133</v>
      </c>
      <c r="D131" s="52">
        <f t="shared" ref="D131:E131" si="93">D113</f>
        <v>832</v>
      </c>
      <c r="E131" s="52">
        <f t="shared" si="93"/>
        <v>898</v>
      </c>
      <c r="F131" s="109"/>
      <c r="G131" s="248">
        <f t="shared" si="87"/>
        <v>0.07932692308</v>
      </c>
      <c r="H131" s="115"/>
      <c r="I131" s="93">
        <v>13.0</v>
      </c>
      <c r="J131" s="93">
        <v>52.0</v>
      </c>
      <c r="K131" s="93"/>
      <c r="L131" s="56"/>
      <c r="M131" s="126"/>
    </row>
    <row r="132">
      <c r="A132" s="133"/>
      <c r="B132" s="111" t="s">
        <v>2149</v>
      </c>
      <c r="C132" s="145" t="s">
        <v>913</v>
      </c>
      <c r="D132" s="52">
        <f t="shared" ref="D132:E132" si="94">D114</f>
        <v>1729.92</v>
      </c>
      <c r="E132" s="52">
        <f t="shared" si="94"/>
        <v>1872</v>
      </c>
      <c r="F132" s="109"/>
      <c r="G132" s="248">
        <f t="shared" si="87"/>
        <v>0.08213096559</v>
      </c>
      <c r="H132" s="115"/>
      <c r="I132" s="93">
        <v>13.0</v>
      </c>
      <c r="J132" s="93">
        <v>52.0</v>
      </c>
      <c r="K132" s="93"/>
      <c r="L132" s="56"/>
      <c r="M132" s="126"/>
    </row>
    <row r="133">
      <c r="A133" s="133"/>
      <c r="B133" s="111" t="s">
        <v>2150</v>
      </c>
      <c r="C133" s="145" t="s">
        <v>1949</v>
      </c>
      <c r="D133" s="52">
        <f t="shared" ref="D133:E133" si="95">D115</f>
        <v>1666.32</v>
      </c>
      <c r="E133" s="52">
        <f t="shared" si="95"/>
        <v>1798</v>
      </c>
      <c r="F133" s="109"/>
      <c r="G133" s="248">
        <f t="shared" si="87"/>
        <v>0.07902443708</v>
      </c>
      <c r="H133" s="115"/>
      <c r="I133" s="93">
        <v>13.0</v>
      </c>
      <c r="J133" s="93">
        <v>52.0</v>
      </c>
      <c r="K133" s="93"/>
      <c r="L133" s="56"/>
      <c r="M133" s="126"/>
    </row>
    <row r="134">
      <c r="A134" s="133"/>
      <c r="B134" s="111" t="s">
        <v>1116</v>
      </c>
      <c r="C134" s="145" t="s">
        <v>523</v>
      </c>
      <c r="D134" s="52">
        <f t="shared" ref="D134:E134" si="96">D116</f>
        <v>2424</v>
      </c>
      <c r="E134" s="52">
        <f t="shared" si="96"/>
        <v>2616</v>
      </c>
      <c r="F134" s="109"/>
      <c r="G134" s="248">
        <f t="shared" si="87"/>
        <v>0.07920792079</v>
      </c>
      <c r="H134" s="115"/>
      <c r="I134" s="93"/>
      <c r="J134" s="93"/>
      <c r="K134" s="93"/>
      <c r="L134" s="56"/>
      <c r="M134" s="126"/>
    </row>
    <row r="135">
      <c r="A135" s="133"/>
      <c r="B135" s="111" t="s">
        <v>2151</v>
      </c>
      <c r="C135" s="145" t="s">
        <v>705</v>
      </c>
      <c r="D135" s="52">
        <f t="shared" ref="D135:E135" si="97">D117</f>
        <v>2098</v>
      </c>
      <c r="E135" s="52">
        <f t="shared" si="97"/>
        <v>2266</v>
      </c>
      <c r="F135" s="109"/>
      <c r="G135" s="248">
        <f t="shared" si="87"/>
        <v>0.08007626311</v>
      </c>
      <c r="H135" s="115"/>
      <c r="I135" s="93">
        <v>6.0</v>
      </c>
      <c r="J135" s="93">
        <v>24.0</v>
      </c>
      <c r="K135" s="93"/>
      <c r="L135" s="56"/>
      <c r="M135" s="126"/>
    </row>
    <row r="136">
      <c r="A136" s="133"/>
      <c r="B136" s="111" t="s">
        <v>2152</v>
      </c>
      <c r="C136" s="145" t="s">
        <v>395</v>
      </c>
      <c r="D136" s="52">
        <f t="shared" ref="D136:E136" si="98">D118</f>
        <v>374</v>
      </c>
      <c r="E136" s="52">
        <f t="shared" si="98"/>
        <v>402</v>
      </c>
      <c r="F136" s="109"/>
      <c r="G136" s="248">
        <f t="shared" si="87"/>
        <v>0.07486631016</v>
      </c>
      <c r="H136" s="115"/>
      <c r="I136" s="93">
        <v>66.0</v>
      </c>
      <c r="J136" s="93">
        <v>198.0</v>
      </c>
      <c r="K136" s="93"/>
      <c r="L136" s="56"/>
      <c r="M136" s="126"/>
    </row>
    <row r="137">
      <c r="A137" s="133"/>
      <c r="B137" s="111" t="s">
        <v>2153</v>
      </c>
      <c r="C137" s="145" t="s">
        <v>359</v>
      </c>
      <c r="D137" s="52">
        <f t="shared" ref="D137:E137" si="99">D119</f>
        <v>724</v>
      </c>
      <c r="E137" s="52">
        <f t="shared" si="99"/>
        <v>782</v>
      </c>
      <c r="F137" s="109"/>
      <c r="G137" s="248">
        <f t="shared" si="87"/>
        <v>0.08011049724</v>
      </c>
      <c r="H137" s="115"/>
      <c r="I137" s="93">
        <v>23.0</v>
      </c>
      <c r="J137" s="93">
        <v>92.0</v>
      </c>
      <c r="K137" s="93"/>
      <c r="L137" s="56"/>
      <c r="M137" s="126"/>
    </row>
    <row r="138">
      <c r="A138" s="133"/>
      <c r="B138" s="111" t="s">
        <v>2154</v>
      </c>
      <c r="C138" s="118" t="s">
        <v>1137</v>
      </c>
      <c r="D138" s="52">
        <f t="shared" ref="D138:E138" si="100">D120</f>
        <v>724</v>
      </c>
      <c r="E138" s="52">
        <f t="shared" si="100"/>
        <v>782</v>
      </c>
      <c r="F138" s="109"/>
      <c r="G138" s="248">
        <f t="shared" si="87"/>
        <v>0.08011049724</v>
      </c>
      <c r="H138" s="115"/>
      <c r="I138" s="134">
        <v>30.0</v>
      </c>
      <c r="J138" s="134">
        <v>90.0</v>
      </c>
      <c r="K138" s="93"/>
      <c r="L138" s="56"/>
      <c r="M138" s="126"/>
    </row>
    <row r="139">
      <c r="A139" s="133"/>
      <c r="B139" s="123" t="s">
        <v>2155</v>
      </c>
      <c r="C139" s="277" t="s">
        <v>1145</v>
      </c>
      <c r="D139" s="52">
        <f t="shared" ref="D139:E139" si="101">D121</f>
        <v>1884</v>
      </c>
      <c r="E139" s="52">
        <f t="shared" si="101"/>
        <v>2034</v>
      </c>
      <c r="F139" s="109"/>
      <c r="G139" s="248">
        <f t="shared" si="87"/>
        <v>0.07961783439</v>
      </c>
      <c r="H139" s="115"/>
      <c r="I139" s="93">
        <v>14.0</v>
      </c>
      <c r="J139" s="93">
        <v>56.0</v>
      </c>
      <c r="K139" s="93"/>
      <c r="L139" s="56"/>
      <c r="M139" s="126"/>
    </row>
    <row r="140" ht="18.75" customHeight="1">
      <c r="A140" s="96"/>
      <c r="B140" s="185"/>
      <c r="C140" s="204"/>
      <c r="D140" s="259"/>
      <c r="E140" s="109"/>
      <c r="F140" s="109"/>
      <c r="G140" s="248" t="str">
        <f t="shared" ref="G140:G141" si="102">IFERROR(DIVIDE(MINUS(E140,D140),E140),)</f>
        <v/>
      </c>
      <c r="H140" s="93"/>
      <c r="I140" s="93"/>
      <c r="J140" s="93"/>
      <c r="K140" s="93"/>
      <c r="L140" s="56"/>
      <c r="M140" s="91"/>
    </row>
    <row r="141" ht="18.75" customHeight="1">
      <c r="A141" s="133"/>
      <c r="B141" s="107" t="s">
        <v>1120</v>
      </c>
      <c r="C141" s="56"/>
      <c r="D141" s="56"/>
      <c r="E141" s="109"/>
      <c r="F141" s="109"/>
      <c r="G141" s="248" t="str">
        <f t="shared" si="102"/>
        <v/>
      </c>
      <c r="H141" s="93"/>
      <c r="I141" s="93"/>
      <c r="J141" s="93"/>
      <c r="K141" s="93"/>
      <c r="L141" s="56"/>
      <c r="M141" s="126"/>
    </row>
    <row r="142">
      <c r="A142" s="133"/>
      <c r="B142" s="111" t="s">
        <v>2156</v>
      </c>
      <c r="C142" s="145" t="s">
        <v>306</v>
      </c>
      <c r="D142" s="52">
        <f t="shared" ref="D142:E142" si="103">D124</f>
        <v>419.5056</v>
      </c>
      <c r="E142" s="52">
        <f t="shared" si="103"/>
        <v>452</v>
      </c>
      <c r="F142" s="109"/>
      <c r="G142" s="248">
        <f t="shared" ref="G142:G157" si="105">IFERROR(DIVIDE(MINUS(E142,D142),D142),)</f>
        <v>0.07745879912</v>
      </c>
      <c r="H142" s="115"/>
      <c r="I142" s="93">
        <v>33.0</v>
      </c>
      <c r="J142" s="93">
        <v>132.0</v>
      </c>
      <c r="K142" s="93"/>
      <c r="L142" s="56"/>
      <c r="M142" s="126"/>
    </row>
    <row r="143">
      <c r="A143" s="133"/>
      <c r="B143" s="177" t="s">
        <v>2157</v>
      </c>
      <c r="C143" s="141" t="s">
        <v>339</v>
      </c>
      <c r="D143" s="52">
        <f t="shared" ref="D143:E143" si="104">D125</f>
        <v>516</v>
      </c>
      <c r="E143" s="52">
        <f t="shared" si="104"/>
        <v>558</v>
      </c>
      <c r="F143" s="109"/>
      <c r="G143" s="248">
        <f t="shared" si="105"/>
        <v>0.08139534884</v>
      </c>
      <c r="H143" s="115"/>
      <c r="I143" s="93">
        <v>33.0</v>
      </c>
      <c r="J143" s="93">
        <v>99.0</v>
      </c>
      <c r="K143" s="93"/>
      <c r="L143" s="56"/>
      <c r="M143" s="126"/>
    </row>
    <row r="144">
      <c r="A144" s="133"/>
      <c r="B144" s="111" t="s">
        <v>2158</v>
      </c>
      <c r="C144" s="118" t="s">
        <v>363</v>
      </c>
      <c r="D144" s="52">
        <f t="shared" ref="D144:E144" si="106">D126</f>
        <v>447.530304</v>
      </c>
      <c r="E144" s="52">
        <f t="shared" si="106"/>
        <v>484</v>
      </c>
      <c r="F144" s="109"/>
      <c r="G144" s="248">
        <f t="shared" si="105"/>
        <v>0.08149100893</v>
      </c>
      <c r="H144" s="115"/>
      <c r="I144" s="134">
        <v>33.0</v>
      </c>
      <c r="J144" s="134">
        <v>132.0</v>
      </c>
      <c r="K144" s="93"/>
      <c r="L144" s="56"/>
      <c r="M144" s="126"/>
    </row>
    <row r="145">
      <c r="A145" s="133"/>
      <c r="B145" s="111" t="s">
        <v>2159</v>
      </c>
      <c r="C145" s="145" t="s">
        <v>666</v>
      </c>
      <c r="D145" s="52">
        <f t="shared" ref="D145:E145" si="107">D127</f>
        <v>775.92</v>
      </c>
      <c r="E145" s="52">
        <f t="shared" si="107"/>
        <v>842</v>
      </c>
      <c r="F145" s="109"/>
      <c r="G145" s="248">
        <f t="shared" si="105"/>
        <v>0.08516341891</v>
      </c>
      <c r="H145" s="115"/>
      <c r="I145" s="93">
        <v>24.0</v>
      </c>
      <c r="J145" s="134">
        <v>48.0</v>
      </c>
      <c r="K145" s="93"/>
      <c r="L145" s="56"/>
      <c r="M145" s="126"/>
    </row>
    <row r="146">
      <c r="A146" s="133"/>
      <c r="B146" s="111" t="s">
        <v>2160</v>
      </c>
      <c r="C146" s="145" t="s">
        <v>682</v>
      </c>
      <c r="D146" s="52">
        <f t="shared" ref="D146:E146" si="108">D128</f>
        <v>527.6256</v>
      </c>
      <c r="E146" s="52">
        <f t="shared" si="108"/>
        <v>572</v>
      </c>
      <c r="F146" s="109"/>
      <c r="G146" s="248">
        <f t="shared" si="105"/>
        <v>0.08410206025</v>
      </c>
      <c r="H146" s="115"/>
      <c r="I146" s="93">
        <v>30.0</v>
      </c>
      <c r="J146" s="134">
        <v>90.0</v>
      </c>
      <c r="K146" s="93"/>
      <c r="L146" s="56"/>
      <c r="M146" s="126"/>
    </row>
    <row r="147">
      <c r="A147" s="133"/>
      <c r="B147" s="111" t="s">
        <v>2161</v>
      </c>
      <c r="C147" s="145" t="s">
        <v>692</v>
      </c>
      <c r="D147" s="52">
        <f t="shared" ref="D147:E147" si="109">D129</f>
        <v>832</v>
      </c>
      <c r="E147" s="52">
        <f t="shared" si="109"/>
        <v>898</v>
      </c>
      <c r="F147" s="109"/>
      <c r="G147" s="248">
        <f t="shared" si="105"/>
        <v>0.07932692308</v>
      </c>
      <c r="H147" s="115"/>
      <c r="I147" s="93">
        <v>13.0</v>
      </c>
      <c r="J147" s="93">
        <v>52.0</v>
      </c>
      <c r="K147" s="93"/>
      <c r="L147" s="56"/>
      <c r="M147" s="126"/>
    </row>
    <row r="148">
      <c r="A148" s="133"/>
      <c r="B148" s="111" t="s">
        <v>2162</v>
      </c>
      <c r="C148" s="118" t="s">
        <v>1944</v>
      </c>
      <c r="D148" s="52">
        <f t="shared" ref="D148:E148" si="110">D130</f>
        <v>784</v>
      </c>
      <c r="E148" s="52">
        <f t="shared" si="110"/>
        <v>846</v>
      </c>
      <c r="F148" s="109"/>
      <c r="G148" s="248">
        <f t="shared" si="105"/>
        <v>0.07908163265</v>
      </c>
      <c r="H148" s="115"/>
      <c r="I148" s="134">
        <v>30.0</v>
      </c>
      <c r="J148" s="134">
        <v>120.0</v>
      </c>
      <c r="K148" s="93"/>
      <c r="L148" s="56"/>
      <c r="M148" s="126"/>
    </row>
    <row r="149">
      <c r="A149" s="133"/>
      <c r="B149" s="111" t="s">
        <v>2163</v>
      </c>
      <c r="C149" s="145" t="s">
        <v>2133</v>
      </c>
      <c r="D149" s="52">
        <f t="shared" ref="D149:E149" si="111">D131</f>
        <v>832</v>
      </c>
      <c r="E149" s="52">
        <f t="shared" si="111"/>
        <v>898</v>
      </c>
      <c r="F149" s="109"/>
      <c r="G149" s="248">
        <f t="shared" si="105"/>
        <v>0.07932692308</v>
      </c>
      <c r="H149" s="115"/>
      <c r="I149" s="93">
        <v>13.0</v>
      </c>
      <c r="J149" s="93">
        <v>52.0</v>
      </c>
      <c r="K149" s="93"/>
      <c r="L149" s="56"/>
      <c r="M149" s="126"/>
    </row>
    <row r="150">
      <c r="A150" s="133"/>
      <c r="B150" s="111" t="s">
        <v>2164</v>
      </c>
      <c r="C150" s="145" t="s">
        <v>913</v>
      </c>
      <c r="D150" s="52">
        <f t="shared" ref="D150:E150" si="112">D132</f>
        <v>1729.92</v>
      </c>
      <c r="E150" s="52">
        <f t="shared" si="112"/>
        <v>1872</v>
      </c>
      <c r="F150" s="109"/>
      <c r="G150" s="248">
        <f t="shared" si="105"/>
        <v>0.08213096559</v>
      </c>
      <c r="H150" s="115"/>
      <c r="I150" s="93">
        <v>13.0</v>
      </c>
      <c r="J150" s="93">
        <v>52.0</v>
      </c>
      <c r="K150" s="93"/>
      <c r="L150" s="56"/>
      <c r="M150" s="126"/>
    </row>
    <row r="151">
      <c r="A151" s="133"/>
      <c r="B151" s="111" t="s">
        <v>2165</v>
      </c>
      <c r="C151" s="145" t="s">
        <v>1949</v>
      </c>
      <c r="D151" s="52">
        <f t="shared" ref="D151:E151" si="113">D133</f>
        <v>1666.32</v>
      </c>
      <c r="E151" s="52">
        <f t="shared" si="113"/>
        <v>1798</v>
      </c>
      <c r="F151" s="109"/>
      <c r="G151" s="248">
        <f t="shared" si="105"/>
        <v>0.07902443708</v>
      </c>
      <c r="H151" s="115"/>
      <c r="I151" s="93">
        <v>13.0</v>
      </c>
      <c r="J151" s="93">
        <v>52.0</v>
      </c>
      <c r="K151" s="93"/>
      <c r="L151" s="56"/>
      <c r="M151" s="126"/>
    </row>
    <row r="152">
      <c r="A152" s="133"/>
      <c r="B152" s="111" t="s">
        <v>1121</v>
      </c>
      <c r="C152" s="145" t="s">
        <v>523</v>
      </c>
      <c r="D152" s="52">
        <f t="shared" ref="D152:E152" si="114">D134</f>
        <v>2424</v>
      </c>
      <c r="E152" s="52">
        <f t="shared" si="114"/>
        <v>2616</v>
      </c>
      <c r="F152" s="109"/>
      <c r="G152" s="248">
        <f t="shared" si="105"/>
        <v>0.07920792079</v>
      </c>
      <c r="H152" s="115"/>
      <c r="I152" s="93"/>
      <c r="J152" s="93"/>
      <c r="K152" s="93"/>
      <c r="L152" s="56"/>
      <c r="M152" s="126"/>
    </row>
    <row r="153">
      <c r="A153" s="133"/>
      <c r="B153" s="111" t="s">
        <v>2166</v>
      </c>
      <c r="C153" s="145" t="s">
        <v>705</v>
      </c>
      <c r="D153" s="52">
        <f t="shared" ref="D153:E153" si="115">D135</f>
        <v>2098</v>
      </c>
      <c r="E153" s="52">
        <f t="shared" si="115"/>
        <v>2266</v>
      </c>
      <c r="F153" s="109"/>
      <c r="G153" s="248">
        <f t="shared" si="105"/>
        <v>0.08007626311</v>
      </c>
      <c r="H153" s="115"/>
      <c r="I153" s="93">
        <v>6.0</v>
      </c>
      <c r="J153" s="93">
        <v>24.0</v>
      </c>
      <c r="K153" s="93"/>
      <c r="L153" s="56"/>
      <c r="M153" s="126"/>
    </row>
    <row r="154">
      <c r="A154" s="133"/>
      <c r="B154" s="111" t="s">
        <v>2167</v>
      </c>
      <c r="C154" s="145" t="s">
        <v>395</v>
      </c>
      <c r="D154" s="52">
        <f t="shared" ref="D154:E154" si="116">D136</f>
        <v>374</v>
      </c>
      <c r="E154" s="52">
        <f t="shared" si="116"/>
        <v>402</v>
      </c>
      <c r="F154" s="109"/>
      <c r="G154" s="248">
        <f t="shared" si="105"/>
        <v>0.07486631016</v>
      </c>
      <c r="H154" s="115"/>
      <c r="I154" s="93">
        <v>66.0</v>
      </c>
      <c r="J154" s="93">
        <v>198.0</v>
      </c>
      <c r="K154" s="93"/>
      <c r="L154" s="56"/>
      <c r="M154" s="126"/>
    </row>
    <row r="155">
      <c r="A155" s="133"/>
      <c r="B155" s="111" t="s">
        <v>2168</v>
      </c>
      <c r="C155" s="145" t="s">
        <v>359</v>
      </c>
      <c r="D155" s="52">
        <f t="shared" ref="D155:E155" si="117">D137</f>
        <v>724</v>
      </c>
      <c r="E155" s="52">
        <f t="shared" si="117"/>
        <v>782</v>
      </c>
      <c r="F155" s="109"/>
      <c r="G155" s="248">
        <f t="shared" si="105"/>
        <v>0.08011049724</v>
      </c>
      <c r="H155" s="115"/>
      <c r="I155" s="93">
        <v>23.0</v>
      </c>
      <c r="J155" s="93">
        <v>92.0</v>
      </c>
      <c r="K155" s="93"/>
      <c r="L155" s="56"/>
      <c r="M155" s="126"/>
    </row>
    <row r="156">
      <c r="A156" s="133"/>
      <c r="B156" s="111" t="s">
        <v>2169</v>
      </c>
      <c r="C156" s="118" t="s">
        <v>1137</v>
      </c>
      <c r="D156" s="52">
        <f t="shared" ref="D156:E156" si="118">D138</f>
        <v>724</v>
      </c>
      <c r="E156" s="52">
        <f t="shared" si="118"/>
        <v>782</v>
      </c>
      <c r="F156" s="109"/>
      <c r="G156" s="248">
        <f t="shared" si="105"/>
        <v>0.08011049724</v>
      </c>
      <c r="H156" s="115"/>
      <c r="I156" s="134">
        <v>30.0</v>
      </c>
      <c r="J156" s="134">
        <v>90.0</v>
      </c>
      <c r="K156" s="93"/>
      <c r="L156" s="56"/>
      <c r="M156" s="126"/>
    </row>
    <row r="157">
      <c r="A157" s="133"/>
      <c r="B157" s="123" t="s">
        <v>2170</v>
      </c>
      <c r="C157" s="277" t="s">
        <v>1145</v>
      </c>
      <c r="D157" s="52">
        <f t="shared" ref="D157:E157" si="119">D139</f>
        <v>1884</v>
      </c>
      <c r="E157" s="52">
        <f t="shared" si="119"/>
        <v>2034</v>
      </c>
      <c r="F157" s="109"/>
      <c r="G157" s="248">
        <f t="shared" si="105"/>
        <v>0.07961783439</v>
      </c>
      <c r="H157" s="115"/>
      <c r="I157" s="93">
        <v>14.0</v>
      </c>
      <c r="J157" s="93">
        <v>56.0</v>
      </c>
      <c r="K157" s="93"/>
      <c r="L157" s="56"/>
      <c r="M157" s="126"/>
    </row>
    <row r="158" ht="18.75" customHeight="1">
      <c r="A158" s="96"/>
      <c r="B158" s="185"/>
      <c r="C158" s="204"/>
      <c r="D158" s="109"/>
      <c r="E158" s="109"/>
      <c r="F158" s="109"/>
      <c r="G158" s="248" t="str">
        <f t="shared" ref="G158:G159" si="120">IFERROR(DIVIDE(MINUS(E158,D158),E158),)</f>
        <v/>
      </c>
      <c r="H158" s="93"/>
      <c r="I158" s="93"/>
      <c r="J158" s="93"/>
      <c r="K158" s="93"/>
      <c r="L158" s="56"/>
      <c r="M158" s="91"/>
    </row>
    <row r="159" ht="18.75" customHeight="1">
      <c r="A159" s="133"/>
      <c r="B159" s="107" t="s">
        <v>1125</v>
      </c>
      <c r="C159" s="272"/>
      <c r="D159" s="109"/>
      <c r="E159" s="109"/>
      <c r="F159" s="109"/>
      <c r="G159" s="248" t="str">
        <f t="shared" si="120"/>
        <v/>
      </c>
      <c r="H159" s="93"/>
      <c r="I159" s="93"/>
      <c r="J159" s="93"/>
      <c r="K159" s="93"/>
      <c r="L159" s="56"/>
      <c r="M159" s="91"/>
    </row>
    <row r="160">
      <c r="A160" s="133"/>
      <c r="B160" s="111" t="s">
        <v>2171</v>
      </c>
      <c r="C160" s="141" t="s">
        <v>306</v>
      </c>
      <c r="D160" s="52">
        <f t="shared" ref="D160:E160" si="121">D142</f>
        <v>419.5056</v>
      </c>
      <c r="E160" s="52">
        <f t="shared" si="121"/>
        <v>452</v>
      </c>
      <c r="F160" s="109"/>
      <c r="G160" s="248">
        <f t="shared" ref="G160:G175" si="123">IFERROR(DIVIDE(MINUS(E160,D160),D160),)</f>
        <v>0.07745879912</v>
      </c>
      <c r="H160" s="115"/>
      <c r="I160" s="93">
        <v>33.0</v>
      </c>
      <c r="J160" s="93">
        <v>132.0</v>
      </c>
      <c r="K160" s="93"/>
      <c r="L160" s="56"/>
      <c r="M160" s="91"/>
    </row>
    <row r="161">
      <c r="A161" s="133"/>
      <c r="B161" s="111" t="s">
        <v>2172</v>
      </c>
      <c r="C161" s="145" t="s">
        <v>339</v>
      </c>
      <c r="D161" s="52">
        <f t="shared" ref="D161:E161" si="122">D143</f>
        <v>516</v>
      </c>
      <c r="E161" s="52">
        <f t="shared" si="122"/>
        <v>558</v>
      </c>
      <c r="F161" s="109"/>
      <c r="G161" s="248">
        <f t="shared" si="123"/>
        <v>0.08139534884</v>
      </c>
      <c r="H161" s="115"/>
      <c r="I161" s="93">
        <v>33.0</v>
      </c>
      <c r="J161" s="93">
        <v>99.0</v>
      </c>
      <c r="K161" s="93"/>
      <c r="L161" s="56"/>
      <c r="M161" s="91"/>
    </row>
    <row r="162">
      <c r="A162" s="133"/>
      <c r="B162" s="111" t="s">
        <v>2173</v>
      </c>
      <c r="C162" s="118" t="s">
        <v>363</v>
      </c>
      <c r="D162" s="52">
        <f t="shared" ref="D162:E162" si="124">D144</f>
        <v>447.530304</v>
      </c>
      <c r="E162" s="52">
        <f t="shared" si="124"/>
        <v>484</v>
      </c>
      <c r="F162" s="109"/>
      <c r="G162" s="248">
        <f t="shared" si="123"/>
        <v>0.08149100893</v>
      </c>
      <c r="H162" s="115"/>
      <c r="I162" s="134">
        <v>33.0</v>
      </c>
      <c r="J162" s="134">
        <v>132.0</v>
      </c>
      <c r="K162" s="93"/>
      <c r="L162" s="56"/>
      <c r="M162" s="91"/>
    </row>
    <row r="163">
      <c r="A163" s="133"/>
      <c r="B163" s="111" t="s">
        <v>2174</v>
      </c>
      <c r="C163" s="145" t="s">
        <v>666</v>
      </c>
      <c r="D163" s="52">
        <f t="shared" ref="D163:E163" si="125">D145</f>
        <v>775.92</v>
      </c>
      <c r="E163" s="52">
        <f t="shared" si="125"/>
        <v>842</v>
      </c>
      <c r="F163" s="109"/>
      <c r="G163" s="248">
        <f t="shared" si="123"/>
        <v>0.08516341891</v>
      </c>
      <c r="H163" s="115"/>
      <c r="I163" s="93">
        <v>24.0</v>
      </c>
      <c r="J163" s="134">
        <v>48.0</v>
      </c>
      <c r="K163" s="93"/>
      <c r="L163" s="56"/>
      <c r="M163" s="91"/>
    </row>
    <row r="164">
      <c r="A164" s="133"/>
      <c r="B164" s="111" t="s">
        <v>2175</v>
      </c>
      <c r="C164" s="145" t="s">
        <v>682</v>
      </c>
      <c r="D164" s="52">
        <f t="shared" ref="D164:E164" si="126">D146</f>
        <v>527.6256</v>
      </c>
      <c r="E164" s="52">
        <f t="shared" si="126"/>
        <v>572</v>
      </c>
      <c r="F164" s="109"/>
      <c r="G164" s="248">
        <f t="shared" si="123"/>
        <v>0.08410206025</v>
      </c>
      <c r="H164" s="115"/>
      <c r="I164" s="93">
        <v>30.0</v>
      </c>
      <c r="J164" s="134">
        <v>90.0</v>
      </c>
      <c r="K164" s="93"/>
      <c r="L164" s="56"/>
      <c r="M164" s="91"/>
    </row>
    <row r="165">
      <c r="A165" s="133"/>
      <c r="B165" s="111" t="s">
        <v>2176</v>
      </c>
      <c r="C165" s="145" t="s">
        <v>692</v>
      </c>
      <c r="D165" s="52">
        <f t="shared" ref="D165:E165" si="127">D147</f>
        <v>832</v>
      </c>
      <c r="E165" s="52">
        <f t="shared" si="127"/>
        <v>898</v>
      </c>
      <c r="F165" s="109"/>
      <c r="G165" s="248">
        <f t="shared" si="123"/>
        <v>0.07932692308</v>
      </c>
      <c r="H165" s="115"/>
      <c r="I165" s="93">
        <v>13.0</v>
      </c>
      <c r="J165" s="93">
        <v>52.0</v>
      </c>
      <c r="K165" s="93"/>
      <c r="L165" s="56"/>
      <c r="M165" s="91"/>
    </row>
    <row r="166">
      <c r="A166" s="133"/>
      <c r="B166" s="111" t="s">
        <v>2177</v>
      </c>
      <c r="C166" s="118" t="s">
        <v>1944</v>
      </c>
      <c r="D166" s="52">
        <f t="shared" ref="D166:E166" si="128">D148</f>
        <v>784</v>
      </c>
      <c r="E166" s="52">
        <f t="shared" si="128"/>
        <v>846</v>
      </c>
      <c r="F166" s="109"/>
      <c r="G166" s="248">
        <f t="shared" si="123"/>
        <v>0.07908163265</v>
      </c>
      <c r="H166" s="115"/>
      <c r="I166" s="134">
        <v>30.0</v>
      </c>
      <c r="J166" s="134">
        <v>120.0</v>
      </c>
      <c r="K166" s="93"/>
      <c r="L166" s="56"/>
      <c r="M166" s="91"/>
    </row>
    <row r="167">
      <c r="A167" s="133"/>
      <c r="B167" s="111" t="s">
        <v>2178</v>
      </c>
      <c r="C167" s="145" t="s">
        <v>2133</v>
      </c>
      <c r="D167" s="52">
        <f t="shared" ref="D167:E167" si="129">D149</f>
        <v>832</v>
      </c>
      <c r="E167" s="52">
        <f t="shared" si="129"/>
        <v>898</v>
      </c>
      <c r="F167" s="109"/>
      <c r="G167" s="248">
        <f t="shared" si="123"/>
        <v>0.07932692308</v>
      </c>
      <c r="H167" s="115"/>
      <c r="I167" s="93">
        <v>13.0</v>
      </c>
      <c r="J167" s="93">
        <v>52.0</v>
      </c>
      <c r="K167" s="93"/>
      <c r="L167" s="56"/>
      <c r="M167" s="91"/>
    </row>
    <row r="168">
      <c r="A168" s="133"/>
      <c r="B168" s="111" t="s">
        <v>2179</v>
      </c>
      <c r="C168" s="145" t="s">
        <v>913</v>
      </c>
      <c r="D168" s="52">
        <f t="shared" ref="D168:E168" si="130">D150</f>
        <v>1729.92</v>
      </c>
      <c r="E168" s="52">
        <f t="shared" si="130"/>
        <v>1872</v>
      </c>
      <c r="F168" s="109"/>
      <c r="G168" s="248">
        <f t="shared" si="123"/>
        <v>0.08213096559</v>
      </c>
      <c r="H168" s="115"/>
      <c r="I168" s="93">
        <v>13.0</v>
      </c>
      <c r="J168" s="93">
        <v>52.0</v>
      </c>
      <c r="K168" s="93"/>
      <c r="L168" s="56"/>
      <c r="M168" s="91"/>
    </row>
    <row r="169">
      <c r="A169" s="133"/>
      <c r="B169" s="111" t="s">
        <v>2180</v>
      </c>
      <c r="C169" s="145" t="s">
        <v>1949</v>
      </c>
      <c r="D169" s="52">
        <f t="shared" ref="D169:E169" si="131">D151</f>
        <v>1666.32</v>
      </c>
      <c r="E169" s="52">
        <f t="shared" si="131"/>
        <v>1798</v>
      </c>
      <c r="F169" s="109"/>
      <c r="G169" s="248">
        <f t="shared" si="123"/>
        <v>0.07902443708</v>
      </c>
      <c r="H169" s="115"/>
      <c r="I169" s="93">
        <v>13.0</v>
      </c>
      <c r="J169" s="93">
        <v>52.0</v>
      </c>
      <c r="K169" s="93"/>
      <c r="L169" s="56"/>
      <c r="M169" s="91"/>
    </row>
    <row r="170">
      <c r="A170" s="133"/>
      <c r="B170" s="111" t="s">
        <v>1126</v>
      </c>
      <c r="C170" s="145" t="s">
        <v>523</v>
      </c>
      <c r="D170" s="52">
        <f t="shared" ref="D170:E170" si="132">D152</f>
        <v>2424</v>
      </c>
      <c r="E170" s="52">
        <f t="shared" si="132"/>
        <v>2616</v>
      </c>
      <c r="F170" s="109"/>
      <c r="G170" s="248">
        <f t="shared" si="123"/>
        <v>0.07920792079</v>
      </c>
      <c r="H170" s="115"/>
      <c r="I170" s="93"/>
      <c r="J170" s="93"/>
      <c r="K170" s="93"/>
      <c r="L170" s="56"/>
      <c r="M170" s="91"/>
    </row>
    <row r="171">
      <c r="A171" s="133"/>
      <c r="B171" s="111" t="s">
        <v>2181</v>
      </c>
      <c r="C171" s="145" t="s">
        <v>705</v>
      </c>
      <c r="D171" s="52">
        <f t="shared" ref="D171:E171" si="133">D153</f>
        <v>2098</v>
      </c>
      <c r="E171" s="52">
        <f t="shared" si="133"/>
        <v>2266</v>
      </c>
      <c r="F171" s="109"/>
      <c r="G171" s="248">
        <f t="shared" si="123"/>
        <v>0.08007626311</v>
      </c>
      <c r="H171" s="115"/>
      <c r="I171" s="93">
        <v>6.0</v>
      </c>
      <c r="J171" s="93">
        <v>24.0</v>
      </c>
      <c r="K171" s="93"/>
      <c r="L171" s="56"/>
      <c r="M171" s="91"/>
    </row>
    <row r="172">
      <c r="A172" s="133"/>
      <c r="B172" s="111" t="s">
        <v>2182</v>
      </c>
      <c r="C172" s="145" t="s">
        <v>395</v>
      </c>
      <c r="D172" s="52">
        <f t="shared" ref="D172:E172" si="134">D154</f>
        <v>374</v>
      </c>
      <c r="E172" s="52">
        <f t="shared" si="134"/>
        <v>402</v>
      </c>
      <c r="F172" s="109"/>
      <c r="G172" s="248">
        <f t="shared" si="123"/>
        <v>0.07486631016</v>
      </c>
      <c r="H172" s="115"/>
      <c r="I172" s="93">
        <v>66.0</v>
      </c>
      <c r="J172" s="93">
        <v>198.0</v>
      </c>
      <c r="K172" s="93"/>
      <c r="L172" s="56"/>
      <c r="M172" s="91"/>
    </row>
    <row r="173">
      <c r="A173" s="133"/>
      <c r="B173" s="111" t="s">
        <v>2183</v>
      </c>
      <c r="C173" s="145" t="s">
        <v>359</v>
      </c>
      <c r="D173" s="52">
        <f t="shared" ref="D173:E173" si="135">D155</f>
        <v>724</v>
      </c>
      <c r="E173" s="52">
        <f t="shared" si="135"/>
        <v>782</v>
      </c>
      <c r="F173" s="109"/>
      <c r="G173" s="248">
        <f t="shared" si="123"/>
        <v>0.08011049724</v>
      </c>
      <c r="H173" s="115"/>
      <c r="I173" s="93">
        <v>23.0</v>
      </c>
      <c r="J173" s="93">
        <v>92.0</v>
      </c>
      <c r="K173" s="93"/>
      <c r="L173" s="56"/>
      <c r="M173" s="91"/>
    </row>
    <row r="174">
      <c r="A174" s="133"/>
      <c r="B174" s="111" t="s">
        <v>2184</v>
      </c>
      <c r="C174" s="118" t="s">
        <v>1137</v>
      </c>
      <c r="D174" s="52">
        <f t="shared" ref="D174:E174" si="136">D156</f>
        <v>724</v>
      </c>
      <c r="E174" s="52">
        <f t="shared" si="136"/>
        <v>782</v>
      </c>
      <c r="F174" s="109"/>
      <c r="G174" s="248">
        <f t="shared" si="123"/>
        <v>0.08011049724</v>
      </c>
      <c r="H174" s="115"/>
      <c r="I174" s="134">
        <v>30.0</v>
      </c>
      <c r="J174" s="134">
        <v>90.0</v>
      </c>
      <c r="K174" s="93"/>
      <c r="L174" s="56"/>
      <c r="M174" s="91"/>
    </row>
    <row r="175">
      <c r="A175" s="133"/>
      <c r="B175" s="123" t="s">
        <v>2185</v>
      </c>
      <c r="C175" s="277" t="s">
        <v>1145</v>
      </c>
      <c r="D175" s="52">
        <f t="shared" ref="D175:E175" si="137">D157</f>
        <v>1884</v>
      </c>
      <c r="E175" s="52">
        <f t="shared" si="137"/>
        <v>2034</v>
      </c>
      <c r="F175" s="109"/>
      <c r="G175" s="248">
        <f t="shared" si="123"/>
        <v>0.07961783439</v>
      </c>
      <c r="H175" s="115"/>
      <c r="I175" s="93">
        <v>14.0</v>
      </c>
      <c r="J175" s="93">
        <v>56.0</v>
      </c>
      <c r="K175" s="93"/>
      <c r="L175" s="56"/>
      <c r="M175" s="91"/>
    </row>
    <row r="176" ht="18.75" customHeight="1">
      <c r="A176" s="133"/>
      <c r="B176" s="175"/>
      <c r="C176" s="278"/>
      <c r="D176" s="109"/>
      <c r="E176" s="109"/>
      <c r="F176" s="109"/>
      <c r="G176" s="248"/>
      <c r="H176" s="93"/>
      <c r="I176" s="93"/>
      <c r="J176" s="93"/>
      <c r="K176" s="93"/>
      <c r="L176" s="56"/>
      <c r="M176" s="91"/>
    </row>
    <row r="177" ht="18.75" customHeight="1">
      <c r="A177" s="133"/>
      <c r="B177" s="107" t="s">
        <v>1129</v>
      </c>
      <c r="C177" s="279"/>
      <c r="D177" s="109"/>
      <c r="E177" s="109"/>
      <c r="F177" s="109"/>
      <c r="G177" s="248"/>
      <c r="H177" s="93"/>
      <c r="I177" s="93"/>
      <c r="J177" s="93"/>
      <c r="K177" s="93"/>
      <c r="L177" s="56"/>
      <c r="M177" s="91"/>
    </row>
    <row r="178">
      <c r="A178" s="133"/>
      <c r="B178" s="111" t="s">
        <v>2186</v>
      </c>
      <c r="C178" s="145" t="s">
        <v>306</v>
      </c>
      <c r="D178" s="52">
        <f t="shared" ref="D178:E178" si="138">D160</f>
        <v>419.5056</v>
      </c>
      <c r="E178" s="52">
        <f t="shared" si="138"/>
        <v>452</v>
      </c>
      <c r="F178" s="109"/>
      <c r="G178" s="248">
        <f t="shared" ref="G178:G193" si="140">IFERROR(DIVIDE(MINUS(E178,D178),D178),)</f>
        <v>0.07745879912</v>
      </c>
      <c r="H178" s="93"/>
      <c r="I178" s="93">
        <v>33.0</v>
      </c>
      <c r="J178" s="93">
        <v>132.0</v>
      </c>
      <c r="K178" s="93"/>
      <c r="L178" s="56"/>
      <c r="M178" s="91"/>
    </row>
    <row r="179">
      <c r="A179" s="133"/>
      <c r="B179" s="111" t="s">
        <v>2187</v>
      </c>
      <c r="C179" s="145" t="s">
        <v>339</v>
      </c>
      <c r="D179" s="52">
        <f t="shared" ref="D179:E179" si="139">D161</f>
        <v>516</v>
      </c>
      <c r="E179" s="52">
        <f t="shared" si="139"/>
        <v>558</v>
      </c>
      <c r="F179" s="109"/>
      <c r="G179" s="248">
        <f t="shared" si="140"/>
        <v>0.08139534884</v>
      </c>
      <c r="H179" s="93"/>
      <c r="I179" s="93">
        <v>33.0</v>
      </c>
      <c r="J179" s="93">
        <v>99.0</v>
      </c>
      <c r="K179" s="93"/>
      <c r="L179" s="56"/>
      <c r="M179" s="91"/>
    </row>
    <row r="180">
      <c r="A180" s="133"/>
      <c r="B180" s="111" t="s">
        <v>2188</v>
      </c>
      <c r="C180" s="118" t="s">
        <v>363</v>
      </c>
      <c r="D180" s="52">
        <f t="shared" ref="D180:E180" si="141">D162</f>
        <v>447.530304</v>
      </c>
      <c r="E180" s="52">
        <f t="shared" si="141"/>
        <v>484</v>
      </c>
      <c r="F180" s="109"/>
      <c r="G180" s="248">
        <f t="shared" si="140"/>
        <v>0.08149100893</v>
      </c>
      <c r="H180" s="93"/>
      <c r="I180" s="134">
        <v>33.0</v>
      </c>
      <c r="J180" s="134">
        <v>132.0</v>
      </c>
      <c r="K180" s="93"/>
      <c r="L180" s="56"/>
      <c r="M180" s="91"/>
    </row>
    <row r="181">
      <c r="A181" s="133"/>
      <c r="B181" s="111" t="s">
        <v>2189</v>
      </c>
      <c r="C181" s="145" t="s">
        <v>666</v>
      </c>
      <c r="D181" s="52">
        <f t="shared" ref="D181:E181" si="142">D163</f>
        <v>775.92</v>
      </c>
      <c r="E181" s="52">
        <f t="shared" si="142"/>
        <v>842</v>
      </c>
      <c r="F181" s="109"/>
      <c r="G181" s="248">
        <f t="shared" si="140"/>
        <v>0.08516341891</v>
      </c>
      <c r="H181" s="93"/>
      <c r="I181" s="93">
        <v>24.0</v>
      </c>
      <c r="J181" s="134">
        <v>48.0</v>
      </c>
      <c r="K181" s="93"/>
      <c r="L181" s="56"/>
      <c r="M181" s="91"/>
    </row>
    <row r="182">
      <c r="A182" s="133"/>
      <c r="B182" s="111" t="s">
        <v>2190</v>
      </c>
      <c r="C182" s="145" t="s">
        <v>682</v>
      </c>
      <c r="D182" s="52">
        <f t="shared" ref="D182:E182" si="143">D164</f>
        <v>527.6256</v>
      </c>
      <c r="E182" s="52">
        <f t="shared" si="143"/>
        <v>572</v>
      </c>
      <c r="F182" s="109"/>
      <c r="G182" s="248">
        <f t="shared" si="140"/>
        <v>0.08410206025</v>
      </c>
      <c r="H182" s="93"/>
      <c r="I182" s="93">
        <v>30.0</v>
      </c>
      <c r="J182" s="134">
        <v>90.0</v>
      </c>
      <c r="K182" s="93"/>
      <c r="L182" s="56"/>
      <c r="M182" s="91"/>
    </row>
    <row r="183">
      <c r="A183" s="133"/>
      <c r="B183" s="111" t="s">
        <v>2191</v>
      </c>
      <c r="C183" s="145" t="s">
        <v>692</v>
      </c>
      <c r="D183" s="52">
        <f t="shared" ref="D183:E183" si="144">D165</f>
        <v>832</v>
      </c>
      <c r="E183" s="52">
        <f t="shared" si="144"/>
        <v>898</v>
      </c>
      <c r="F183" s="109"/>
      <c r="G183" s="248">
        <f t="shared" si="140"/>
        <v>0.07932692308</v>
      </c>
      <c r="H183" s="93"/>
      <c r="I183" s="93">
        <v>13.0</v>
      </c>
      <c r="J183" s="93">
        <v>52.0</v>
      </c>
      <c r="K183" s="93"/>
      <c r="L183" s="56"/>
      <c r="M183" s="91"/>
    </row>
    <row r="184">
      <c r="A184" s="133"/>
      <c r="B184" s="111" t="s">
        <v>2192</v>
      </c>
      <c r="C184" s="118" t="s">
        <v>1944</v>
      </c>
      <c r="D184" s="52">
        <f t="shared" ref="D184:E184" si="145">D166</f>
        <v>784</v>
      </c>
      <c r="E184" s="52">
        <f t="shared" si="145"/>
        <v>846</v>
      </c>
      <c r="F184" s="109"/>
      <c r="G184" s="248">
        <f t="shared" si="140"/>
        <v>0.07908163265</v>
      </c>
      <c r="H184" s="93"/>
      <c r="I184" s="134">
        <v>30.0</v>
      </c>
      <c r="J184" s="134">
        <v>120.0</v>
      </c>
      <c r="K184" s="93"/>
      <c r="L184" s="56"/>
      <c r="M184" s="91"/>
    </row>
    <row r="185">
      <c r="A185" s="133"/>
      <c r="B185" s="111" t="s">
        <v>2193</v>
      </c>
      <c r="C185" s="145" t="s">
        <v>2133</v>
      </c>
      <c r="D185" s="52">
        <f t="shared" ref="D185:E185" si="146">D167</f>
        <v>832</v>
      </c>
      <c r="E185" s="52">
        <f t="shared" si="146"/>
        <v>898</v>
      </c>
      <c r="F185" s="109"/>
      <c r="G185" s="248">
        <f t="shared" si="140"/>
        <v>0.07932692308</v>
      </c>
      <c r="H185" s="93"/>
      <c r="I185" s="93">
        <v>13.0</v>
      </c>
      <c r="J185" s="93">
        <v>52.0</v>
      </c>
      <c r="K185" s="93"/>
      <c r="L185" s="56"/>
      <c r="M185" s="91"/>
    </row>
    <row r="186">
      <c r="A186" s="133"/>
      <c r="B186" s="111" t="s">
        <v>2194</v>
      </c>
      <c r="C186" s="145" t="s">
        <v>913</v>
      </c>
      <c r="D186" s="52">
        <f t="shared" ref="D186:E186" si="147">D168</f>
        <v>1729.92</v>
      </c>
      <c r="E186" s="52">
        <f t="shared" si="147"/>
        <v>1872</v>
      </c>
      <c r="F186" s="109"/>
      <c r="G186" s="248">
        <f t="shared" si="140"/>
        <v>0.08213096559</v>
      </c>
      <c r="H186" s="93"/>
      <c r="I186" s="93">
        <v>13.0</v>
      </c>
      <c r="J186" s="93">
        <v>52.0</v>
      </c>
      <c r="K186" s="93"/>
      <c r="L186" s="56"/>
      <c r="M186" s="91"/>
    </row>
    <row r="187">
      <c r="A187" s="133"/>
      <c r="B187" s="111" t="s">
        <v>2195</v>
      </c>
      <c r="C187" s="145" t="s">
        <v>1949</v>
      </c>
      <c r="D187" s="52">
        <f t="shared" ref="D187:E187" si="148">D169</f>
        <v>1666.32</v>
      </c>
      <c r="E187" s="52">
        <f t="shared" si="148"/>
        <v>1798</v>
      </c>
      <c r="F187" s="109"/>
      <c r="G187" s="248">
        <f t="shared" si="140"/>
        <v>0.07902443708</v>
      </c>
      <c r="H187" s="93"/>
      <c r="I187" s="93">
        <v>13.0</v>
      </c>
      <c r="J187" s="93">
        <v>52.0</v>
      </c>
      <c r="K187" s="93"/>
      <c r="L187" s="56"/>
      <c r="M187" s="91"/>
    </row>
    <row r="188">
      <c r="A188" s="133"/>
      <c r="B188" s="111" t="s">
        <v>1131</v>
      </c>
      <c r="C188" s="145" t="s">
        <v>523</v>
      </c>
      <c r="D188" s="52">
        <f t="shared" ref="D188:E188" si="149">D170</f>
        <v>2424</v>
      </c>
      <c r="E188" s="52">
        <f t="shared" si="149"/>
        <v>2616</v>
      </c>
      <c r="F188" s="109"/>
      <c r="G188" s="248">
        <f t="shared" si="140"/>
        <v>0.07920792079</v>
      </c>
      <c r="H188" s="93"/>
      <c r="I188" s="93"/>
      <c r="J188" s="93"/>
      <c r="K188" s="93"/>
      <c r="L188" s="56"/>
      <c r="M188" s="91"/>
    </row>
    <row r="189">
      <c r="A189" s="133"/>
      <c r="B189" s="111" t="s">
        <v>2196</v>
      </c>
      <c r="C189" s="145" t="s">
        <v>705</v>
      </c>
      <c r="D189" s="52">
        <f t="shared" ref="D189:E189" si="150">D171</f>
        <v>2098</v>
      </c>
      <c r="E189" s="52">
        <f t="shared" si="150"/>
        <v>2266</v>
      </c>
      <c r="F189" s="109"/>
      <c r="G189" s="248">
        <f t="shared" si="140"/>
        <v>0.08007626311</v>
      </c>
      <c r="H189" s="93"/>
      <c r="I189" s="93">
        <v>6.0</v>
      </c>
      <c r="J189" s="93">
        <v>24.0</v>
      </c>
      <c r="K189" s="93"/>
      <c r="L189" s="56"/>
      <c r="M189" s="91"/>
    </row>
    <row r="190">
      <c r="A190" s="133"/>
      <c r="B190" s="111" t="s">
        <v>2197</v>
      </c>
      <c r="C190" s="145" t="s">
        <v>395</v>
      </c>
      <c r="D190" s="52">
        <f t="shared" ref="D190:E190" si="151">D172</f>
        <v>374</v>
      </c>
      <c r="E190" s="52">
        <f t="shared" si="151"/>
        <v>402</v>
      </c>
      <c r="F190" s="109"/>
      <c r="G190" s="248">
        <f t="shared" si="140"/>
        <v>0.07486631016</v>
      </c>
      <c r="H190" s="93"/>
      <c r="I190" s="93">
        <v>66.0</v>
      </c>
      <c r="J190" s="93">
        <v>198.0</v>
      </c>
      <c r="K190" s="93"/>
      <c r="L190" s="56"/>
      <c r="M190" s="91"/>
    </row>
    <row r="191">
      <c r="A191" s="133"/>
      <c r="B191" s="111" t="s">
        <v>2198</v>
      </c>
      <c r="C191" s="145" t="s">
        <v>359</v>
      </c>
      <c r="D191" s="52">
        <f t="shared" ref="D191:E191" si="152">D173</f>
        <v>724</v>
      </c>
      <c r="E191" s="52">
        <f t="shared" si="152"/>
        <v>782</v>
      </c>
      <c r="F191" s="109"/>
      <c r="G191" s="248">
        <f t="shared" si="140"/>
        <v>0.08011049724</v>
      </c>
      <c r="H191" s="93"/>
      <c r="I191" s="93">
        <v>23.0</v>
      </c>
      <c r="J191" s="93">
        <v>92.0</v>
      </c>
      <c r="K191" s="93"/>
      <c r="L191" s="56"/>
      <c r="M191" s="91"/>
    </row>
    <row r="192">
      <c r="A192" s="133"/>
      <c r="B192" s="111" t="s">
        <v>2199</v>
      </c>
      <c r="C192" s="118" t="s">
        <v>1137</v>
      </c>
      <c r="D192" s="52">
        <f t="shared" ref="D192:E192" si="153">D174</f>
        <v>724</v>
      </c>
      <c r="E192" s="52">
        <f t="shared" si="153"/>
        <v>782</v>
      </c>
      <c r="F192" s="109"/>
      <c r="G192" s="248">
        <f t="shared" si="140"/>
        <v>0.08011049724</v>
      </c>
      <c r="H192" s="93"/>
      <c r="I192" s="134">
        <v>30.0</v>
      </c>
      <c r="J192" s="134">
        <v>90.0</v>
      </c>
      <c r="K192" s="93"/>
      <c r="L192" s="56"/>
      <c r="M192" s="91"/>
    </row>
    <row r="193">
      <c r="A193" s="133"/>
      <c r="B193" s="111" t="s">
        <v>2200</v>
      </c>
      <c r="C193" s="145" t="s">
        <v>1145</v>
      </c>
      <c r="D193" s="52">
        <f t="shared" ref="D193:E193" si="154">D175</f>
        <v>1884</v>
      </c>
      <c r="E193" s="52">
        <f t="shared" si="154"/>
        <v>2034</v>
      </c>
      <c r="F193" s="109"/>
      <c r="G193" s="248">
        <f t="shared" si="140"/>
        <v>0.07961783439</v>
      </c>
      <c r="H193" s="93"/>
      <c r="I193" s="93">
        <v>14.0</v>
      </c>
      <c r="J193" s="93">
        <v>56.0</v>
      </c>
      <c r="K193" s="93"/>
      <c r="L193" s="56"/>
      <c r="M193" s="91"/>
    </row>
    <row r="194" ht="18.75" customHeight="1">
      <c r="A194" s="96"/>
      <c r="B194" s="175"/>
      <c r="C194" s="278"/>
      <c r="D194" s="139"/>
      <c r="E194" s="109"/>
      <c r="F194" s="109"/>
      <c r="G194" s="248"/>
      <c r="H194" s="93"/>
      <c r="I194" s="93"/>
      <c r="J194" s="93"/>
      <c r="K194" s="93"/>
      <c r="L194" s="56"/>
      <c r="M194" s="91"/>
    </row>
    <row r="195" ht="18.75" customHeight="1">
      <c r="A195" s="256"/>
      <c r="B195" s="107" t="s">
        <v>2201</v>
      </c>
      <c r="C195" s="92"/>
      <c r="D195" s="272"/>
      <c r="E195" s="109"/>
      <c r="F195" s="109"/>
      <c r="G195" s="248"/>
      <c r="H195" s="115"/>
      <c r="I195" s="93"/>
      <c r="J195" s="93"/>
      <c r="K195" s="93"/>
      <c r="L195" s="56"/>
      <c r="M195" s="258"/>
    </row>
    <row r="196">
      <c r="A196" s="256"/>
      <c r="B196" s="111" t="s">
        <v>2202</v>
      </c>
      <c r="C196" s="118" t="s">
        <v>306</v>
      </c>
      <c r="D196" s="52">
        <v>398.05459200000007</v>
      </c>
      <c r="E196" s="52">
        <v>432.0</v>
      </c>
      <c r="F196" s="109">
        <f t="shared" ref="F196:F213" si="155">H196*$H$2</f>
        <v>430.36</v>
      </c>
      <c r="G196" s="248">
        <f t="shared" ref="G196:G213" si="156">IFERROR(DIVIDE(MINUS(E196,D196),D196),)</f>
        <v>0.08527827258</v>
      </c>
      <c r="H196" s="132">
        <f>VLOOKUP(M196,'NEW PTMT'!$B$4:$E1406,4,0)</f>
        <v>406</v>
      </c>
      <c r="I196" s="93">
        <v>33.0</v>
      </c>
      <c r="J196" s="93">
        <v>132.0</v>
      </c>
      <c r="K196" s="93"/>
      <c r="L196" s="56"/>
      <c r="M196" s="126" t="s">
        <v>713</v>
      </c>
    </row>
    <row r="197">
      <c r="A197" s="256"/>
      <c r="B197" s="111" t="s">
        <v>2203</v>
      </c>
      <c r="C197" s="118" t="s">
        <v>339</v>
      </c>
      <c r="D197" s="52">
        <v>498.0</v>
      </c>
      <c r="E197" s="52">
        <v>538.0</v>
      </c>
      <c r="F197" s="109">
        <f t="shared" si="155"/>
        <v>538.48</v>
      </c>
      <c r="G197" s="248">
        <f t="shared" si="156"/>
        <v>0.08032128514</v>
      </c>
      <c r="H197" s="132">
        <f>VLOOKUP(M197,'NEW PTMT'!$B$4:$E1406,4,0)</f>
        <v>508</v>
      </c>
      <c r="I197" s="134">
        <v>33.0</v>
      </c>
      <c r="J197" s="134">
        <v>99.0</v>
      </c>
      <c r="K197" s="93"/>
      <c r="L197" s="56"/>
      <c r="M197" s="126" t="s">
        <v>715</v>
      </c>
    </row>
    <row r="198">
      <c r="A198" s="256"/>
      <c r="B198" s="280" t="s">
        <v>2204</v>
      </c>
      <c r="C198" s="281" t="s">
        <v>363</v>
      </c>
      <c r="D198" s="52">
        <v>426.12</v>
      </c>
      <c r="E198" s="52">
        <v>462.0</v>
      </c>
      <c r="F198" s="109">
        <f t="shared" si="155"/>
        <v>460.04</v>
      </c>
      <c r="G198" s="248">
        <f t="shared" si="156"/>
        <v>0.08420163334</v>
      </c>
      <c r="H198" s="132">
        <f>VLOOKUP(M198,'NEW PTMT'!$B$4:$E1406,4,0)</f>
        <v>434</v>
      </c>
      <c r="I198" s="134">
        <v>33.0</v>
      </c>
      <c r="J198" s="134">
        <v>99.0</v>
      </c>
      <c r="K198" s="93"/>
      <c r="L198" s="56"/>
      <c r="M198" s="126" t="s">
        <v>716</v>
      </c>
    </row>
    <row r="199">
      <c r="A199" s="256"/>
      <c r="B199" s="111" t="s">
        <v>2205</v>
      </c>
      <c r="C199" s="118" t="s">
        <v>666</v>
      </c>
      <c r="D199" s="52">
        <v>750.3528</v>
      </c>
      <c r="E199" s="52">
        <v>812.0</v>
      </c>
      <c r="F199" s="109">
        <f t="shared" si="155"/>
        <v>811.96</v>
      </c>
      <c r="G199" s="248">
        <f t="shared" si="156"/>
        <v>0.08215761972</v>
      </c>
      <c r="H199" s="132">
        <f>VLOOKUP(M199,'NEW PTMT'!$B$4:$E1406,4,0)</f>
        <v>766</v>
      </c>
      <c r="I199" s="93">
        <v>24.0</v>
      </c>
      <c r="J199" s="134">
        <v>48.0</v>
      </c>
      <c r="K199" s="93"/>
      <c r="L199" s="56"/>
      <c r="M199" s="126" t="s">
        <v>718</v>
      </c>
    </row>
    <row r="200">
      <c r="A200" s="256"/>
      <c r="B200" s="111" t="s">
        <v>2206</v>
      </c>
      <c r="C200" s="118" t="s">
        <v>682</v>
      </c>
      <c r="D200" s="52">
        <v>514.0</v>
      </c>
      <c r="E200" s="52">
        <v>554.0</v>
      </c>
      <c r="F200" s="109">
        <f t="shared" si="155"/>
        <v>553.32</v>
      </c>
      <c r="G200" s="248">
        <f t="shared" si="156"/>
        <v>0.07782101167</v>
      </c>
      <c r="H200" s="132">
        <f>VLOOKUP(M200,'NEW PTMT'!$B$4:$E1406,4,0)</f>
        <v>522</v>
      </c>
      <c r="I200" s="93">
        <v>30.0</v>
      </c>
      <c r="J200" s="134">
        <v>90.0</v>
      </c>
      <c r="K200" s="93"/>
      <c r="L200" s="56"/>
      <c r="M200" s="126" t="s">
        <v>720</v>
      </c>
    </row>
    <row r="201">
      <c r="A201" s="256"/>
      <c r="B201" s="111" t="s">
        <v>1139</v>
      </c>
      <c r="C201" s="118" t="s">
        <v>696</v>
      </c>
      <c r="D201" s="52">
        <v>798.0</v>
      </c>
      <c r="E201" s="52">
        <v>864.0</v>
      </c>
      <c r="F201" s="109">
        <f t="shared" si="155"/>
        <v>864.96</v>
      </c>
      <c r="G201" s="248">
        <f t="shared" si="156"/>
        <v>0.08270676692</v>
      </c>
      <c r="H201" s="132">
        <f>VLOOKUP(M201,'NEW PTMT'!$B$4:$E1406,4,0)</f>
        <v>816</v>
      </c>
      <c r="I201" s="93"/>
      <c r="J201" s="134"/>
      <c r="K201" s="93"/>
      <c r="L201" s="56"/>
      <c r="M201" s="126" t="s">
        <v>722</v>
      </c>
    </row>
    <row r="202">
      <c r="A202" s="256"/>
      <c r="B202" s="111" t="s">
        <v>2207</v>
      </c>
      <c r="C202" s="118" t="s">
        <v>692</v>
      </c>
      <c r="D202" s="52">
        <v>809.84</v>
      </c>
      <c r="E202" s="52">
        <v>876.0</v>
      </c>
      <c r="F202" s="109">
        <f t="shared" si="155"/>
        <v>875.56</v>
      </c>
      <c r="G202" s="248">
        <f t="shared" si="156"/>
        <v>0.08169514966</v>
      </c>
      <c r="H202" s="132">
        <f>VLOOKUP(M202,'NEW PTMT'!$B$4:$E1406,4,0)</f>
        <v>826</v>
      </c>
      <c r="I202" s="93">
        <v>30.0</v>
      </c>
      <c r="J202" s="93">
        <v>90.0</v>
      </c>
      <c r="K202" s="93"/>
      <c r="L202" s="56"/>
      <c r="M202" s="126" t="s">
        <v>724</v>
      </c>
    </row>
    <row r="203">
      <c r="A203" s="256"/>
      <c r="B203" s="111" t="s">
        <v>2208</v>
      </c>
      <c r="C203" s="186" t="s">
        <v>2209</v>
      </c>
      <c r="D203" s="52">
        <v>775.8691200000001</v>
      </c>
      <c r="E203" s="52">
        <v>838.0</v>
      </c>
      <c r="F203" s="109">
        <f t="shared" si="155"/>
        <v>839.52</v>
      </c>
      <c r="G203" s="248">
        <f t="shared" si="156"/>
        <v>0.08007907313</v>
      </c>
      <c r="H203" s="132">
        <f>VLOOKUP(M203,'NEW PTMT'!$B$4:$E1406,4,0)</f>
        <v>792</v>
      </c>
      <c r="I203" s="134">
        <v>30.0</v>
      </c>
      <c r="J203" s="134">
        <v>120.0</v>
      </c>
      <c r="K203" s="93"/>
      <c r="L203" s="56"/>
      <c r="M203" s="126" t="s">
        <v>726</v>
      </c>
    </row>
    <row r="204">
      <c r="A204" s="256"/>
      <c r="B204" s="111" t="s">
        <v>2210</v>
      </c>
      <c r="C204" s="118" t="s">
        <v>2133</v>
      </c>
      <c r="D204" s="52">
        <v>809.84</v>
      </c>
      <c r="E204" s="52">
        <v>876.0</v>
      </c>
      <c r="F204" s="109">
        <f t="shared" si="155"/>
        <v>875.56</v>
      </c>
      <c r="G204" s="248">
        <f t="shared" si="156"/>
        <v>0.08169514966</v>
      </c>
      <c r="H204" s="132">
        <f>VLOOKUP(M204,'NEW PTMT'!$B$4:$E1406,4,0)</f>
        <v>826</v>
      </c>
      <c r="I204" s="93">
        <v>13.0</v>
      </c>
      <c r="J204" s="93">
        <v>52.0</v>
      </c>
      <c r="K204" s="93"/>
      <c r="L204" s="56"/>
      <c r="M204" s="126" t="s">
        <v>728</v>
      </c>
    </row>
    <row r="205">
      <c r="A205" s="256"/>
      <c r="B205" s="111" t="s">
        <v>2211</v>
      </c>
      <c r="C205" s="118" t="s">
        <v>913</v>
      </c>
      <c r="D205" s="52">
        <v>1729.92</v>
      </c>
      <c r="E205" s="52">
        <v>1868.0</v>
      </c>
      <c r="F205" s="109">
        <f t="shared" si="155"/>
        <v>1869.84</v>
      </c>
      <c r="G205" s="248">
        <f t="shared" si="156"/>
        <v>0.07981871994</v>
      </c>
      <c r="H205" s="132">
        <f>VLOOKUP(M205,'NEW PTMT'!$B$4:$E1406,4,0)</f>
        <v>1764</v>
      </c>
      <c r="I205" s="93">
        <v>13.0</v>
      </c>
      <c r="J205" s="93">
        <v>52.0</v>
      </c>
      <c r="K205" s="93"/>
      <c r="L205" s="56"/>
      <c r="M205" s="126" t="s">
        <v>729</v>
      </c>
    </row>
    <row r="206">
      <c r="A206" s="256"/>
      <c r="B206" s="111" t="s">
        <v>2212</v>
      </c>
      <c r="C206" s="118" t="s">
        <v>1949</v>
      </c>
      <c r="D206" s="52">
        <v>1774.44</v>
      </c>
      <c r="E206" s="52">
        <v>1916.0</v>
      </c>
      <c r="F206" s="109">
        <f t="shared" si="155"/>
        <v>1916.48</v>
      </c>
      <c r="G206" s="248">
        <f t="shared" si="156"/>
        <v>0.07977728185</v>
      </c>
      <c r="H206" s="132">
        <f>VLOOKUP(M206,'NEW PTMT'!$B$4:$E1406,4,0)</f>
        <v>1808</v>
      </c>
      <c r="I206" s="93">
        <v>13.0</v>
      </c>
      <c r="J206" s="93">
        <v>52.0</v>
      </c>
      <c r="K206" s="93"/>
      <c r="L206" s="56"/>
      <c r="M206" s="126" t="s">
        <v>730</v>
      </c>
    </row>
    <row r="207">
      <c r="A207" s="256"/>
      <c r="B207" s="111" t="s">
        <v>1142</v>
      </c>
      <c r="C207" s="118" t="s">
        <v>523</v>
      </c>
      <c r="D207" s="52">
        <v>2367.8280000000004</v>
      </c>
      <c r="E207" s="52">
        <v>2558.0</v>
      </c>
      <c r="F207" s="109">
        <f t="shared" si="155"/>
        <v>2558.84</v>
      </c>
      <c r="G207" s="248">
        <f t="shared" si="156"/>
        <v>0.08031495531</v>
      </c>
      <c r="H207" s="132">
        <f>VLOOKUP(M207,'NEW PTMT'!$B$4:$E1406,4,0)</f>
        <v>2414</v>
      </c>
      <c r="I207" s="93"/>
      <c r="J207" s="93"/>
      <c r="K207" s="93"/>
      <c r="L207" s="56"/>
      <c r="M207" s="126" t="s">
        <v>732</v>
      </c>
    </row>
    <row r="208">
      <c r="A208" s="256"/>
      <c r="B208" s="111" t="s">
        <v>2213</v>
      </c>
      <c r="C208" s="118" t="s">
        <v>1124</v>
      </c>
      <c r="D208" s="52">
        <v>2044.0</v>
      </c>
      <c r="E208" s="52">
        <v>2208.0</v>
      </c>
      <c r="F208" s="109">
        <f t="shared" si="155"/>
        <v>2206.92</v>
      </c>
      <c r="G208" s="248">
        <f t="shared" si="156"/>
        <v>0.08023483366</v>
      </c>
      <c r="H208" s="132">
        <f>VLOOKUP(M208,'NEW PTMT'!$B$4:$E1406,4,0)</f>
        <v>2082</v>
      </c>
      <c r="I208" s="93">
        <v>6.0</v>
      </c>
      <c r="J208" s="93">
        <v>24.0</v>
      </c>
      <c r="K208" s="93"/>
      <c r="L208" s="56"/>
      <c r="M208" s="126" t="s">
        <v>733</v>
      </c>
    </row>
    <row r="209">
      <c r="A209" s="256"/>
      <c r="B209" s="111" t="s">
        <v>2214</v>
      </c>
      <c r="C209" s="118" t="s">
        <v>395</v>
      </c>
      <c r="D209" s="52">
        <v>368.0</v>
      </c>
      <c r="E209" s="52">
        <v>396.0</v>
      </c>
      <c r="F209" s="109">
        <f t="shared" si="155"/>
        <v>396.44</v>
      </c>
      <c r="G209" s="248">
        <f t="shared" si="156"/>
        <v>0.07608695652</v>
      </c>
      <c r="H209" s="132">
        <f>VLOOKUP(M209,'NEW PTMT'!$B$4:$E1406,4,0)</f>
        <v>374</v>
      </c>
      <c r="I209" s="93">
        <v>66.0</v>
      </c>
      <c r="J209" s="93">
        <v>198.0</v>
      </c>
      <c r="K209" s="93"/>
      <c r="L209" s="56"/>
      <c r="M209" s="126" t="s">
        <v>735</v>
      </c>
    </row>
    <row r="210">
      <c r="A210" s="256"/>
      <c r="B210" s="111" t="s">
        <v>2215</v>
      </c>
      <c r="C210" s="118" t="s">
        <v>359</v>
      </c>
      <c r="D210" s="52">
        <v>712.32</v>
      </c>
      <c r="E210" s="52">
        <v>768.0</v>
      </c>
      <c r="F210" s="109">
        <f t="shared" si="155"/>
        <v>769.56</v>
      </c>
      <c r="G210" s="248">
        <f t="shared" si="156"/>
        <v>0.0781671159</v>
      </c>
      <c r="H210" s="132">
        <f>VLOOKUP(M210,'NEW PTMT'!$B$4:$E1406,4,0)</f>
        <v>726</v>
      </c>
      <c r="I210" s="93">
        <v>23.0</v>
      </c>
      <c r="J210" s="93">
        <v>92.0</v>
      </c>
      <c r="K210" s="93"/>
      <c r="L210" s="56"/>
      <c r="M210" s="126" t="s">
        <v>736</v>
      </c>
    </row>
    <row r="211">
      <c r="A211" s="256"/>
      <c r="B211" s="111" t="s">
        <v>2216</v>
      </c>
      <c r="C211" s="118" t="s">
        <v>1946</v>
      </c>
      <c r="D211" s="52">
        <v>856.0</v>
      </c>
      <c r="E211" s="52">
        <v>924.0</v>
      </c>
      <c r="F211" s="109">
        <f t="shared" si="155"/>
        <v>924.32</v>
      </c>
      <c r="G211" s="248">
        <f t="shared" si="156"/>
        <v>0.07943925234</v>
      </c>
      <c r="H211" s="132">
        <f>VLOOKUP(M211,'NEW PTMT'!$B$4:$E1406,4,0)</f>
        <v>872</v>
      </c>
      <c r="I211" s="134">
        <v>30.0</v>
      </c>
      <c r="J211" s="134">
        <v>90.0</v>
      </c>
      <c r="K211" s="93"/>
      <c r="L211" s="56"/>
      <c r="M211" s="126" t="s">
        <v>737</v>
      </c>
    </row>
    <row r="212">
      <c r="A212" s="256"/>
      <c r="B212" s="270" t="s">
        <v>2217</v>
      </c>
      <c r="C212" s="277" t="s">
        <v>1145</v>
      </c>
      <c r="D212" s="125">
        <v>1848.0</v>
      </c>
      <c r="E212" s="52">
        <v>1994.0</v>
      </c>
      <c r="F212" s="109">
        <f t="shared" si="155"/>
        <v>1994.92</v>
      </c>
      <c r="G212" s="248">
        <f t="shared" si="156"/>
        <v>0.079004329</v>
      </c>
      <c r="H212" s="132">
        <f>VLOOKUP(M212,'NEW PTMT'!$B$4:$E1406,4,0)</f>
        <v>1882</v>
      </c>
      <c r="I212" s="93">
        <v>14.0</v>
      </c>
      <c r="J212" s="93">
        <v>56.0</v>
      </c>
      <c r="K212" s="93"/>
      <c r="L212" s="56"/>
      <c r="M212" s="126" t="s">
        <v>742</v>
      </c>
    </row>
    <row r="213">
      <c r="A213" s="256"/>
      <c r="B213" s="111" t="s">
        <v>2218</v>
      </c>
      <c r="C213" s="118" t="s">
        <v>2219</v>
      </c>
      <c r="D213" s="52">
        <v>1884.0</v>
      </c>
      <c r="E213" s="52">
        <v>2034.0</v>
      </c>
      <c r="F213" s="109">
        <f t="shared" si="155"/>
        <v>2033.08</v>
      </c>
      <c r="G213" s="248">
        <f t="shared" si="156"/>
        <v>0.07961783439</v>
      </c>
      <c r="H213" s="132">
        <f>VLOOKUP(M213,'NEW PTMT'!$B$4:$E1406,4,0)</f>
        <v>1918</v>
      </c>
      <c r="I213" s="93">
        <v>14.0</v>
      </c>
      <c r="J213" s="93">
        <v>56.0</v>
      </c>
      <c r="K213" s="93"/>
      <c r="L213" s="56"/>
      <c r="M213" s="126" t="s">
        <v>743</v>
      </c>
    </row>
    <row r="214" ht="18.75" customHeight="1">
      <c r="A214" s="256"/>
      <c r="B214" s="149"/>
      <c r="C214" s="204"/>
      <c r="D214" s="259"/>
      <c r="E214" s="109"/>
      <c r="F214" s="109"/>
      <c r="G214" s="248"/>
      <c r="H214" s="115"/>
      <c r="I214" s="93"/>
      <c r="J214" s="93"/>
      <c r="K214" s="93"/>
      <c r="L214" s="56"/>
      <c r="M214" s="126"/>
    </row>
    <row r="215" ht="18.75" customHeight="1">
      <c r="A215" s="256"/>
      <c r="B215" s="107" t="s">
        <v>2220</v>
      </c>
      <c r="C215" s="166"/>
      <c r="D215" s="272"/>
      <c r="E215" s="109"/>
      <c r="F215" s="109"/>
      <c r="G215" s="248"/>
      <c r="H215" s="115"/>
      <c r="I215" s="93"/>
      <c r="J215" s="93"/>
      <c r="K215" s="93"/>
      <c r="L215" s="56"/>
      <c r="M215" s="91"/>
    </row>
    <row r="216">
      <c r="A216" s="256"/>
      <c r="B216" s="111" t="s">
        <v>2221</v>
      </c>
      <c r="C216" s="213" t="s">
        <v>306</v>
      </c>
      <c r="D216" s="52">
        <f t="shared" ref="D216:E216" si="157">D196</f>
        <v>398.054592</v>
      </c>
      <c r="E216" s="52">
        <f t="shared" si="157"/>
        <v>432</v>
      </c>
      <c r="F216" s="109"/>
      <c r="G216" s="248">
        <f t="shared" ref="G216:G233" si="159">IFERROR(DIVIDE(MINUS(E216,D216),D216),)</f>
        <v>0.08527827258</v>
      </c>
      <c r="H216" s="115"/>
      <c r="I216" s="93">
        <v>33.0</v>
      </c>
      <c r="J216" s="93">
        <v>132.0</v>
      </c>
      <c r="K216" s="93"/>
      <c r="L216" s="56"/>
      <c r="M216" s="91"/>
    </row>
    <row r="217">
      <c r="A217" s="256"/>
      <c r="B217" s="111" t="s">
        <v>2222</v>
      </c>
      <c r="C217" s="118" t="s">
        <v>339</v>
      </c>
      <c r="D217" s="52">
        <f t="shared" ref="D217:E217" si="158">D197</f>
        <v>498</v>
      </c>
      <c r="E217" s="52">
        <f t="shared" si="158"/>
        <v>538</v>
      </c>
      <c r="F217" s="109"/>
      <c r="G217" s="248">
        <f t="shared" si="159"/>
        <v>0.08032128514</v>
      </c>
      <c r="H217" s="115"/>
      <c r="I217" s="134">
        <v>33.0</v>
      </c>
      <c r="J217" s="134">
        <v>99.0</v>
      </c>
      <c r="K217" s="93"/>
      <c r="L217" s="56"/>
      <c r="M217" s="91"/>
    </row>
    <row r="218">
      <c r="A218" s="256"/>
      <c r="B218" s="280" t="s">
        <v>2223</v>
      </c>
      <c r="C218" s="281" t="s">
        <v>363</v>
      </c>
      <c r="D218" s="52">
        <f t="shared" ref="D218:E218" si="160">D198</f>
        <v>426.12</v>
      </c>
      <c r="E218" s="52">
        <f t="shared" si="160"/>
        <v>462</v>
      </c>
      <c r="F218" s="109"/>
      <c r="G218" s="248">
        <f t="shared" si="159"/>
        <v>0.08420163334</v>
      </c>
      <c r="H218" s="115"/>
      <c r="I218" s="134">
        <v>33.0</v>
      </c>
      <c r="J218" s="134">
        <v>99.0</v>
      </c>
      <c r="K218" s="93"/>
      <c r="L218" s="56"/>
      <c r="M218" s="91"/>
    </row>
    <row r="219">
      <c r="A219" s="256"/>
      <c r="B219" s="111" t="s">
        <v>2224</v>
      </c>
      <c r="C219" s="118" t="s">
        <v>666</v>
      </c>
      <c r="D219" s="52">
        <f t="shared" ref="D219:E219" si="161">D199</f>
        <v>750.3528</v>
      </c>
      <c r="E219" s="52">
        <f t="shared" si="161"/>
        <v>812</v>
      </c>
      <c r="F219" s="109"/>
      <c r="G219" s="248">
        <f t="shared" si="159"/>
        <v>0.08215761972</v>
      </c>
      <c r="H219" s="115"/>
      <c r="I219" s="93">
        <v>24.0</v>
      </c>
      <c r="J219" s="134">
        <v>48.0</v>
      </c>
      <c r="K219" s="93"/>
      <c r="L219" s="56"/>
      <c r="M219" s="91"/>
    </row>
    <row r="220">
      <c r="A220" s="256"/>
      <c r="B220" s="111" t="s">
        <v>2225</v>
      </c>
      <c r="C220" s="118" t="s">
        <v>682</v>
      </c>
      <c r="D220" s="52">
        <f t="shared" ref="D220:E220" si="162">D200</f>
        <v>514</v>
      </c>
      <c r="E220" s="52">
        <f t="shared" si="162"/>
        <v>554</v>
      </c>
      <c r="F220" s="109"/>
      <c r="G220" s="248">
        <f t="shared" si="159"/>
        <v>0.07782101167</v>
      </c>
      <c r="H220" s="115"/>
      <c r="I220" s="93">
        <v>30.0</v>
      </c>
      <c r="J220" s="134">
        <v>90.0</v>
      </c>
      <c r="K220" s="93"/>
      <c r="L220" s="56"/>
      <c r="M220" s="91"/>
    </row>
    <row r="221">
      <c r="A221" s="256"/>
      <c r="B221" s="111" t="s">
        <v>1147</v>
      </c>
      <c r="C221" s="118" t="s">
        <v>696</v>
      </c>
      <c r="D221" s="52">
        <f t="shared" ref="D221:E221" si="163">D201</f>
        <v>798</v>
      </c>
      <c r="E221" s="52">
        <f t="shared" si="163"/>
        <v>864</v>
      </c>
      <c r="F221" s="109"/>
      <c r="G221" s="248">
        <f t="shared" si="159"/>
        <v>0.08270676692</v>
      </c>
      <c r="H221" s="115"/>
      <c r="I221" s="93"/>
      <c r="J221" s="134"/>
      <c r="K221" s="93"/>
      <c r="L221" s="56"/>
      <c r="M221" s="91"/>
    </row>
    <row r="222">
      <c r="A222" s="256"/>
      <c r="B222" s="111" t="s">
        <v>2226</v>
      </c>
      <c r="C222" s="118" t="s">
        <v>692</v>
      </c>
      <c r="D222" s="52">
        <f t="shared" ref="D222:E222" si="164">D202</f>
        <v>809.84</v>
      </c>
      <c r="E222" s="52">
        <f t="shared" si="164"/>
        <v>876</v>
      </c>
      <c r="F222" s="109"/>
      <c r="G222" s="248">
        <f t="shared" si="159"/>
        <v>0.08169514966</v>
      </c>
      <c r="H222" s="115"/>
      <c r="I222" s="93">
        <v>30.0</v>
      </c>
      <c r="J222" s="93">
        <v>90.0</v>
      </c>
      <c r="K222" s="93"/>
      <c r="L222" s="56"/>
      <c r="M222" s="91"/>
    </row>
    <row r="223">
      <c r="A223" s="256"/>
      <c r="B223" s="111" t="s">
        <v>2227</v>
      </c>
      <c r="C223" s="186" t="s">
        <v>2209</v>
      </c>
      <c r="D223" s="52">
        <f t="shared" ref="D223:E223" si="165">D203</f>
        <v>775.86912</v>
      </c>
      <c r="E223" s="52">
        <f t="shared" si="165"/>
        <v>838</v>
      </c>
      <c r="F223" s="109"/>
      <c r="G223" s="248">
        <f t="shared" si="159"/>
        <v>0.08007907313</v>
      </c>
      <c r="H223" s="115"/>
      <c r="I223" s="134">
        <v>30.0</v>
      </c>
      <c r="J223" s="134">
        <v>120.0</v>
      </c>
      <c r="K223" s="93"/>
      <c r="L223" s="56"/>
      <c r="M223" s="91"/>
    </row>
    <row r="224">
      <c r="A224" s="256"/>
      <c r="B224" s="111" t="s">
        <v>2228</v>
      </c>
      <c r="C224" s="118" t="s">
        <v>2133</v>
      </c>
      <c r="D224" s="52">
        <f t="shared" ref="D224:E224" si="166">D204</f>
        <v>809.84</v>
      </c>
      <c r="E224" s="52">
        <f t="shared" si="166"/>
        <v>876</v>
      </c>
      <c r="F224" s="109"/>
      <c r="G224" s="248">
        <f t="shared" si="159"/>
        <v>0.08169514966</v>
      </c>
      <c r="H224" s="115"/>
      <c r="I224" s="93">
        <v>13.0</v>
      </c>
      <c r="J224" s="93">
        <v>52.0</v>
      </c>
      <c r="K224" s="93"/>
      <c r="L224" s="56"/>
      <c r="M224" s="91"/>
    </row>
    <row r="225">
      <c r="A225" s="256"/>
      <c r="B225" s="111" t="s">
        <v>2229</v>
      </c>
      <c r="C225" s="118" t="s">
        <v>913</v>
      </c>
      <c r="D225" s="52">
        <f t="shared" ref="D225:E225" si="167">D205</f>
        <v>1729.92</v>
      </c>
      <c r="E225" s="52">
        <f t="shared" si="167"/>
        <v>1868</v>
      </c>
      <c r="F225" s="109"/>
      <c r="G225" s="248">
        <f t="shared" si="159"/>
        <v>0.07981871994</v>
      </c>
      <c r="H225" s="115"/>
      <c r="I225" s="93">
        <v>13.0</v>
      </c>
      <c r="J225" s="93">
        <v>52.0</v>
      </c>
      <c r="K225" s="93"/>
      <c r="L225" s="56"/>
      <c r="M225" s="91"/>
    </row>
    <row r="226">
      <c r="A226" s="256"/>
      <c r="B226" s="111" t="s">
        <v>2230</v>
      </c>
      <c r="C226" s="118" t="s">
        <v>1949</v>
      </c>
      <c r="D226" s="52">
        <f t="shared" ref="D226:E226" si="168">D206</f>
        <v>1774.44</v>
      </c>
      <c r="E226" s="52">
        <f t="shared" si="168"/>
        <v>1916</v>
      </c>
      <c r="F226" s="109"/>
      <c r="G226" s="248">
        <f t="shared" si="159"/>
        <v>0.07977728185</v>
      </c>
      <c r="H226" s="115"/>
      <c r="I226" s="93">
        <v>13.0</v>
      </c>
      <c r="J226" s="93">
        <v>52.0</v>
      </c>
      <c r="K226" s="93"/>
      <c r="L226" s="56"/>
      <c r="M226" s="91"/>
    </row>
    <row r="227">
      <c r="A227" s="256"/>
      <c r="B227" s="111" t="s">
        <v>1148</v>
      </c>
      <c r="C227" s="118" t="s">
        <v>523</v>
      </c>
      <c r="D227" s="52">
        <f t="shared" ref="D227:E227" si="169">D207</f>
        <v>2367.828</v>
      </c>
      <c r="E227" s="52">
        <f t="shared" si="169"/>
        <v>2558</v>
      </c>
      <c r="F227" s="109"/>
      <c r="G227" s="248">
        <f t="shared" si="159"/>
        <v>0.08031495531</v>
      </c>
      <c r="H227" s="115"/>
      <c r="I227" s="93"/>
      <c r="J227" s="93"/>
      <c r="K227" s="93"/>
      <c r="L227" s="56"/>
      <c r="M227" s="91"/>
    </row>
    <row r="228">
      <c r="A228" s="256"/>
      <c r="B228" s="111" t="s">
        <v>2231</v>
      </c>
      <c r="C228" s="118" t="s">
        <v>1124</v>
      </c>
      <c r="D228" s="52">
        <f t="shared" ref="D228:E228" si="170">D208</f>
        <v>2044</v>
      </c>
      <c r="E228" s="52">
        <f t="shared" si="170"/>
        <v>2208</v>
      </c>
      <c r="F228" s="109"/>
      <c r="G228" s="248">
        <f t="shared" si="159"/>
        <v>0.08023483366</v>
      </c>
      <c r="H228" s="115"/>
      <c r="I228" s="93">
        <v>6.0</v>
      </c>
      <c r="J228" s="93">
        <v>24.0</v>
      </c>
      <c r="K228" s="93"/>
      <c r="L228" s="56"/>
      <c r="M228" s="91"/>
    </row>
    <row r="229">
      <c r="A229" s="256"/>
      <c r="B229" s="111" t="s">
        <v>2232</v>
      </c>
      <c r="C229" s="118" t="s">
        <v>395</v>
      </c>
      <c r="D229" s="52">
        <f t="shared" ref="D229:E229" si="171">D209</f>
        <v>368</v>
      </c>
      <c r="E229" s="52">
        <f t="shared" si="171"/>
        <v>396</v>
      </c>
      <c r="F229" s="109"/>
      <c r="G229" s="248">
        <f t="shared" si="159"/>
        <v>0.07608695652</v>
      </c>
      <c r="H229" s="115"/>
      <c r="I229" s="93">
        <v>66.0</v>
      </c>
      <c r="J229" s="93">
        <v>198.0</v>
      </c>
      <c r="K229" s="93"/>
      <c r="L229" s="56"/>
      <c r="M229" s="91"/>
    </row>
    <row r="230">
      <c r="A230" s="256"/>
      <c r="B230" s="111" t="s">
        <v>2233</v>
      </c>
      <c r="C230" s="118" t="s">
        <v>359</v>
      </c>
      <c r="D230" s="52">
        <f t="shared" ref="D230:E230" si="172">D210</f>
        <v>712.32</v>
      </c>
      <c r="E230" s="52">
        <f t="shared" si="172"/>
        <v>768</v>
      </c>
      <c r="F230" s="109"/>
      <c r="G230" s="248">
        <f t="shared" si="159"/>
        <v>0.0781671159</v>
      </c>
      <c r="H230" s="115"/>
      <c r="I230" s="93">
        <v>23.0</v>
      </c>
      <c r="J230" s="93">
        <v>92.0</v>
      </c>
      <c r="K230" s="93"/>
      <c r="L230" s="56"/>
      <c r="M230" s="91"/>
    </row>
    <row r="231">
      <c r="A231" s="256"/>
      <c r="B231" s="111" t="s">
        <v>2234</v>
      </c>
      <c r="C231" s="118" t="s">
        <v>1946</v>
      </c>
      <c r="D231" s="52">
        <f t="shared" ref="D231:E231" si="173">D211</f>
        <v>856</v>
      </c>
      <c r="E231" s="52">
        <f t="shared" si="173"/>
        <v>924</v>
      </c>
      <c r="F231" s="109"/>
      <c r="G231" s="248">
        <f t="shared" si="159"/>
        <v>0.07943925234</v>
      </c>
      <c r="H231" s="115"/>
      <c r="I231" s="134">
        <v>30.0</v>
      </c>
      <c r="J231" s="134">
        <v>90.0</v>
      </c>
      <c r="K231" s="93"/>
      <c r="L231" s="56"/>
      <c r="M231" s="91"/>
    </row>
    <row r="232">
      <c r="A232" s="256"/>
      <c r="B232" s="270" t="s">
        <v>2235</v>
      </c>
      <c r="C232" s="277" t="s">
        <v>1145</v>
      </c>
      <c r="D232" s="52">
        <f t="shared" ref="D232:E232" si="174">D212</f>
        <v>1848</v>
      </c>
      <c r="E232" s="52">
        <f t="shared" si="174"/>
        <v>1994</v>
      </c>
      <c r="F232" s="109"/>
      <c r="G232" s="248">
        <f t="shared" si="159"/>
        <v>0.079004329</v>
      </c>
      <c r="H232" s="93"/>
      <c r="I232" s="93">
        <v>14.0</v>
      </c>
      <c r="J232" s="93">
        <v>56.0</v>
      </c>
      <c r="K232" s="93"/>
      <c r="L232" s="56"/>
      <c r="M232" s="91"/>
    </row>
    <row r="233">
      <c r="A233" s="256"/>
      <c r="B233" s="111" t="s">
        <v>2236</v>
      </c>
      <c r="C233" s="118" t="s">
        <v>2219</v>
      </c>
      <c r="D233" s="52">
        <f t="shared" ref="D233:E233" si="175">D213</f>
        <v>1884</v>
      </c>
      <c r="E233" s="52">
        <f t="shared" si="175"/>
        <v>2034</v>
      </c>
      <c r="F233" s="109"/>
      <c r="G233" s="248">
        <f t="shared" si="159"/>
        <v>0.07961783439</v>
      </c>
      <c r="H233" s="93"/>
      <c r="I233" s="93">
        <v>14.0</v>
      </c>
      <c r="J233" s="93">
        <v>56.0</v>
      </c>
      <c r="K233" s="93"/>
      <c r="L233" s="56"/>
      <c r="M233" s="91"/>
    </row>
    <row r="234" ht="18.75" customHeight="1">
      <c r="A234" s="256"/>
      <c r="B234" s="149"/>
      <c r="C234" s="204"/>
      <c r="D234" s="109"/>
      <c r="E234" s="109"/>
      <c r="F234" s="109"/>
      <c r="G234" s="248"/>
      <c r="H234" s="115"/>
      <c r="I234" s="93"/>
      <c r="J234" s="93"/>
      <c r="K234" s="93"/>
      <c r="L234" s="56"/>
      <c r="M234" s="91"/>
    </row>
    <row r="235" ht="18.75" customHeight="1">
      <c r="A235" s="256"/>
      <c r="B235" s="107" t="s">
        <v>2237</v>
      </c>
      <c r="C235" s="166"/>
      <c r="D235" s="109"/>
      <c r="E235" s="109"/>
      <c r="F235" s="109"/>
      <c r="G235" s="248"/>
      <c r="H235" s="115"/>
      <c r="I235" s="93"/>
      <c r="J235" s="93"/>
      <c r="K235" s="93"/>
      <c r="L235" s="56"/>
      <c r="M235" s="91"/>
    </row>
    <row r="236">
      <c r="A236" s="256"/>
      <c r="B236" s="111" t="s">
        <v>2238</v>
      </c>
      <c r="C236" s="112" t="s">
        <v>306</v>
      </c>
      <c r="D236" s="52">
        <f t="shared" ref="D236:E236" si="176">D216</f>
        <v>398.054592</v>
      </c>
      <c r="E236" s="52">
        <f t="shared" si="176"/>
        <v>432</v>
      </c>
      <c r="F236" s="109"/>
      <c r="G236" s="248">
        <f t="shared" ref="G236:G253" si="178">IFERROR(DIVIDE(MINUS(E236,D236),D236),)</f>
        <v>0.08527827258</v>
      </c>
      <c r="H236" s="115"/>
      <c r="I236" s="93">
        <v>33.0</v>
      </c>
      <c r="J236" s="93">
        <v>132.0</v>
      </c>
      <c r="K236" s="93"/>
      <c r="L236" s="56"/>
      <c r="M236" s="91"/>
    </row>
    <row r="237">
      <c r="A237" s="256"/>
      <c r="B237" s="111" t="s">
        <v>2239</v>
      </c>
      <c r="C237" s="118" t="s">
        <v>339</v>
      </c>
      <c r="D237" s="52">
        <f t="shared" ref="D237:E237" si="177">D217</f>
        <v>498</v>
      </c>
      <c r="E237" s="52">
        <f t="shared" si="177"/>
        <v>538</v>
      </c>
      <c r="F237" s="109"/>
      <c r="G237" s="248">
        <f t="shared" si="178"/>
        <v>0.08032128514</v>
      </c>
      <c r="H237" s="115"/>
      <c r="I237" s="134">
        <v>33.0</v>
      </c>
      <c r="J237" s="134">
        <v>99.0</v>
      </c>
      <c r="K237" s="93"/>
      <c r="L237" s="56"/>
      <c r="M237" s="91"/>
    </row>
    <row r="238">
      <c r="A238" s="256"/>
      <c r="B238" s="280" t="s">
        <v>2240</v>
      </c>
      <c r="C238" s="281" t="s">
        <v>363</v>
      </c>
      <c r="D238" s="52">
        <f t="shared" ref="D238:E238" si="179">D218</f>
        <v>426.12</v>
      </c>
      <c r="E238" s="52">
        <f t="shared" si="179"/>
        <v>462</v>
      </c>
      <c r="F238" s="109"/>
      <c r="G238" s="248">
        <f t="shared" si="178"/>
        <v>0.08420163334</v>
      </c>
      <c r="H238" s="115"/>
      <c r="I238" s="134">
        <v>33.0</v>
      </c>
      <c r="J238" s="134">
        <v>99.0</v>
      </c>
      <c r="K238" s="93"/>
      <c r="L238" s="56"/>
      <c r="M238" s="91"/>
    </row>
    <row r="239">
      <c r="A239" s="256"/>
      <c r="B239" s="111" t="s">
        <v>2241</v>
      </c>
      <c r="C239" s="118" t="s">
        <v>666</v>
      </c>
      <c r="D239" s="52">
        <f t="shared" ref="D239:E239" si="180">D219</f>
        <v>750.3528</v>
      </c>
      <c r="E239" s="52">
        <f t="shared" si="180"/>
        <v>812</v>
      </c>
      <c r="F239" s="109"/>
      <c r="G239" s="248">
        <f t="shared" si="178"/>
        <v>0.08215761972</v>
      </c>
      <c r="H239" s="115"/>
      <c r="I239" s="93">
        <v>24.0</v>
      </c>
      <c r="J239" s="134">
        <v>48.0</v>
      </c>
      <c r="K239" s="93"/>
      <c r="L239" s="56"/>
      <c r="M239" s="91"/>
    </row>
    <row r="240">
      <c r="A240" s="256"/>
      <c r="B240" s="111" t="s">
        <v>2242</v>
      </c>
      <c r="C240" s="118" t="s">
        <v>682</v>
      </c>
      <c r="D240" s="52">
        <f t="shared" ref="D240:E240" si="181">D220</f>
        <v>514</v>
      </c>
      <c r="E240" s="52">
        <f t="shared" si="181"/>
        <v>554</v>
      </c>
      <c r="F240" s="109"/>
      <c r="G240" s="248">
        <f t="shared" si="178"/>
        <v>0.07782101167</v>
      </c>
      <c r="H240" s="115"/>
      <c r="I240" s="93">
        <v>30.0</v>
      </c>
      <c r="J240" s="134">
        <v>90.0</v>
      </c>
      <c r="K240" s="93"/>
      <c r="L240" s="56"/>
      <c r="M240" s="91"/>
    </row>
    <row r="241">
      <c r="A241" s="256"/>
      <c r="B241" s="111" t="s">
        <v>1153</v>
      </c>
      <c r="C241" s="118" t="s">
        <v>696</v>
      </c>
      <c r="D241" s="52">
        <f t="shared" ref="D241:E241" si="182">D221</f>
        <v>798</v>
      </c>
      <c r="E241" s="52">
        <f t="shared" si="182"/>
        <v>864</v>
      </c>
      <c r="F241" s="109"/>
      <c r="G241" s="248">
        <f t="shared" si="178"/>
        <v>0.08270676692</v>
      </c>
      <c r="H241" s="115"/>
      <c r="I241" s="93"/>
      <c r="J241" s="134"/>
      <c r="K241" s="93"/>
      <c r="L241" s="56"/>
      <c r="M241" s="91"/>
    </row>
    <row r="242">
      <c r="A242" s="256"/>
      <c r="B242" s="111" t="s">
        <v>2243</v>
      </c>
      <c r="C242" s="118" t="s">
        <v>692</v>
      </c>
      <c r="D242" s="52">
        <f t="shared" ref="D242:E242" si="183">D222</f>
        <v>809.84</v>
      </c>
      <c r="E242" s="52">
        <f t="shared" si="183"/>
        <v>876</v>
      </c>
      <c r="F242" s="109"/>
      <c r="G242" s="248">
        <f t="shared" si="178"/>
        <v>0.08169514966</v>
      </c>
      <c r="H242" s="115"/>
      <c r="I242" s="93">
        <v>30.0</v>
      </c>
      <c r="J242" s="93">
        <v>90.0</v>
      </c>
      <c r="K242" s="93"/>
      <c r="L242" s="56"/>
      <c r="M242" s="91"/>
    </row>
    <row r="243">
      <c r="A243" s="256"/>
      <c r="B243" s="111" t="s">
        <v>2244</v>
      </c>
      <c r="C243" s="186" t="s">
        <v>2209</v>
      </c>
      <c r="D243" s="52">
        <f t="shared" ref="D243:E243" si="184">D223</f>
        <v>775.86912</v>
      </c>
      <c r="E243" s="52">
        <f t="shared" si="184"/>
        <v>838</v>
      </c>
      <c r="F243" s="109"/>
      <c r="G243" s="248">
        <f t="shared" si="178"/>
        <v>0.08007907313</v>
      </c>
      <c r="H243" s="115"/>
      <c r="I243" s="134">
        <v>30.0</v>
      </c>
      <c r="J243" s="134">
        <v>120.0</v>
      </c>
      <c r="K243" s="93"/>
      <c r="L243" s="56"/>
      <c r="M243" s="91"/>
    </row>
    <row r="244">
      <c r="A244" s="256"/>
      <c r="B244" s="111" t="s">
        <v>2245</v>
      </c>
      <c r="C244" s="118" t="s">
        <v>2133</v>
      </c>
      <c r="D244" s="52">
        <f t="shared" ref="D244:E244" si="185">D224</f>
        <v>809.84</v>
      </c>
      <c r="E244" s="52">
        <f t="shared" si="185"/>
        <v>876</v>
      </c>
      <c r="F244" s="109"/>
      <c r="G244" s="248">
        <f t="shared" si="178"/>
        <v>0.08169514966</v>
      </c>
      <c r="H244" s="115"/>
      <c r="I244" s="93">
        <v>13.0</v>
      </c>
      <c r="J244" s="93">
        <v>52.0</v>
      </c>
      <c r="K244" s="93"/>
      <c r="L244" s="56"/>
      <c r="M244" s="91"/>
    </row>
    <row r="245">
      <c r="A245" s="256"/>
      <c r="B245" s="111" t="s">
        <v>2246</v>
      </c>
      <c r="C245" s="118" t="s">
        <v>913</v>
      </c>
      <c r="D245" s="52">
        <f t="shared" ref="D245:E245" si="186">D225</f>
        <v>1729.92</v>
      </c>
      <c r="E245" s="52">
        <f t="shared" si="186"/>
        <v>1868</v>
      </c>
      <c r="F245" s="109"/>
      <c r="G245" s="248">
        <f t="shared" si="178"/>
        <v>0.07981871994</v>
      </c>
      <c r="H245" s="115"/>
      <c r="I245" s="93">
        <v>13.0</v>
      </c>
      <c r="J245" s="93">
        <v>52.0</v>
      </c>
      <c r="K245" s="93"/>
      <c r="L245" s="56"/>
      <c r="M245" s="91"/>
    </row>
    <row r="246">
      <c r="A246" s="256"/>
      <c r="B246" s="111" t="s">
        <v>2247</v>
      </c>
      <c r="C246" s="118" t="s">
        <v>1949</v>
      </c>
      <c r="D246" s="52">
        <f t="shared" ref="D246:E246" si="187">D226</f>
        <v>1774.44</v>
      </c>
      <c r="E246" s="52">
        <f t="shared" si="187"/>
        <v>1916</v>
      </c>
      <c r="F246" s="109"/>
      <c r="G246" s="248">
        <f t="shared" si="178"/>
        <v>0.07977728185</v>
      </c>
      <c r="H246" s="115"/>
      <c r="I246" s="93">
        <v>13.0</v>
      </c>
      <c r="J246" s="93">
        <v>52.0</v>
      </c>
      <c r="K246" s="93"/>
      <c r="L246" s="56"/>
      <c r="M246" s="91"/>
    </row>
    <row r="247">
      <c r="A247" s="256"/>
      <c r="B247" s="111" t="s">
        <v>1154</v>
      </c>
      <c r="C247" s="118" t="s">
        <v>523</v>
      </c>
      <c r="D247" s="52">
        <f t="shared" ref="D247:E247" si="188">D227</f>
        <v>2367.828</v>
      </c>
      <c r="E247" s="52">
        <f t="shared" si="188"/>
        <v>2558</v>
      </c>
      <c r="F247" s="109"/>
      <c r="G247" s="248">
        <f t="shared" si="178"/>
        <v>0.08031495531</v>
      </c>
      <c r="H247" s="115"/>
      <c r="I247" s="93"/>
      <c r="J247" s="93"/>
      <c r="K247" s="93"/>
      <c r="L247" s="56"/>
      <c r="M247" s="91"/>
    </row>
    <row r="248">
      <c r="A248" s="256"/>
      <c r="B248" s="111" t="s">
        <v>2248</v>
      </c>
      <c r="C248" s="118" t="s">
        <v>1124</v>
      </c>
      <c r="D248" s="52">
        <f t="shared" ref="D248:E248" si="189">D228</f>
        <v>2044</v>
      </c>
      <c r="E248" s="52">
        <f t="shared" si="189"/>
        <v>2208</v>
      </c>
      <c r="F248" s="109"/>
      <c r="G248" s="248">
        <f t="shared" si="178"/>
        <v>0.08023483366</v>
      </c>
      <c r="H248" s="115"/>
      <c r="I248" s="93">
        <v>6.0</v>
      </c>
      <c r="J248" s="93">
        <v>24.0</v>
      </c>
      <c r="K248" s="93"/>
      <c r="L248" s="56"/>
      <c r="M248" s="91"/>
    </row>
    <row r="249">
      <c r="A249" s="256"/>
      <c r="B249" s="111" t="s">
        <v>2249</v>
      </c>
      <c r="C249" s="118" t="s">
        <v>395</v>
      </c>
      <c r="D249" s="52">
        <f t="shared" ref="D249:E249" si="190">D229</f>
        <v>368</v>
      </c>
      <c r="E249" s="52">
        <f t="shared" si="190"/>
        <v>396</v>
      </c>
      <c r="F249" s="109"/>
      <c r="G249" s="248">
        <f t="shared" si="178"/>
        <v>0.07608695652</v>
      </c>
      <c r="H249" s="115"/>
      <c r="I249" s="93">
        <v>66.0</v>
      </c>
      <c r="J249" s="93">
        <v>198.0</v>
      </c>
      <c r="K249" s="93"/>
      <c r="L249" s="56"/>
      <c r="M249" s="91"/>
    </row>
    <row r="250">
      <c r="A250" s="256"/>
      <c r="B250" s="111" t="s">
        <v>2250</v>
      </c>
      <c r="C250" s="118" t="s">
        <v>359</v>
      </c>
      <c r="D250" s="52">
        <f t="shared" ref="D250:E250" si="191">D230</f>
        <v>712.32</v>
      </c>
      <c r="E250" s="52">
        <f t="shared" si="191"/>
        <v>768</v>
      </c>
      <c r="F250" s="109"/>
      <c r="G250" s="248">
        <f t="shared" si="178"/>
        <v>0.0781671159</v>
      </c>
      <c r="H250" s="115"/>
      <c r="I250" s="93">
        <v>23.0</v>
      </c>
      <c r="J250" s="93">
        <v>92.0</v>
      </c>
      <c r="K250" s="93"/>
      <c r="L250" s="56"/>
      <c r="M250" s="91"/>
    </row>
    <row r="251">
      <c r="A251" s="256"/>
      <c r="B251" s="111" t="s">
        <v>2251</v>
      </c>
      <c r="C251" s="118" t="s">
        <v>1946</v>
      </c>
      <c r="D251" s="52">
        <f t="shared" ref="D251:E251" si="192">D231</f>
        <v>856</v>
      </c>
      <c r="E251" s="52">
        <f t="shared" si="192"/>
        <v>924</v>
      </c>
      <c r="F251" s="109"/>
      <c r="G251" s="248">
        <f t="shared" si="178"/>
        <v>0.07943925234</v>
      </c>
      <c r="H251" s="115"/>
      <c r="I251" s="134">
        <v>30.0</v>
      </c>
      <c r="J251" s="134">
        <v>90.0</v>
      </c>
      <c r="K251" s="93"/>
      <c r="L251" s="56"/>
      <c r="M251" s="91"/>
    </row>
    <row r="252">
      <c r="A252" s="256"/>
      <c r="B252" s="270" t="s">
        <v>2252</v>
      </c>
      <c r="C252" s="277" t="s">
        <v>1145</v>
      </c>
      <c r="D252" s="52">
        <f t="shared" ref="D252:E252" si="193">D232</f>
        <v>1848</v>
      </c>
      <c r="E252" s="52">
        <f t="shared" si="193"/>
        <v>1994</v>
      </c>
      <c r="F252" s="109"/>
      <c r="G252" s="248">
        <f t="shared" si="178"/>
        <v>0.079004329</v>
      </c>
      <c r="H252" s="93"/>
      <c r="I252" s="93">
        <v>14.0</v>
      </c>
      <c r="J252" s="93">
        <v>56.0</v>
      </c>
      <c r="K252" s="93"/>
      <c r="L252" s="56"/>
      <c r="M252" s="91"/>
    </row>
    <row r="253">
      <c r="A253" s="256"/>
      <c r="B253" s="111" t="s">
        <v>2253</v>
      </c>
      <c r="C253" s="118" t="s">
        <v>2219</v>
      </c>
      <c r="D253" s="52">
        <f t="shared" ref="D253:E253" si="194">D233</f>
        <v>1884</v>
      </c>
      <c r="E253" s="52">
        <f t="shared" si="194"/>
        <v>2034</v>
      </c>
      <c r="F253" s="109"/>
      <c r="G253" s="248">
        <f t="shared" si="178"/>
        <v>0.07961783439</v>
      </c>
      <c r="H253" s="93"/>
      <c r="I253" s="93">
        <v>14.0</v>
      </c>
      <c r="J253" s="93">
        <v>56.0</v>
      </c>
      <c r="K253" s="93"/>
      <c r="L253" s="56"/>
      <c r="M253" s="91"/>
    </row>
    <row r="254" ht="18.75" customHeight="1">
      <c r="A254" s="256"/>
      <c r="B254" s="149"/>
      <c r="C254" s="204"/>
      <c r="D254" s="109"/>
      <c r="E254" s="109"/>
      <c r="F254" s="109"/>
      <c r="G254" s="248"/>
      <c r="H254" s="115"/>
      <c r="I254" s="93"/>
      <c r="J254" s="93"/>
      <c r="K254" s="93"/>
      <c r="L254" s="56"/>
      <c r="M254" s="91"/>
    </row>
    <row r="255" ht="18.75" customHeight="1">
      <c r="A255" s="256"/>
      <c r="B255" s="107" t="s">
        <v>2254</v>
      </c>
      <c r="C255" s="166"/>
      <c r="D255" s="109"/>
      <c r="E255" s="109"/>
      <c r="F255" s="109"/>
      <c r="G255" s="248"/>
      <c r="H255" s="115"/>
      <c r="I255" s="93"/>
      <c r="J255" s="93"/>
      <c r="K255" s="93"/>
      <c r="L255" s="56"/>
      <c r="M255" s="91"/>
    </row>
    <row r="256">
      <c r="A256" s="256"/>
      <c r="B256" s="111" t="s">
        <v>2255</v>
      </c>
      <c r="C256" s="112" t="s">
        <v>306</v>
      </c>
      <c r="D256" s="52">
        <f t="shared" ref="D256:E256" si="195">D236</f>
        <v>398.054592</v>
      </c>
      <c r="E256" s="52">
        <f t="shared" si="195"/>
        <v>432</v>
      </c>
      <c r="F256" s="109"/>
      <c r="G256" s="248">
        <f t="shared" ref="G256:G273" si="197">IFERROR(DIVIDE(MINUS(E256,D256),D256),)</f>
        <v>0.08527827258</v>
      </c>
      <c r="H256" s="115"/>
      <c r="I256" s="93">
        <v>33.0</v>
      </c>
      <c r="J256" s="93">
        <v>132.0</v>
      </c>
      <c r="K256" s="93"/>
      <c r="L256" s="56"/>
      <c r="M256" s="91"/>
    </row>
    <row r="257">
      <c r="A257" s="256"/>
      <c r="B257" s="111" t="s">
        <v>2256</v>
      </c>
      <c r="C257" s="118" t="s">
        <v>339</v>
      </c>
      <c r="D257" s="52">
        <f t="shared" ref="D257:E257" si="196">D237</f>
        <v>498</v>
      </c>
      <c r="E257" s="52">
        <f t="shared" si="196"/>
        <v>538</v>
      </c>
      <c r="F257" s="109"/>
      <c r="G257" s="248">
        <f t="shared" si="197"/>
        <v>0.08032128514</v>
      </c>
      <c r="H257" s="115"/>
      <c r="I257" s="134">
        <v>33.0</v>
      </c>
      <c r="J257" s="134">
        <v>99.0</v>
      </c>
      <c r="K257" s="93"/>
      <c r="L257" s="56"/>
      <c r="M257" s="91"/>
    </row>
    <row r="258">
      <c r="A258" s="256"/>
      <c r="B258" s="280" t="s">
        <v>2257</v>
      </c>
      <c r="C258" s="281" t="s">
        <v>363</v>
      </c>
      <c r="D258" s="52">
        <f t="shared" ref="D258:E258" si="198">D238</f>
        <v>426.12</v>
      </c>
      <c r="E258" s="52">
        <f t="shared" si="198"/>
        <v>462</v>
      </c>
      <c r="F258" s="109"/>
      <c r="G258" s="248">
        <f t="shared" si="197"/>
        <v>0.08420163334</v>
      </c>
      <c r="H258" s="115"/>
      <c r="I258" s="134">
        <v>33.0</v>
      </c>
      <c r="J258" s="134">
        <v>99.0</v>
      </c>
      <c r="K258" s="93"/>
      <c r="L258" s="56"/>
      <c r="M258" s="91"/>
    </row>
    <row r="259">
      <c r="A259" s="256"/>
      <c r="B259" s="111" t="s">
        <v>2258</v>
      </c>
      <c r="C259" s="118" t="s">
        <v>666</v>
      </c>
      <c r="D259" s="52">
        <f t="shared" ref="D259:E259" si="199">D239</f>
        <v>750.3528</v>
      </c>
      <c r="E259" s="52">
        <f t="shared" si="199"/>
        <v>812</v>
      </c>
      <c r="F259" s="109"/>
      <c r="G259" s="248">
        <f t="shared" si="197"/>
        <v>0.08215761972</v>
      </c>
      <c r="H259" s="115"/>
      <c r="I259" s="93">
        <v>24.0</v>
      </c>
      <c r="J259" s="134">
        <v>48.0</v>
      </c>
      <c r="K259" s="93"/>
      <c r="L259" s="56"/>
      <c r="M259" s="91"/>
    </row>
    <row r="260">
      <c r="A260" s="256"/>
      <c r="B260" s="111" t="s">
        <v>2259</v>
      </c>
      <c r="C260" s="118" t="s">
        <v>682</v>
      </c>
      <c r="D260" s="52">
        <f t="shared" ref="D260:E260" si="200">D240</f>
        <v>514</v>
      </c>
      <c r="E260" s="52">
        <f t="shared" si="200"/>
        <v>554</v>
      </c>
      <c r="F260" s="109"/>
      <c r="G260" s="248">
        <f t="shared" si="197"/>
        <v>0.07782101167</v>
      </c>
      <c r="H260" s="115"/>
      <c r="I260" s="93">
        <v>30.0</v>
      </c>
      <c r="J260" s="134">
        <v>90.0</v>
      </c>
      <c r="K260" s="93"/>
      <c r="L260" s="56"/>
      <c r="M260" s="91"/>
    </row>
    <row r="261">
      <c r="A261" s="256"/>
      <c r="B261" s="111" t="s">
        <v>1159</v>
      </c>
      <c r="C261" s="118" t="s">
        <v>696</v>
      </c>
      <c r="D261" s="52">
        <f t="shared" ref="D261:E261" si="201">D241</f>
        <v>798</v>
      </c>
      <c r="E261" s="52">
        <f t="shared" si="201"/>
        <v>864</v>
      </c>
      <c r="F261" s="109"/>
      <c r="G261" s="248">
        <f t="shared" si="197"/>
        <v>0.08270676692</v>
      </c>
      <c r="H261" s="115"/>
      <c r="I261" s="93"/>
      <c r="J261" s="134"/>
      <c r="K261" s="93"/>
      <c r="L261" s="56"/>
      <c r="M261" s="91"/>
    </row>
    <row r="262">
      <c r="A262" s="256"/>
      <c r="B262" s="111" t="s">
        <v>2260</v>
      </c>
      <c r="C262" s="118" t="s">
        <v>692</v>
      </c>
      <c r="D262" s="52">
        <f t="shared" ref="D262:E262" si="202">D242</f>
        <v>809.84</v>
      </c>
      <c r="E262" s="52">
        <f t="shared" si="202"/>
        <v>876</v>
      </c>
      <c r="F262" s="109"/>
      <c r="G262" s="248">
        <f t="shared" si="197"/>
        <v>0.08169514966</v>
      </c>
      <c r="H262" s="115"/>
      <c r="I262" s="93">
        <v>30.0</v>
      </c>
      <c r="J262" s="93">
        <v>90.0</v>
      </c>
      <c r="K262" s="93"/>
      <c r="L262" s="56"/>
      <c r="M262" s="91"/>
    </row>
    <row r="263">
      <c r="A263" s="256"/>
      <c r="B263" s="111" t="s">
        <v>2261</v>
      </c>
      <c r="C263" s="186" t="s">
        <v>2209</v>
      </c>
      <c r="D263" s="52">
        <f t="shared" ref="D263:E263" si="203">D243</f>
        <v>775.86912</v>
      </c>
      <c r="E263" s="52">
        <f t="shared" si="203"/>
        <v>838</v>
      </c>
      <c r="F263" s="109"/>
      <c r="G263" s="248">
        <f t="shared" si="197"/>
        <v>0.08007907313</v>
      </c>
      <c r="H263" s="115"/>
      <c r="I263" s="134">
        <v>30.0</v>
      </c>
      <c r="J263" s="134">
        <v>120.0</v>
      </c>
      <c r="K263" s="93"/>
      <c r="L263" s="56"/>
      <c r="M263" s="91"/>
    </row>
    <row r="264">
      <c r="A264" s="256"/>
      <c r="B264" s="111" t="s">
        <v>2262</v>
      </c>
      <c r="C264" s="118" t="s">
        <v>2133</v>
      </c>
      <c r="D264" s="52">
        <f t="shared" ref="D264:E264" si="204">D244</f>
        <v>809.84</v>
      </c>
      <c r="E264" s="52">
        <f t="shared" si="204"/>
        <v>876</v>
      </c>
      <c r="F264" s="109"/>
      <c r="G264" s="248">
        <f t="shared" si="197"/>
        <v>0.08169514966</v>
      </c>
      <c r="H264" s="115"/>
      <c r="I264" s="93">
        <v>13.0</v>
      </c>
      <c r="J264" s="93">
        <v>52.0</v>
      </c>
      <c r="K264" s="93"/>
      <c r="L264" s="56"/>
      <c r="M264" s="91"/>
    </row>
    <row r="265">
      <c r="A265" s="256"/>
      <c r="B265" s="111" t="s">
        <v>2263</v>
      </c>
      <c r="C265" s="118" t="s">
        <v>913</v>
      </c>
      <c r="D265" s="52">
        <f t="shared" ref="D265:E265" si="205">D245</f>
        <v>1729.92</v>
      </c>
      <c r="E265" s="52">
        <f t="shared" si="205"/>
        <v>1868</v>
      </c>
      <c r="F265" s="109"/>
      <c r="G265" s="248">
        <f t="shared" si="197"/>
        <v>0.07981871994</v>
      </c>
      <c r="H265" s="115"/>
      <c r="I265" s="93">
        <v>13.0</v>
      </c>
      <c r="J265" s="93">
        <v>52.0</v>
      </c>
      <c r="K265" s="93"/>
      <c r="L265" s="56"/>
      <c r="M265" s="91"/>
    </row>
    <row r="266">
      <c r="A266" s="256"/>
      <c r="B266" s="111" t="s">
        <v>2264</v>
      </c>
      <c r="C266" s="118" t="s">
        <v>1949</v>
      </c>
      <c r="D266" s="52">
        <f t="shared" ref="D266:E266" si="206">D246</f>
        <v>1774.44</v>
      </c>
      <c r="E266" s="52">
        <f t="shared" si="206"/>
        <v>1916</v>
      </c>
      <c r="F266" s="109"/>
      <c r="G266" s="248">
        <f t="shared" si="197"/>
        <v>0.07977728185</v>
      </c>
      <c r="H266" s="115"/>
      <c r="I266" s="93">
        <v>13.0</v>
      </c>
      <c r="J266" s="93">
        <v>52.0</v>
      </c>
      <c r="K266" s="93"/>
      <c r="L266" s="56"/>
      <c r="M266" s="91"/>
    </row>
    <row r="267">
      <c r="A267" s="256"/>
      <c r="B267" s="111" t="s">
        <v>1161</v>
      </c>
      <c r="C267" s="118" t="s">
        <v>523</v>
      </c>
      <c r="D267" s="52">
        <f t="shared" ref="D267:E267" si="207">D247</f>
        <v>2367.828</v>
      </c>
      <c r="E267" s="52">
        <f t="shared" si="207"/>
        <v>2558</v>
      </c>
      <c r="F267" s="109"/>
      <c r="G267" s="248">
        <f t="shared" si="197"/>
        <v>0.08031495531</v>
      </c>
      <c r="H267" s="115"/>
      <c r="I267" s="93"/>
      <c r="J267" s="93"/>
      <c r="K267" s="93"/>
      <c r="L267" s="56"/>
      <c r="M267" s="91"/>
    </row>
    <row r="268">
      <c r="A268" s="256"/>
      <c r="B268" s="111" t="s">
        <v>2265</v>
      </c>
      <c r="C268" s="118" t="s">
        <v>1124</v>
      </c>
      <c r="D268" s="52">
        <f t="shared" ref="D268:E268" si="208">D248</f>
        <v>2044</v>
      </c>
      <c r="E268" s="52">
        <f t="shared" si="208"/>
        <v>2208</v>
      </c>
      <c r="F268" s="109"/>
      <c r="G268" s="248">
        <f t="shared" si="197"/>
        <v>0.08023483366</v>
      </c>
      <c r="H268" s="115"/>
      <c r="I268" s="93">
        <v>6.0</v>
      </c>
      <c r="J268" s="93">
        <v>24.0</v>
      </c>
      <c r="K268" s="93"/>
      <c r="L268" s="56"/>
      <c r="M268" s="91"/>
    </row>
    <row r="269">
      <c r="A269" s="256"/>
      <c r="B269" s="111" t="s">
        <v>2266</v>
      </c>
      <c r="C269" s="118" t="s">
        <v>395</v>
      </c>
      <c r="D269" s="52">
        <f t="shared" ref="D269:E269" si="209">D249</f>
        <v>368</v>
      </c>
      <c r="E269" s="52">
        <f t="shared" si="209"/>
        <v>396</v>
      </c>
      <c r="F269" s="109"/>
      <c r="G269" s="248">
        <f t="shared" si="197"/>
        <v>0.07608695652</v>
      </c>
      <c r="H269" s="115"/>
      <c r="I269" s="93">
        <v>66.0</v>
      </c>
      <c r="J269" s="93">
        <v>198.0</v>
      </c>
      <c r="K269" s="93"/>
      <c r="L269" s="56"/>
      <c r="M269" s="91"/>
    </row>
    <row r="270">
      <c r="A270" s="256"/>
      <c r="B270" s="111" t="s">
        <v>2267</v>
      </c>
      <c r="C270" s="118" t="s">
        <v>359</v>
      </c>
      <c r="D270" s="52">
        <f t="shared" ref="D270:E270" si="210">D250</f>
        <v>712.32</v>
      </c>
      <c r="E270" s="52">
        <f t="shared" si="210"/>
        <v>768</v>
      </c>
      <c r="F270" s="109"/>
      <c r="G270" s="248">
        <f t="shared" si="197"/>
        <v>0.0781671159</v>
      </c>
      <c r="H270" s="115"/>
      <c r="I270" s="93">
        <v>23.0</v>
      </c>
      <c r="J270" s="93">
        <v>92.0</v>
      </c>
      <c r="K270" s="93"/>
      <c r="L270" s="56"/>
      <c r="M270" s="91"/>
    </row>
    <row r="271">
      <c r="A271" s="256"/>
      <c r="B271" s="111" t="s">
        <v>2268</v>
      </c>
      <c r="C271" s="118" t="s">
        <v>1946</v>
      </c>
      <c r="D271" s="52">
        <f t="shared" ref="D271:E271" si="211">D251</f>
        <v>856</v>
      </c>
      <c r="E271" s="52">
        <f t="shared" si="211"/>
        <v>924</v>
      </c>
      <c r="F271" s="109"/>
      <c r="G271" s="248">
        <f t="shared" si="197"/>
        <v>0.07943925234</v>
      </c>
      <c r="H271" s="115"/>
      <c r="I271" s="134">
        <v>30.0</v>
      </c>
      <c r="J271" s="134">
        <v>90.0</v>
      </c>
      <c r="K271" s="93"/>
      <c r="L271" s="56"/>
      <c r="M271" s="91"/>
    </row>
    <row r="272">
      <c r="A272" s="256"/>
      <c r="B272" s="270" t="s">
        <v>2269</v>
      </c>
      <c r="C272" s="277" t="s">
        <v>1145</v>
      </c>
      <c r="D272" s="52">
        <f t="shared" ref="D272:E272" si="212">D252</f>
        <v>1848</v>
      </c>
      <c r="E272" s="52">
        <f t="shared" si="212"/>
        <v>1994</v>
      </c>
      <c r="F272" s="109"/>
      <c r="G272" s="248">
        <f t="shared" si="197"/>
        <v>0.079004329</v>
      </c>
      <c r="H272" s="93"/>
      <c r="I272" s="93">
        <v>14.0</v>
      </c>
      <c r="J272" s="93">
        <v>56.0</v>
      </c>
      <c r="K272" s="93"/>
      <c r="L272" s="56"/>
      <c r="M272" s="91"/>
    </row>
    <row r="273">
      <c r="A273" s="256"/>
      <c r="B273" s="111" t="s">
        <v>2270</v>
      </c>
      <c r="C273" s="118" t="s">
        <v>2219</v>
      </c>
      <c r="D273" s="52">
        <f t="shared" ref="D273:E273" si="213">D253</f>
        <v>1884</v>
      </c>
      <c r="E273" s="52">
        <f t="shared" si="213"/>
        <v>2034</v>
      </c>
      <c r="F273" s="109"/>
      <c r="G273" s="248">
        <f t="shared" si="197"/>
        <v>0.07961783439</v>
      </c>
      <c r="H273" s="93"/>
      <c r="I273" s="93">
        <v>14.0</v>
      </c>
      <c r="J273" s="93">
        <v>56.0</v>
      </c>
      <c r="K273" s="93"/>
      <c r="L273" s="56"/>
      <c r="M273" s="91"/>
    </row>
    <row r="274" ht="18.75" customHeight="1">
      <c r="A274" s="96"/>
      <c r="B274" s="149"/>
      <c r="C274" s="204"/>
      <c r="D274" s="109"/>
      <c r="E274" s="109"/>
      <c r="F274" s="109"/>
      <c r="G274" s="248"/>
      <c r="H274" s="93"/>
      <c r="I274" s="93"/>
      <c r="J274" s="93"/>
      <c r="K274" s="93"/>
      <c r="L274" s="56"/>
      <c r="M274" s="91"/>
    </row>
    <row r="275" ht="18.75" customHeight="1">
      <c r="A275" s="256"/>
      <c r="B275" s="107" t="s">
        <v>1565</v>
      </c>
      <c r="C275" s="166"/>
      <c r="D275" s="109"/>
      <c r="E275" s="109"/>
      <c r="F275" s="109"/>
      <c r="G275" s="248"/>
      <c r="H275" s="93"/>
      <c r="I275" s="93"/>
      <c r="J275" s="93"/>
      <c r="K275" s="93"/>
      <c r="L275" s="56"/>
      <c r="M275" s="91"/>
    </row>
    <row r="276">
      <c r="A276" s="256"/>
      <c r="B276" s="111" t="s">
        <v>2271</v>
      </c>
      <c r="C276" s="112" t="s">
        <v>306</v>
      </c>
      <c r="D276" s="52">
        <f t="shared" ref="D276:E276" si="214">D256</f>
        <v>398.054592</v>
      </c>
      <c r="E276" s="52">
        <f t="shared" si="214"/>
        <v>432</v>
      </c>
      <c r="F276" s="109"/>
      <c r="G276" s="248">
        <f t="shared" ref="G276:G292" si="216">IFERROR(DIVIDE(MINUS(E276,D276),D276),)</f>
        <v>0.08527827258</v>
      </c>
      <c r="H276" s="93"/>
      <c r="I276" s="93">
        <v>33.0</v>
      </c>
      <c r="J276" s="93">
        <v>132.0</v>
      </c>
      <c r="K276" s="93"/>
      <c r="L276" s="56"/>
      <c r="M276" s="91"/>
    </row>
    <row r="277">
      <c r="A277" s="256"/>
      <c r="B277" s="111" t="s">
        <v>2277</v>
      </c>
      <c r="C277" s="118" t="s">
        <v>339</v>
      </c>
      <c r="D277" s="52">
        <f t="shared" ref="D277:E277" si="215">D257</f>
        <v>498</v>
      </c>
      <c r="E277" s="52">
        <f t="shared" si="215"/>
        <v>538</v>
      </c>
      <c r="F277" s="109"/>
      <c r="G277" s="248">
        <f t="shared" si="216"/>
        <v>0.08032128514</v>
      </c>
      <c r="H277" s="93"/>
      <c r="I277" s="134">
        <v>33.0</v>
      </c>
      <c r="J277" s="134">
        <v>99.0</v>
      </c>
      <c r="K277" s="93"/>
      <c r="L277" s="56"/>
      <c r="M277" s="91"/>
    </row>
    <row r="278">
      <c r="A278" s="256"/>
      <c r="B278" s="280" t="s">
        <v>2278</v>
      </c>
      <c r="C278" s="281" t="s">
        <v>363</v>
      </c>
      <c r="D278" s="52">
        <f t="shared" ref="D278:E278" si="217">D258</f>
        <v>426.12</v>
      </c>
      <c r="E278" s="52">
        <f t="shared" si="217"/>
        <v>462</v>
      </c>
      <c r="F278" s="109"/>
      <c r="G278" s="248">
        <f t="shared" si="216"/>
        <v>0.08420163334</v>
      </c>
      <c r="H278" s="93"/>
      <c r="I278" s="134">
        <v>33.0</v>
      </c>
      <c r="J278" s="134">
        <v>99.0</v>
      </c>
      <c r="K278" s="93"/>
      <c r="L278" s="56"/>
      <c r="M278" s="91"/>
    </row>
    <row r="279">
      <c r="A279" s="256"/>
      <c r="B279" s="111" t="s">
        <v>2280</v>
      </c>
      <c r="C279" s="118" t="s">
        <v>666</v>
      </c>
      <c r="D279" s="52">
        <f t="shared" ref="D279:E279" si="218">D259</f>
        <v>750.3528</v>
      </c>
      <c r="E279" s="52">
        <f t="shared" si="218"/>
        <v>812</v>
      </c>
      <c r="F279" s="109"/>
      <c r="G279" s="248">
        <f t="shared" si="216"/>
        <v>0.08215761972</v>
      </c>
      <c r="H279" s="93"/>
      <c r="I279" s="93">
        <v>24.0</v>
      </c>
      <c r="J279" s="134">
        <v>48.0</v>
      </c>
      <c r="K279" s="93"/>
      <c r="L279" s="56"/>
      <c r="M279" s="91"/>
    </row>
    <row r="280">
      <c r="A280" s="256"/>
      <c r="B280" s="111" t="s">
        <v>2281</v>
      </c>
      <c r="C280" s="118" t="s">
        <v>682</v>
      </c>
      <c r="D280" s="52">
        <f t="shared" ref="D280:E280" si="219">D260</f>
        <v>514</v>
      </c>
      <c r="E280" s="52">
        <f t="shared" si="219"/>
        <v>554</v>
      </c>
      <c r="F280" s="109"/>
      <c r="G280" s="248">
        <f t="shared" si="216"/>
        <v>0.07782101167</v>
      </c>
      <c r="H280" s="93"/>
      <c r="I280" s="93">
        <v>30.0</v>
      </c>
      <c r="J280" s="134">
        <v>90.0</v>
      </c>
      <c r="K280" s="93"/>
      <c r="L280" s="56"/>
      <c r="M280" s="91"/>
    </row>
    <row r="281">
      <c r="A281" s="256"/>
      <c r="B281" s="111" t="s">
        <v>1164</v>
      </c>
      <c r="C281" s="118" t="s">
        <v>696</v>
      </c>
      <c r="D281" s="52">
        <f t="shared" ref="D281:E281" si="220">D261</f>
        <v>798</v>
      </c>
      <c r="E281" s="52">
        <f t="shared" si="220"/>
        <v>864</v>
      </c>
      <c r="F281" s="109"/>
      <c r="G281" s="248">
        <f t="shared" si="216"/>
        <v>0.08270676692</v>
      </c>
      <c r="H281" s="93"/>
      <c r="I281" s="93"/>
      <c r="J281" s="134"/>
      <c r="K281" s="93"/>
      <c r="L281" s="56"/>
      <c r="M281" s="91"/>
    </row>
    <row r="282">
      <c r="A282" s="256"/>
      <c r="B282" s="111" t="s">
        <v>2286</v>
      </c>
      <c r="C282" s="118" t="s">
        <v>692</v>
      </c>
      <c r="D282" s="52">
        <f t="shared" ref="D282:E282" si="221">D262</f>
        <v>809.84</v>
      </c>
      <c r="E282" s="52">
        <f t="shared" si="221"/>
        <v>876</v>
      </c>
      <c r="F282" s="109"/>
      <c r="G282" s="248">
        <f t="shared" si="216"/>
        <v>0.08169514966</v>
      </c>
      <c r="H282" s="93"/>
      <c r="I282" s="93">
        <v>30.0</v>
      </c>
      <c r="J282" s="93">
        <v>90.0</v>
      </c>
      <c r="K282" s="93"/>
      <c r="L282" s="56"/>
      <c r="M282" s="91"/>
    </row>
    <row r="283">
      <c r="A283" s="256"/>
      <c r="B283" s="111" t="s">
        <v>2287</v>
      </c>
      <c r="C283" s="186" t="s">
        <v>2209</v>
      </c>
      <c r="D283" s="52">
        <f t="shared" ref="D283:E283" si="222">D263</f>
        <v>775.86912</v>
      </c>
      <c r="E283" s="52">
        <f t="shared" si="222"/>
        <v>838</v>
      </c>
      <c r="F283" s="109"/>
      <c r="G283" s="248">
        <f t="shared" si="216"/>
        <v>0.08007907313</v>
      </c>
      <c r="H283" s="93"/>
      <c r="I283" s="134">
        <v>30.0</v>
      </c>
      <c r="J283" s="134">
        <v>120.0</v>
      </c>
      <c r="K283" s="93"/>
      <c r="L283" s="56"/>
      <c r="M283" s="91"/>
    </row>
    <row r="284">
      <c r="A284" s="256"/>
      <c r="B284" s="111" t="s">
        <v>2288</v>
      </c>
      <c r="C284" s="118" t="s">
        <v>2133</v>
      </c>
      <c r="D284" s="52">
        <f t="shared" ref="D284:E284" si="223">D264</f>
        <v>809.84</v>
      </c>
      <c r="E284" s="52">
        <f t="shared" si="223"/>
        <v>876</v>
      </c>
      <c r="F284" s="109"/>
      <c r="G284" s="248">
        <f t="shared" si="216"/>
        <v>0.08169514966</v>
      </c>
      <c r="H284" s="93"/>
      <c r="I284" s="93">
        <v>13.0</v>
      </c>
      <c r="J284" s="93">
        <v>52.0</v>
      </c>
      <c r="K284" s="93"/>
      <c r="L284" s="56"/>
      <c r="M284" s="91"/>
    </row>
    <row r="285">
      <c r="A285" s="256"/>
      <c r="B285" s="111" t="s">
        <v>2291</v>
      </c>
      <c r="C285" s="118" t="s">
        <v>913</v>
      </c>
      <c r="D285" s="52">
        <f t="shared" ref="D285:E285" si="224">D265</f>
        <v>1729.92</v>
      </c>
      <c r="E285" s="52">
        <f t="shared" si="224"/>
        <v>1868</v>
      </c>
      <c r="F285" s="109"/>
      <c r="G285" s="248">
        <f t="shared" si="216"/>
        <v>0.07981871994</v>
      </c>
      <c r="H285" s="93"/>
      <c r="I285" s="93">
        <v>13.0</v>
      </c>
      <c r="J285" s="93">
        <v>52.0</v>
      </c>
      <c r="K285" s="93"/>
      <c r="L285" s="56"/>
      <c r="M285" s="91"/>
    </row>
    <row r="286">
      <c r="A286" s="256"/>
      <c r="B286" s="111" t="s">
        <v>2294</v>
      </c>
      <c r="C286" s="118" t="s">
        <v>1949</v>
      </c>
      <c r="D286" s="52">
        <f t="shared" ref="D286:E286" si="225">D266</f>
        <v>1774.44</v>
      </c>
      <c r="E286" s="52">
        <f t="shared" si="225"/>
        <v>1916</v>
      </c>
      <c r="F286" s="109"/>
      <c r="G286" s="248">
        <f t="shared" si="216"/>
        <v>0.07977728185</v>
      </c>
      <c r="H286" s="93"/>
      <c r="I286" s="93">
        <v>13.0</v>
      </c>
      <c r="J286" s="93">
        <v>52.0</v>
      </c>
      <c r="K286" s="93"/>
      <c r="L286" s="56"/>
      <c r="M286" s="91"/>
    </row>
    <row r="287">
      <c r="A287" s="256"/>
      <c r="B287" s="111" t="s">
        <v>1166</v>
      </c>
      <c r="C287" s="118" t="s">
        <v>523</v>
      </c>
      <c r="D287" s="52">
        <f t="shared" ref="D287:E287" si="226">D267</f>
        <v>2367.828</v>
      </c>
      <c r="E287" s="52">
        <f t="shared" si="226"/>
        <v>2558</v>
      </c>
      <c r="F287" s="109"/>
      <c r="G287" s="248">
        <f t="shared" si="216"/>
        <v>0.08031495531</v>
      </c>
      <c r="H287" s="93"/>
      <c r="I287" s="93"/>
      <c r="J287" s="93"/>
      <c r="K287" s="93"/>
      <c r="L287" s="56"/>
      <c r="M287" s="91"/>
    </row>
    <row r="288">
      <c r="A288" s="256"/>
      <c r="B288" s="111" t="s">
        <v>2298</v>
      </c>
      <c r="C288" s="118" t="s">
        <v>1124</v>
      </c>
      <c r="D288" s="52">
        <f t="shared" ref="D288:E288" si="227">D268</f>
        <v>2044</v>
      </c>
      <c r="E288" s="52">
        <f t="shared" si="227"/>
        <v>2208</v>
      </c>
      <c r="F288" s="109"/>
      <c r="G288" s="248">
        <f t="shared" si="216"/>
        <v>0.08023483366</v>
      </c>
      <c r="H288" s="93"/>
      <c r="I288" s="93">
        <v>6.0</v>
      </c>
      <c r="J288" s="93">
        <v>24.0</v>
      </c>
      <c r="K288" s="93"/>
      <c r="L288" s="56"/>
      <c r="M288" s="91"/>
    </row>
    <row r="289">
      <c r="A289" s="256"/>
      <c r="B289" s="111" t="s">
        <v>2300</v>
      </c>
      <c r="C289" s="118" t="s">
        <v>395</v>
      </c>
      <c r="D289" s="52">
        <f t="shared" ref="D289:E289" si="228">D269</f>
        <v>368</v>
      </c>
      <c r="E289" s="52">
        <f t="shared" si="228"/>
        <v>396</v>
      </c>
      <c r="F289" s="109"/>
      <c r="G289" s="248">
        <f t="shared" si="216"/>
        <v>0.07608695652</v>
      </c>
      <c r="H289" s="93"/>
      <c r="I289" s="93">
        <v>66.0</v>
      </c>
      <c r="J289" s="93">
        <v>198.0</v>
      </c>
      <c r="K289" s="93"/>
      <c r="L289" s="56"/>
      <c r="M289" s="91"/>
    </row>
    <row r="290">
      <c r="A290" s="256"/>
      <c r="B290" s="111" t="s">
        <v>2303</v>
      </c>
      <c r="C290" s="118" t="s">
        <v>359</v>
      </c>
      <c r="D290" s="52">
        <f t="shared" ref="D290:E290" si="229">D270</f>
        <v>712.32</v>
      </c>
      <c r="E290" s="52">
        <f t="shared" si="229"/>
        <v>768</v>
      </c>
      <c r="F290" s="109"/>
      <c r="G290" s="248">
        <f t="shared" si="216"/>
        <v>0.0781671159</v>
      </c>
      <c r="H290" s="93"/>
      <c r="I290" s="93">
        <v>23.0</v>
      </c>
      <c r="J290" s="93">
        <v>92.0</v>
      </c>
      <c r="K290" s="93"/>
      <c r="L290" s="56"/>
      <c r="M290" s="91"/>
    </row>
    <row r="291">
      <c r="A291" s="256"/>
      <c r="B291" s="111" t="s">
        <v>2305</v>
      </c>
      <c r="C291" s="118" t="s">
        <v>1946</v>
      </c>
      <c r="D291" s="52">
        <f t="shared" ref="D291:E291" si="230">D271</f>
        <v>856</v>
      </c>
      <c r="E291" s="52">
        <f t="shared" si="230"/>
        <v>924</v>
      </c>
      <c r="F291" s="109"/>
      <c r="G291" s="248">
        <f t="shared" si="216"/>
        <v>0.07943925234</v>
      </c>
      <c r="H291" s="93"/>
      <c r="I291" s="134">
        <v>30.0</v>
      </c>
      <c r="J291" s="134">
        <v>90.0</v>
      </c>
      <c r="K291" s="93"/>
      <c r="L291" s="56"/>
      <c r="M291" s="91"/>
    </row>
    <row r="292">
      <c r="A292" s="256"/>
      <c r="B292" s="270" t="s">
        <v>2307</v>
      </c>
      <c r="C292" s="277" t="s">
        <v>1145</v>
      </c>
      <c r="D292" s="52">
        <f t="shared" ref="D292:E292" si="231">D272</f>
        <v>1848</v>
      </c>
      <c r="E292" s="52">
        <f t="shared" si="231"/>
        <v>1994</v>
      </c>
      <c r="F292" s="109"/>
      <c r="G292" s="248">
        <f t="shared" si="216"/>
        <v>0.079004329</v>
      </c>
      <c r="H292" s="93"/>
      <c r="I292" s="93">
        <v>14.0</v>
      </c>
      <c r="J292" s="93">
        <v>56.0</v>
      </c>
      <c r="K292" s="93"/>
      <c r="L292" s="56"/>
      <c r="M292" s="91"/>
    </row>
    <row r="293" ht="18.75" customHeight="1">
      <c r="A293" s="133"/>
      <c r="B293" s="175"/>
      <c r="C293" s="182"/>
      <c r="D293" s="139"/>
      <c r="E293" s="139"/>
      <c r="F293" s="109"/>
      <c r="G293" s="248"/>
      <c r="H293" s="93"/>
      <c r="I293" s="93"/>
      <c r="J293" s="93"/>
      <c r="K293" s="93"/>
      <c r="L293" s="56"/>
      <c r="M293" s="91"/>
    </row>
    <row r="294" ht="18.75" customHeight="1">
      <c r="A294" s="133"/>
      <c r="B294" s="107" t="s">
        <v>2310</v>
      </c>
      <c r="C294" s="252"/>
      <c r="D294" s="109"/>
      <c r="E294" s="109"/>
      <c r="F294" s="109"/>
      <c r="G294" s="248"/>
      <c r="H294" s="93"/>
      <c r="I294" s="93"/>
      <c r="J294" s="93"/>
      <c r="K294" s="93"/>
      <c r="L294" s="56"/>
      <c r="M294" s="91"/>
    </row>
    <row r="295">
      <c r="A295" s="133"/>
      <c r="B295" s="111" t="s">
        <v>2313</v>
      </c>
      <c r="C295" s="118" t="s">
        <v>306</v>
      </c>
      <c r="D295" s="52">
        <f t="shared" ref="D295:E295" si="232">D276</f>
        <v>398.054592</v>
      </c>
      <c r="E295" s="52">
        <f t="shared" si="232"/>
        <v>432</v>
      </c>
      <c r="F295" s="109"/>
      <c r="G295" s="248">
        <f t="shared" ref="G295:G310" si="234">IFERROR(DIVIDE(MINUS(E295,D295),D295),)</f>
        <v>0.08527827258</v>
      </c>
      <c r="H295" s="93"/>
      <c r="I295" s="93">
        <v>33.0</v>
      </c>
      <c r="J295" s="93">
        <v>132.0</v>
      </c>
      <c r="K295" s="93"/>
      <c r="L295" s="56"/>
      <c r="M295" s="91"/>
    </row>
    <row r="296">
      <c r="A296" s="133"/>
      <c r="B296" s="111" t="s">
        <v>2315</v>
      </c>
      <c r="C296" s="118" t="s">
        <v>339</v>
      </c>
      <c r="D296" s="52">
        <f t="shared" ref="D296:E296" si="233">D277</f>
        <v>498</v>
      </c>
      <c r="E296" s="52">
        <f t="shared" si="233"/>
        <v>538</v>
      </c>
      <c r="F296" s="109"/>
      <c r="G296" s="248">
        <f t="shared" si="234"/>
        <v>0.08032128514</v>
      </c>
      <c r="H296" s="93"/>
      <c r="I296" s="93">
        <v>33.0</v>
      </c>
      <c r="J296" s="93">
        <v>99.0</v>
      </c>
      <c r="K296" s="93"/>
      <c r="L296" s="56"/>
      <c r="M296" s="91"/>
    </row>
    <row r="297">
      <c r="A297" s="133"/>
      <c r="B297" s="280" t="s">
        <v>2317</v>
      </c>
      <c r="C297" s="281" t="s">
        <v>363</v>
      </c>
      <c r="D297" s="52">
        <f t="shared" ref="D297:E297" si="235">D278</f>
        <v>426.12</v>
      </c>
      <c r="E297" s="52">
        <f t="shared" si="235"/>
        <v>462</v>
      </c>
      <c r="F297" s="109"/>
      <c r="G297" s="248">
        <f t="shared" si="234"/>
        <v>0.08420163334</v>
      </c>
      <c r="H297" s="93"/>
      <c r="I297" s="93">
        <v>33.0</v>
      </c>
      <c r="J297" s="93">
        <v>99.0</v>
      </c>
      <c r="K297" s="93"/>
      <c r="L297" s="56"/>
      <c r="M297" s="91"/>
    </row>
    <row r="298">
      <c r="A298" s="133"/>
      <c r="B298" s="111" t="s">
        <v>2319</v>
      </c>
      <c r="C298" s="118" t="s">
        <v>666</v>
      </c>
      <c r="D298" s="52">
        <f t="shared" ref="D298:E298" si="236">D279</f>
        <v>750.3528</v>
      </c>
      <c r="E298" s="52">
        <f t="shared" si="236"/>
        <v>812</v>
      </c>
      <c r="F298" s="109"/>
      <c r="G298" s="248">
        <f t="shared" si="234"/>
        <v>0.08215761972</v>
      </c>
      <c r="H298" s="93"/>
      <c r="I298" s="93">
        <v>24.0</v>
      </c>
      <c r="J298" s="93">
        <v>48.0</v>
      </c>
      <c r="K298" s="93"/>
      <c r="L298" s="56"/>
      <c r="M298" s="91"/>
    </row>
    <row r="299">
      <c r="A299" s="133"/>
      <c r="B299" s="111" t="s">
        <v>2322</v>
      </c>
      <c r="C299" s="118" t="s">
        <v>682</v>
      </c>
      <c r="D299" s="52">
        <f t="shared" ref="D299:E299" si="237">D280</f>
        <v>514</v>
      </c>
      <c r="E299" s="52">
        <f t="shared" si="237"/>
        <v>554</v>
      </c>
      <c r="F299" s="109"/>
      <c r="G299" s="248">
        <f t="shared" si="234"/>
        <v>0.07782101167</v>
      </c>
      <c r="H299" s="93"/>
      <c r="I299" s="93">
        <v>30.0</v>
      </c>
      <c r="J299" s="93">
        <v>90.0</v>
      </c>
      <c r="K299" s="93"/>
      <c r="L299" s="56"/>
      <c r="M299" s="91"/>
    </row>
    <row r="300">
      <c r="A300" s="133"/>
      <c r="B300" s="111" t="s">
        <v>1169</v>
      </c>
      <c r="C300" s="118" t="s">
        <v>696</v>
      </c>
      <c r="D300" s="52">
        <f t="shared" ref="D300:E300" si="238">D281</f>
        <v>798</v>
      </c>
      <c r="E300" s="52">
        <f t="shared" si="238"/>
        <v>864</v>
      </c>
      <c r="F300" s="109"/>
      <c r="G300" s="248">
        <f t="shared" si="234"/>
        <v>0.08270676692</v>
      </c>
      <c r="H300" s="93"/>
      <c r="I300" s="93"/>
      <c r="J300" s="93"/>
      <c r="K300" s="93"/>
      <c r="L300" s="56"/>
      <c r="M300" s="91"/>
    </row>
    <row r="301">
      <c r="A301" s="133"/>
      <c r="B301" s="111" t="s">
        <v>2323</v>
      </c>
      <c r="C301" s="118" t="s">
        <v>692</v>
      </c>
      <c r="D301" s="52">
        <f t="shared" ref="D301:E301" si="239">D282</f>
        <v>809.84</v>
      </c>
      <c r="E301" s="52">
        <f t="shared" si="239"/>
        <v>876</v>
      </c>
      <c r="F301" s="109"/>
      <c r="G301" s="248">
        <f t="shared" si="234"/>
        <v>0.08169514966</v>
      </c>
      <c r="H301" s="93"/>
      <c r="I301" s="93">
        <v>30.0</v>
      </c>
      <c r="J301" s="93">
        <v>90.0</v>
      </c>
      <c r="K301" s="93"/>
      <c r="L301" s="56"/>
      <c r="M301" s="91"/>
    </row>
    <row r="302">
      <c r="A302" s="133"/>
      <c r="B302" s="111" t="s">
        <v>2325</v>
      </c>
      <c r="C302" s="118" t="s">
        <v>2133</v>
      </c>
      <c r="D302" s="52">
        <f t="shared" ref="D302:E302" si="240">D284</f>
        <v>809.84</v>
      </c>
      <c r="E302" s="52">
        <f t="shared" si="240"/>
        <v>876</v>
      </c>
      <c r="F302" s="109"/>
      <c r="G302" s="248">
        <f t="shared" si="234"/>
        <v>0.08169514966</v>
      </c>
      <c r="H302" s="93"/>
      <c r="I302" s="93">
        <v>13.0</v>
      </c>
      <c r="J302" s="93">
        <v>52.0</v>
      </c>
      <c r="K302" s="93"/>
      <c r="L302" s="56"/>
      <c r="M302" s="91"/>
    </row>
    <row r="303">
      <c r="A303" s="133"/>
      <c r="B303" s="111" t="s">
        <v>2328</v>
      </c>
      <c r="C303" s="118" t="s">
        <v>913</v>
      </c>
      <c r="D303" s="52">
        <f t="shared" ref="D303:E303" si="241">D285</f>
        <v>1729.92</v>
      </c>
      <c r="E303" s="52">
        <f t="shared" si="241"/>
        <v>1868</v>
      </c>
      <c r="F303" s="109"/>
      <c r="G303" s="248">
        <f t="shared" si="234"/>
        <v>0.07981871994</v>
      </c>
      <c r="H303" s="93"/>
      <c r="I303" s="93">
        <v>13.0</v>
      </c>
      <c r="J303" s="93">
        <v>52.0</v>
      </c>
      <c r="K303" s="93"/>
      <c r="L303" s="56"/>
      <c r="M303" s="91"/>
    </row>
    <row r="304">
      <c r="A304" s="133"/>
      <c r="B304" s="111" t="s">
        <v>2329</v>
      </c>
      <c r="C304" s="118" t="s">
        <v>1949</v>
      </c>
      <c r="D304" s="52">
        <f t="shared" ref="D304:E304" si="242">D286</f>
        <v>1774.44</v>
      </c>
      <c r="E304" s="52">
        <f t="shared" si="242"/>
        <v>1916</v>
      </c>
      <c r="F304" s="109"/>
      <c r="G304" s="248">
        <f t="shared" si="234"/>
        <v>0.07977728185</v>
      </c>
      <c r="H304" s="93"/>
      <c r="I304" s="93">
        <v>13.0</v>
      </c>
      <c r="J304" s="93">
        <v>52.0</v>
      </c>
      <c r="K304" s="93"/>
      <c r="L304" s="56"/>
      <c r="M304" s="91"/>
    </row>
    <row r="305">
      <c r="A305" s="133"/>
      <c r="B305" s="111" t="s">
        <v>1170</v>
      </c>
      <c r="C305" s="118" t="s">
        <v>523</v>
      </c>
      <c r="D305" s="52">
        <f t="shared" ref="D305:E305" si="243">D287</f>
        <v>2367.828</v>
      </c>
      <c r="E305" s="52">
        <f t="shared" si="243"/>
        <v>2558</v>
      </c>
      <c r="F305" s="109"/>
      <c r="G305" s="248">
        <f t="shared" si="234"/>
        <v>0.08031495531</v>
      </c>
      <c r="H305" s="93"/>
      <c r="I305" s="93"/>
      <c r="J305" s="93"/>
      <c r="K305" s="93"/>
      <c r="L305" s="56"/>
      <c r="M305" s="91"/>
    </row>
    <row r="306">
      <c r="A306" s="133"/>
      <c r="B306" s="111" t="s">
        <v>2336</v>
      </c>
      <c r="C306" s="118" t="s">
        <v>1124</v>
      </c>
      <c r="D306" s="52">
        <f t="shared" ref="D306:E306" si="244">D288</f>
        <v>2044</v>
      </c>
      <c r="E306" s="52">
        <f t="shared" si="244"/>
        <v>2208</v>
      </c>
      <c r="F306" s="109"/>
      <c r="G306" s="248">
        <f t="shared" si="234"/>
        <v>0.08023483366</v>
      </c>
      <c r="H306" s="93"/>
      <c r="I306" s="93">
        <v>6.0</v>
      </c>
      <c r="J306" s="93">
        <v>24.0</v>
      </c>
      <c r="K306" s="93"/>
      <c r="L306" s="56"/>
      <c r="M306" s="91"/>
    </row>
    <row r="307">
      <c r="A307" s="133"/>
      <c r="B307" s="111" t="s">
        <v>2339</v>
      </c>
      <c r="C307" s="118" t="s">
        <v>395</v>
      </c>
      <c r="D307" s="52">
        <f t="shared" ref="D307:E307" si="245">D289</f>
        <v>368</v>
      </c>
      <c r="E307" s="52">
        <f t="shared" si="245"/>
        <v>396</v>
      </c>
      <c r="F307" s="109"/>
      <c r="G307" s="248">
        <f t="shared" si="234"/>
        <v>0.07608695652</v>
      </c>
      <c r="H307" s="93"/>
      <c r="I307" s="93">
        <v>66.0</v>
      </c>
      <c r="J307" s="93">
        <v>198.0</v>
      </c>
      <c r="K307" s="93"/>
      <c r="L307" s="56"/>
      <c r="M307" s="91"/>
    </row>
    <row r="308">
      <c r="A308" s="133"/>
      <c r="B308" s="111" t="s">
        <v>2342</v>
      </c>
      <c r="C308" s="118" t="s">
        <v>359</v>
      </c>
      <c r="D308" s="52">
        <f t="shared" ref="D308:E308" si="246">D290</f>
        <v>712.32</v>
      </c>
      <c r="E308" s="52">
        <f t="shared" si="246"/>
        <v>768</v>
      </c>
      <c r="F308" s="109"/>
      <c r="G308" s="248">
        <f t="shared" si="234"/>
        <v>0.0781671159</v>
      </c>
      <c r="H308" s="93"/>
      <c r="I308" s="93">
        <v>23.0</v>
      </c>
      <c r="J308" s="93">
        <v>92.0</v>
      </c>
      <c r="K308" s="93"/>
      <c r="L308" s="56"/>
      <c r="M308" s="91"/>
    </row>
    <row r="309">
      <c r="A309" s="133"/>
      <c r="B309" s="270" t="s">
        <v>2344</v>
      </c>
      <c r="C309" s="277" t="s">
        <v>1145</v>
      </c>
      <c r="D309" s="52">
        <f t="shared" ref="D309:E309" si="247">D292</f>
        <v>1848</v>
      </c>
      <c r="E309" s="52">
        <f t="shared" si="247"/>
        <v>1994</v>
      </c>
      <c r="F309" s="109"/>
      <c r="G309" s="248">
        <f t="shared" si="234"/>
        <v>0.079004329</v>
      </c>
      <c r="H309" s="93"/>
      <c r="I309" s="93">
        <v>14.0</v>
      </c>
      <c r="J309" s="93">
        <v>56.0</v>
      </c>
      <c r="K309" s="93"/>
      <c r="L309" s="56"/>
      <c r="M309" s="91"/>
    </row>
    <row r="310">
      <c r="A310" s="133"/>
      <c r="B310" s="111" t="s">
        <v>2346</v>
      </c>
      <c r="C310" s="118" t="s">
        <v>2219</v>
      </c>
      <c r="D310" s="52">
        <f t="shared" ref="D310:E310" si="248">D273</f>
        <v>1884</v>
      </c>
      <c r="E310" s="52">
        <f t="shared" si="248"/>
        <v>2034</v>
      </c>
      <c r="F310" s="109"/>
      <c r="G310" s="248">
        <f t="shared" si="234"/>
        <v>0.07961783439</v>
      </c>
      <c r="H310" s="93"/>
      <c r="I310" s="93">
        <v>14.0</v>
      </c>
      <c r="J310" s="93">
        <v>56.0</v>
      </c>
      <c r="K310" s="93"/>
      <c r="L310" s="56"/>
      <c r="M310" s="91"/>
    </row>
    <row r="311" ht="18.75" customHeight="1">
      <c r="A311" s="133"/>
      <c r="B311" s="126"/>
      <c r="C311" s="252"/>
      <c r="D311" s="109"/>
      <c r="E311" s="109"/>
      <c r="F311" s="109"/>
      <c r="G311" s="248"/>
      <c r="H311" s="93"/>
      <c r="I311" s="93"/>
      <c r="J311" s="93"/>
      <c r="K311" s="93"/>
      <c r="L311" s="56"/>
      <c r="M311" s="91"/>
    </row>
    <row r="312" ht="18.75" customHeight="1">
      <c r="A312" s="256"/>
      <c r="B312" s="107" t="s">
        <v>1174</v>
      </c>
      <c r="C312" s="166"/>
      <c r="D312" s="272"/>
      <c r="E312" s="109"/>
      <c r="F312" s="109"/>
      <c r="G312" s="248"/>
      <c r="H312" s="115"/>
      <c r="I312" s="93"/>
      <c r="J312" s="93"/>
      <c r="K312" s="93"/>
      <c r="L312" s="56"/>
      <c r="M312" s="258"/>
    </row>
    <row r="313">
      <c r="A313" s="256"/>
      <c r="B313" s="111" t="s">
        <v>2350</v>
      </c>
      <c r="C313" s="112" t="s">
        <v>746</v>
      </c>
      <c r="D313" s="52">
        <v>383.72</v>
      </c>
      <c r="E313" s="52">
        <v>416.0</v>
      </c>
      <c r="F313" s="109">
        <f t="shared" ref="F313:F332" si="249">H313*$H$2</f>
        <v>415.52</v>
      </c>
      <c r="G313" s="248">
        <f t="shared" ref="G313:G332" si="250">IFERROR(DIVIDE(MINUS(E313,D313),D313),)</f>
        <v>0.0841238403</v>
      </c>
      <c r="H313" s="132">
        <f>VLOOKUP(M313,'NEW PTMT'!$B$4:$E1406,4,0)</f>
        <v>392</v>
      </c>
      <c r="I313" s="93">
        <v>48.0</v>
      </c>
      <c r="J313" s="93">
        <v>192.0</v>
      </c>
      <c r="K313" s="93"/>
      <c r="L313" s="56"/>
      <c r="M313" s="126" t="s">
        <v>745</v>
      </c>
    </row>
    <row r="314">
      <c r="A314" s="256"/>
      <c r="B314" s="111" t="s">
        <v>2355</v>
      </c>
      <c r="C314" s="112" t="s">
        <v>748</v>
      </c>
      <c r="D314" s="52">
        <v>383.72</v>
      </c>
      <c r="E314" s="52">
        <v>416.0</v>
      </c>
      <c r="F314" s="109">
        <f t="shared" si="249"/>
        <v>415.52</v>
      </c>
      <c r="G314" s="248">
        <f t="shared" si="250"/>
        <v>0.0841238403</v>
      </c>
      <c r="H314" s="132">
        <f>VLOOKUP(M314,'NEW PTMT'!$B$4:$E1406,4,0)</f>
        <v>392</v>
      </c>
      <c r="I314" s="93">
        <v>33.0</v>
      </c>
      <c r="J314" s="93">
        <v>132.0</v>
      </c>
      <c r="K314" s="93"/>
      <c r="L314" s="56"/>
      <c r="M314" s="126" t="s">
        <v>747</v>
      </c>
    </row>
    <row r="315">
      <c r="A315" s="256"/>
      <c r="B315" s="111" t="s">
        <v>2356</v>
      </c>
      <c r="C315" s="118" t="s">
        <v>306</v>
      </c>
      <c r="D315" s="52">
        <v>416.0</v>
      </c>
      <c r="E315" s="52">
        <v>448.0</v>
      </c>
      <c r="F315" s="109">
        <f t="shared" si="249"/>
        <v>449.44</v>
      </c>
      <c r="G315" s="248">
        <f t="shared" si="250"/>
        <v>0.07692307692</v>
      </c>
      <c r="H315" s="132">
        <f>VLOOKUP(M315,'NEW PTMT'!$B$4:$E1406,4,0)</f>
        <v>424</v>
      </c>
      <c r="I315" s="93">
        <v>33.0</v>
      </c>
      <c r="J315" s="93">
        <v>132.0</v>
      </c>
      <c r="K315" s="93"/>
      <c r="L315" s="56"/>
      <c r="M315" s="126" t="s">
        <v>749</v>
      </c>
    </row>
    <row r="316">
      <c r="A316" s="256"/>
      <c r="B316" s="111" t="s">
        <v>2360</v>
      </c>
      <c r="C316" s="118" t="s">
        <v>751</v>
      </c>
      <c r="D316" s="52">
        <v>406.0</v>
      </c>
      <c r="E316" s="52">
        <v>438.0</v>
      </c>
      <c r="F316" s="109">
        <f t="shared" si="249"/>
        <v>438.84</v>
      </c>
      <c r="G316" s="248">
        <f t="shared" si="250"/>
        <v>0.07881773399</v>
      </c>
      <c r="H316" s="132">
        <f>VLOOKUP(M316,'NEW PTMT'!$B$4:$E1406,4,0)</f>
        <v>414</v>
      </c>
      <c r="I316" s="93">
        <v>60.0</v>
      </c>
      <c r="J316" s="93">
        <v>240.0</v>
      </c>
      <c r="K316" s="93"/>
      <c r="L316" s="56"/>
      <c r="M316" s="126" t="s">
        <v>750</v>
      </c>
    </row>
    <row r="317">
      <c r="A317" s="256"/>
      <c r="B317" s="111" t="s">
        <v>2361</v>
      </c>
      <c r="C317" s="118" t="s">
        <v>666</v>
      </c>
      <c r="D317" s="52">
        <v>724.0</v>
      </c>
      <c r="E317" s="52">
        <v>782.0</v>
      </c>
      <c r="F317" s="109">
        <f t="shared" si="249"/>
        <v>782.28</v>
      </c>
      <c r="G317" s="248">
        <f t="shared" si="250"/>
        <v>0.08011049724</v>
      </c>
      <c r="H317" s="132">
        <f>VLOOKUP(M317,'NEW PTMT'!$B$4:$E1406,4,0)</f>
        <v>738</v>
      </c>
      <c r="I317" s="93">
        <v>30.0</v>
      </c>
      <c r="J317" s="93">
        <v>120.0</v>
      </c>
      <c r="K317" s="93"/>
      <c r="L317" s="56"/>
      <c r="M317" s="126" t="s">
        <v>753</v>
      </c>
    </row>
    <row r="318">
      <c r="A318" s="256"/>
      <c r="B318" s="111" t="s">
        <v>2365</v>
      </c>
      <c r="C318" s="118" t="s">
        <v>682</v>
      </c>
      <c r="D318" s="52">
        <v>493.96000000000004</v>
      </c>
      <c r="E318" s="52">
        <v>534.0</v>
      </c>
      <c r="F318" s="109">
        <f t="shared" si="249"/>
        <v>534.24</v>
      </c>
      <c r="G318" s="248">
        <f t="shared" si="250"/>
        <v>0.08105919508</v>
      </c>
      <c r="H318" s="132">
        <f>VLOOKUP(M318,'NEW PTMT'!$B$4:$E1406,4,0)</f>
        <v>504</v>
      </c>
      <c r="I318" s="93">
        <v>33.0</v>
      </c>
      <c r="J318" s="93">
        <v>132.0</v>
      </c>
      <c r="K318" s="93"/>
      <c r="L318" s="56"/>
      <c r="M318" s="126" t="s">
        <v>754</v>
      </c>
    </row>
    <row r="319">
      <c r="A319" s="256"/>
      <c r="B319" s="111" t="s">
        <v>2367</v>
      </c>
      <c r="C319" s="118" t="s">
        <v>756</v>
      </c>
      <c r="D319" s="52">
        <v>493.96000000000004</v>
      </c>
      <c r="E319" s="52">
        <v>534.0</v>
      </c>
      <c r="F319" s="109">
        <f t="shared" si="249"/>
        <v>534.24</v>
      </c>
      <c r="G319" s="248">
        <f t="shared" si="250"/>
        <v>0.08105919508</v>
      </c>
      <c r="H319" s="132">
        <f>VLOOKUP(M319,'NEW PTMT'!$B$4:$E1406,4,0)</f>
        <v>504</v>
      </c>
      <c r="I319" s="93">
        <v>34.0</v>
      </c>
      <c r="J319" s="93">
        <v>136.0</v>
      </c>
      <c r="K319" s="93"/>
      <c r="L319" s="56"/>
      <c r="M319" s="126" t="s">
        <v>755</v>
      </c>
    </row>
    <row r="320">
      <c r="A320" s="256"/>
      <c r="B320" s="111" t="s">
        <v>2369</v>
      </c>
      <c r="C320" s="118" t="s">
        <v>2371</v>
      </c>
      <c r="D320" s="52">
        <v>807.72</v>
      </c>
      <c r="E320" s="52">
        <v>874.0</v>
      </c>
      <c r="F320" s="109">
        <f t="shared" si="249"/>
        <v>873.44</v>
      </c>
      <c r="G320" s="248">
        <f t="shared" si="250"/>
        <v>0.08205813896</v>
      </c>
      <c r="H320" s="132">
        <f>VLOOKUP(M320,'NEW PTMT'!$B$4:$E1406,4,0)</f>
        <v>824</v>
      </c>
      <c r="I320" s="93">
        <v>13.0</v>
      </c>
      <c r="J320" s="93">
        <v>52.0</v>
      </c>
      <c r="K320" s="93"/>
      <c r="L320" s="56"/>
      <c r="M320" s="126" t="s">
        <v>757</v>
      </c>
    </row>
    <row r="321">
      <c r="A321" s="256"/>
      <c r="B321" s="111" t="s">
        <v>2372</v>
      </c>
      <c r="C321" s="186" t="s">
        <v>2209</v>
      </c>
      <c r="D321" s="52">
        <v>756.0</v>
      </c>
      <c r="E321" s="52">
        <v>814.0</v>
      </c>
      <c r="F321" s="109">
        <f t="shared" si="249"/>
        <v>814.08</v>
      </c>
      <c r="G321" s="248">
        <f t="shared" si="250"/>
        <v>0.07671957672</v>
      </c>
      <c r="H321" s="132">
        <f>VLOOKUP(M321,'NEW PTMT'!$B$4:$E1406,4,0)</f>
        <v>768</v>
      </c>
      <c r="I321" s="134">
        <v>30.0</v>
      </c>
      <c r="J321" s="134">
        <v>120.0</v>
      </c>
      <c r="K321" s="93"/>
      <c r="L321" s="56"/>
      <c r="M321" s="126" t="s">
        <v>758</v>
      </c>
    </row>
    <row r="322">
      <c r="A322" s="256"/>
      <c r="B322" s="111" t="s">
        <v>2376</v>
      </c>
      <c r="C322" s="118" t="s">
        <v>2377</v>
      </c>
      <c r="D322" s="52">
        <v>807.72</v>
      </c>
      <c r="E322" s="52">
        <v>872.0</v>
      </c>
      <c r="F322" s="109">
        <f t="shared" si="249"/>
        <v>871.32</v>
      </c>
      <c r="G322" s="248">
        <f t="shared" si="250"/>
        <v>0.07958203338</v>
      </c>
      <c r="H322" s="132">
        <f>VLOOKUP(M322,'NEW PTMT'!$B$4:$E1406,4,0)</f>
        <v>822</v>
      </c>
      <c r="I322" s="93">
        <v>13.0</v>
      </c>
      <c r="J322" s="93">
        <v>52.0</v>
      </c>
      <c r="K322" s="93"/>
      <c r="L322" s="56"/>
      <c r="M322" s="126" t="s">
        <v>759</v>
      </c>
    </row>
    <row r="323">
      <c r="A323" s="256"/>
      <c r="B323" s="111" t="s">
        <v>2378</v>
      </c>
      <c r="C323" s="118" t="s">
        <v>913</v>
      </c>
      <c r="D323" s="52">
        <v>1708.296</v>
      </c>
      <c r="E323" s="52">
        <v>1848.0</v>
      </c>
      <c r="F323" s="109">
        <f t="shared" si="249"/>
        <v>1846.52</v>
      </c>
      <c r="G323" s="248">
        <f t="shared" si="250"/>
        <v>0.08177973841</v>
      </c>
      <c r="H323" s="132">
        <f>VLOOKUP(M323,'NEW PTMT'!$B$4:$E1406,4,0)</f>
        <v>1742</v>
      </c>
      <c r="I323" s="93">
        <v>13.0</v>
      </c>
      <c r="J323" s="93">
        <v>52.0</v>
      </c>
      <c r="K323" s="93"/>
      <c r="L323" s="56"/>
      <c r="M323" s="126" t="s">
        <v>760</v>
      </c>
    </row>
    <row r="324">
      <c r="A324" s="256"/>
      <c r="B324" s="111" t="s">
        <v>2380</v>
      </c>
      <c r="C324" s="118" t="s">
        <v>1949</v>
      </c>
      <c r="D324" s="52">
        <v>1620.0</v>
      </c>
      <c r="E324" s="52">
        <v>1748.0</v>
      </c>
      <c r="F324" s="109">
        <f t="shared" si="249"/>
        <v>1746.88</v>
      </c>
      <c r="G324" s="248">
        <f t="shared" si="250"/>
        <v>0.07901234568</v>
      </c>
      <c r="H324" s="132">
        <f>VLOOKUP(M324,'NEW PTMT'!$B$4:$E1406,4,0)</f>
        <v>1648</v>
      </c>
      <c r="I324" s="93">
        <v>13.0</v>
      </c>
      <c r="J324" s="93">
        <v>52.0</v>
      </c>
      <c r="K324" s="93"/>
      <c r="L324" s="56"/>
      <c r="M324" s="126" t="s">
        <v>761</v>
      </c>
    </row>
    <row r="325">
      <c r="A325" s="256"/>
      <c r="B325" s="111" t="s">
        <v>1175</v>
      </c>
      <c r="C325" s="118" t="s">
        <v>523</v>
      </c>
      <c r="D325" s="52">
        <v>2316.0</v>
      </c>
      <c r="E325" s="52">
        <v>2498.0</v>
      </c>
      <c r="F325" s="109">
        <f t="shared" si="249"/>
        <v>2499.48</v>
      </c>
      <c r="G325" s="248">
        <f t="shared" si="250"/>
        <v>0.07858376511</v>
      </c>
      <c r="H325" s="132">
        <f>VLOOKUP(M325,'NEW PTMT'!$B$4:$E1406,4,0)</f>
        <v>2358</v>
      </c>
      <c r="I325" s="93"/>
      <c r="J325" s="93"/>
      <c r="K325" s="93"/>
      <c r="L325" s="56"/>
      <c r="M325" s="126" t="s">
        <v>762</v>
      </c>
    </row>
    <row r="326">
      <c r="A326" s="256"/>
      <c r="B326" s="111" t="s">
        <v>2385</v>
      </c>
      <c r="C326" s="118" t="s">
        <v>1124</v>
      </c>
      <c r="D326" s="52">
        <v>1992.0</v>
      </c>
      <c r="E326" s="52">
        <v>2148.0</v>
      </c>
      <c r="F326" s="109">
        <f t="shared" si="249"/>
        <v>2149.68</v>
      </c>
      <c r="G326" s="248">
        <f t="shared" si="250"/>
        <v>0.07831325301</v>
      </c>
      <c r="H326" s="132">
        <f>VLOOKUP(M326,'NEW PTMT'!$B$4:$E1406,4,0)</f>
        <v>2028</v>
      </c>
      <c r="I326" s="93">
        <v>6.0</v>
      </c>
      <c r="J326" s="93">
        <v>24.0</v>
      </c>
      <c r="K326" s="93"/>
      <c r="L326" s="56"/>
      <c r="M326" s="126" t="s">
        <v>763</v>
      </c>
    </row>
    <row r="327">
      <c r="A327" s="256"/>
      <c r="B327" s="111" t="s">
        <v>2387</v>
      </c>
      <c r="C327" s="118" t="s">
        <v>395</v>
      </c>
      <c r="D327" s="52">
        <v>366.0</v>
      </c>
      <c r="E327" s="52">
        <v>394.0</v>
      </c>
      <c r="F327" s="109">
        <f t="shared" si="249"/>
        <v>394.32</v>
      </c>
      <c r="G327" s="248">
        <f t="shared" si="250"/>
        <v>0.07650273224</v>
      </c>
      <c r="H327" s="132">
        <f>VLOOKUP(M327,'NEW PTMT'!$B$4:$E1406,4,0)</f>
        <v>372</v>
      </c>
      <c r="I327" s="93">
        <v>66.0</v>
      </c>
      <c r="J327" s="93">
        <v>264.0</v>
      </c>
      <c r="K327" s="93"/>
      <c r="L327" s="56"/>
      <c r="M327" s="126" t="s">
        <v>764</v>
      </c>
    </row>
    <row r="328">
      <c r="A328" s="256"/>
      <c r="B328" s="111" t="s">
        <v>2389</v>
      </c>
      <c r="C328" s="118" t="s">
        <v>359</v>
      </c>
      <c r="D328" s="52">
        <v>664.0</v>
      </c>
      <c r="E328" s="52">
        <v>716.0</v>
      </c>
      <c r="F328" s="109">
        <f t="shared" si="249"/>
        <v>716.56</v>
      </c>
      <c r="G328" s="248">
        <f t="shared" si="250"/>
        <v>0.07831325301</v>
      </c>
      <c r="H328" s="132">
        <f>VLOOKUP(M328,'NEW PTMT'!$B$4:$E1406,4,0)</f>
        <v>676</v>
      </c>
      <c r="I328" s="93">
        <v>23.0</v>
      </c>
      <c r="J328" s="93">
        <v>92.0</v>
      </c>
      <c r="K328" s="93"/>
      <c r="L328" s="56"/>
      <c r="M328" s="126" t="s">
        <v>765</v>
      </c>
    </row>
    <row r="329">
      <c r="A329" s="256"/>
      <c r="B329" s="111" t="s">
        <v>2393</v>
      </c>
      <c r="C329" s="118" t="s">
        <v>1137</v>
      </c>
      <c r="D329" s="52">
        <v>730.0</v>
      </c>
      <c r="E329" s="52">
        <v>788.0</v>
      </c>
      <c r="F329" s="109">
        <f t="shared" si="249"/>
        <v>788.64</v>
      </c>
      <c r="G329" s="248">
        <f t="shared" si="250"/>
        <v>0.07945205479</v>
      </c>
      <c r="H329" s="132">
        <f>VLOOKUP(M329,'NEW PTMT'!$B$4:$E1406,4,0)</f>
        <v>744</v>
      </c>
      <c r="I329" s="93">
        <v>30.0</v>
      </c>
      <c r="J329" s="93">
        <v>120.0</v>
      </c>
      <c r="K329" s="93"/>
      <c r="L329" s="56"/>
      <c r="M329" s="126" t="s">
        <v>766</v>
      </c>
    </row>
    <row r="330">
      <c r="A330" s="256"/>
      <c r="B330" s="111" t="s">
        <v>2396</v>
      </c>
      <c r="C330" s="118" t="s">
        <v>1141</v>
      </c>
      <c r="D330" s="52">
        <v>775.9200000000001</v>
      </c>
      <c r="E330" s="52">
        <v>838.0</v>
      </c>
      <c r="F330" s="109">
        <f t="shared" si="249"/>
        <v>839.52</v>
      </c>
      <c r="G330" s="248">
        <f t="shared" si="250"/>
        <v>0.08000824827</v>
      </c>
      <c r="H330" s="132">
        <f>VLOOKUP(M330,'NEW PTMT'!$B$4:$E1406,4,0)</f>
        <v>792</v>
      </c>
      <c r="I330" s="93">
        <v>30.0</v>
      </c>
      <c r="J330" s="93">
        <v>120.0</v>
      </c>
      <c r="K330" s="93"/>
      <c r="L330" s="56"/>
      <c r="M330" s="126" t="s">
        <v>767</v>
      </c>
    </row>
    <row r="331">
      <c r="A331" s="256"/>
      <c r="B331" s="270" t="s">
        <v>2397</v>
      </c>
      <c r="C331" s="277" t="s">
        <v>1145</v>
      </c>
      <c r="D331" s="52">
        <v>1666.3200000000002</v>
      </c>
      <c r="E331" s="52">
        <v>1798.0</v>
      </c>
      <c r="F331" s="109">
        <f t="shared" si="249"/>
        <v>1799.88</v>
      </c>
      <c r="G331" s="248">
        <f t="shared" si="250"/>
        <v>0.07902443708</v>
      </c>
      <c r="H331" s="132">
        <f>VLOOKUP(M331,'NEW PTMT'!$B$4:$E1406,4,0)</f>
        <v>1698</v>
      </c>
      <c r="I331" s="93">
        <v>14.0</v>
      </c>
      <c r="J331" s="93">
        <v>56.0</v>
      </c>
      <c r="K331" s="93"/>
      <c r="L331" s="56"/>
      <c r="M331" s="126" t="s">
        <v>768</v>
      </c>
    </row>
    <row r="332">
      <c r="A332" s="256"/>
      <c r="B332" s="111" t="s">
        <v>2398</v>
      </c>
      <c r="C332" s="118" t="s">
        <v>2219</v>
      </c>
      <c r="D332" s="52">
        <v>1797.76</v>
      </c>
      <c r="E332" s="52">
        <v>1942.0</v>
      </c>
      <c r="F332" s="109">
        <f t="shared" si="249"/>
        <v>1941.92</v>
      </c>
      <c r="G332" s="248">
        <f t="shared" si="250"/>
        <v>0.08023317907</v>
      </c>
      <c r="H332" s="132">
        <f>VLOOKUP(M332,'NEW PTMT'!$B$4:$E1406,4,0)</f>
        <v>1832</v>
      </c>
      <c r="I332" s="93">
        <v>14.0</v>
      </c>
      <c r="J332" s="93">
        <v>56.0</v>
      </c>
      <c r="K332" s="93"/>
      <c r="L332" s="56"/>
      <c r="M332" s="126" t="s">
        <v>769</v>
      </c>
    </row>
    <row r="333" ht="18.75" customHeight="1">
      <c r="A333" s="256"/>
      <c r="B333" s="149"/>
      <c r="C333" s="204"/>
      <c r="D333" s="259"/>
      <c r="E333" s="109"/>
      <c r="F333" s="109"/>
      <c r="G333" s="248"/>
      <c r="H333" s="115"/>
      <c r="I333" s="93"/>
      <c r="J333" s="93"/>
      <c r="K333" s="93"/>
      <c r="L333" s="56"/>
      <c r="M333" s="91"/>
    </row>
    <row r="334" ht="18.75" customHeight="1">
      <c r="A334" s="256"/>
      <c r="B334" s="107" t="s">
        <v>1190</v>
      </c>
      <c r="C334" s="166"/>
      <c r="D334" s="272"/>
      <c r="E334" s="109"/>
      <c r="F334" s="109"/>
      <c r="G334" s="248"/>
      <c r="H334" s="115"/>
      <c r="I334" s="93"/>
      <c r="J334" s="93"/>
      <c r="K334" s="93"/>
      <c r="L334" s="56"/>
      <c r="M334" s="91"/>
    </row>
    <row r="335">
      <c r="A335" s="256"/>
      <c r="B335" s="111" t="s">
        <v>2399</v>
      </c>
      <c r="C335" s="112" t="s">
        <v>746</v>
      </c>
      <c r="D335" s="52">
        <f t="shared" ref="D335:E335" si="251">D313</f>
        <v>383.72</v>
      </c>
      <c r="E335" s="52">
        <f t="shared" si="251"/>
        <v>416</v>
      </c>
      <c r="F335" s="109"/>
      <c r="G335" s="248">
        <f t="shared" ref="G335:G354" si="253">IFERROR(DIVIDE(MINUS(E335,D335),D335),)</f>
        <v>0.0841238403</v>
      </c>
      <c r="H335" s="115"/>
      <c r="I335" s="93">
        <v>48.0</v>
      </c>
      <c r="J335" s="93">
        <v>192.0</v>
      </c>
      <c r="K335" s="93"/>
      <c r="L335" s="56"/>
      <c r="M335" s="91"/>
    </row>
    <row r="336">
      <c r="A336" s="256"/>
      <c r="B336" s="111" t="s">
        <v>2400</v>
      </c>
      <c r="C336" s="112" t="s">
        <v>748</v>
      </c>
      <c r="D336" s="52">
        <f t="shared" ref="D336:E336" si="252">D314</f>
        <v>383.72</v>
      </c>
      <c r="E336" s="52">
        <f t="shared" si="252"/>
        <v>416</v>
      </c>
      <c r="F336" s="109"/>
      <c r="G336" s="248">
        <f t="shared" si="253"/>
        <v>0.0841238403</v>
      </c>
      <c r="H336" s="115"/>
      <c r="I336" s="93">
        <v>33.0</v>
      </c>
      <c r="J336" s="93">
        <v>132.0</v>
      </c>
      <c r="K336" s="93"/>
      <c r="L336" s="56"/>
      <c r="M336" s="91"/>
    </row>
    <row r="337">
      <c r="A337" s="256"/>
      <c r="B337" s="111" t="s">
        <v>2401</v>
      </c>
      <c r="C337" s="118" t="s">
        <v>306</v>
      </c>
      <c r="D337" s="52">
        <f t="shared" ref="D337:E337" si="254">D315</f>
        <v>416</v>
      </c>
      <c r="E337" s="52">
        <f t="shared" si="254"/>
        <v>448</v>
      </c>
      <c r="F337" s="109"/>
      <c r="G337" s="248">
        <f t="shared" si="253"/>
        <v>0.07692307692</v>
      </c>
      <c r="H337" s="115"/>
      <c r="I337" s="93">
        <v>33.0</v>
      </c>
      <c r="J337" s="93">
        <v>132.0</v>
      </c>
      <c r="K337" s="93"/>
      <c r="L337" s="56"/>
      <c r="M337" s="91"/>
    </row>
    <row r="338">
      <c r="A338" s="256"/>
      <c r="B338" s="111" t="s">
        <v>2402</v>
      </c>
      <c r="C338" s="118" t="s">
        <v>751</v>
      </c>
      <c r="D338" s="52">
        <f t="shared" ref="D338:E338" si="255">D316</f>
        <v>406</v>
      </c>
      <c r="E338" s="52">
        <f t="shared" si="255"/>
        <v>438</v>
      </c>
      <c r="F338" s="109"/>
      <c r="G338" s="248">
        <f t="shared" si="253"/>
        <v>0.07881773399</v>
      </c>
      <c r="H338" s="115"/>
      <c r="I338" s="93">
        <v>60.0</v>
      </c>
      <c r="J338" s="93">
        <v>240.0</v>
      </c>
      <c r="K338" s="93"/>
      <c r="L338" s="56"/>
      <c r="M338" s="91"/>
    </row>
    <row r="339">
      <c r="A339" s="256"/>
      <c r="B339" s="111" t="s">
        <v>2403</v>
      </c>
      <c r="C339" s="118" t="s">
        <v>666</v>
      </c>
      <c r="D339" s="52">
        <f t="shared" ref="D339:E339" si="256">D317</f>
        <v>724</v>
      </c>
      <c r="E339" s="52">
        <f t="shared" si="256"/>
        <v>782</v>
      </c>
      <c r="F339" s="109"/>
      <c r="G339" s="248">
        <f t="shared" si="253"/>
        <v>0.08011049724</v>
      </c>
      <c r="H339" s="115"/>
      <c r="I339" s="93">
        <v>30.0</v>
      </c>
      <c r="J339" s="93">
        <v>120.0</v>
      </c>
      <c r="K339" s="93"/>
      <c r="L339" s="56"/>
      <c r="M339" s="91"/>
    </row>
    <row r="340">
      <c r="A340" s="256"/>
      <c r="B340" s="111" t="s">
        <v>2404</v>
      </c>
      <c r="C340" s="118" t="s">
        <v>682</v>
      </c>
      <c r="D340" s="52">
        <f t="shared" ref="D340:E340" si="257">D318</f>
        <v>493.96</v>
      </c>
      <c r="E340" s="52">
        <f t="shared" si="257"/>
        <v>534</v>
      </c>
      <c r="F340" s="109"/>
      <c r="G340" s="248">
        <f t="shared" si="253"/>
        <v>0.08105919508</v>
      </c>
      <c r="H340" s="115"/>
      <c r="I340" s="93">
        <v>33.0</v>
      </c>
      <c r="J340" s="93">
        <v>132.0</v>
      </c>
      <c r="K340" s="93"/>
      <c r="L340" s="56"/>
      <c r="M340" s="91"/>
    </row>
    <row r="341">
      <c r="A341" s="256"/>
      <c r="B341" s="111" t="s">
        <v>2405</v>
      </c>
      <c r="C341" s="118" t="s">
        <v>756</v>
      </c>
      <c r="D341" s="52">
        <f t="shared" ref="D341:E341" si="258">D319</f>
        <v>493.96</v>
      </c>
      <c r="E341" s="52">
        <f t="shared" si="258"/>
        <v>534</v>
      </c>
      <c r="F341" s="109"/>
      <c r="G341" s="248">
        <f t="shared" si="253"/>
        <v>0.08105919508</v>
      </c>
      <c r="H341" s="115"/>
      <c r="I341" s="93">
        <v>34.0</v>
      </c>
      <c r="J341" s="93">
        <v>136.0</v>
      </c>
      <c r="K341" s="93"/>
      <c r="L341" s="56"/>
      <c r="M341" s="91"/>
    </row>
    <row r="342">
      <c r="A342" s="256"/>
      <c r="B342" s="111" t="s">
        <v>2406</v>
      </c>
      <c r="C342" s="118" t="s">
        <v>2371</v>
      </c>
      <c r="D342" s="52">
        <f t="shared" ref="D342:E342" si="259">D320</f>
        <v>807.72</v>
      </c>
      <c r="E342" s="52">
        <f t="shared" si="259"/>
        <v>874</v>
      </c>
      <c r="F342" s="109"/>
      <c r="G342" s="248">
        <f t="shared" si="253"/>
        <v>0.08205813896</v>
      </c>
      <c r="H342" s="115"/>
      <c r="I342" s="93">
        <v>13.0</v>
      </c>
      <c r="J342" s="93">
        <v>52.0</v>
      </c>
      <c r="K342" s="93"/>
      <c r="L342" s="56"/>
      <c r="M342" s="91"/>
    </row>
    <row r="343">
      <c r="A343" s="256"/>
      <c r="B343" s="111" t="s">
        <v>2407</v>
      </c>
      <c r="C343" s="186" t="s">
        <v>2209</v>
      </c>
      <c r="D343" s="52">
        <f t="shared" ref="D343:E343" si="260">D321</f>
        <v>756</v>
      </c>
      <c r="E343" s="52">
        <f t="shared" si="260"/>
        <v>814</v>
      </c>
      <c r="F343" s="109"/>
      <c r="G343" s="248">
        <f t="shared" si="253"/>
        <v>0.07671957672</v>
      </c>
      <c r="H343" s="115"/>
      <c r="I343" s="134">
        <v>30.0</v>
      </c>
      <c r="J343" s="134">
        <v>120.0</v>
      </c>
      <c r="K343" s="93"/>
      <c r="L343" s="56"/>
      <c r="M343" s="91"/>
    </row>
    <row r="344">
      <c r="A344" s="256"/>
      <c r="B344" s="111" t="s">
        <v>2408</v>
      </c>
      <c r="C344" s="118" t="s">
        <v>2377</v>
      </c>
      <c r="D344" s="52">
        <f t="shared" ref="D344:E344" si="261">D322</f>
        <v>807.72</v>
      </c>
      <c r="E344" s="52">
        <f t="shared" si="261"/>
        <v>872</v>
      </c>
      <c r="F344" s="109"/>
      <c r="G344" s="248">
        <f t="shared" si="253"/>
        <v>0.07958203338</v>
      </c>
      <c r="H344" s="115"/>
      <c r="I344" s="93">
        <v>13.0</v>
      </c>
      <c r="J344" s="93">
        <v>52.0</v>
      </c>
      <c r="K344" s="93"/>
      <c r="L344" s="56"/>
      <c r="M344" s="91"/>
    </row>
    <row r="345">
      <c r="A345" s="256"/>
      <c r="B345" s="111" t="s">
        <v>2409</v>
      </c>
      <c r="C345" s="118" t="s">
        <v>913</v>
      </c>
      <c r="D345" s="52">
        <f t="shared" ref="D345:E345" si="262">D323</f>
        <v>1708.296</v>
      </c>
      <c r="E345" s="52">
        <f t="shared" si="262"/>
        <v>1848</v>
      </c>
      <c r="F345" s="109"/>
      <c r="G345" s="248">
        <f t="shared" si="253"/>
        <v>0.08177973841</v>
      </c>
      <c r="H345" s="115"/>
      <c r="I345" s="93">
        <v>13.0</v>
      </c>
      <c r="J345" s="93">
        <v>52.0</v>
      </c>
      <c r="K345" s="93"/>
      <c r="L345" s="56"/>
      <c r="M345" s="91"/>
    </row>
    <row r="346">
      <c r="A346" s="256"/>
      <c r="B346" s="111" t="s">
        <v>2410</v>
      </c>
      <c r="C346" s="118" t="s">
        <v>1949</v>
      </c>
      <c r="D346" s="52">
        <f t="shared" ref="D346:E346" si="263">D324</f>
        <v>1620</v>
      </c>
      <c r="E346" s="52">
        <f t="shared" si="263"/>
        <v>1748</v>
      </c>
      <c r="F346" s="109"/>
      <c r="G346" s="248">
        <f t="shared" si="253"/>
        <v>0.07901234568</v>
      </c>
      <c r="H346" s="115"/>
      <c r="I346" s="93">
        <v>13.0</v>
      </c>
      <c r="J346" s="93">
        <v>52.0</v>
      </c>
      <c r="K346" s="93"/>
      <c r="L346" s="56"/>
      <c r="M346" s="91"/>
    </row>
    <row r="347">
      <c r="A347" s="256"/>
      <c r="B347" s="111" t="s">
        <v>1193</v>
      </c>
      <c r="C347" s="118" t="s">
        <v>523</v>
      </c>
      <c r="D347" s="52">
        <f t="shared" ref="D347:E347" si="264">D325</f>
        <v>2316</v>
      </c>
      <c r="E347" s="52">
        <f t="shared" si="264"/>
        <v>2498</v>
      </c>
      <c r="F347" s="109"/>
      <c r="G347" s="248">
        <f t="shared" si="253"/>
        <v>0.07858376511</v>
      </c>
      <c r="H347" s="115"/>
      <c r="I347" s="93"/>
      <c r="J347" s="93"/>
      <c r="K347" s="93"/>
      <c r="L347" s="56"/>
      <c r="M347" s="91"/>
    </row>
    <row r="348">
      <c r="A348" s="256"/>
      <c r="B348" s="111" t="s">
        <v>2411</v>
      </c>
      <c r="C348" s="118" t="s">
        <v>1124</v>
      </c>
      <c r="D348" s="52">
        <f t="shared" ref="D348:E348" si="265">D326</f>
        <v>1992</v>
      </c>
      <c r="E348" s="52">
        <f t="shared" si="265"/>
        <v>2148</v>
      </c>
      <c r="F348" s="109"/>
      <c r="G348" s="248">
        <f t="shared" si="253"/>
        <v>0.07831325301</v>
      </c>
      <c r="H348" s="115"/>
      <c r="I348" s="93">
        <v>6.0</v>
      </c>
      <c r="J348" s="93">
        <v>24.0</v>
      </c>
      <c r="K348" s="93"/>
      <c r="L348" s="56"/>
      <c r="M348" s="91"/>
    </row>
    <row r="349">
      <c r="A349" s="256"/>
      <c r="B349" s="111" t="s">
        <v>2412</v>
      </c>
      <c r="C349" s="118" t="s">
        <v>395</v>
      </c>
      <c r="D349" s="52">
        <f t="shared" ref="D349:E349" si="266">D327</f>
        <v>366</v>
      </c>
      <c r="E349" s="52">
        <f t="shared" si="266"/>
        <v>394</v>
      </c>
      <c r="F349" s="109"/>
      <c r="G349" s="248">
        <f t="shared" si="253"/>
        <v>0.07650273224</v>
      </c>
      <c r="H349" s="115"/>
      <c r="I349" s="93">
        <v>66.0</v>
      </c>
      <c r="J349" s="93">
        <v>264.0</v>
      </c>
      <c r="K349" s="93"/>
      <c r="L349" s="56"/>
      <c r="M349" s="91"/>
    </row>
    <row r="350">
      <c r="A350" s="256"/>
      <c r="B350" s="111" t="s">
        <v>2413</v>
      </c>
      <c r="C350" s="118" t="s">
        <v>359</v>
      </c>
      <c r="D350" s="52">
        <f t="shared" ref="D350:E350" si="267">D328</f>
        <v>664</v>
      </c>
      <c r="E350" s="52">
        <f t="shared" si="267"/>
        <v>716</v>
      </c>
      <c r="F350" s="109"/>
      <c r="G350" s="248">
        <f t="shared" si="253"/>
        <v>0.07831325301</v>
      </c>
      <c r="H350" s="115"/>
      <c r="I350" s="93">
        <v>23.0</v>
      </c>
      <c r="J350" s="93">
        <v>92.0</v>
      </c>
      <c r="K350" s="93"/>
      <c r="L350" s="56"/>
      <c r="M350" s="91"/>
    </row>
    <row r="351">
      <c r="A351" s="256"/>
      <c r="B351" s="111" t="s">
        <v>2414</v>
      </c>
      <c r="C351" s="118" t="s">
        <v>1137</v>
      </c>
      <c r="D351" s="52">
        <f t="shared" ref="D351:E351" si="268">D329</f>
        <v>730</v>
      </c>
      <c r="E351" s="52">
        <f t="shared" si="268"/>
        <v>788</v>
      </c>
      <c r="F351" s="109"/>
      <c r="G351" s="248">
        <f t="shared" si="253"/>
        <v>0.07945205479</v>
      </c>
      <c r="H351" s="115"/>
      <c r="I351" s="93">
        <v>30.0</v>
      </c>
      <c r="J351" s="93">
        <v>120.0</v>
      </c>
      <c r="K351" s="93"/>
      <c r="L351" s="56"/>
      <c r="M351" s="91"/>
    </row>
    <row r="352">
      <c r="A352" s="256"/>
      <c r="B352" s="111" t="s">
        <v>2415</v>
      </c>
      <c r="C352" s="118" t="s">
        <v>1141</v>
      </c>
      <c r="D352" s="52">
        <f t="shared" ref="D352:E352" si="269">D330</f>
        <v>775.92</v>
      </c>
      <c r="E352" s="52">
        <f t="shared" si="269"/>
        <v>838</v>
      </c>
      <c r="F352" s="109"/>
      <c r="G352" s="248">
        <f t="shared" si="253"/>
        <v>0.08000824827</v>
      </c>
      <c r="H352" s="115"/>
      <c r="I352" s="93">
        <v>30.0</v>
      </c>
      <c r="J352" s="93">
        <v>120.0</v>
      </c>
      <c r="K352" s="93"/>
      <c r="L352" s="56"/>
      <c r="M352" s="91"/>
    </row>
    <row r="353">
      <c r="A353" s="256"/>
      <c r="B353" s="270" t="s">
        <v>2416</v>
      </c>
      <c r="C353" s="277" t="s">
        <v>1145</v>
      </c>
      <c r="D353" s="52">
        <f t="shared" ref="D353:E353" si="270">D331</f>
        <v>1666.32</v>
      </c>
      <c r="E353" s="52">
        <f t="shared" si="270"/>
        <v>1798</v>
      </c>
      <c r="F353" s="109"/>
      <c r="G353" s="248">
        <f t="shared" si="253"/>
        <v>0.07902443708</v>
      </c>
      <c r="H353" s="93"/>
      <c r="I353" s="93">
        <v>14.0</v>
      </c>
      <c r="J353" s="93">
        <v>56.0</v>
      </c>
      <c r="K353" s="93"/>
      <c r="L353" s="56"/>
      <c r="M353" s="91"/>
    </row>
    <row r="354">
      <c r="A354" s="256"/>
      <c r="B354" s="111" t="s">
        <v>2417</v>
      </c>
      <c r="C354" s="118" t="s">
        <v>2219</v>
      </c>
      <c r="D354" s="52">
        <f t="shared" ref="D354:E354" si="271">D332</f>
        <v>1797.76</v>
      </c>
      <c r="E354" s="52">
        <f t="shared" si="271"/>
        <v>1942</v>
      </c>
      <c r="F354" s="109"/>
      <c r="G354" s="248">
        <f t="shared" si="253"/>
        <v>0.08023317907</v>
      </c>
      <c r="H354" s="93"/>
      <c r="I354" s="93">
        <v>14.0</v>
      </c>
      <c r="J354" s="93">
        <v>56.0</v>
      </c>
      <c r="K354" s="93"/>
      <c r="L354" s="56"/>
      <c r="M354" s="91"/>
    </row>
    <row r="355" ht="18.75" customHeight="1">
      <c r="A355" s="256"/>
      <c r="B355" s="149"/>
      <c r="C355" s="204"/>
      <c r="D355" s="259"/>
      <c r="E355" s="109"/>
      <c r="F355" s="109"/>
      <c r="G355" s="248"/>
      <c r="H355" s="115"/>
      <c r="I355" s="93"/>
      <c r="J355" s="93"/>
      <c r="K355" s="93"/>
      <c r="L355" s="56"/>
      <c r="M355" s="91"/>
    </row>
    <row r="356" ht="18.75" customHeight="1">
      <c r="A356" s="256"/>
      <c r="B356" s="107" t="s">
        <v>1178</v>
      </c>
      <c r="C356" s="166"/>
      <c r="D356" s="272"/>
      <c r="E356" s="109"/>
      <c r="F356" s="109"/>
      <c r="G356" s="248"/>
      <c r="H356" s="115"/>
      <c r="I356" s="93"/>
      <c r="J356" s="93"/>
      <c r="K356" s="93"/>
      <c r="L356" s="56"/>
      <c r="M356" s="91"/>
    </row>
    <row r="357">
      <c r="A357" s="256"/>
      <c r="B357" s="111" t="s">
        <v>2418</v>
      </c>
      <c r="C357" s="112" t="s">
        <v>746</v>
      </c>
      <c r="D357" s="52">
        <f t="shared" ref="D357:E357" si="272">D335</f>
        <v>383.72</v>
      </c>
      <c r="E357" s="52">
        <f t="shared" si="272"/>
        <v>416</v>
      </c>
      <c r="F357" s="109"/>
      <c r="G357" s="248">
        <f t="shared" ref="G357:G376" si="274">IFERROR(DIVIDE(MINUS(E357,D357),D357),)</f>
        <v>0.0841238403</v>
      </c>
      <c r="H357" s="115"/>
      <c r="I357" s="93">
        <v>48.0</v>
      </c>
      <c r="J357" s="93">
        <v>192.0</v>
      </c>
      <c r="K357" s="93"/>
      <c r="L357" s="56"/>
      <c r="M357" s="91"/>
    </row>
    <row r="358">
      <c r="A358" s="256"/>
      <c r="B358" s="111" t="s">
        <v>2419</v>
      </c>
      <c r="C358" s="112" t="s">
        <v>748</v>
      </c>
      <c r="D358" s="52">
        <f t="shared" ref="D358:E358" si="273">D336</f>
        <v>383.72</v>
      </c>
      <c r="E358" s="52">
        <f t="shared" si="273"/>
        <v>416</v>
      </c>
      <c r="F358" s="109"/>
      <c r="G358" s="248">
        <f t="shared" si="274"/>
        <v>0.0841238403</v>
      </c>
      <c r="H358" s="115"/>
      <c r="I358" s="93">
        <v>33.0</v>
      </c>
      <c r="J358" s="93">
        <v>132.0</v>
      </c>
      <c r="K358" s="93"/>
      <c r="L358" s="56"/>
      <c r="M358" s="91"/>
    </row>
    <row r="359">
      <c r="A359" s="256"/>
      <c r="B359" s="111" t="s">
        <v>2420</v>
      </c>
      <c r="C359" s="118" t="s">
        <v>306</v>
      </c>
      <c r="D359" s="52">
        <f t="shared" ref="D359:E359" si="275">D337</f>
        <v>416</v>
      </c>
      <c r="E359" s="52">
        <f t="shared" si="275"/>
        <v>448</v>
      </c>
      <c r="F359" s="109"/>
      <c r="G359" s="248">
        <f t="shared" si="274"/>
        <v>0.07692307692</v>
      </c>
      <c r="H359" s="115"/>
      <c r="I359" s="93">
        <v>33.0</v>
      </c>
      <c r="J359" s="93">
        <v>132.0</v>
      </c>
      <c r="K359" s="93"/>
      <c r="L359" s="56"/>
      <c r="M359" s="91"/>
    </row>
    <row r="360">
      <c r="A360" s="256"/>
      <c r="B360" s="111" t="s">
        <v>2421</v>
      </c>
      <c r="C360" s="118" t="s">
        <v>751</v>
      </c>
      <c r="D360" s="52">
        <f t="shared" ref="D360:E360" si="276">D338</f>
        <v>406</v>
      </c>
      <c r="E360" s="52">
        <f t="shared" si="276"/>
        <v>438</v>
      </c>
      <c r="F360" s="109"/>
      <c r="G360" s="248">
        <f t="shared" si="274"/>
        <v>0.07881773399</v>
      </c>
      <c r="H360" s="115"/>
      <c r="I360" s="93">
        <v>60.0</v>
      </c>
      <c r="J360" s="93">
        <v>240.0</v>
      </c>
      <c r="K360" s="93"/>
      <c r="L360" s="56"/>
      <c r="M360" s="91"/>
    </row>
    <row r="361">
      <c r="A361" s="256"/>
      <c r="B361" s="111" t="s">
        <v>2422</v>
      </c>
      <c r="C361" s="118" t="s">
        <v>666</v>
      </c>
      <c r="D361" s="52">
        <f t="shared" ref="D361:E361" si="277">D339</f>
        <v>724</v>
      </c>
      <c r="E361" s="52">
        <f t="shared" si="277"/>
        <v>782</v>
      </c>
      <c r="F361" s="109"/>
      <c r="G361" s="248">
        <f t="shared" si="274"/>
        <v>0.08011049724</v>
      </c>
      <c r="H361" s="115"/>
      <c r="I361" s="93">
        <v>30.0</v>
      </c>
      <c r="J361" s="93">
        <v>120.0</v>
      </c>
      <c r="K361" s="93"/>
      <c r="L361" s="56"/>
      <c r="M361" s="91"/>
    </row>
    <row r="362">
      <c r="A362" s="256"/>
      <c r="B362" s="111" t="s">
        <v>2423</v>
      </c>
      <c r="C362" s="118" t="s">
        <v>682</v>
      </c>
      <c r="D362" s="52">
        <f t="shared" ref="D362:E362" si="278">D340</f>
        <v>493.96</v>
      </c>
      <c r="E362" s="52">
        <f t="shared" si="278"/>
        <v>534</v>
      </c>
      <c r="F362" s="109"/>
      <c r="G362" s="248">
        <f t="shared" si="274"/>
        <v>0.08105919508</v>
      </c>
      <c r="H362" s="115"/>
      <c r="I362" s="93">
        <v>33.0</v>
      </c>
      <c r="J362" s="93">
        <v>132.0</v>
      </c>
      <c r="K362" s="93"/>
      <c r="L362" s="56"/>
      <c r="M362" s="91"/>
    </row>
    <row r="363">
      <c r="A363" s="256"/>
      <c r="B363" s="111" t="s">
        <v>2424</v>
      </c>
      <c r="C363" s="118" t="s">
        <v>756</v>
      </c>
      <c r="D363" s="52">
        <f t="shared" ref="D363:E363" si="279">D341</f>
        <v>493.96</v>
      </c>
      <c r="E363" s="52">
        <f t="shared" si="279"/>
        <v>534</v>
      </c>
      <c r="F363" s="109"/>
      <c r="G363" s="248">
        <f t="shared" si="274"/>
        <v>0.08105919508</v>
      </c>
      <c r="H363" s="115"/>
      <c r="I363" s="93">
        <v>34.0</v>
      </c>
      <c r="J363" s="93">
        <v>136.0</v>
      </c>
      <c r="K363" s="93"/>
      <c r="L363" s="56"/>
      <c r="M363" s="91"/>
    </row>
    <row r="364">
      <c r="A364" s="256"/>
      <c r="B364" s="111" t="s">
        <v>2425</v>
      </c>
      <c r="C364" s="118" t="s">
        <v>2371</v>
      </c>
      <c r="D364" s="52">
        <f t="shared" ref="D364:E364" si="280">D342</f>
        <v>807.72</v>
      </c>
      <c r="E364" s="52">
        <f t="shared" si="280"/>
        <v>874</v>
      </c>
      <c r="F364" s="109"/>
      <c r="G364" s="248">
        <f t="shared" si="274"/>
        <v>0.08205813896</v>
      </c>
      <c r="H364" s="115"/>
      <c r="I364" s="93">
        <v>13.0</v>
      </c>
      <c r="J364" s="93">
        <v>52.0</v>
      </c>
      <c r="K364" s="93"/>
      <c r="L364" s="56"/>
      <c r="M364" s="91"/>
    </row>
    <row r="365">
      <c r="A365" s="256"/>
      <c r="B365" s="111" t="s">
        <v>2426</v>
      </c>
      <c r="C365" s="186" t="s">
        <v>2209</v>
      </c>
      <c r="D365" s="52">
        <f t="shared" ref="D365:E365" si="281">D343</f>
        <v>756</v>
      </c>
      <c r="E365" s="52">
        <f t="shared" si="281"/>
        <v>814</v>
      </c>
      <c r="F365" s="109"/>
      <c r="G365" s="248">
        <f t="shared" si="274"/>
        <v>0.07671957672</v>
      </c>
      <c r="H365" s="115"/>
      <c r="I365" s="134">
        <v>30.0</v>
      </c>
      <c r="J365" s="134">
        <v>120.0</v>
      </c>
      <c r="K365" s="93"/>
      <c r="L365" s="56"/>
      <c r="M365" s="91"/>
    </row>
    <row r="366">
      <c r="A366" s="256"/>
      <c r="B366" s="111" t="s">
        <v>2427</v>
      </c>
      <c r="C366" s="118" t="s">
        <v>2377</v>
      </c>
      <c r="D366" s="52">
        <f t="shared" ref="D366:E366" si="282">D344</f>
        <v>807.72</v>
      </c>
      <c r="E366" s="52">
        <f t="shared" si="282"/>
        <v>872</v>
      </c>
      <c r="F366" s="109"/>
      <c r="G366" s="248">
        <f t="shared" si="274"/>
        <v>0.07958203338</v>
      </c>
      <c r="H366" s="115"/>
      <c r="I366" s="93">
        <v>13.0</v>
      </c>
      <c r="J366" s="93">
        <v>52.0</v>
      </c>
      <c r="K366" s="93"/>
      <c r="L366" s="56"/>
      <c r="M366" s="91"/>
    </row>
    <row r="367">
      <c r="A367" s="256"/>
      <c r="B367" s="111" t="s">
        <v>2428</v>
      </c>
      <c r="C367" s="118" t="s">
        <v>913</v>
      </c>
      <c r="D367" s="52">
        <f t="shared" ref="D367:E367" si="283">D345</f>
        <v>1708.296</v>
      </c>
      <c r="E367" s="52">
        <f t="shared" si="283"/>
        <v>1848</v>
      </c>
      <c r="F367" s="109"/>
      <c r="G367" s="248">
        <f t="shared" si="274"/>
        <v>0.08177973841</v>
      </c>
      <c r="H367" s="115"/>
      <c r="I367" s="93">
        <v>13.0</v>
      </c>
      <c r="J367" s="93">
        <v>52.0</v>
      </c>
      <c r="K367" s="93"/>
      <c r="L367" s="56"/>
      <c r="M367" s="91"/>
    </row>
    <row r="368">
      <c r="A368" s="256"/>
      <c r="B368" s="111" t="s">
        <v>2429</v>
      </c>
      <c r="C368" s="118" t="s">
        <v>1949</v>
      </c>
      <c r="D368" s="52">
        <f t="shared" ref="D368:E368" si="284">D346</f>
        <v>1620</v>
      </c>
      <c r="E368" s="52">
        <f t="shared" si="284"/>
        <v>1748</v>
      </c>
      <c r="F368" s="109"/>
      <c r="G368" s="248">
        <f t="shared" si="274"/>
        <v>0.07901234568</v>
      </c>
      <c r="H368" s="115"/>
      <c r="I368" s="93">
        <v>13.0</v>
      </c>
      <c r="J368" s="93">
        <v>52.0</v>
      </c>
      <c r="K368" s="93"/>
      <c r="L368" s="56"/>
      <c r="M368" s="91"/>
    </row>
    <row r="369">
      <c r="A369" s="256"/>
      <c r="B369" s="111" t="s">
        <v>1181</v>
      </c>
      <c r="C369" s="118" t="s">
        <v>523</v>
      </c>
      <c r="D369" s="52">
        <f t="shared" ref="D369:E369" si="285">D347</f>
        <v>2316</v>
      </c>
      <c r="E369" s="52">
        <f t="shared" si="285"/>
        <v>2498</v>
      </c>
      <c r="F369" s="109"/>
      <c r="G369" s="248">
        <f t="shared" si="274"/>
        <v>0.07858376511</v>
      </c>
      <c r="H369" s="115"/>
      <c r="I369" s="93"/>
      <c r="J369" s="93"/>
      <c r="K369" s="93"/>
      <c r="L369" s="56"/>
      <c r="M369" s="91"/>
    </row>
    <row r="370">
      <c r="A370" s="256"/>
      <c r="B370" s="111" t="s">
        <v>2430</v>
      </c>
      <c r="C370" s="118" t="s">
        <v>1124</v>
      </c>
      <c r="D370" s="52">
        <f t="shared" ref="D370:E370" si="286">D348</f>
        <v>1992</v>
      </c>
      <c r="E370" s="52">
        <f t="shared" si="286"/>
        <v>2148</v>
      </c>
      <c r="F370" s="109"/>
      <c r="G370" s="248">
        <f t="shared" si="274"/>
        <v>0.07831325301</v>
      </c>
      <c r="H370" s="115"/>
      <c r="I370" s="93">
        <v>6.0</v>
      </c>
      <c r="J370" s="93">
        <v>24.0</v>
      </c>
      <c r="K370" s="93"/>
      <c r="L370" s="56"/>
      <c r="M370" s="91"/>
    </row>
    <row r="371">
      <c r="A371" s="256"/>
      <c r="B371" s="111" t="s">
        <v>2431</v>
      </c>
      <c r="C371" s="118" t="s">
        <v>395</v>
      </c>
      <c r="D371" s="52">
        <f t="shared" ref="D371:E371" si="287">D349</f>
        <v>366</v>
      </c>
      <c r="E371" s="52">
        <f t="shared" si="287"/>
        <v>394</v>
      </c>
      <c r="F371" s="109"/>
      <c r="G371" s="248">
        <f t="shared" si="274"/>
        <v>0.07650273224</v>
      </c>
      <c r="H371" s="115"/>
      <c r="I371" s="93">
        <v>66.0</v>
      </c>
      <c r="J371" s="93">
        <v>264.0</v>
      </c>
      <c r="K371" s="93"/>
      <c r="L371" s="56"/>
      <c r="M371" s="91"/>
    </row>
    <row r="372">
      <c r="A372" s="256"/>
      <c r="B372" s="111" t="s">
        <v>2432</v>
      </c>
      <c r="C372" s="118" t="s">
        <v>359</v>
      </c>
      <c r="D372" s="52">
        <f t="shared" ref="D372:E372" si="288">D350</f>
        <v>664</v>
      </c>
      <c r="E372" s="52">
        <f t="shared" si="288"/>
        <v>716</v>
      </c>
      <c r="F372" s="109"/>
      <c r="G372" s="248">
        <f t="shared" si="274"/>
        <v>0.07831325301</v>
      </c>
      <c r="H372" s="115"/>
      <c r="I372" s="93">
        <v>23.0</v>
      </c>
      <c r="J372" s="93">
        <v>92.0</v>
      </c>
      <c r="K372" s="93"/>
      <c r="L372" s="56"/>
      <c r="M372" s="91"/>
    </row>
    <row r="373">
      <c r="A373" s="256"/>
      <c r="B373" s="111" t="s">
        <v>2433</v>
      </c>
      <c r="C373" s="118" t="s">
        <v>1137</v>
      </c>
      <c r="D373" s="52">
        <f t="shared" ref="D373:E373" si="289">D351</f>
        <v>730</v>
      </c>
      <c r="E373" s="52">
        <f t="shared" si="289"/>
        <v>788</v>
      </c>
      <c r="F373" s="109"/>
      <c r="G373" s="248">
        <f t="shared" si="274"/>
        <v>0.07945205479</v>
      </c>
      <c r="H373" s="115"/>
      <c r="I373" s="93">
        <v>30.0</v>
      </c>
      <c r="J373" s="93">
        <v>120.0</v>
      </c>
      <c r="K373" s="93"/>
      <c r="L373" s="56"/>
      <c r="M373" s="91"/>
    </row>
    <row r="374">
      <c r="A374" s="256"/>
      <c r="B374" s="111" t="s">
        <v>2434</v>
      </c>
      <c r="C374" s="118" t="s">
        <v>1141</v>
      </c>
      <c r="D374" s="52">
        <f t="shared" ref="D374:E374" si="290">D352</f>
        <v>775.92</v>
      </c>
      <c r="E374" s="52">
        <f t="shared" si="290"/>
        <v>838</v>
      </c>
      <c r="F374" s="109"/>
      <c r="G374" s="248">
        <f t="shared" si="274"/>
        <v>0.08000824827</v>
      </c>
      <c r="H374" s="115"/>
      <c r="I374" s="93">
        <v>30.0</v>
      </c>
      <c r="J374" s="93">
        <v>120.0</v>
      </c>
      <c r="K374" s="93"/>
      <c r="L374" s="56"/>
      <c r="M374" s="91"/>
    </row>
    <row r="375">
      <c r="A375" s="256"/>
      <c r="B375" s="270" t="s">
        <v>2435</v>
      </c>
      <c r="C375" s="277" t="s">
        <v>1145</v>
      </c>
      <c r="D375" s="52">
        <f t="shared" ref="D375:E375" si="291">D353</f>
        <v>1666.32</v>
      </c>
      <c r="E375" s="52">
        <f t="shared" si="291"/>
        <v>1798</v>
      </c>
      <c r="F375" s="109"/>
      <c r="G375" s="248">
        <f t="shared" si="274"/>
        <v>0.07902443708</v>
      </c>
      <c r="H375" s="93"/>
      <c r="I375" s="93">
        <v>14.0</v>
      </c>
      <c r="J375" s="93">
        <v>56.0</v>
      </c>
      <c r="K375" s="93"/>
      <c r="L375" s="56"/>
      <c r="M375" s="91"/>
    </row>
    <row r="376">
      <c r="A376" s="256"/>
      <c r="B376" s="111" t="s">
        <v>2436</v>
      </c>
      <c r="C376" s="118" t="s">
        <v>2219</v>
      </c>
      <c r="D376" s="52">
        <f t="shared" ref="D376:E376" si="292">D354</f>
        <v>1797.76</v>
      </c>
      <c r="E376" s="52">
        <f t="shared" si="292"/>
        <v>1942</v>
      </c>
      <c r="F376" s="109"/>
      <c r="G376" s="248">
        <f t="shared" si="274"/>
        <v>0.08023317907</v>
      </c>
      <c r="H376" s="93"/>
      <c r="I376" s="93">
        <v>14.0</v>
      </c>
      <c r="J376" s="93">
        <v>56.0</v>
      </c>
      <c r="K376" s="93"/>
      <c r="L376" s="56"/>
      <c r="M376" s="91"/>
    </row>
    <row r="377" ht="18.75" customHeight="1">
      <c r="A377" s="256"/>
      <c r="B377" s="149"/>
      <c r="C377" s="204"/>
      <c r="D377" s="259"/>
      <c r="E377" s="109"/>
      <c r="F377" s="109"/>
      <c r="G377" s="248"/>
      <c r="H377" s="115"/>
      <c r="I377" s="93"/>
      <c r="J377" s="93"/>
      <c r="K377" s="93"/>
      <c r="L377" s="56"/>
      <c r="M377" s="91"/>
    </row>
    <row r="378" ht="18.75" customHeight="1">
      <c r="A378" s="256"/>
      <c r="B378" s="107" t="s">
        <v>1184</v>
      </c>
      <c r="C378" s="166"/>
      <c r="D378" s="272"/>
      <c r="E378" s="109"/>
      <c r="F378" s="109"/>
      <c r="G378" s="248"/>
      <c r="H378" s="115"/>
      <c r="I378" s="93"/>
      <c r="J378" s="93"/>
      <c r="K378" s="93"/>
      <c r="L378" s="56"/>
      <c r="M378" s="91"/>
    </row>
    <row r="379">
      <c r="A379" s="256"/>
      <c r="B379" s="111" t="s">
        <v>2437</v>
      </c>
      <c r="C379" s="112" t="s">
        <v>746</v>
      </c>
      <c r="D379" s="52">
        <f t="shared" ref="D379:E379" si="293">D357</f>
        <v>383.72</v>
      </c>
      <c r="E379" s="52">
        <f t="shared" si="293"/>
        <v>416</v>
      </c>
      <c r="F379" s="109"/>
      <c r="G379" s="248">
        <f t="shared" ref="G379:G398" si="295">IFERROR(DIVIDE(MINUS(E379,D379),D379),)</f>
        <v>0.0841238403</v>
      </c>
      <c r="H379" s="115"/>
      <c r="I379" s="93">
        <v>48.0</v>
      </c>
      <c r="J379" s="93">
        <v>192.0</v>
      </c>
      <c r="K379" s="93"/>
      <c r="L379" s="56"/>
      <c r="M379" s="91"/>
    </row>
    <row r="380">
      <c r="A380" s="256"/>
      <c r="B380" s="111" t="s">
        <v>2438</v>
      </c>
      <c r="C380" s="112" t="s">
        <v>748</v>
      </c>
      <c r="D380" s="52">
        <f t="shared" ref="D380:E380" si="294">D358</f>
        <v>383.72</v>
      </c>
      <c r="E380" s="52">
        <f t="shared" si="294"/>
        <v>416</v>
      </c>
      <c r="F380" s="109"/>
      <c r="G380" s="248">
        <f t="shared" si="295"/>
        <v>0.0841238403</v>
      </c>
      <c r="H380" s="115"/>
      <c r="I380" s="93">
        <v>33.0</v>
      </c>
      <c r="J380" s="93">
        <v>132.0</v>
      </c>
      <c r="K380" s="93"/>
      <c r="L380" s="56"/>
      <c r="M380" s="91"/>
    </row>
    <row r="381">
      <c r="A381" s="256"/>
      <c r="B381" s="111" t="s">
        <v>2439</v>
      </c>
      <c r="C381" s="118" t="s">
        <v>306</v>
      </c>
      <c r="D381" s="52">
        <f t="shared" ref="D381:E381" si="296">D359</f>
        <v>416</v>
      </c>
      <c r="E381" s="52">
        <f t="shared" si="296"/>
        <v>448</v>
      </c>
      <c r="F381" s="109"/>
      <c r="G381" s="248">
        <f t="shared" si="295"/>
        <v>0.07692307692</v>
      </c>
      <c r="H381" s="115"/>
      <c r="I381" s="93">
        <v>33.0</v>
      </c>
      <c r="J381" s="93">
        <v>132.0</v>
      </c>
      <c r="K381" s="93"/>
      <c r="L381" s="56"/>
      <c r="M381" s="91"/>
    </row>
    <row r="382">
      <c r="A382" s="256"/>
      <c r="B382" s="111" t="s">
        <v>2440</v>
      </c>
      <c r="C382" s="118" t="s">
        <v>751</v>
      </c>
      <c r="D382" s="52">
        <f t="shared" ref="D382:E382" si="297">D360</f>
        <v>406</v>
      </c>
      <c r="E382" s="52">
        <f t="shared" si="297"/>
        <v>438</v>
      </c>
      <c r="F382" s="109"/>
      <c r="G382" s="248">
        <f t="shared" si="295"/>
        <v>0.07881773399</v>
      </c>
      <c r="H382" s="115"/>
      <c r="I382" s="93">
        <v>60.0</v>
      </c>
      <c r="J382" s="93">
        <v>240.0</v>
      </c>
      <c r="K382" s="93"/>
      <c r="L382" s="56"/>
      <c r="M382" s="91"/>
    </row>
    <row r="383">
      <c r="A383" s="256"/>
      <c r="B383" s="111" t="s">
        <v>2441</v>
      </c>
      <c r="C383" s="118" t="s">
        <v>666</v>
      </c>
      <c r="D383" s="52">
        <f t="shared" ref="D383:E383" si="298">D361</f>
        <v>724</v>
      </c>
      <c r="E383" s="52">
        <f t="shared" si="298"/>
        <v>782</v>
      </c>
      <c r="F383" s="109"/>
      <c r="G383" s="248">
        <f t="shared" si="295"/>
        <v>0.08011049724</v>
      </c>
      <c r="H383" s="115"/>
      <c r="I383" s="93">
        <v>30.0</v>
      </c>
      <c r="J383" s="93">
        <v>120.0</v>
      </c>
      <c r="K383" s="93"/>
      <c r="L383" s="56"/>
      <c r="M383" s="91"/>
    </row>
    <row r="384">
      <c r="A384" s="256"/>
      <c r="B384" s="111" t="s">
        <v>2442</v>
      </c>
      <c r="C384" s="118" t="s">
        <v>682</v>
      </c>
      <c r="D384" s="52">
        <f t="shared" ref="D384:E384" si="299">D362</f>
        <v>493.96</v>
      </c>
      <c r="E384" s="52">
        <f t="shared" si="299"/>
        <v>534</v>
      </c>
      <c r="F384" s="109"/>
      <c r="G384" s="248">
        <f t="shared" si="295"/>
        <v>0.08105919508</v>
      </c>
      <c r="H384" s="115"/>
      <c r="I384" s="93">
        <v>33.0</v>
      </c>
      <c r="J384" s="93">
        <v>132.0</v>
      </c>
      <c r="K384" s="93"/>
      <c r="L384" s="56"/>
      <c r="M384" s="91"/>
    </row>
    <row r="385">
      <c r="A385" s="256"/>
      <c r="B385" s="111" t="s">
        <v>2443</v>
      </c>
      <c r="C385" s="118" t="s">
        <v>756</v>
      </c>
      <c r="D385" s="52">
        <f t="shared" ref="D385:E385" si="300">D363</f>
        <v>493.96</v>
      </c>
      <c r="E385" s="52">
        <f t="shared" si="300"/>
        <v>534</v>
      </c>
      <c r="F385" s="109"/>
      <c r="G385" s="248">
        <f t="shared" si="295"/>
        <v>0.08105919508</v>
      </c>
      <c r="H385" s="115"/>
      <c r="I385" s="93">
        <v>34.0</v>
      </c>
      <c r="J385" s="93">
        <v>136.0</v>
      </c>
      <c r="K385" s="93"/>
      <c r="L385" s="56"/>
      <c r="M385" s="91"/>
    </row>
    <row r="386">
      <c r="A386" s="256"/>
      <c r="B386" s="111" t="s">
        <v>2444</v>
      </c>
      <c r="C386" s="118" t="s">
        <v>2371</v>
      </c>
      <c r="D386" s="52">
        <f t="shared" ref="D386:E386" si="301">D364</f>
        <v>807.72</v>
      </c>
      <c r="E386" s="52">
        <f t="shared" si="301"/>
        <v>874</v>
      </c>
      <c r="F386" s="109"/>
      <c r="G386" s="248">
        <f t="shared" si="295"/>
        <v>0.08205813896</v>
      </c>
      <c r="H386" s="115"/>
      <c r="I386" s="93">
        <v>13.0</v>
      </c>
      <c r="J386" s="93">
        <v>52.0</v>
      </c>
      <c r="K386" s="93"/>
      <c r="L386" s="56"/>
      <c r="M386" s="91"/>
    </row>
    <row r="387">
      <c r="A387" s="256"/>
      <c r="B387" s="111" t="s">
        <v>2445</v>
      </c>
      <c r="C387" s="186" t="s">
        <v>2209</v>
      </c>
      <c r="D387" s="52">
        <f t="shared" ref="D387:E387" si="302">D365</f>
        <v>756</v>
      </c>
      <c r="E387" s="52">
        <f t="shared" si="302"/>
        <v>814</v>
      </c>
      <c r="F387" s="109"/>
      <c r="G387" s="248">
        <f t="shared" si="295"/>
        <v>0.07671957672</v>
      </c>
      <c r="H387" s="115"/>
      <c r="I387" s="134">
        <v>30.0</v>
      </c>
      <c r="J387" s="134">
        <v>120.0</v>
      </c>
      <c r="K387" s="93"/>
      <c r="L387" s="56"/>
      <c r="M387" s="91"/>
    </row>
    <row r="388">
      <c r="A388" s="256"/>
      <c r="B388" s="111" t="s">
        <v>2446</v>
      </c>
      <c r="C388" s="118" t="s">
        <v>2377</v>
      </c>
      <c r="D388" s="52">
        <f t="shared" ref="D388:E388" si="303">D366</f>
        <v>807.72</v>
      </c>
      <c r="E388" s="52">
        <f t="shared" si="303"/>
        <v>872</v>
      </c>
      <c r="F388" s="109"/>
      <c r="G388" s="248">
        <f t="shared" si="295"/>
        <v>0.07958203338</v>
      </c>
      <c r="H388" s="115"/>
      <c r="I388" s="93">
        <v>13.0</v>
      </c>
      <c r="J388" s="93">
        <v>52.0</v>
      </c>
      <c r="K388" s="93"/>
      <c r="L388" s="56"/>
      <c r="M388" s="91"/>
    </row>
    <row r="389">
      <c r="A389" s="256"/>
      <c r="B389" s="111" t="s">
        <v>2447</v>
      </c>
      <c r="C389" s="118" t="s">
        <v>913</v>
      </c>
      <c r="D389" s="52">
        <f t="shared" ref="D389:E389" si="304">D367</f>
        <v>1708.296</v>
      </c>
      <c r="E389" s="52">
        <f t="shared" si="304"/>
        <v>1848</v>
      </c>
      <c r="F389" s="109"/>
      <c r="G389" s="248">
        <f t="shared" si="295"/>
        <v>0.08177973841</v>
      </c>
      <c r="H389" s="115"/>
      <c r="I389" s="93">
        <v>13.0</v>
      </c>
      <c r="J389" s="93">
        <v>52.0</v>
      </c>
      <c r="K389" s="93"/>
      <c r="L389" s="56"/>
      <c r="M389" s="91"/>
    </row>
    <row r="390">
      <c r="A390" s="256"/>
      <c r="B390" s="111" t="s">
        <v>2448</v>
      </c>
      <c r="C390" s="118" t="s">
        <v>1949</v>
      </c>
      <c r="D390" s="52">
        <f t="shared" ref="D390:E390" si="305">D368</f>
        <v>1620</v>
      </c>
      <c r="E390" s="52">
        <f t="shared" si="305"/>
        <v>1748</v>
      </c>
      <c r="F390" s="109"/>
      <c r="G390" s="248">
        <f t="shared" si="295"/>
        <v>0.07901234568</v>
      </c>
      <c r="H390" s="115"/>
      <c r="I390" s="93">
        <v>13.0</v>
      </c>
      <c r="J390" s="93">
        <v>52.0</v>
      </c>
      <c r="K390" s="93"/>
      <c r="L390" s="56"/>
      <c r="M390" s="91"/>
    </row>
    <row r="391">
      <c r="A391" s="256"/>
      <c r="B391" s="111" t="s">
        <v>1187</v>
      </c>
      <c r="C391" s="118" t="s">
        <v>523</v>
      </c>
      <c r="D391" s="52">
        <f t="shared" ref="D391:E391" si="306">D369</f>
        <v>2316</v>
      </c>
      <c r="E391" s="52">
        <f t="shared" si="306"/>
        <v>2498</v>
      </c>
      <c r="F391" s="109"/>
      <c r="G391" s="248">
        <f t="shared" si="295"/>
        <v>0.07858376511</v>
      </c>
      <c r="H391" s="115"/>
      <c r="I391" s="93"/>
      <c r="J391" s="93"/>
      <c r="K391" s="93"/>
      <c r="L391" s="56"/>
      <c r="M391" s="91"/>
    </row>
    <row r="392">
      <c r="A392" s="256"/>
      <c r="B392" s="111" t="s">
        <v>2449</v>
      </c>
      <c r="C392" s="118" t="s">
        <v>1124</v>
      </c>
      <c r="D392" s="52">
        <f t="shared" ref="D392:E392" si="307">D370</f>
        <v>1992</v>
      </c>
      <c r="E392" s="52">
        <f t="shared" si="307"/>
        <v>2148</v>
      </c>
      <c r="F392" s="109"/>
      <c r="G392" s="248">
        <f t="shared" si="295"/>
        <v>0.07831325301</v>
      </c>
      <c r="H392" s="115"/>
      <c r="I392" s="93">
        <v>6.0</v>
      </c>
      <c r="J392" s="93">
        <v>24.0</v>
      </c>
      <c r="K392" s="93"/>
      <c r="L392" s="56"/>
      <c r="M392" s="91"/>
    </row>
    <row r="393">
      <c r="A393" s="256"/>
      <c r="B393" s="111" t="s">
        <v>2450</v>
      </c>
      <c r="C393" s="118" t="s">
        <v>395</v>
      </c>
      <c r="D393" s="52">
        <f t="shared" ref="D393:E393" si="308">D371</f>
        <v>366</v>
      </c>
      <c r="E393" s="52">
        <f t="shared" si="308"/>
        <v>394</v>
      </c>
      <c r="F393" s="109"/>
      <c r="G393" s="248">
        <f t="shared" si="295"/>
        <v>0.07650273224</v>
      </c>
      <c r="H393" s="115"/>
      <c r="I393" s="93">
        <v>66.0</v>
      </c>
      <c r="J393" s="93">
        <v>264.0</v>
      </c>
      <c r="K393" s="93"/>
      <c r="L393" s="56"/>
      <c r="M393" s="91"/>
    </row>
    <row r="394">
      <c r="A394" s="256"/>
      <c r="B394" s="111" t="s">
        <v>2451</v>
      </c>
      <c r="C394" s="118" t="s">
        <v>359</v>
      </c>
      <c r="D394" s="52">
        <f t="shared" ref="D394:E394" si="309">D372</f>
        <v>664</v>
      </c>
      <c r="E394" s="52">
        <f t="shared" si="309"/>
        <v>716</v>
      </c>
      <c r="F394" s="109"/>
      <c r="G394" s="248">
        <f t="shared" si="295"/>
        <v>0.07831325301</v>
      </c>
      <c r="H394" s="115"/>
      <c r="I394" s="93">
        <v>23.0</v>
      </c>
      <c r="J394" s="93">
        <v>92.0</v>
      </c>
      <c r="K394" s="93"/>
      <c r="L394" s="56"/>
      <c r="M394" s="91"/>
    </row>
    <row r="395">
      <c r="A395" s="256"/>
      <c r="B395" s="111" t="s">
        <v>2452</v>
      </c>
      <c r="C395" s="118" t="s">
        <v>1137</v>
      </c>
      <c r="D395" s="52">
        <f t="shared" ref="D395:E395" si="310">D373</f>
        <v>730</v>
      </c>
      <c r="E395" s="52">
        <f t="shared" si="310"/>
        <v>788</v>
      </c>
      <c r="F395" s="109"/>
      <c r="G395" s="248">
        <f t="shared" si="295"/>
        <v>0.07945205479</v>
      </c>
      <c r="H395" s="115"/>
      <c r="I395" s="93">
        <v>30.0</v>
      </c>
      <c r="J395" s="93">
        <v>120.0</v>
      </c>
      <c r="K395" s="93"/>
      <c r="L395" s="56"/>
      <c r="M395" s="91"/>
    </row>
    <row r="396">
      <c r="A396" s="256"/>
      <c r="B396" s="111" t="s">
        <v>2453</v>
      </c>
      <c r="C396" s="118" t="s">
        <v>1141</v>
      </c>
      <c r="D396" s="52">
        <f t="shared" ref="D396:E396" si="311">D374</f>
        <v>775.92</v>
      </c>
      <c r="E396" s="52">
        <f t="shared" si="311"/>
        <v>838</v>
      </c>
      <c r="F396" s="109"/>
      <c r="G396" s="248">
        <f t="shared" si="295"/>
        <v>0.08000824827</v>
      </c>
      <c r="H396" s="115"/>
      <c r="I396" s="93">
        <v>30.0</v>
      </c>
      <c r="J396" s="93">
        <v>120.0</v>
      </c>
      <c r="K396" s="93"/>
      <c r="L396" s="56"/>
      <c r="M396" s="91"/>
    </row>
    <row r="397">
      <c r="A397" s="256"/>
      <c r="B397" s="270" t="s">
        <v>2454</v>
      </c>
      <c r="C397" s="277" t="s">
        <v>1145</v>
      </c>
      <c r="D397" s="52">
        <f t="shared" ref="D397:E397" si="312">D375</f>
        <v>1666.32</v>
      </c>
      <c r="E397" s="52">
        <f t="shared" si="312"/>
        <v>1798</v>
      </c>
      <c r="F397" s="109"/>
      <c r="G397" s="248">
        <f t="shared" si="295"/>
        <v>0.07902443708</v>
      </c>
      <c r="H397" s="93"/>
      <c r="I397" s="93">
        <v>14.0</v>
      </c>
      <c r="J397" s="93">
        <v>56.0</v>
      </c>
      <c r="K397" s="93"/>
      <c r="L397" s="56"/>
      <c r="M397" s="91"/>
    </row>
    <row r="398">
      <c r="A398" s="256"/>
      <c r="B398" s="111" t="s">
        <v>2455</v>
      </c>
      <c r="C398" s="118" t="s">
        <v>2219</v>
      </c>
      <c r="D398" s="52">
        <f t="shared" ref="D398:E398" si="313">D376</f>
        <v>1797.76</v>
      </c>
      <c r="E398" s="52">
        <f t="shared" si="313"/>
        <v>1942</v>
      </c>
      <c r="F398" s="109"/>
      <c r="G398" s="248">
        <f t="shared" si="295"/>
        <v>0.08023317907</v>
      </c>
      <c r="H398" s="93"/>
      <c r="I398" s="93">
        <v>14.0</v>
      </c>
      <c r="J398" s="93">
        <v>56.0</v>
      </c>
      <c r="K398" s="93"/>
      <c r="L398" s="56"/>
      <c r="M398" s="91"/>
    </row>
    <row r="399" ht="18.75" customHeight="1">
      <c r="A399" s="256"/>
      <c r="B399" s="149"/>
      <c r="C399" s="204"/>
      <c r="D399" s="259"/>
      <c r="E399" s="109"/>
      <c r="F399" s="120"/>
      <c r="G399" s="248"/>
      <c r="H399" s="115"/>
      <c r="I399" s="93"/>
      <c r="J399" s="93"/>
      <c r="K399" s="93"/>
      <c r="L399" s="56"/>
      <c r="M399" s="91"/>
    </row>
    <row r="400" ht="18.75" customHeight="1">
      <c r="A400" s="133"/>
      <c r="B400" s="107" t="s">
        <v>1208</v>
      </c>
      <c r="C400" s="166"/>
      <c r="D400" s="272"/>
      <c r="E400" s="109"/>
      <c r="F400" s="109"/>
      <c r="G400" s="248"/>
      <c r="H400" s="115"/>
      <c r="I400" s="93"/>
      <c r="J400" s="93"/>
      <c r="K400" s="93"/>
      <c r="L400" s="56"/>
      <c r="M400" s="258"/>
    </row>
    <row r="401">
      <c r="A401" s="133"/>
      <c r="B401" s="111" t="s">
        <v>2456</v>
      </c>
      <c r="C401" s="112" t="s">
        <v>773</v>
      </c>
      <c r="D401" s="137">
        <v>383.72</v>
      </c>
      <c r="E401" s="52">
        <v>416.0</v>
      </c>
      <c r="F401" s="109">
        <f t="shared" ref="F401:F419" si="314">H401*$H$2</f>
        <v>415.52</v>
      </c>
      <c r="G401" s="248">
        <f t="shared" ref="G401:G419" si="315">IFERROR(DIVIDE(MINUS(E401,D401),D401),)</f>
        <v>0.0841238403</v>
      </c>
      <c r="H401" s="132">
        <f>VLOOKUP(M401,'NEW PTMT'!$B$4:$E1406,4,0)</f>
        <v>392</v>
      </c>
      <c r="I401" s="93">
        <v>48.0</v>
      </c>
      <c r="J401" s="93">
        <v>192.0</v>
      </c>
      <c r="K401" s="93"/>
      <c r="L401" s="56"/>
      <c r="M401" s="126" t="s">
        <v>772</v>
      </c>
    </row>
    <row r="402">
      <c r="A402" s="133"/>
      <c r="B402" s="135" t="s">
        <v>2457</v>
      </c>
      <c r="C402" s="141" t="s">
        <v>748</v>
      </c>
      <c r="D402" s="52">
        <v>383.72</v>
      </c>
      <c r="E402" s="52">
        <v>416.0</v>
      </c>
      <c r="F402" s="109">
        <f t="shared" si="314"/>
        <v>415.52</v>
      </c>
      <c r="G402" s="248">
        <f t="shared" si="315"/>
        <v>0.0841238403</v>
      </c>
      <c r="H402" s="132">
        <f>VLOOKUP(M402,'NEW PTMT'!$B$4:$E1406,4,0)</f>
        <v>392</v>
      </c>
      <c r="I402" s="93">
        <v>33.0</v>
      </c>
      <c r="J402" s="93">
        <v>132.0</v>
      </c>
      <c r="K402" s="93"/>
      <c r="L402" s="56"/>
      <c r="M402" s="126" t="s">
        <v>774</v>
      </c>
    </row>
    <row r="403">
      <c r="A403" s="133"/>
      <c r="B403" s="111" t="s">
        <v>2458</v>
      </c>
      <c r="C403" s="118" t="s">
        <v>748</v>
      </c>
      <c r="D403" s="52">
        <v>416.0</v>
      </c>
      <c r="E403" s="52">
        <v>448.0</v>
      </c>
      <c r="F403" s="109">
        <f t="shared" si="314"/>
        <v>449.44</v>
      </c>
      <c r="G403" s="248">
        <f t="shared" si="315"/>
        <v>0.07692307692</v>
      </c>
      <c r="H403" s="132">
        <f>VLOOKUP(M403,'NEW PTMT'!$B$4:$E1406,4,0)</f>
        <v>424</v>
      </c>
      <c r="I403" s="93">
        <v>33.0</v>
      </c>
      <c r="J403" s="93">
        <v>132.0</v>
      </c>
      <c r="K403" s="93"/>
      <c r="L403" s="56"/>
      <c r="M403" s="126" t="s">
        <v>775</v>
      </c>
    </row>
    <row r="404">
      <c r="A404" s="133"/>
      <c r="B404" s="111" t="s">
        <v>2459</v>
      </c>
      <c r="C404" s="118" t="s">
        <v>2460</v>
      </c>
      <c r="D404" s="52">
        <v>406.0</v>
      </c>
      <c r="E404" s="52">
        <v>438.0</v>
      </c>
      <c r="F404" s="109">
        <f t="shared" si="314"/>
        <v>438.84</v>
      </c>
      <c r="G404" s="248">
        <f t="shared" si="315"/>
        <v>0.07881773399</v>
      </c>
      <c r="H404" s="132">
        <f>VLOOKUP(M404,'NEW PTMT'!$B$4:$E1406,4,0)</f>
        <v>414</v>
      </c>
      <c r="I404" s="93">
        <v>60.0</v>
      </c>
      <c r="J404" s="93">
        <v>240.0</v>
      </c>
      <c r="K404" s="93"/>
      <c r="L404" s="56"/>
      <c r="M404" s="126" t="s">
        <v>776</v>
      </c>
    </row>
    <row r="405">
      <c r="A405" s="133"/>
      <c r="B405" s="111" t="s">
        <v>2461</v>
      </c>
      <c r="C405" s="118" t="s">
        <v>666</v>
      </c>
      <c r="D405" s="52">
        <v>724.0</v>
      </c>
      <c r="E405" s="52">
        <v>782.0</v>
      </c>
      <c r="F405" s="109">
        <f t="shared" si="314"/>
        <v>782.28</v>
      </c>
      <c r="G405" s="248">
        <f t="shared" si="315"/>
        <v>0.08011049724</v>
      </c>
      <c r="H405" s="132">
        <f>VLOOKUP(M405,'NEW PTMT'!$B$4:$E1406,4,0)</f>
        <v>738</v>
      </c>
      <c r="I405" s="93">
        <v>30.0</v>
      </c>
      <c r="J405" s="93">
        <v>120.0</v>
      </c>
      <c r="K405" s="93"/>
      <c r="L405" s="56"/>
      <c r="M405" s="126" t="s">
        <v>778</v>
      </c>
    </row>
    <row r="406">
      <c r="A406" s="133"/>
      <c r="B406" s="111" t="s">
        <v>2462</v>
      </c>
      <c r="C406" s="118" t="s">
        <v>682</v>
      </c>
      <c r="D406" s="52">
        <v>493.96000000000004</v>
      </c>
      <c r="E406" s="52">
        <v>534.0</v>
      </c>
      <c r="F406" s="109">
        <f t="shared" si="314"/>
        <v>534.24</v>
      </c>
      <c r="G406" s="248">
        <f t="shared" si="315"/>
        <v>0.08105919508</v>
      </c>
      <c r="H406" s="132">
        <f>VLOOKUP(M406,'NEW PTMT'!$B$4:$E1406,4,0)</f>
        <v>504</v>
      </c>
      <c r="I406" s="93">
        <v>33.0</v>
      </c>
      <c r="J406" s="93">
        <v>132.0</v>
      </c>
      <c r="K406" s="93"/>
      <c r="L406" s="56"/>
      <c r="M406" s="126" t="s">
        <v>779</v>
      </c>
    </row>
    <row r="407">
      <c r="A407" s="133"/>
      <c r="B407" s="111" t="s">
        <v>2463</v>
      </c>
      <c r="C407" s="118" t="s">
        <v>781</v>
      </c>
      <c r="D407" s="52">
        <v>493.96000000000004</v>
      </c>
      <c r="E407" s="52">
        <v>534.0</v>
      </c>
      <c r="F407" s="109">
        <f t="shared" si="314"/>
        <v>534.24</v>
      </c>
      <c r="G407" s="248">
        <f t="shared" si="315"/>
        <v>0.08105919508</v>
      </c>
      <c r="H407" s="132">
        <f>VLOOKUP(M407,'NEW PTMT'!$B$4:$E1406,4,0)</f>
        <v>504</v>
      </c>
      <c r="I407" s="93">
        <v>33.0</v>
      </c>
      <c r="J407" s="93">
        <v>132.0</v>
      </c>
      <c r="K407" s="93"/>
      <c r="L407" s="56"/>
      <c r="M407" s="126" t="s">
        <v>780</v>
      </c>
    </row>
    <row r="408">
      <c r="A408" s="133"/>
      <c r="B408" s="111" t="s">
        <v>2464</v>
      </c>
      <c r="C408" s="118" t="s">
        <v>2465</v>
      </c>
      <c r="D408" s="52">
        <v>809.84</v>
      </c>
      <c r="E408" s="52">
        <v>876.0</v>
      </c>
      <c r="F408" s="109">
        <f t="shared" si="314"/>
        <v>875.56</v>
      </c>
      <c r="G408" s="248">
        <f t="shared" si="315"/>
        <v>0.08169514966</v>
      </c>
      <c r="H408" s="132">
        <f>VLOOKUP(M408,'NEW PTMT'!$B$4:$E1406,4,0)</f>
        <v>826</v>
      </c>
      <c r="I408" s="93">
        <v>13.0</v>
      </c>
      <c r="J408" s="93">
        <v>52.0</v>
      </c>
      <c r="K408" s="93"/>
      <c r="L408" s="56"/>
      <c r="M408" s="126" t="s">
        <v>782</v>
      </c>
    </row>
    <row r="409">
      <c r="A409" s="133"/>
      <c r="B409" s="135" t="s">
        <v>2466</v>
      </c>
      <c r="C409" s="317" t="s">
        <v>2209</v>
      </c>
      <c r="D409" s="52">
        <v>756.0</v>
      </c>
      <c r="E409" s="52">
        <v>814.0</v>
      </c>
      <c r="F409" s="109">
        <f t="shared" si="314"/>
        <v>814.08</v>
      </c>
      <c r="G409" s="248">
        <f t="shared" si="315"/>
        <v>0.07671957672</v>
      </c>
      <c r="H409" s="132">
        <f>VLOOKUP(M409,'NEW PTMT'!$B$4:$E1406,4,0)</f>
        <v>768</v>
      </c>
      <c r="I409" s="134">
        <v>30.0</v>
      </c>
      <c r="J409" s="134">
        <v>120.0</v>
      </c>
      <c r="K409" s="93"/>
      <c r="L409" s="56"/>
      <c r="M409" s="126" t="s">
        <v>783</v>
      </c>
    </row>
    <row r="410">
      <c r="A410" s="133"/>
      <c r="B410" s="111" t="s">
        <v>2467</v>
      </c>
      <c r="C410" s="118" t="s">
        <v>2468</v>
      </c>
      <c r="D410" s="52">
        <v>809.84</v>
      </c>
      <c r="E410" s="52">
        <v>876.0</v>
      </c>
      <c r="F410" s="109">
        <f t="shared" si="314"/>
        <v>875.56</v>
      </c>
      <c r="G410" s="248">
        <f t="shared" si="315"/>
        <v>0.08169514966</v>
      </c>
      <c r="H410" s="132">
        <f>VLOOKUP(M410,'NEW PTMT'!$B$4:$E1406,4,0)</f>
        <v>826</v>
      </c>
      <c r="I410" s="134">
        <v>13.0</v>
      </c>
      <c r="J410" s="134">
        <v>52.0</v>
      </c>
      <c r="K410" s="93"/>
      <c r="L410" s="56"/>
      <c r="M410" s="126" t="s">
        <v>784</v>
      </c>
    </row>
    <row r="411">
      <c r="A411" s="133"/>
      <c r="B411" s="111" t="s">
        <v>2469</v>
      </c>
      <c r="C411" s="118" t="s">
        <v>913</v>
      </c>
      <c r="D411" s="52">
        <v>1725.5952000000002</v>
      </c>
      <c r="E411" s="52">
        <v>1864.0</v>
      </c>
      <c r="F411" s="109">
        <f t="shared" si="314"/>
        <v>1863.48</v>
      </c>
      <c r="G411" s="248">
        <f t="shared" si="315"/>
        <v>0.08020699177</v>
      </c>
      <c r="H411" s="132">
        <f>VLOOKUP(M411,'NEW PTMT'!$B$4:$E1406,4,0)</f>
        <v>1758</v>
      </c>
      <c r="I411" s="134">
        <v>13.0</v>
      </c>
      <c r="J411" s="134">
        <v>52.0</v>
      </c>
      <c r="K411" s="93"/>
      <c r="L411" s="56"/>
      <c r="M411" s="126" t="s">
        <v>785</v>
      </c>
    </row>
    <row r="412">
      <c r="A412" s="133"/>
      <c r="B412" s="111" t="s">
        <v>2470</v>
      </c>
      <c r="C412" s="118" t="s">
        <v>1949</v>
      </c>
      <c r="D412" s="52">
        <v>1666.3200000000002</v>
      </c>
      <c r="E412" s="52">
        <v>1798.0</v>
      </c>
      <c r="F412" s="109">
        <f t="shared" si="314"/>
        <v>1799.88</v>
      </c>
      <c r="G412" s="248">
        <f t="shared" si="315"/>
        <v>0.07902443708</v>
      </c>
      <c r="H412" s="132">
        <f>VLOOKUP(M412,'NEW PTMT'!$B$4:$E1406,4,0)</f>
        <v>1698</v>
      </c>
      <c r="I412" s="134">
        <v>13.0</v>
      </c>
      <c r="J412" s="134">
        <v>52.0</v>
      </c>
      <c r="K412" s="93"/>
      <c r="L412" s="56"/>
      <c r="M412" s="126" t="s">
        <v>786</v>
      </c>
    </row>
    <row r="413">
      <c r="A413" s="133"/>
      <c r="B413" s="111" t="s">
        <v>1209</v>
      </c>
      <c r="C413" s="118" t="s">
        <v>523</v>
      </c>
      <c r="D413" s="52">
        <v>2358.0</v>
      </c>
      <c r="E413" s="52">
        <v>2546.0</v>
      </c>
      <c r="F413" s="109">
        <f t="shared" si="314"/>
        <v>2546.12</v>
      </c>
      <c r="G413" s="248">
        <f t="shared" si="315"/>
        <v>0.07972858355</v>
      </c>
      <c r="H413" s="132">
        <f>VLOOKUP(M413,'NEW PTMT'!$B$4:$E1406,4,0)</f>
        <v>2402</v>
      </c>
      <c r="I413" s="134"/>
      <c r="J413" s="134"/>
      <c r="K413" s="93"/>
      <c r="L413" s="56"/>
      <c r="M413" s="126" t="s">
        <v>787</v>
      </c>
    </row>
    <row r="414">
      <c r="A414" s="133"/>
      <c r="B414" s="123" t="s">
        <v>2471</v>
      </c>
      <c r="C414" s="124" t="s">
        <v>1124</v>
      </c>
      <c r="D414" s="125">
        <v>2034.0</v>
      </c>
      <c r="E414" s="52">
        <v>2196.0</v>
      </c>
      <c r="F414" s="109">
        <f t="shared" si="314"/>
        <v>2196.32</v>
      </c>
      <c r="G414" s="248">
        <f t="shared" si="315"/>
        <v>0.0796460177</v>
      </c>
      <c r="H414" s="132">
        <f>VLOOKUP(M414,'NEW PTMT'!$B$4:$E1406,4,0)</f>
        <v>2072</v>
      </c>
      <c r="I414" s="93">
        <v>6.0</v>
      </c>
      <c r="J414" s="93">
        <v>24.0</v>
      </c>
      <c r="K414" s="93"/>
      <c r="L414" s="56"/>
      <c r="M414" s="126" t="s">
        <v>788</v>
      </c>
    </row>
    <row r="415">
      <c r="A415" s="133"/>
      <c r="B415" s="111" t="s">
        <v>2472</v>
      </c>
      <c r="C415" s="159" t="s">
        <v>395</v>
      </c>
      <c r="D415" s="52">
        <v>366.0</v>
      </c>
      <c r="E415" s="52">
        <v>394.0</v>
      </c>
      <c r="F415" s="109">
        <f t="shared" si="314"/>
        <v>394.32</v>
      </c>
      <c r="G415" s="248">
        <f t="shared" si="315"/>
        <v>0.07650273224</v>
      </c>
      <c r="H415" s="132">
        <f>VLOOKUP(M415,'NEW PTMT'!$B$4:$E1406,4,0)</f>
        <v>372</v>
      </c>
      <c r="I415" s="93">
        <v>66.0</v>
      </c>
      <c r="J415" s="93">
        <v>264.0</v>
      </c>
      <c r="K415" s="93"/>
      <c r="L415" s="56"/>
      <c r="M415" s="126" t="s">
        <v>789</v>
      </c>
    </row>
    <row r="416">
      <c r="A416" s="133"/>
      <c r="B416" s="111" t="s">
        <v>2473</v>
      </c>
      <c r="C416" s="159" t="s">
        <v>359</v>
      </c>
      <c r="D416" s="52">
        <v>669.9200000000001</v>
      </c>
      <c r="E416" s="52">
        <v>726.0</v>
      </c>
      <c r="F416" s="109">
        <f t="shared" si="314"/>
        <v>725.04</v>
      </c>
      <c r="G416" s="248">
        <f t="shared" si="315"/>
        <v>0.08371148794</v>
      </c>
      <c r="H416" s="132">
        <f>VLOOKUP(M416,'NEW PTMT'!$B$4:$E1406,4,0)</f>
        <v>684</v>
      </c>
      <c r="I416" s="93">
        <v>35.0</v>
      </c>
      <c r="J416" s="93">
        <v>140.0</v>
      </c>
      <c r="K416" s="93"/>
      <c r="L416" s="56"/>
      <c r="M416" s="126" t="s">
        <v>790</v>
      </c>
    </row>
    <row r="417">
      <c r="A417" s="133"/>
      <c r="B417" s="111" t="s">
        <v>2474</v>
      </c>
      <c r="C417" s="118" t="s">
        <v>1137</v>
      </c>
      <c r="D417" s="52">
        <v>730.0</v>
      </c>
      <c r="E417" s="52">
        <v>788.0</v>
      </c>
      <c r="F417" s="109">
        <f t="shared" si="314"/>
        <v>788.64</v>
      </c>
      <c r="G417" s="248">
        <f t="shared" si="315"/>
        <v>0.07945205479</v>
      </c>
      <c r="H417" s="132">
        <f>VLOOKUP(M417,'NEW PTMT'!$B$4:$E1406,4,0)</f>
        <v>744</v>
      </c>
      <c r="I417" s="93">
        <v>30.0</v>
      </c>
      <c r="J417" s="93">
        <v>120.0</v>
      </c>
      <c r="K417" s="93"/>
      <c r="L417" s="56"/>
      <c r="M417" s="126" t="s">
        <v>791</v>
      </c>
    </row>
    <row r="418">
      <c r="A418" s="133"/>
      <c r="B418" s="111" t="s">
        <v>2475</v>
      </c>
      <c r="C418" s="118" t="s">
        <v>1141</v>
      </c>
      <c r="D418" s="52">
        <v>775.9200000000001</v>
      </c>
      <c r="E418" s="52">
        <v>838.0</v>
      </c>
      <c r="F418" s="109">
        <f t="shared" si="314"/>
        <v>839.52</v>
      </c>
      <c r="G418" s="248">
        <f t="shared" si="315"/>
        <v>0.08000824827</v>
      </c>
      <c r="H418" s="132">
        <f>VLOOKUP(M418,'NEW PTMT'!$B$4:$E1406,4,0)</f>
        <v>792</v>
      </c>
      <c r="I418" s="93">
        <v>30.0</v>
      </c>
      <c r="J418" s="93">
        <v>120.0</v>
      </c>
      <c r="K418" s="93"/>
      <c r="L418" s="56"/>
      <c r="M418" s="126" t="s">
        <v>792</v>
      </c>
    </row>
    <row r="419">
      <c r="A419" s="133"/>
      <c r="B419" s="135" t="s">
        <v>2476</v>
      </c>
      <c r="C419" s="145" t="s">
        <v>1145</v>
      </c>
      <c r="D419" s="52">
        <v>1646.0</v>
      </c>
      <c r="E419" s="52">
        <v>1778.0</v>
      </c>
      <c r="F419" s="109">
        <f t="shared" si="314"/>
        <v>1776.56</v>
      </c>
      <c r="G419" s="248">
        <f t="shared" si="315"/>
        <v>0.08019441069</v>
      </c>
      <c r="H419" s="132">
        <f>VLOOKUP(M419,'NEW PTMT'!$B$4:$E1406,4,0)</f>
        <v>1676</v>
      </c>
      <c r="I419" s="134">
        <v>14.0</v>
      </c>
      <c r="J419" s="134">
        <v>56.0</v>
      </c>
      <c r="K419" s="93"/>
      <c r="L419" s="56"/>
      <c r="M419" s="126" t="s">
        <v>793</v>
      </c>
    </row>
    <row r="420" ht="18.75" customHeight="1">
      <c r="A420" s="133"/>
      <c r="B420" s="149"/>
      <c r="C420" s="204"/>
      <c r="D420" s="259"/>
      <c r="E420" s="109"/>
      <c r="F420" s="109"/>
      <c r="G420" s="248"/>
      <c r="H420" s="115"/>
      <c r="I420" s="93"/>
      <c r="J420" s="93"/>
      <c r="K420" s="93"/>
      <c r="L420" s="56"/>
      <c r="M420" s="91"/>
    </row>
    <row r="421" ht="18.75" customHeight="1">
      <c r="A421" s="133"/>
      <c r="B421" s="107" t="s">
        <v>1202</v>
      </c>
      <c r="C421" s="166"/>
      <c r="D421" s="272"/>
      <c r="E421" s="109"/>
      <c r="F421" s="109"/>
      <c r="G421" s="248"/>
      <c r="H421" s="115"/>
      <c r="I421" s="93"/>
      <c r="J421" s="93"/>
      <c r="K421" s="93"/>
      <c r="L421" s="56"/>
      <c r="M421" s="91"/>
    </row>
    <row r="422">
      <c r="A422" s="133"/>
      <c r="B422" s="111" t="s">
        <v>2478</v>
      </c>
      <c r="C422" s="145" t="s">
        <v>773</v>
      </c>
      <c r="D422" s="52">
        <f t="shared" ref="D422:E422" si="316">D401</f>
        <v>383.72</v>
      </c>
      <c r="E422" s="52">
        <f t="shared" si="316"/>
        <v>416</v>
      </c>
      <c r="F422" s="109"/>
      <c r="G422" s="248">
        <f t="shared" ref="G422:G440" si="318">IFERROR(DIVIDE(MINUS(E422,D422),D422),)</f>
        <v>0.0841238403</v>
      </c>
      <c r="H422" s="115"/>
      <c r="I422" s="93">
        <v>48.0</v>
      </c>
      <c r="J422" s="93">
        <v>192.0</v>
      </c>
      <c r="K422" s="93"/>
      <c r="L422" s="56"/>
      <c r="M422" s="91"/>
    </row>
    <row r="423">
      <c r="A423" s="133"/>
      <c r="B423" s="135" t="s">
        <v>2480</v>
      </c>
      <c r="C423" s="141" t="s">
        <v>748</v>
      </c>
      <c r="D423" s="52">
        <f t="shared" ref="D423:E423" si="317">D402</f>
        <v>383.72</v>
      </c>
      <c r="E423" s="52">
        <f t="shared" si="317"/>
        <v>416</v>
      </c>
      <c r="F423" s="109"/>
      <c r="G423" s="248">
        <f t="shared" si="318"/>
        <v>0.0841238403</v>
      </c>
      <c r="H423" s="115"/>
      <c r="I423" s="93">
        <v>33.0</v>
      </c>
      <c r="J423" s="93">
        <v>132.0</v>
      </c>
      <c r="K423" s="93"/>
      <c r="L423" s="56"/>
      <c r="M423" s="91"/>
    </row>
    <row r="424">
      <c r="A424" s="133"/>
      <c r="B424" s="111" t="s">
        <v>2481</v>
      </c>
      <c r="C424" s="118" t="s">
        <v>748</v>
      </c>
      <c r="D424" s="52">
        <f t="shared" ref="D424:E424" si="319">D403</f>
        <v>416</v>
      </c>
      <c r="E424" s="52">
        <f t="shared" si="319"/>
        <v>448</v>
      </c>
      <c r="F424" s="109"/>
      <c r="G424" s="248">
        <f t="shared" si="318"/>
        <v>0.07692307692</v>
      </c>
      <c r="H424" s="115"/>
      <c r="I424" s="93">
        <v>33.0</v>
      </c>
      <c r="J424" s="93">
        <v>132.0</v>
      </c>
      <c r="K424" s="93"/>
      <c r="L424" s="56"/>
      <c r="M424" s="91"/>
    </row>
    <row r="425">
      <c r="A425" s="133"/>
      <c r="B425" s="111" t="s">
        <v>2482</v>
      </c>
      <c r="C425" s="118" t="s">
        <v>2460</v>
      </c>
      <c r="D425" s="52">
        <f t="shared" ref="D425:E425" si="320">D404</f>
        <v>406</v>
      </c>
      <c r="E425" s="52">
        <f t="shared" si="320"/>
        <v>438</v>
      </c>
      <c r="F425" s="109"/>
      <c r="G425" s="248">
        <f t="shared" si="318"/>
        <v>0.07881773399</v>
      </c>
      <c r="H425" s="115"/>
      <c r="I425" s="93">
        <v>60.0</v>
      </c>
      <c r="J425" s="93">
        <v>240.0</v>
      </c>
      <c r="K425" s="93"/>
      <c r="L425" s="56"/>
      <c r="M425" s="91"/>
    </row>
    <row r="426">
      <c r="A426" s="133"/>
      <c r="B426" s="111" t="s">
        <v>2483</v>
      </c>
      <c r="C426" s="118" t="s">
        <v>666</v>
      </c>
      <c r="D426" s="52">
        <f t="shared" ref="D426:E426" si="321">D405</f>
        <v>724</v>
      </c>
      <c r="E426" s="52">
        <f t="shared" si="321"/>
        <v>782</v>
      </c>
      <c r="F426" s="109"/>
      <c r="G426" s="248">
        <f t="shared" si="318"/>
        <v>0.08011049724</v>
      </c>
      <c r="H426" s="115"/>
      <c r="I426" s="93">
        <v>30.0</v>
      </c>
      <c r="J426" s="93">
        <v>120.0</v>
      </c>
      <c r="K426" s="93"/>
      <c r="L426" s="56"/>
      <c r="M426" s="91"/>
    </row>
    <row r="427">
      <c r="A427" s="133"/>
      <c r="B427" s="111" t="s">
        <v>2485</v>
      </c>
      <c r="C427" s="118" t="s">
        <v>682</v>
      </c>
      <c r="D427" s="52">
        <f t="shared" ref="D427:E427" si="322">D406</f>
        <v>493.96</v>
      </c>
      <c r="E427" s="52">
        <f t="shared" si="322"/>
        <v>534</v>
      </c>
      <c r="F427" s="109"/>
      <c r="G427" s="248">
        <f t="shared" si="318"/>
        <v>0.08105919508</v>
      </c>
      <c r="H427" s="115"/>
      <c r="I427" s="93">
        <v>33.0</v>
      </c>
      <c r="J427" s="93">
        <v>132.0</v>
      </c>
      <c r="K427" s="93"/>
      <c r="L427" s="56"/>
      <c r="M427" s="91"/>
    </row>
    <row r="428">
      <c r="A428" s="133"/>
      <c r="B428" s="111" t="s">
        <v>2488</v>
      </c>
      <c r="C428" s="118" t="s">
        <v>781</v>
      </c>
      <c r="D428" s="52">
        <f t="shared" ref="D428:E428" si="323">D407</f>
        <v>493.96</v>
      </c>
      <c r="E428" s="52">
        <f t="shared" si="323"/>
        <v>534</v>
      </c>
      <c r="F428" s="109"/>
      <c r="G428" s="248">
        <f t="shared" si="318"/>
        <v>0.08105919508</v>
      </c>
      <c r="H428" s="115"/>
      <c r="I428" s="93">
        <v>33.0</v>
      </c>
      <c r="J428" s="93">
        <v>132.0</v>
      </c>
      <c r="K428" s="93"/>
      <c r="L428" s="56"/>
      <c r="M428" s="91"/>
    </row>
    <row r="429">
      <c r="A429" s="133"/>
      <c r="B429" s="111" t="s">
        <v>2491</v>
      </c>
      <c r="C429" s="118" t="s">
        <v>2465</v>
      </c>
      <c r="D429" s="52">
        <f t="shared" ref="D429:E429" si="324">D408</f>
        <v>809.84</v>
      </c>
      <c r="E429" s="52">
        <f t="shared" si="324"/>
        <v>876</v>
      </c>
      <c r="F429" s="109"/>
      <c r="G429" s="248">
        <f t="shared" si="318"/>
        <v>0.08169514966</v>
      </c>
      <c r="H429" s="115"/>
      <c r="I429" s="93">
        <v>13.0</v>
      </c>
      <c r="J429" s="93">
        <v>52.0</v>
      </c>
      <c r="K429" s="93"/>
      <c r="L429" s="56"/>
      <c r="M429" s="91"/>
    </row>
    <row r="430">
      <c r="A430" s="133"/>
      <c r="B430" s="135" t="s">
        <v>2493</v>
      </c>
      <c r="C430" s="317" t="s">
        <v>2209</v>
      </c>
      <c r="D430" s="52">
        <f t="shared" ref="D430:E430" si="325">D409</f>
        <v>756</v>
      </c>
      <c r="E430" s="52">
        <f t="shared" si="325"/>
        <v>814</v>
      </c>
      <c r="F430" s="109"/>
      <c r="G430" s="248">
        <f t="shared" si="318"/>
        <v>0.07671957672</v>
      </c>
      <c r="H430" s="115"/>
      <c r="I430" s="134">
        <v>30.0</v>
      </c>
      <c r="J430" s="134">
        <v>120.0</v>
      </c>
      <c r="K430" s="93"/>
      <c r="L430" s="56"/>
      <c r="M430" s="91"/>
    </row>
    <row r="431">
      <c r="A431" s="133"/>
      <c r="B431" s="111" t="s">
        <v>2494</v>
      </c>
      <c r="C431" s="118" t="s">
        <v>2468</v>
      </c>
      <c r="D431" s="52">
        <f t="shared" ref="D431:E431" si="326">D410</f>
        <v>809.84</v>
      </c>
      <c r="E431" s="52">
        <f t="shared" si="326"/>
        <v>876</v>
      </c>
      <c r="F431" s="109"/>
      <c r="G431" s="248">
        <f t="shared" si="318"/>
        <v>0.08169514966</v>
      </c>
      <c r="H431" s="115"/>
      <c r="I431" s="134">
        <v>13.0</v>
      </c>
      <c r="J431" s="134">
        <v>52.0</v>
      </c>
      <c r="K431" s="93"/>
      <c r="L431" s="56"/>
      <c r="M431" s="91"/>
    </row>
    <row r="432">
      <c r="A432" s="133"/>
      <c r="B432" s="111" t="s">
        <v>2495</v>
      </c>
      <c r="C432" s="118" t="s">
        <v>913</v>
      </c>
      <c r="D432" s="52">
        <f t="shared" ref="D432:E432" si="327">D411</f>
        <v>1725.5952</v>
      </c>
      <c r="E432" s="52">
        <f t="shared" si="327"/>
        <v>1864</v>
      </c>
      <c r="F432" s="109"/>
      <c r="G432" s="248">
        <f t="shared" si="318"/>
        <v>0.08020699177</v>
      </c>
      <c r="H432" s="115"/>
      <c r="I432" s="134">
        <v>13.0</v>
      </c>
      <c r="J432" s="134">
        <v>52.0</v>
      </c>
      <c r="K432" s="93"/>
      <c r="L432" s="56"/>
      <c r="M432" s="91"/>
    </row>
    <row r="433">
      <c r="A433" s="133"/>
      <c r="B433" s="111" t="s">
        <v>2496</v>
      </c>
      <c r="C433" s="118" t="s">
        <v>1949</v>
      </c>
      <c r="D433" s="52">
        <f t="shared" ref="D433:E433" si="328">D412</f>
        <v>1666.32</v>
      </c>
      <c r="E433" s="52">
        <f t="shared" si="328"/>
        <v>1798</v>
      </c>
      <c r="F433" s="109"/>
      <c r="G433" s="248">
        <f t="shared" si="318"/>
        <v>0.07902443708</v>
      </c>
      <c r="H433" s="115"/>
      <c r="I433" s="134">
        <v>13.0</v>
      </c>
      <c r="J433" s="134">
        <v>52.0</v>
      </c>
      <c r="K433" s="93"/>
      <c r="L433" s="56"/>
      <c r="M433" s="91"/>
    </row>
    <row r="434">
      <c r="A434" s="133"/>
      <c r="B434" s="111" t="s">
        <v>1203</v>
      </c>
      <c r="C434" s="118" t="s">
        <v>523</v>
      </c>
      <c r="D434" s="52">
        <f t="shared" ref="D434:E434" si="329">D413</f>
        <v>2358</v>
      </c>
      <c r="E434" s="52">
        <f t="shared" si="329"/>
        <v>2546</v>
      </c>
      <c r="F434" s="109"/>
      <c r="G434" s="248">
        <f t="shared" si="318"/>
        <v>0.07972858355</v>
      </c>
      <c r="H434" s="115"/>
      <c r="I434" s="134"/>
      <c r="J434" s="134"/>
      <c r="K434" s="93"/>
      <c r="L434" s="56"/>
      <c r="M434" s="91"/>
    </row>
    <row r="435">
      <c r="A435" s="133"/>
      <c r="B435" s="123" t="s">
        <v>2498</v>
      </c>
      <c r="C435" s="124" t="s">
        <v>1124</v>
      </c>
      <c r="D435" s="52">
        <f t="shared" ref="D435:E435" si="330">D414</f>
        <v>2034</v>
      </c>
      <c r="E435" s="52">
        <f t="shared" si="330"/>
        <v>2196</v>
      </c>
      <c r="F435" s="109"/>
      <c r="G435" s="248">
        <f t="shared" si="318"/>
        <v>0.0796460177</v>
      </c>
      <c r="H435" s="115"/>
      <c r="I435" s="93">
        <v>6.0</v>
      </c>
      <c r="J435" s="93">
        <v>24.0</v>
      </c>
      <c r="K435" s="93"/>
      <c r="L435" s="56"/>
      <c r="M435" s="91"/>
    </row>
    <row r="436">
      <c r="A436" s="133"/>
      <c r="B436" s="111" t="s">
        <v>2499</v>
      </c>
      <c r="C436" s="159" t="s">
        <v>395</v>
      </c>
      <c r="D436" s="52">
        <f t="shared" ref="D436:E436" si="331">D415</f>
        <v>366</v>
      </c>
      <c r="E436" s="52">
        <f t="shared" si="331"/>
        <v>394</v>
      </c>
      <c r="F436" s="109"/>
      <c r="G436" s="248">
        <f t="shared" si="318"/>
        <v>0.07650273224</v>
      </c>
      <c r="H436" s="115"/>
      <c r="I436" s="93">
        <v>66.0</v>
      </c>
      <c r="J436" s="93">
        <v>264.0</v>
      </c>
      <c r="K436" s="93"/>
      <c r="L436" s="56"/>
      <c r="M436" s="91"/>
    </row>
    <row r="437">
      <c r="A437" s="133"/>
      <c r="B437" s="111" t="s">
        <v>2500</v>
      </c>
      <c r="C437" s="159" t="s">
        <v>359</v>
      </c>
      <c r="D437" s="52">
        <f t="shared" ref="D437:E437" si="332">D416</f>
        <v>669.92</v>
      </c>
      <c r="E437" s="52">
        <f t="shared" si="332"/>
        <v>726</v>
      </c>
      <c r="F437" s="109"/>
      <c r="G437" s="248">
        <f t="shared" si="318"/>
        <v>0.08371148794</v>
      </c>
      <c r="H437" s="93"/>
      <c r="I437" s="93">
        <v>35.0</v>
      </c>
      <c r="J437" s="93">
        <v>140.0</v>
      </c>
      <c r="K437" s="93"/>
      <c r="L437" s="56"/>
      <c r="M437" s="91"/>
    </row>
    <row r="438">
      <c r="A438" s="133"/>
      <c r="B438" s="111" t="s">
        <v>2501</v>
      </c>
      <c r="C438" s="118" t="s">
        <v>1137</v>
      </c>
      <c r="D438" s="52">
        <f t="shared" ref="D438:E438" si="333">D417</f>
        <v>730</v>
      </c>
      <c r="E438" s="52">
        <f t="shared" si="333"/>
        <v>788</v>
      </c>
      <c r="F438" s="109"/>
      <c r="G438" s="248">
        <f t="shared" si="318"/>
        <v>0.07945205479</v>
      </c>
      <c r="H438" s="93"/>
      <c r="I438" s="93">
        <v>30.0</v>
      </c>
      <c r="J438" s="93">
        <v>120.0</v>
      </c>
      <c r="K438" s="93"/>
      <c r="L438" s="56"/>
      <c r="M438" s="91"/>
    </row>
    <row r="439">
      <c r="A439" s="133"/>
      <c r="B439" s="111" t="s">
        <v>2503</v>
      </c>
      <c r="C439" s="118" t="s">
        <v>1141</v>
      </c>
      <c r="D439" s="52">
        <f t="shared" ref="D439:E439" si="334">D418</f>
        <v>775.92</v>
      </c>
      <c r="E439" s="52">
        <f t="shared" si="334"/>
        <v>838</v>
      </c>
      <c r="F439" s="109"/>
      <c r="G439" s="248">
        <f t="shared" si="318"/>
        <v>0.08000824827</v>
      </c>
      <c r="H439" s="115"/>
      <c r="I439" s="93">
        <v>30.0</v>
      </c>
      <c r="J439" s="93">
        <v>120.0</v>
      </c>
      <c r="K439" s="93"/>
      <c r="L439" s="56"/>
      <c r="M439" s="91"/>
    </row>
    <row r="440">
      <c r="A440" s="133"/>
      <c r="B440" s="135" t="s">
        <v>2504</v>
      </c>
      <c r="C440" s="145" t="s">
        <v>1145</v>
      </c>
      <c r="D440" s="52">
        <f t="shared" ref="D440:E440" si="335">D419</f>
        <v>1646</v>
      </c>
      <c r="E440" s="52">
        <f t="shared" si="335"/>
        <v>1778</v>
      </c>
      <c r="F440" s="109"/>
      <c r="G440" s="248">
        <f t="shared" si="318"/>
        <v>0.08019441069</v>
      </c>
      <c r="H440" s="115"/>
      <c r="I440" s="134">
        <v>14.0</v>
      </c>
      <c r="J440" s="134">
        <v>56.0</v>
      </c>
      <c r="K440" s="93"/>
      <c r="L440" s="56"/>
      <c r="M440" s="91"/>
    </row>
    <row r="441" ht="18.75" customHeight="1">
      <c r="A441" s="133"/>
      <c r="B441" s="149"/>
      <c r="C441" s="204"/>
      <c r="D441" s="259"/>
      <c r="E441" s="109"/>
      <c r="F441" s="109"/>
      <c r="G441" s="248"/>
      <c r="H441" s="115"/>
      <c r="I441" s="93"/>
      <c r="J441" s="93"/>
      <c r="K441" s="93"/>
      <c r="L441" s="56"/>
      <c r="M441" s="91"/>
    </row>
    <row r="442" ht="18.75" customHeight="1">
      <c r="A442" s="133"/>
      <c r="B442" s="107" t="s">
        <v>1220</v>
      </c>
      <c r="C442" s="166"/>
      <c r="D442" s="272"/>
      <c r="E442" s="109"/>
      <c r="F442" s="109"/>
      <c r="G442" s="248"/>
      <c r="H442" s="115"/>
      <c r="I442" s="93"/>
      <c r="J442" s="93"/>
      <c r="K442" s="93"/>
      <c r="L442" s="56"/>
      <c r="M442" s="91"/>
    </row>
    <row r="443">
      <c r="A443" s="133"/>
      <c r="B443" s="111" t="s">
        <v>2506</v>
      </c>
      <c r="C443" s="145" t="s">
        <v>773</v>
      </c>
      <c r="D443" s="52">
        <f t="shared" ref="D443:E443" si="336">D422</f>
        <v>383.72</v>
      </c>
      <c r="E443" s="52">
        <f t="shared" si="336"/>
        <v>416</v>
      </c>
      <c r="F443" s="109"/>
      <c r="G443" s="248">
        <f t="shared" ref="G443:G461" si="338">IFERROR(DIVIDE(MINUS(E443,D443),D443),)</f>
        <v>0.0841238403</v>
      </c>
      <c r="H443" s="115"/>
      <c r="I443" s="93">
        <v>48.0</v>
      </c>
      <c r="J443" s="93">
        <v>192.0</v>
      </c>
      <c r="K443" s="93"/>
      <c r="L443" s="56"/>
      <c r="M443" s="91"/>
    </row>
    <row r="444">
      <c r="A444" s="133"/>
      <c r="B444" s="135" t="s">
        <v>2507</v>
      </c>
      <c r="C444" s="141" t="s">
        <v>748</v>
      </c>
      <c r="D444" s="52">
        <f t="shared" ref="D444:E444" si="337">D423</f>
        <v>383.72</v>
      </c>
      <c r="E444" s="52">
        <f t="shared" si="337"/>
        <v>416</v>
      </c>
      <c r="F444" s="109"/>
      <c r="G444" s="248">
        <f t="shared" si="338"/>
        <v>0.0841238403</v>
      </c>
      <c r="H444" s="115"/>
      <c r="I444" s="93">
        <v>33.0</v>
      </c>
      <c r="J444" s="93">
        <v>132.0</v>
      </c>
      <c r="K444" s="93"/>
      <c r="L444" s="56"/>
      <c r="M444" s="91"/>
    </row>
    <row r="445">
      <c r="A445" s="133"/>
      <c r="B445" s="111" t="s">
        <v>2509</v>
      </c>
      <c r="C445" s="118" t="s">
        <v>748</v>
      </c>
      <c r="D445" s="52">
        <f t="shared" ref="D445:E445" si="339">D424</f>
        <v>416</v>
      </c>
      <c r="E445" s="52">
        <f t="shared" si="339"/>
        <v>448</v>
      </c>
      <c r="F445" s="109"/>
      <c r="G445" s="248">
        <f t="shared" si="338"/>
        <v>0.07692307692</v>
      </c>
      <c r="H445" s="115"/>
      <c r="I445" s="93">
        <v>33.0</v>
      </c>
      <c r="J445" s="93">
        <v>132.0</v>
      </c>
      <c r="K445" s="93"/>
      <c r="L445" s="56"/>
      <c r="M445" s="91"/>
    </row>
    <row r="446">
      <c r="A446" s="133"/>
      <c r="B446" s="111" t="s">
        <v>2510</v>
      </c>
      <c r="C446" s="118" t="s">
        <v>2460</v>
      </c>
      <c r="D446" s="52">
        <f t="shared" ref="D446:E446" si="340">D425</f>
        <v>406</v>
      </c>
      <c r="E446" s="52">
        <f t="shared" si="340"/>
        <v>438</v>
      </c>
      <c r="F446" s="109"/>
      <c r="G446" s="248">
        <f t="shared" si="338"/>
        <v>0.07881773399</v>
      </c>
      <c r="H446" s="115"/>
      <c r="I446" s="93">
        <v>60.0</v>
      </c>
      <c r="J446" s="93">
        <v>240.0</v>
      </c>
      <c r="K446" s="93"/>
      <c r="L446" s="56"/>
      <c r="M446" s="91"/>
    </row>
    <row r="447">
      <c r="A447" s="133"/>
      <c r="B447" s="111" t="s">
        <v>2511</v>
      </c>
      <c r="C447" s="118" t="s">
        <v>666</v>
      </c>
      <c r="D447" s="52">
        <f t="shared" ref="D447:E447" si="341">D426</f>
        <v>724</v>
      </c>
      <c r="E447" s="52">
        <f t="shared" si="341"/>
        <v>782</v>
      </c>
      <c r="F447" s="109"/>
      <c r="G447" s="248">
        <f t="shared" si="338"/>
        <v>0.08011049724</v>
      </c>
      <c r="H447" s="115"/>
      <c r="I447" s="93">
        <v>30.0</v>
      </c>
      <c r="J447" s="93">
        <v>120.0</v>
      </c>
      <c r="K447" s="93"/>
      <c r="L447" s="56"/>
      <c r="M447" s="91"/>
    </row>
    <row r="448">
      <c r="A448" s="133"/>
      <c r="B448" s="111" t="s">
        <v>2512</v>
      </c>
      <c r="C448" s="118" t="s">
        <v>682</v>
      </c>
      <c r="D448" s="52">
        <f t="shared" ref="D448:E448" si="342">D427</f>
        <v>493.96</v>
      </c>
      <c r="E448" s="52">
        <f t="shared" si="342"/>
        <v>534</v>
      </c>
      <c r="F448" s="109"/>
      <c r="G448" s="248">
        <f t="shared" si="338"/>
        <v>0.08105919508</v>
      </c>
      <c r="H448" s="115"/>
      <c r="I448" s="93">
        <v>33.0</v>
      </c>
      <c r="J448" s="93">
        <v>132.0</v>
      </c>
      <c r="K448" s="93"/>
      <c r="L448" s="56"/>
      <c r="M448" s="91"/>
    </row>
    <row r="449">
      <c r="A449" s="133"/>
      <c r="B449" s="111" t="s">
        <v>2514</v>
      </c>
      <c r="C449" s="118" t="s">
        <v>781</v>
      </c>
      <c r="D449" s="52">
        <f t="shared" ref="D449:E449" si="343">D428</f>
        <v>493.96</v>
      </c>
      <c r="E449" s="52">
        <f t="shared" si="343"/>
        <v>534</v>
      </c>
      <c r="F449" s="109"/>
      <c r="G449" s="248">
        <f t="shared" si="338"/>
        <v>0.08105919508</v>
      </c>
      <c r="H449" s="115"/>
      <c r="I449" s="93">
        <v>33.0</v>
      </c>
      <c r="J449" s="93">
        <v>132.0</v>
      </c>
      <c r="K449" s="93"/>
      <c r="L449" s="56"/>
      <c r="M449" s="91"/>
    </row>
    <row r="450">
      <c r="A450" s="133"/>
      <c r="B450" s="111" t="s">
        <v>2515</v>
      </c>
      <c r="C450" s="118" t="s">
        <v>2465</v>
      </c>
      <c r="D450" s="52">
        <f t="shared" ref="D450:E450" si="344">D429</f>
        <v>809.84</v>
      </c>
      <c r="E450" s="52">
        <f t="shared" si="344"/>
        <v>876</v>
      </c>
      <c r="F450" s="109"/>
      <c r="G450" s="248">
        <f t="shared" si="338"/>
        <v>0.08169514966</v>
      </c>
      <c r="H450" s="115"/>
      <c r="I450" s="93">
        <v>13.0</v>
      </c>
      <c r="J450" s="93">
        <v>52.0</v>
      </c>
      <c r="K450" s="93"/>
      <c r="L450" s="56"/>
      <c r="M450" s="91"/>
    </row>
    <row r="451">
      <c r="A451" s="133"/>
      <c r="B451" s="135" t="s">
        <v>2516</v>
      </c>
      <c r="C451" s="317" t="s">
        <v>2209</v>
      </c>
      <c r="D451" s="52">
        <f t="shared" ref="D451:E451" si="345">D430</f>
        <v>756</v>
      </c>
      <c r="E451" s="52">
        <f t="shared" si="345"/>
        <v>814</v>
      </c>
      <c r="F451" s="109"/>
      <c r="G451" s="248">
        <f t="shared" si="338"/>
        <v>0.07671957672</v>
      </c>
      <c r="H451" s="115"/>
      <c r="I451" s="134">
        <v>30.0</v>
      </c>
      <c r="J451" s="134">
        <v>120.0</v>
      </c>
      <c r="K451" s="93"/>
      <c r="L451" s="56"/>
      <c r="M451" s="91"/>
    </row>
    <row r="452">
      <c r="A452" s="133"/>
      <c r="B452" s="111" t="s">
        <v>2517</v>
      </c>
      <c r="C452" s="118" t="s">
        <v>2468</v>
      </c>
      <c r="D452" s="52">
        <f t="shared" ref="D452:E452" si="346">D431</f>
        <v>809.84</v>
      </c>
      <c r="E452" s="52">
        <f t="shared" si="346"/>
        <v>876</v>
      </c>
      <c r="F452" s="109"/>
      <c r="G452" s="248">
        <f t="shared" si="338"/>
        <v>0.08169514966</v>
      </c>
      <c r="H452" s="115"/>
      <c r="I452" s="134">
        <v>13.0</v>
      </c>
      <c r="J452" s="134">
        <v>52.0</v>
      </c>
      <c r="K452" s="93"/>
      <c r="L452" s="56"/>
      <c r="M452" s="91"/>
    </row>
    <row r="453">
      <c r="A453" s="133"/>
      <c r="B453" s="111" t="s">
        <v>2519</v>
      </c>
      <c r="C453" s="118" t="s">
        <v>913</v>
      </c>
      <c r="D453" s="52">
        <f t="shared" ref="D453:E453" si="347">D432</f>
        <v>1725.5952</v>
      </c>
      <c r="E453" s="52">
        <f t="shared" si="347"/>
        <v>1864</v>
      </c>
      <c r="F453" s="109"/>
      <c r="G453" s="248">
        <f t="shared" si="338"/>
        <v>0.08020699177</v>
      </c>
      <c r="H453" s="115"/>
      <c r="I453" s="134">
        <v>13.0</v>
      </c>
      <c r="J453" s="134">
        <v>52.0</v>
      </c>
      <c r="K453" s="93"/>
      <c r="L453" s="56"/>
      <c r="M453" s="91"/>
    </row>
    <row r="454">
      <c r="A454" s="133"/>
      <c r="B454" s="111" t="s">
        <v>2520</v>
      </c>
      <c r="C454" s="118" t="s">
        <v>1949</v>
      </c>
      <c r="D454" s="52">
        <f t="shared" ref="D454:E454" si="348">D433</f>
        <v>1666.32</v>
      </c>
      <c r="E454" s="52">
        <f t="shared" si="348"/>
        <v>1798</v>
      </c>
      <c r="F454" s="109"/>
      <c r="G454" s="248">
        <f t="shared" si="338"/>
        <v>0.07902443708</v>
      </c>
      <c r="H454" s="115"/>
      <c r="I454" s="134">
        <v>13.0</v>
      </c>
      <c r="J454" s="134">
        <v>52.0</v>
      </c>
      <c r="K454" s="93"/>
      <c r="L454" s="56"/>
      <c r="M454" s="91"/>
    </row>
    <row r="455">
      <c r="A455" s="133"/>
      <c r="B455" s="111" t="s">
        <v>1221</v>
      </c>
      <c r="C455" s="118" t="s">
        <v>523</v>
      </c>
      <c r="D455" s="52">
        <f t="shared" ref="D455:E455" si="349">D434</f>
        <v>2358</v>
      </c>
      <c r="E455" s="52">
        <f t="shared" si="349"/>
        <v>2546</v>
      </c>
      <c r="F455" s="109"/>
      <c r="G455" s="248">
        <f t="shared" si="338"/>
        <v>0.07972858355</v>
      </c>
      <c r="H455" s="115"/>
      <c r="I455" s="134"/>
      <c r="J455" s="134"/>
      <c r="K455" s="93"/>
      <c r="L455" s="56"/>
      <c r="M455" s="91"/>
    </row>
    <row r="456">
      <c r="A456" s="133"/>
      <c r="B456" s="123" t="s">
        <v>2522</v>
      </c>
      <c r="C456" s="124" t="s">
        <v>1124</v>
      </c>
      <c r="D456" s="52">
        <f t="shared" ref="D456:E456" si="350">D435</f>
        <v>2034</v>
      </c>
      <c r="E456" s="52">
        <f t="shared" si="350"/>
        <v>2196</v>
      </c>
      <c r="F456" s="109"/>
      <c r="G456" s="248">
        <f t="shared" si="338"/>
        <v>0.0796460177</v>
      </c>
      <c r="H456" s="115"/>
      <c r="I456" s="93">
        <v>6.0</v>
      </c>
      <c r="J456" s="93">
        <v>24.0</v>
      </c>
      <c r="K456" s="93"/>
      <c r="L456" s="56"/>
      <c r="M456" s="91"/>
    </row>
    <row r="457">
      <c r="A457" s="133"/>
      <c r="B457" s="111" t="s">
        <v>2523</v>
      </c>
      <c r="C457" s="159" t="s">
        <v>395</v>
      </c>
      <c r="D457" s="52">
        <f t="shared" ref="D457:E457" si="351">D436</f>
        <v>366</v>
      </c>
      <c r="E457" s="52">
        <f t="shared" si="351"/>
        <v>394</v>
      </c>
      <c r="F457" s="109"/>
      <c r="G457" s="248">
        <f t="shared" si="338"/>
        <v>0.07650273224</v>
      </c>
      <c r="H457" s="115"/>
      <c r="I457" s="93">
        <v>66.0</v>
      </c>
      <c r="J457" s="93">
        <v>264.0</v>
      </c>
      <c r="K457" s="93"/>
      <c r="L457" s="56"/>
      <c r="M457" s="91"/>
    </row>
    <row r="458">
      <c r="A458" s="133"/>
      <c r="B458" s="111" t="s">
        <v>2524</v>
      </c>
      <c r="C458" s="159" t="s">
        <v>359</v>
      </c>
      <c r="D458" s="52">
        <f t="shared" ref="D458:E458" si="352">D437</f>
        <v>669.92</v>
      </c>
      <c r="E458" s="52">
        <f t="shared" si="352"/>
        <v>726</v>
      </c>
      <c r="F458" s="109"/>
      <c r="G458" s="248">
        <f t="shared" si="338"/>
        <v>0.08371148794</v>
      </c>
      <c r="H458" s="93"/>
      <c r="I458" s="93">
        <v>35.0</v>
      </c>
      <c r="J458" s="93">
        <v>140.0</v>
      </c>
      <c r="K458" s="93"/>
      <c r="L458" s="56"/>
      <c r="M458" s="91"/>
    </row>
    <row r="459">
      <c r="A459" s="133"/>
      <c r="B459" s="111" t="s">
        <v>2525</v>
      </c>
      <c r="C459" s="118" t="s">
        <v>1137</v>
      </c>
      <c r="D459" s="52">
        <f t="shared" ref="D459:E459" si="353">D438</f>
        <v>730</v>
      </c>
      <c r="E459" s="52">
        <f t="shared" si="353"/>
        <v>788</v>
      </c>
      <c r="F459" s="109"/>
      <c r="G459" s="248">
        <f t="shared" si="338"/>
        <v>0.07945205479</v>
      </c>
      <c r="H459" s="93"/>
      <c r="I459" s="93">
        <v>30.0</v>
      </c>
      <c r="J459" s="93">
        <v>120.0</v>
      </c>
      <c r="K459" s="93"/>
      <c r="L459" s="56"/>
      <c r="M459" s="91"/>
    </row>
    <row r="460">
      <c r="A460" s="133"/>
      <c r="B460" s="111" t="s">
        <v>2526</v>
      </c>
      <c r="C460" s="118" t="s">
        <v>1141</v>
      </c>
      <c r="D460" s="52">
        <f t="shared" ref="D460:E460" si="354">D439</f>
        <v>775.92</v>
      </c>
      <c r="E460" s="52">
        <f t="shared" si="354"/>
        <v>838</v>
      </c>
      <c r="F460" s="109"/>
      <c r="G460" s="248">
        <f t="shared" si="338"/>
        <v>0.08000824827</v>
      </c>
      <c r="H460" s="115"/>
      <c r="I460" s="93">
        <v>30.0</v>
      </c>
      <c r="J460" s="93">
        <v>120.0</v>
      </c>
      <c r="K460" s="93"/>
      <c r="L460" s="56"/>
      <c r="M460" s="91"/>
    </row>
    <row r="461">
      <c r="A461" s="133"/>
      <c r="B461" s="135" t="s">
        <v>2528</v>
      </c>
      <c r="C461" s="145" t="s">
        <v>1145</v>
      </c>
      <c r="D461" s="52">
        <f t="shared" ref="D461:E461" si="355">D440</f>
        <v>1646</v>
      </c>
      <c r="E461" s="52">
        <f t="shared" si="355"/>
        <v>1778</v>
      </c>
      <c r="F461" s="109"/>
      <c r="G461" s="248">
        <f t="shared" si="338"/>
        <v>0.08019441069</v>
      </c>
      <c r="H461" s="115"/>
      <c r="I461" s="134">
        <v>14.0</v>
      </c>
      <c r="J461" s="134">
        <v>56.0</v>
      </c>
      <c r="K461" s="93"/>
      <c r="L461" s="56"/>
      <c r="M461" s="91"/>
    </row>
    <row r="462" ht="18.75" customHeight="1">
      <c r="A462" s="133"/>
      <c r="B462" s="149"/>
      <c r="C462" s="204"/>
      <c r="D462" s="109"/>
      <c r="E462" s="109"/>
      <c r="F462" s="109"/>
      <c r="G462" s="248"/>
      <c r="H462" s="115"/>
      <c r="I462" s="93"/>
      <c r="J462" s="93"/>
      <c r="K462" s="93"/>
      <c r="L462" s="56"/>
      <c r="M462" s="91"/>
    </row>
    <row r="463" ht="18.75" customHeight="1">
      <c r="A463" s="133"/>
      <c r="B463" s="107" t="s">
        <v>1214</v>
      </c>
      <c r="C463" s="166"/>
      <c r="D463" s="109"/>
      <c r="E463" s="109"/>
      <c r="F463" s="109"/>
      <c r="G463" s="248"/>
      <c r="H463" s="115"/>
      <c r="I463" s="93"/>
      <c r="J463" s="93"/>
      <c r="K463" s="93"/>
      <c r="L463" s="56"/>
      <c r="M463" s="91"/>
    </row>
    <row r="464">
      <c r="A464" s="133"/>
      <c r="B464" s="111" t="s">
        <v>2529</v>
      </c>
      <c r="C464" s="141" t="s">
        <v>773</v>
      </c>
      <c r="D464" s="52">
        <f t="shared" ref="D464:E464" si="356">D443</f>
        <v>383.72</v>
      </c>
      <c r="E464" s="52">
        <f t="shared" si="356"/>
        <v>416</v>
      </c>
      <c r="F464" s="109"/>
      <c r="G464" s="248">
        <f t="shared" ref="G464:G482" si="358">IFERROR(DIVIDE(MINUS(E464,D464),D464),)</f>
        <v>0.0841238403</v>
      </c>
      <c r="H464" s="115"/>
      <c r="I464" s="93">
        <v>48.0</v>
      </c>
      <c r="J464" s="93">
        <v>192.0</v>
      </c>
      <c r="K464" s="93"/>
      <c r="L464" s="56"/>
      <c r="M464" s="91"/>
    </row>
    <row r="465">
      <c r="A465" s="133"/>
      <c r="B465" s="135" t="s">
        <v>2531</v>
      </c>
      <c r="C465" s="141" t="s">
        <v>748</v>
      </c>
      <c r="D465" s="52">
        <f t="shared" ref="D465:E465" si="357">D444</f>
        <v>383.72</v>
      </c>
      <c r="E465" s="52">
        <f t="shared" si="357"/>
        <v>416</v>
      </c>
      <c r="F465" s="109"/>
      <c r="G465" s="248">
        <f t="shared" si="358"/>
        <v>0.0841238403</v>
      </c>
      <c r="H465" s="115"/>
      <c r="I465" s="93">
        <v>33.0</v>
      </c>
      <c r="J465" s="93">
        <v>132.0</v>
      </c>
      <c r="K465" s="93"/>
      <c r="L465" s="56"/>
      <c r="M465" s="91"/>
    </row>
    <row r="466">
      <c r="A466" s="133"/>
      <c r="B466" s="111" t="s">
        <v>2532</v>
      </c>
      <c r="C466" s="118" t="s">
        <v>748</v>
      </c>
      <c r="D466" s="52">
        <f t="shared" ref="D466:E466" si="359">D445</f>
        <v>416</v>
      </c>
      <c r="E466" s="52">
        <f t="shared" si="359"/>
        <v>448</v>
      </c>
      <c r="F466" s="109"/>
      <c r="G466" s="248">
        <f t="shared" si="358"/>
        <v>0.07692307692</v>
      </c>
      <c r="H466" s="115"/>
      <c r="I466" s="93">
        <v>33.0</v>
      </c>
      <c r="J466" s="93">
        <v>132.0</v>
      </c>
      <c r="K466" s="93"/>
      <c r="L466" s="56"/>
      <c r="M466" s="91"/>
    </row>
    <row r="467">
      <c r="A467" s="133"/>
      <c r="B467" s="111" t="s">
        <v>2533</v>
      </c>
      <c r="C467" s="118" t="s">
        <v>2460</v>
      </c>
      <c r="D467" s="52">
        <f t="shared" ref="D467:E467" si="360">D446</f>
        <v>406</v>
      </c>
      <c r="E467" s="52">
        <f t="shared" si="360"/>
        <v>438</v>
      </c>
      <c r="F467" s="109"/>
      <c r="G467" s="248">
        <f t="shared" si="358"/>
        <v>0.07881773399</v>
      </c>
      <c r="H467" s="115"/>
      <c r="I467" s="93">
        <v>60.0</v>
      </c>
      <c r="J467" s="93">
        <v>240.0</v>
      </c>
      <c r="K467" s="93"/>
      <c r="L467" s="56"/>
      <c r="M467" s="91"/>
    </row>
    <row r="468">
      <c r="A468" s="133"/>
      <c r="B468" s="111" t="s">
        <v>2535</v>
      </c>
      <c r="C468" s="118" t="s">
        <v>666</v>
      </c>
      <c r="D468" s="52">
        <f t="shared" ref="D468:E468" si="361">D447</f>
        <v>724</v>
      </c>
      <c r="E468" s="52">
        <f t="shared" si="361"/>
        <v>782</v>
      </c>
      <c r="F468" s="109"/>
      <c r="G468" s="248">
        <f t="shared" si="358"/>
        <v>0.08011049724</v>
      </c>
      <c r="H468" s="115"/>
      <c r="I468" s="93">
        <v>30.0</v>
      </c>
      <c r="J468" s="93">
        <v>120.0</v>
      </c>
      <c r="K468" s="93"/>
      <c r="L468" s="56"/>
      <c r="M468" s="91"/>
    </row>
    <row r="469">
      <c r="A469" s="133"/>
      <c r="B469" s="111" t="s">
        <v>2536</v>
      </c>
      <c r="C469" s="118" t="s">
        <v>682</v>
      </c>
      <c r="D469" s="52">
        <f t="shared" ref="D469:E469" si="362">D448</f>
        <v>493.96</v>
      </c>
      <c r="E469" s="52">
        <f t="shared" si="362"/>
        <v>534</v>
      </c>
      <c r="F469" s="109"/>
      <c r="G469" s="248">
        <f t="shared" si="358"/>
        <v>0.08105919508</v>
      </c>
      <c r="H469" s="115"/>
      <c r="I469" s="93">
        <v>33.0</v>
      </c>
      <c r="J469" s="93">
        <v>132.0</v>
      </c>
      <c r="K469" s="93"/>
      <c r="L469" s="56"/>
      <c r="M469" s="91"/>
    </row>
    <row r="470">
      <c r="A470" s="133"/>
      <c r="B470" s="111" t="s">
        <v>2537</v>
      </c>
      <c r="C470" s="118" t="s">
        <v>781</v>
      </c>
      <c r="D470" s="52">
        <f t="shared" ref="D470:E470" si="363">D449</f>
        <v>493.96</v>
      </c>
      <c r="E470" s="52">
        <f t="shared" si="363"/>
        <v>534</v>
      </c>
      <c r="F470" s="109"/>
      <c r="G470" s="248">
        <f t="shared" si="358"/>
        <v>0.08105919508</v>
      </c>
      <c r="H470" s="115"/>
      <c r="I470" s="93">
        <v>33.0</v>
      </c>
      <c r="J470" s="93">
        <v>132.0</v>
      </c>
      <c r="K470" s="93"/>
      <c r="L470" s="56"/>
      <c r="M470" s="91"/>
    </row>
    <row r="471">
      <c r="A471" s="133"/>
      <c r="B471" s="111" t="s">
        <v>2538</v>
      </c>
      <c r="C471" s="118" t="s">
        <v>2465</v>
      </c>
      <c r="D471" s="52">
        <f t="shared" ref="D471:E471" si="364">D450</f>
        <v>809.84</v>
      </c>
      <c r="E471" s="52">
        <f t="shared" si="364"/>
        <v>876</v>
      </c>
      <c r="F471" s="109"/>
      <c r="G471" s="248">
        <f t="shared" si="358"/>
        <v>0.08169514966</v>
      </c>
      <c r="H471" s="115"/>
      <c r="I471" s="93">
        <v>13.0</v>
      </c>
      <c r="J471" s="93">
        <v>52.0</v>
      </c>
      <c r="K471" s="93"/>
      <c r="L471" s="56"/>
      <c r="M471" s="91"/>
    </row>
    <row r="472">
      <c r="A472" s="133"/>
      <c r="B472" s="135" t="s">
        <v>2540</v>
      </c>
      <c r="C472" s="317" t="s">
        <v>2209</v>
      </c>
      <c r="D472" s="52">
        <f t="shared" ref="D472:E472" si="365">D451</f>
        <v>756</v>
      </c>
      <c r="E472" s="52">
        <f t="shared" si="365"/>
        <v>814</v>
      </c>
      <c r="F472" s="109"/>
      <c r="G472" s="248">
        <f t="shared" si="358"/>
        <v>0.07671957672</v>
      </c>
      <c r="H472" s="115"/>
      <c r="I472" s="134">
        <v>30.0</v>
      </c>
      <c r="J472" s="134">
        <v>120.0</v>
      </c>
      <c r="K472" s="93"/>
      <c r="L472" s="56"/>
      <c r="M472" s="91"/>
    </row>
    <row r="473">
      <c r="A473" s="133"/>
      <c r="B473" s="111" t="s">
        <v>2541</v>
      </c>
      <c r="C473" s="118" t="s">
        <v>2468</v>
      </c>
      <c r="D473" s="52">
        <f t="shared" ref="D473:E473" si="366">D452</f>
        <v>809.84</v>
      </c>
      <c r="E473" s="52">
        <f t="shared" si="366"/>
        <v>876</v>
      </c>
      <c r="F473" s="109"/>
      <c r="G473" s="248">
        <f t="shared" si="358"/>
        <v>0.08169514966</v>
      </c>
      <c r="H473" s="115"/>
      <c r="I473" s="134">
        <v>13.0</v>
      </c>
      <c r="J473" s="134">
        <v>52.0</v>
      </c>
      <c r="K473" s="93"/>
      <c r="L473" s="56"/>
      <c r="M473" s="91"/>
    </row>
    <row r="474">
      <c r="A474" s="133"/>
      <c r="B474" s="111" t="s">
        <v>2542</v>
      </c>
      <c r="C474" s="118" t="s">
        <v>913</v>
      </c>
      <c r="D474" s="52">
        <f t="shared" ref="D474:E474" si="367">D453</f>
        <v>1725.5952</v>
      </c>
      <c r="E474" s="52">
        <f t="shared" si="367"/>
        <v>1864</v>
      </c>
      <c r="F474" s="109"/>
      <c r="G474" s="248">
        <f t="shared" si="358"/>
        <v>0.08020699177</v>
      </c>
      <c r="H474" s="115"/>
      <c r="I474" s="134">
        <v>13.0</v>
      </c>
      <c r="J474" s="134">
        <v>52.0</v>
      </c>
      <c r="K474" s="93"/>
      <c r="L474" s="56"/>
      <c r="M474" s="91"/>
    </row>
    <row r="475">
      <c r="A475" s="133"/>
      <c r="B475" s="111" t="s">
        <v>2543</v>
      </c>
      <c r="C475" s="118" t="s">
        <v>1949</v>
      </c>
      <c r="D475" s="52">
        <f t="shared" ref="D475:E475" si="368">D454</f>
        <v>1666.32</v>
      </c>
      <c r="E475" s="52">
        <f t="shared" si="368"/>
        <v>1798</v>
      </c>
      <c r="F475" s="109"/>
      <c r="G475" s="248">
        <f t="shared" si="358"/>
        <v>0.07902443708</v>
      </c>
      <c r="H475" s="115"/>
      <c r="I475" s="134">
        <v>13.0</v>
      </c>
      <c r="J475" s="134">
        <v>52.0</v>
      </c>
      <c r="K475" s="93"/>
      <c r="L475" s="56"/>
      <c r="M475" s="91"/>
    </row>
    <row r="476">
      <c r="A476" s="133"/>
      <c r="B476" s="111" t="s">
        <v>1215</v>
      </c>
      <c r="C476" s="118" t="s">
        <v>523</v>
      </c>
      <c r="D476" s="52">
        <f t="shared" ref="D476:E476" si="369">D455</f>
        <v>2358</v>
      </c>
      <c r="E476" s="52">
        <f t="shared" si="369"/>
        <v>2546</v>
      </c>
      <c r="F476" s="109"/>
      <c r="G476" s="248">
        <f t="shared" si="358"/>
        <v>0.07972858355</v>
      </c>
      <c r="H476" s="115"/>
      <c r="I476" s="134"/>
      <c r="J476" s="134"/>
      <c r="K476" s="93"/>
      <c r="L476" s="56"/>
      <c r="M476" s="91"/>
    </row>
    <row r="477">
      <c r="A477" s="133"/>
      <c r="B477" s="123" t="s">
        <v>2545</v>
      </c>
      <c r="C477" s="124" t="s">
        <v>1124</v>
      </c>
      <c r="D477" s="52">
        <f t="shared" ref="D477:E477" si="370">D456</f>
        <v>2034</v>
      </c>
      <c r="E477" s="52">
        <f t="shared" si="370"/>
        <v>2196</v>
      </c>
      <c r="F477" s="109"/>
      <c r="G477" s="248">
        <f t="shared" si="358"/>
        <v>0.0796460177</v>
      </c>
      <c r="H477" s="115"/>
      <c r="I477" s="93">
        <v>6.0</v>
      </c>
      <c r="J477" s="93">
        <v>24.0</v>
      </c>
      <c r="K477" s="93"/>
      <c r="L477" s="56"/>
      <c r="M477" s="91"/>
    </row>
    <row r="478">
      <c r="A478" s="133"/>
      <c r="B478" s="111" t="s">
        <v>2546</v>
      </c>
      <c r="C478" s="159" t="s">
        <v>395</v>
      </c>
      <c r="D478" s="52">
        <f t="shared" ref="D478:E478" si="371">D457</f>
        <v>366</v>
      </c>
      <c r="E478" s="52">
        <f t="shared" si="371"/>
        <v>394</v>
      </c>
      <c r="F478" s="109"/>
      <c r="G478" s="248">
        <f t="shared" si="358"/>
        <v>0.07650273224</v>
      </c>
      <c r="H478" s="115"/>
      <c r="I478" s="93">
        <v>66.0</v>
      </c>
      <c r="J478" s="93">
        <v>264.0</v>
      </c>
      <c r="K478" s="93"/>
      <c r="L478" s="56"/>
      <c r="M478" s="91"/>
    </row>
    <row r="479">
      <c r="A479" s="133"/>
      <c r="B479" s="111" t="s">
        <v>2548</v>
      </c>
      <c r="C479" s="159" t="s">
        <v>359</v>
      </c>
      <c r="D479" s="52">
        <f t="shared" ref="D479:E479" si="372">D458</f>
        <v>669.92</v>
      </c>
      <c r="E479" s="52">
        <f t="shared" si="372"/>
        <v>726</v>
      </c>
      <c r="F479" s="109"/>
      <c r="G479" s="248">
        <f t="shared" si="358"/>
        <v>0.08371148794</v>
      </c>
      <c r="H479" s="93"/>
      <c r="I479" s="93">
        <v>35.0</v>
      </c>
      <c r="J479" s="93">
        <v>140.0</v>
      </c>
      <c r="K479" s="93"/>
      <c r="L479" s="56"/>
      <c r="M479" s="91"/>
    </row>
    <row r="480">
      <c r="A480" s="133"/>
      <c r="B480" s="111" t="s">
        <v>2549</v>
      </c>
      <c r="C480" s="118" t="s">
        <v>1137</v>
      </c>
      <c r="D480" s="52">
        <f t="shared" ref="D480:E480" si="373">D459</f>
        <v>730</v>
      </c>
      <c r="E480" s="52">
        <f t="shared" si="373"/>
        <v>788</v>
      </c>
      <c r="F480" s="56"/>
      <c r="G480" s="248">
        <f t="shared" si="358"/>
        <v>0.07945205479</v>
      </c>
      <c r="H480" s="93"/>
      <c r="I480" s="93">
        <v>30.0</v>
      </c>
      <c r="J480" s="93">
        <v>120.0</v>
      </c>
      <c r="K480" s="93"/>
      <c r="L480" s="56"/>
      <c r="M480" s="91"/>
    </row>
    <row r="481">
      <c r="A481" s="133"/>
      <c r="B481" s="111" t="s">
        <v>2551</v>
      </c>
      <c r="C481" s="118" t="s">
        <v>1141</v>
      </c>
      <c r="D481" s="52">
        <f t="shared" ref="D481:E481" si="374">D460</f>
        <v>775.92</v>
      </c>
      <c r="E481" s="52">
        <f t="shared" si="374"/>
        <v>838</v>
      </c>
      <c r="F481" s="109"/>
      <c r="G481" s="248">
        <f t="shared" si="358"/>
        <v>0.08000824827</v>
      </c>
      <c r="H481" s="115"/>
      <c r="I481" s="93">
        <v>30.0</v>
      </c>
      <c r="J481" s="93">
        <v>120.0</v>
      </c>
      <c r="K481" s="93"/>
      <c r="L481" s="56"/>
      <c r="M481" s="91"/>
    </row>
    <row r="482">
      <c r="A482" s="133"/>
      <c r="B482" s="135" t="s">
        <v>2552</v>
      </c>
      <c r="C482" s="145" t="s">
        <v>1145</v>
      </c>
      <c r="D482" s="52">
        <f t="shared" ref="D482:E482" si="375">D461</f>
        <v>1646</v>
      </c>
      <c r="E482" s="52">
        <f t="shared" si="375"/>
        <v>1778</v>
      </c>
      <c r="F482" s="109"/>
      <c r="G482" s="248">
        <f t="shared" si="358"/>
        <v>0.08019441069</v>
      </c>
      <c r="H482" s="115"/>
      <c r="I482" s="134">
        <v>14.0</v>
      </c>
      <c r="J482" s="134">
        <v>56.0</v>
      </c>
      <c r="K482" s="93"/>
      <c r="L482" s="56"/>
      <c r="M482" s="91"/>
    </row>
    <row r="483" ht="18.75" customHeight="1">
      <c r="A483" s="133"/>
      <c r="B483" s="149"/>
      <c r="C483" s="204"/>
      <c r="D483" s="259"/>
      <c r="E483" s="109"/>
      <c r="F483" s="109"/>
      <c r="G483" s="248"/>
      <c r="H483" s="115"/>
      <c r="I483" s="93"/>
      <c r="J483" s="93"/>
      <c r="K483" s="93"/>
      <c r="L483" s="56"/>
      <c r="M483" s="91"/>
    </row>
    <row r="484" ht="18.75" customHeight="1">
      <c r="A484" s="133"/>
      <c r="B484" s="107" t="s">
        <v>2553</v>
      </c>
      <c r="C484" s="166"/>
      <c r="D484" s="272"/>
      <c r="E484" s="56"/>
      <c r="F484" s="109"/>
      <c r="G484" s="248"/>
      <c r="H484" s="115"/>
      <c r="I484" s="93"/>
      <c r="J484" s="93"/>
      <c r="K484" s="93"/>
      <c r="L484" s="56"/>
      <c r="M484" s="258"/>
    </row>
    <row r="485">
      <c r="A485" s="133"/>
      <c r="B485" s="111" t="s">
        <v>2555</v>
      </c>
      <c r="C485" s="112" t="s">
        <v>1050</v>
      </c>
      <c r="D485" s="335">
        <v>260.0</v>
      </c>
      <c r="E485" s="52">
        <v>278.0</v>
      </c>
      <c r="F485" s="109">
        <f t="shared" ref="F485:F513" si="376">H485*$H$2</f>
        <v>279.84</v>
      </c>
      <c r="G485" s="248">
        <f t="shared" ref="G485:G513" si="377">IFERROR(DIVIDE(MINUS(E485,D485),D485),)</f>
        <v>0.06923076923</v>
      </c>
      <c r="H485" s="132">
        <f>VLOOKUP(M485,'NEW PTMT'!$B$4:$E1406,4,0)</f>
        <v>264</v>
      </c>
      <c r="I485" s="93">
        <v>66.0</v>
      </c>
      <c r="J485" s="93">
        <v>198.0</v>
      </c>
      <c r="K485" s="93"/>
      <c r="L485" s="56"/>
      <c r="M485" s="126" t="s">
        <v>1049</v>
      </c>
    </row>
    <row r="486">
      <c r="A486" s="133"/>
      <c r="B486" s="111" t="s">
        <v>1293</v>
      </c>
      <c r="C486" s="112" t="s">
        <v>748</v>
      </c>
      <c r="D486" s="52">
        <v>272.0</v>
      </c>
      <c r="E486" s="52">
        <v>294.0</v>
      </c>
      <c r="F486" s="109">
        <f t="shared" si="376"/>
        <v>292.56</v>
      </c>
      <c r="G486" s="248">
        <f t="shared" si="377"/>
        <v>0.08088235294</v>
      </c>
      <c r="H486" s="132">
        <f>VLOOKUP(M486,'NEW PTMT'!$B$4:$E1406,4,0)</f>
        <v>276</v>
      </c>
      <c r="I486" s="93"/>
      <c r="J486" s="93"/>
      <c r="K486" s="93"/>
      <c r="L486" s="56"/>
      <c r="M486" s="126" t="s">
        <v>1051</v>
      </c>
    </row>
    <row r="487">
      <c r="A487" s="133"/>
      <c r="B487" s="111" t="s">
        <v>2557</v>
      </c>
      <c r="C487" s="118" t="s">
        <v>636</v>
      </c>
      <c r="D487" s="152">
        <v>290.44</v>
      </c>
      <c r="E487" s="52">
        <v>314.0</v>
      </c>
      <c r="F487" s="109">
        <f t="shared" si="376"/>
        <v>313.76</v>
      </c>
      <c r="G487" s="248">
        <f t="shared" si="377"/>
        <v>0.08111830326</v>
      </c>
      <c r="H487" s="132">
        <f>VLOOKUP(M487,'NEW PTMT'!$B$4:$E1406,4,0)</f>
        <v>296</v>
      </c>
      <c r="I487" s="93">
        <v>60.0</v>
      </c>
      <c r="J487" s="93">
        <v>180.0</v>
      </c>
      <c r="K487" s="93"/>
      <c r="L487" s="56"/>
      <c r="M487" s="126" t="s">
        <v>1052</v>
      </c>
    </row>
    <row r="488">
      <c r="A488" s="133"/>
      <c r="B488" s="111" t="s">
        <v>2558</v>
      </c>
      <c r="C488" s="118" t="s">
        <v>417</v>
      </c>
      <c r="D488" s="152">
        <v>302.0</v>
      </c>
      <c r="E488" s="52">
        <v>326.0</v>
      </c>
      <c r="F488" s="109">
        <f t="shared" si="376"/>
        <v>324.36</v>
      </c>
      <c r="G488" s="248">
        <f t="shared" si="377"/>
        <v>0.07947019868</v>
      </c>
      <c r="H488" s="132">
        <f>VLOOKUP(M488,'NEW PTMT'!$B$4:$E1406,4,0)</f>
        <v>306</v>
      </c>
      <c r="I488" s="93">
        <v>46.0</v>
      </c>
      <c r="J488" s="93">
        <v>184.0</v>
      </c>
      <c r="K488" s="93"/>
      <c r="L488" s="56"/>
      <c r="M488" s="126" t="s">
        <v>1053</v>
      </c>
    </row>
    <row r="489">
      <c r="A489" s="133"/>
      <c r="B489" s="111" t="s">
        <v>2560</v>
      </c>
      <c r="C489" s="118" t="s">
        <v>2561</v>
      </c>
      <c r="D489" s="152">
        <v>351.92</v>
      </c>
      <c r="E489" s="52">
        <v>378.0</v>
      </c>
      <c r="F489" s="109">
        <f t="shared" si="376"/>
        <v>379.48</v>
      </c>
      <c r="G489" s="248">
        <f t="shared" si="377"/>
        <v>0.07410775176</v>
      </c>
      <c r="H489" s="132">
        <f>VLOOKUP(M489,'NEW PTMT'!$B$4:$E1406,4,0)</f>
        <v>358</v>
      </c>
      <c r="I489" s="134">
        <v>60.0</v>
      </c>
      <c r="J489" s="134">
        <v>240.0</v>
      </c>
      <c r="K489" s="93"/>
      <c r="L489" s="56"/>
      <c r="M489" s="126" t="s">
        <v>1054</v>
      </c>
    </row>
    <row r="490">
      <c r="A490" s="133"/>
      <c r="B490" s="111" t="s">
        <v>2562</v>
      </c>
      <c r="C490" s="118" t="s">
        <v>2563</v>
      </c>
      <c r="D490" s="152">
        <v>334.0</v>
      </c>
      <c r="E490" s="52">
        <v>358.0</v>
      </c>
      <c r="F490" s="109">
        <f t="shared" si="376"/>
        <v>358.28</v>
      </c>
      <c r="G490" s="248">
        <f t="shared" si="377"/>
        <v>0.07185628743</v>
      </c>
      <c r="H490" s="132">
        <f>VLOOKUP(M490,'NEW PTMT'!$B$4:$E1406,4,0)</f>
        <v>338</v>
      </c>
      <c r="I490" s="93">
        <v>46.0</v>
      </c>
      <c r="J490" s="93">
        <v>184.0</v>
      </c>
      <c r="K490" s="93"/>
      <c r="L490" s="56"/>
      <c r="M490" s="126" t="s">
        <v>1056</v>
      </c>
    </row>
    <row r="491">
      <c r="A491" s="133"/>
      <c r="B491" s="111" t="s">
        <v>2565</v>
      </c>
      <c r="C491" s="118" t="s">
        <v>2566</v>
      </c>
      <c r="D491" s="152">
        <v>347.68</v>
      </c>
      <c r="E491" s="52">
        <v>376.0</v>
      </c>
      <c r="F491" s="109">
        <f t="shared" si="376"/>
        <v>375.24</v>
      </c>
      <c r="G491" s="248">
        <f t="shared" si="377"/>
        <v>0.08145421077</v>
      </c>
      <c r="H491" s="132">
        <f>VLOOKUP(M491,'NEW PTMT'!$B$4:$E1406,4,0)</f>
        <v>354</v>
      </c>
      <c r="I491" s="93">
        <v>46.0</v>
      </c>
      <c r="J491" s="93">
        <v>184.0</v>
      </c>
      <c r="K491" s="93"/>
      <c r="L491" s="56"/>
      <c r="M491" s="126" t="s">
        <v>1057</v>
      </c>
    </row>
    <row r="492">
      <c r="A492" s="133"/>
      <c r="B492" s="111" t="s">
        <v>2567</v>
      </c>
      <c r="C492" s="118" t="s">
        <v>363</v>
      </c>
      <c r="D492" s="152">
        <v>296.0</v>
      </c>
      <c r="E492" s="52">
        <v>316.0</v>
      </c>
      <c r="F492" s="109">
        <f t="shared" si="376"/>
        <v>315.88</v>
      </c>
      <c r="G492" s="248">
        <f t="shared" si="377"/>
        <v>0.06756756757</v>
      </c>
      <c r="H492" s="132">
        <f>VLOOKUP(M492,'NEW PTMT'!$B$4:$E1406,4,0)</f>
        <v>298</v>
      </c>
      <c r="I492" s="93">
        <v>66.0</v>
      </c>
      <c r="J492" s="93">
        <v>198.0</v>
      </c>
      <c r="K492" s="93"/>
      <c r="L492" s="56"/>
      <c r="M492" s="126" t="s">
        <v>1058</v>
      </c>
    </row>
    <row r="493">
      <c r="A493" s="133"/>
      <c r="B493" s="111" t="s">
        <v>2569</v>
      </c>
      <c r="C493" s="118" t="s">
        <v>808</v>
      </c>
      <c r="D493" s="152">
        <v>586.0</v>
      </c>
      <c r="E493" s="52">
        <v>632.0</v>
      </c>
      <c r="F493" s="109">
        <f t="shared" si="376"/>
        <v>631.76</v>
      </c>
      <c r="G493" s="248">
        <f t="shared" si="377"/>
        <v>0.07849829352</v>
      </c>
      <c r="H493" s="132">
        <f>VLOOKUP(M493,'NEW PTMT'!$B$4:$E1406,4,0)</f>
        <v>596</v>
      </c>
      <c r="I493" s="93">
        <v>24.0</v>
      </c>
      <c r="J493" s="93">
        <v>96.0</v>
      </c>
      <c r="K493" s="93"/>
      <c r="L493" s="56"/>
      <c r="M493" s="126" t="s">
        <v>1059</v>
      </c>
    </row>
    <row r="494">
      <c r="A494" s="133"/>
      <c r="B494" s="111" t="s">
        <v>2570</v>
      </c>
      <c r="C494" s="118" t="s">
        <v>682</v>
      </c>
      <c r="D494" s="152">
        <v>374.0</v>
      </c>
      <c r="E494" s="52">
        <v>406.0</v>
      </c>
      <c r="F494" s="109">
        <f t="shared" si="376"/>
        <v>404.92</v>
      </c>
      <c r="G494" s="248">
        <f t="shared" si="377"/>
        <v>0.08556149733</v>
      </c>
      <c r="H494" s="132">
        <f>VLOOKUP(M494,'NEW PTMT'!$B$4:$E1406,4,0)</f>
        <v>382</v>
      </c>
      <c r="I494" s="93">
        <v>66.0</v>
      </c>
      <c r="J494" s="93">
        <v>198.0</v>
      </c>
      <c r="K494" s="93"/>
      <c r="L494" s="56"/>
      <c r="M494" s="126" t="s">
        <v>1060</v>
      </c>
    </row>
    <row r="495">
      <c r="A495" s="133"/>
      <c r="B495" s="111" t="s">
        <v>2571</v>
      </c>
      <c r="C495" s="118" t="s">
        <v>756</v>
      </c>
      <c r="D495" s="152">
        <v>412.0</v>
      </c>
      <c r="E495" s="52">
        <v>444.0</v>
      </c>
      <c r="F495" s="109">
        <f t="shared" si="376"/>
        <v>443.08</v>
      </c>
      <c r="G495" s="248">
        <f t="shared" si="377"/>
        <v>0.07766990291</v>
      </c>
      <c r="H495" s="132">
        <f>VLOOKUP(M495,'NEW PTMT'!$B$4:$E1406,4,0)</f>
        <v>418</v>
      </c>
      <c r="I495" s="93">
        <v>30.0</v>
      </c>
      <c r="J495" s="93">
        <v>120.0</v>
      </c>
      <c r="K495" s="93"/>
      <c r="L495" s="56"/>
      <c r="M495" s="126" t="s">
        <v>1061</v>
      </c>
    </row>
    <row r="496">
      <c r="A496" s="133"/>
      <c r="B496" s="111" t="s">
        <v>2572</v>
      </c>
      <c r="C496" s="118" t="s">
        <v>756</v>
      </c>
      <c r="D496" s="152">
        <v>421.668</v>
      </c>
      <c r="E496" s="52">
        <v>454.0</v>
      </c>
      <c r="F496" s="109">
        <f t="shared" si="376"/>
        <v>453.68</v>
      </c>
      <c r="G496" s="248">
        <f t="shared" si="377"/>
        <v>0.07667643739</v>
      </c>
      <c r="H496" s="132">
        <f>VLOOKUP(M496,'NEW PTMT'!$B$4:$E1406,4,0)</f>
        <v>428</v>
      </c>
      <c r="I496" s="93">
        <v>30.0</v>
      </c>
      <c r="J496" s="93">
        <v>120.0</v>
      </c>
      <c r="K496" s="93"/>
      <c r="L496" s="56"/>
      <c r="M496" s="126" t="s">
        <v>1062</v>
      </c>
    </row>
    <row r="497">
      <c r="A497" s="133"/>
      <c r="B497" s="111" t="s">
        <v>2574</v>
      </c>
      <c r="C497" s="118" t="s">
        <v>2465</v>
      </c>
      <c r="D497" s="152">
        <v>756.0</v>
      </c>
      <c r="E497" s="52">
        <v>814.0</v>
      </c>
      <c r="F497" s="109">
        <f t="shared" si="376"/>
        <v>814.08</v>
      </c>
      <c r="G497" s="248">
        <f t="shared" si="377"/>
        <v>0.07671957672</v>
      </c>
      <c r="H497" s="132">
        <f>VLOOKUP(M497,'NEW PTMT'!$B$4:$E1406,4,0)</f>
        <v>768</v>
      </c>
      <c r="I497" s="93">
        <v>13.0</v>
      </c>
      <c r="J497" s="93">
        <v>52.0</v>
      </c>
      <c r="K497" s="93"/>
      <c r="L497" s="56"/>
      <c r="M497" s="126" t="s">
        <v>1063</v>
      </c>
    </row>
    <row r="498">
      <c r="A498" s="133"/>
      <c r="B498" s="111" t="s">
        <v>2576</v>
      </c>
      <c r="C498" s="118" t="s">
        <v>2577</v>
      </c>
      <c r="D498" s="152">
        <v>672.419904</v>
      </c>
      <c r="E498" s="52">
        <v>728.0</v>
      </c>
      <c r="F498" s="109">
        <f t="shared" si="376"/>
        <v>727.16</v>
      </c>
      <c r="G498" s="248">
        <f t="shared" si="377"/>
        <v>0.08265682748</v>
      </c>
      <c r="H498" s="132">
        <f>VLOOKUP(M498,'NEW PTMT'!$B$4:$E1406,4,0)</f>
        <v>686</v>
      </c>
      <c r="I498" s="93">
        <v>30.0</v>
      </c>
      <c r="J498" s="93">
        <v>120.0</v>
      </c>
      <c r="K498" s="93"/>
      <c r="L498" s="56"/>
      <c r="M498" s="126" t="s">
        <v>1064</v>
      </c>
    </row>
    <row r="499">
      <c r="A499" s="133"/>
      <c r="B499" s="111" t="s">
        <v>2579</v>
      </c>
      <c r="C499" s="118" t="s">
        <v>2580</v>
      </c>
      <c r="D499" s="152">
        <v>756.0</v>
      </c>
      <c r="E499" s="52">
        <v>814.0</v>
      </c>
      <c r="F499" s="109">
        <f t="shared" si="376"/>
        <v>814.08</v>
      </c>
      <c r="G499" s="248">
        <f t="shared" si="377"/>
        <v>0.07671957672</v>
      </c>
      <c r="H499" s="132">
        <f>VLOOKUP(M499,'NEW PTMT'!$B$4:$E1406,4,0)</f>
        <v>768</v>
      </c>
      <c r="I499" s="93">
        <v>13.0</v>
      </c>
      <c r="J499" s="93">
        <v>52.0</v>
      </c>
      <c r="K499" s="93"/>
      <c r="L499" s="56"/>
      <c r="M499" s="126" t="s">
        <v>1066</v>
      </c>
    </row>
    <row r="500">
      <c r="A500" s="133"/>
      <c r="B500" s="111" t="s">
        <v>2582</v>
      </c>
      <c r="C500" s="118" t="s">
        <v>913</v>
      </c>
      <c r="D500" s="152">
        <v>1375.88</v>
      </c>
      <c r="E500" s="52">
        <v>1486.0</v>
      </c>
      <c r="F500" s="109">
        <f t="shared" si="376"/>
        <v>1486.12</v>
      </c>
      <c r="G500" s="248">
        <f t="shared" si="377"/>
        <v>0.08003604966</v>
      </c>
      <c r="H500" s="132">
        <f>VLOOKUP(M500,'NEW PTMT'!$B$4:$E1406,4,0)</f>
        <v>1402</v>
      </c>
      <c r="I500" s="93">
        <v>13.0</v>
      </c>
      <c r="J500" s="93">
        <v>52.0</v>
      </c>
      <c r="K500" s="93"/>
      <c r="L500" s="56"/>
      <c r="M500" s="126" t="s">
        <v>1067</v>
      </c>
    </row>
    <row r="501">
      <c r="A501" s="133"/>
      <c r="B501" s="111" t="s">
        <v>1294</v>
      </c>
      <c r="C501" s="118" t="s">
        <v>523</v>
      </c>
      <c r="D501" s="52">
        <v>2117.88</v>
      </c>
      <c r="E501" s="52">
        <v>2288.0</v>
      </c>
      <c r="F501" s="109">
        <f t="shared" si="376"/>
        <v>2287.48</v>
      </c>
      <c r="G501" s="248">
        <f t="shared" si="377"/>
        <v>0.08032560863</v>
      </c>
      <c r="H501" s="132">
        <f>VLOOKUP(M501,'NEW PTMT'!$B$4:$E1406,4,0)</f>
        <v>2158</v>
      </c>
      <c r="I501" s="93"/>
      <c r="J501" s="93"/>
      <c r="K501" s="93"/>
      <c r="L501" s="56"/>
      <c r="M501" s="126" t="s">
        <v>1068</v>
      </c>
    </row>
    <row r="502">
      <c r="A502" s="133"/>
      <c r="B502" s="111" t="s">
        <v>2583</v>
      </c>
      <c r="C502" s="124" t="s">
        <v>2584</v>
      </c>
      <c r="D502" s="338">
        <v>1795.64</v>
      </c>
      <c r="E502" s="52">
        <v>1938.0</v>
      </c>
      <c r="F502" s="109">
        <f t="shared" si="376"/>
        <v>1937.68</v>
      </c>
      <c r="G502" s="248">
        <f t="shared" si="377"/>
        <v>0.07928092491</v>
      </c>
      <c r="H502" s="132">
        <f>VLOOKUP(M502,'NEW PTMT'!$B$4:$E1406,4,0)</f>
        <v>1828</v>
      </c>
      <c r="I502" s="93">
        <v>6.0</v>
      </c>
      <c r="J502" s="93">
        <v>24.0</v>
      </c>
      <c r="K502" s="93"/>
      <c r="L502" s="56"/>
      <c r="M502" s="126" t="s">
        <v>1069</v>
      </c>
    </row>
    <row r="503">
      <c r="A503" s="133"/>
      <c r="B503" s="111" t="s">
        <v>2586</v>
      </c>
      <c r="C503" s="118" t="s">
        <v>719</v>
      </c>
      <c r="D503" s="152">
        <v>260.0</v>
      </c>
      <c r="E503" s="52">
        <v>278.0</v>
      </c>
      <c r="F503" s="109">
        <f t="shared" si="376"/>
        <v>279.84</v>
      </c>
      <c r="G503" s="248">
        <f t="shared" si="377"/>
        <v>0.06923076923</v>
      </c>
      <c r="H503" s="132">
        <f>VLOOKUP(M503,'NEW PTMT'!$B$4:$E1406,4,0)</f>
        <v>264</v>
      </c>
      <c r="I503" s="93">
        <v>66.0</v>
      </c>
      <c r="J503" s="93">
        <v>264.0</v>
      </c>
      <c r="K503" s="93"/>
      <c r="L503" s="56"/>
      <c r="M503" s="126" t="s">
        <v>1070</v>
      </c>
    </row>
    <row r="504">
      <c r="A504" s="133"/>
      <c r="B504" s="111" t="s">
        <v>2587</v>
      </c>
      <c r="C504" s="118" t="s">
        <v>717</v>
      </c>
      <c r="D504" s="152">
        <v>267.618624</v>
      </c>
      <c r="E504" s="52">
        <v>288.0</v>
      </c>
      <c r="F504" s="109">
        <f t="shared" si="376"/>
        <v>288.32</v>
      </c>
      <c r="G504" s="248">
        <f t="shared" si="377"/>
        <v>0.0761582871</v>
      </c>
      <c r="H504" s="132">
        <f>VLOOKUP(M504,'NEW PTMT'!$B$4:$E1406,4,0)</f>
        <v>272</v>
      </c>
      <c r="I504" s="93">
        <v>66.0</v>
      </c>
      <c r="J504" s="93">
        <v>264.0</v>
      </c>
      <c r="K504" s="93"/>
      <c r="L504" s="56"/>
      <c r="M504" s="126" t="s">
        <v>1071</v>
      </c>
    </row>
    <row r="505">
      <c r="A505" s="133"/>
      <c r="B505" s="111" t="s">
        <v>2588</v>
      </c>
      <c r="C505" s="118" t="s">
        <v>723</v>
      </c>
      <c r="D505" s="152">
        <v>279.84000000000003</v>
      </c>
      <c r="E505" s="52">
        <v>302.0</v>
      </c>
      <c r="F505" s="109">
        <f t="shared" si="376"/>
        <v>303.16</v>
      </c>
      <c r="G505" s="248">
        <f t="shared" si="377"/>
        <v>0.07918810749</v>
      </c>
      <c r="H505" s="132">
        <f>VLOOKUP(M505,'NEW PTMT'!$B$4:$E1406,4,0)</f>
        <v>286</v>
      </c>
      <c r="I505" s="93">
        <v>64.0</v>
      </c>
      <c r="J505" s="93">
        <v>256.0</v>
      </c>
      <c r="K505" s="93"/>
      <c r="L505" s="56"/>
      <c r="M505" s="126" t="s">
        <v>1072</v>
      </c>
    </row>
    <row r="506">
      <c r="A506" s="133"/>
      <c r="B506" s="111" t="s">
        <v>2590</v>
      </c>
      <c r="C506" s="118" t="s">
        <v>395</v>
      </c>
      <c r="D506" s="152">
        <v>250.16000000000003</v>
      </c>
      <c r="E506" s="52">
        <v>272.0</v>
      </c>
      <c r="F506" s="109">
        <f t="shared" si="376"/>
        <v>271.36</v>
      </c>
      <c r="G506" s="248">
        <f t="shared" si="377"/>
        <v>0.08730412536</v>
      </c>
      <c r="H506" s="132">
        <f>VLOOKUP(M506,'NEW PTMT'!$B$4:$E1406,4,0)</f>
        <v>256</v>
      </c>
      <c r="I506" s="93">
        <v>90.0</v>
      </c>
      <c r="J506" s="93">
        <v>180.0</v>
      </c>
      <c r="K506" s="93"/>
      <c r="L506" s="56"/>
      <c r="M506" s="126" t="s">
        <v>1073</v>
      </c>
    </row>
    <row r="507">
      <c r="A507" s="133"/>
      <c r="B507" s="111" t="s">
        <v>2591</v>
      </c>
      <c r="C507" s="118" t="s">
        <v>829</v>
      </c>
      <c r="D507" s="152">
        <v>550.0</v>
      </c>
      <c r="E507" s="52">
        <v>592.0</v>
      </c>
      <c r="F507" s="109">
        <f t="shared" si="376"/>
        <v>591.48</v>
      </c>
      <c r="G507" s="248">
        <f t="shared" si="377"/>
        <v>0.07636363636</v>
      </c>
      <c r="H507" s="132">
        <f>VLOOKUP(M507,'NEW PTMT'!$B$4:$E1406,4,0)</f>
        <v>558</v>
      </c>
      <c r="I507" s="93">
        <v>35.0</v>
      </c>
      <c r="J507" s="93">
        <v>140.0</v>
      </c>
      <c r="K507" s="93"/>
      <c r="L507" s="56"/>
      <c r="M507" s="126" t="s">
        <v>1074</v>
      </c>
    </row>
    <row r="508">
      <c r="A508" s="133"/>
      <c r="B508" s="111" t="s">
        <v>2592</v>
      </c>
      <c r="C508" s="118" t="s">
        <v>663</v>
      </c>
      <c r="D508" s="152">
        <v>416.0</v>
      </c>
      <c r="E508" s="52">
        <v>448.0</v>
      </c>
      <c r="F508" s="109">
        <f t="shared" si="376"/>
        <v>447.32</v>
      </c>
      <c r="G508" s="248">
        <f t="shared" si="377"/>
        <v>0.07692307692</v>
      </c>
      <c r="H508" s="132">
        <f>VLOOKUP(M508,'NEW PTMT'!$B$4:$E1406,4,0)</f>
        <v>422</v>
      </c>
      <c r="I508" s="93">
        <v>64.0</v>
      </c>
      <c r="J508" s="93">
        <v>256.0</v>
      </c>
      <c r="K508" s="93"/>
      <c r="L508" s="56"/>
      <c r="M508" s="126" t="s">
        <v>1076</v>
      </c>
    </row>
    <row r="509">
      <c r="A509" s="133"/>
      <c r="B509" s="111" t="s">
        <v>2594</v>
      </c>
      <c r="C509" s="118" t="s">
        <v>690</v>
      </c>
      <c r="D509" s="152">
        <v>415.52000000000004</v>
      </c>
      <c r="E509" s="52">
        <v>448.0</v>
      </c>
      <c r="F509" s="109">
        <f t="shared" si="376"/>
        <v>447.32</v>
      </c>
      <c r="G509" s="248">
        <f t="shared" si="377"/>
        <v>0.0781671159</v>
      </c>
      <c r="H509" s="132">
        <f>VLOOKUP(M509,'NEW PTMT'!$B$4:$E1406,4,0)</f>
        <v>422</v>
      </c>
      <c r="I509" s="93">
        <v>64.0</v>
      </c>
      <c r="J509" s="93">
        <v>256.0</v>
      </c>
      <c r="K509" s="93"/>
      <c r="L509" s="56"/>
      <c r="M509" s="126" t="s">
        <v>1082</v>
      </c>
    </row>
    <row r="510">
      <c r="A510" s="133"/>
      <c r="B510" s="111" t="s">
        <v>2595</v>
      </c>
      <c r="C510" s="118" t="s">
        <v>2596</v>
      </c>
      <c r="D510" s="152">
        <v>712.32</v>
      </c>
      <c r="E510" s="52">
        <v>768.0</v>
      </c>
      <c r="F510" s="109">
        <f t="shared" si="376"/>
        <v>769.56</v>
      </c>
      <c r="G510" s="248">
        <f t="shared" si="377"/>
        <v>0.0781671159</v>
      </c>
      <c r="H510" s="132">
        <f>VLOOKUP(M510,'NEW PTMT'!$B$4:$E1406,4,0)</f>
        <v>726</v>
      </c>
      <c r="I510" s="93">
        <v>30.0</v>
      </c>
      <c r="J510" s="93">
        <v>120.0</v>
      </c>
      <c r="K510" s="93"/>
      <c r="L510" s="56"/>
      <c r="M510" s="126" t="s">
        <v>1078</v>
      </c>
    </row>
    <row r="511">
      <c r="A511" s="133"/>
      <c r="B511" s="111" t="s">
        <v>2597</v>
      </c>
      <c r="C511" s="118" t="s">
        <v>2598</v>
      </c>
      <c r="D511" s="152">
        <v>726.0</v>
      </c>
      <c r="E511" s="52">
        <v>782.0</v>
      </c>
      <c r="F511" s="109">
        <f t="shared" si="376"/>
        <v>782.28</v>
      </c>
      <c r="G511" s="248">
        <f t="shared" si="377"/>
        <v>0.07713498623</v>
      </c>
      <c r="H511" s="132">
        <f>VLOOKUP(M511,'NEW PTMT'!$B$4:$E1406,4,0)</f>
        <v>738</v>
      </c>
      <c r="I511" s="134">
        <v>30.0</v>
      </c>
      <c r="J511" s="134">
        <v>120.0</v>
      </c>
      <c r="K511" s="93"/>
      <c r="L511" s="56"/>
      <c r="M511" s="126" t="s">
        <v>1079</v>
      </c>
    </row>
    <row r="512">
      <c r="A512" s="133"/>
      <c r="B512" s="111" t="s">
        <v>2600</v>
      </c>
      <c r="C512" s="118" t="s">
        <v>731</v>
      </c>
      <c r="D512" s="152">
        <v>422.0</v>
      </c>
      <c r="E512" s="52">
        <v>454.0</v>
      </c>
      <c r="F512" s="109">
        <f t="shared" si="376"/>
        <v>453.68</v>
      </c>
      <c r="G512" s="248">
        <f t="shared" si="377"/>
        <v>0.07582938389</v>
      </c>
      <c r="H512" s="132">
        <f>VLOOKUP(M512,'NEW PTMT'!$B$4:$E1406,4,0)</f>
        <v>428</v>
      </c>
      <c r="I512" s="93">
        <v>30.0</v>
      </c>
      <c r="J512" s="93">
        <v>120.0</v>
      </c>
      <c r="K512" s="93"/>
      <c r="L512" s="56"/>
      <c r="M512" s="126" t="s">
        <v>1083</v>
      </c>
    </row>
    <row r="513">
      <c r="A513" s="133"/>
      <c r="B513" s="111" t="s">
        <v>2601</v>
      </c>
      <c r="C513" s="118" t="s">
        <v>1145</v>
      </c>
      <c r="D513" s="152">
        <v>1644.0</v>
      </c>
      <c r="E513" s="52">
        <v>1774.0</v>
      </c>
      <c r="F513" s="109">
        <f t="shared" si="376"/>
        <v>1774.44</v>
      </c>
      <c r="G513" s="248">
        <f t="shared" si="377"/>
        <v>0.07907542579</v>
      </c>
      <c r="H513" s="132">
        <f>VLOOKUP(M513,'NEW PTMT'!$B$4:$E1406,4,0)</f>
        <v>1674</v>
      </c>
      <c r="I513" s="93">
        <v>14.0</v>
      </c>
      <c r="J513" s="93">
        <v>56.0</v>
      </c>
      <c r="K513" s="93"/>
      <c r="L513" s="56"/>
      <c r="M513" s="126" t="s">
        <v>1086</v>
      </c>
    </row>
    <row r="514" ht="18.75" customHeight="1">
      <c r="A514" s="133"/>
      <c r="B514" s="149"/>
      <c r="C514" s="204"/>
      <c r="D514" s="259"/>
      <c r="E514" s="109"/>
      <c r="F514" s="109"/>
      <c r="G514" s="248"/>
      <c r="H514" s="115"/>
      <c r="I514" s="93"/>
      <c r="J514" s="93"/>
      <c r="K514" s="93"/>
      <c r="L514" s="56"/>
      <c r="M514" s="258"/>
    </row>
    <row r="515" ht="18.75" customHeight="1">
      <c r="A515" s="133"/>
      <c r="B515" s="107" t="s">
        <v>2602</v>
      </c>
      <c r="C515" s="166"/>
      <c r="D515" s="272"/>
      <c r="E515" s="109"/>
      <c r="F515" s="109"/>
      <c r="G515" s="248"/>
      <c r="H515" s="115"/>
      <c r="I515" s="93"/>
      <c r="J515" s="93"/>
      <c r="K515" s="93"/>
      <c r="L515" s="56"/>
      <c r="M515" s="91"/>
    </row>
    <row r="516">
      <c r="A516" s="133"/>
      <c r="B516" s="111" t="s">
        <v>2604</v>
      </c>
      <c r="C516" s="112" t="s">
        <v>1050</v>
      </c>
      <c r="D516" s="52">
        <f t="shared" ref="D516:E516" si="378">D485</f>
        <v>260</v>
      </c>
      <c r="E516" s="52">
        <f t="shared" si="378"/>
        <v>278</v>
      </c>
      <c r="F516" s="109"/>
      <c r="G516" s="248">
        <f t="shared" ref="G516:G544" si="380">IFERROR(DIVIDE(MINUS(E516,D516),D516),)</f>
        <v>0.06923076923</v>
      </c>
      <c r="H516" s="115"/>
      <c r="I516" s="93">
        <v>66.0</v>
      </c>
      <c r="J516" s="93">
        <v>198.0</v>
      </c>
      <c r="K516" s="93"/>
      <c r="L516" s="56"/>
      <c r="M516" s="91"/>
    </row>
    <row r="517">
      <c r="A517" s="133"/>
      <c r="B517" s="111" t="s">
        <v>1299</v>
      </c>
      <c r="C517" s="112" t="s">
        <v>748</v>
      </c>
      <c r="D517" s="52">
        <f t="shared" ref="D517:E517" si="379">D486</f>
        <v>272</v>
      </c>
      <c r="E517" s="52">
        <f t="shared" si="379"/>
        <v>294</v>
      </c>
      <c r="F517" s="109"/>
      <c r="G517" s="248">
        <f t="shared" si="380"/>
        <v>0.08088235294</v>
      </c>
      <c r="H517" s="115"/>
      <c r="I517" s="93"/>
      <c r="J517" s="93"/>
      <c r="K517" s="93"/>
      <c r="L517" s="56"/>
      <c r="M517" s="91"/>
    </row>
    <row r="518">
      <c r="A518" s="133"/>
      <c r="B518" s="111" t="s">
        <v>2605</v>
      </c>
      <c r="C518" s="118" t="s">
        <v>636</v>
      </c>
      <c r="D518" s="52">
        <f t="shared" ref="D518:E518" si="381">D487</f>
        <v>290.44</v>
      </c>
      <c r="E518" s="52">
        <f t="shared" si="381"/>
        <v>314</v>
      </c>
      <c r="F518" s="109"/>
      <c r="G518" s="248">
        <f t="shared" si="380"/>
        <v>0.08111830326</v>
      </c>
      <c r="H518" s="115"/>
      <c r="I518" s="93">
        <v>60.0</v>
      </c>
      <c r="J518" s="93">
        <v>180.0</v>
      </c>
      <c r="K518" s="93"/>
      <c r="L518" s="56"/>
      <c r="M518" s="91"/>
    </row>
    <row r="519">
      <c r="A519" s="133"/>
      <c r="B519" s="111" t="s">
        <v>2606</v>
      </c>
      <c r="C519" s="118" t="s">
        <v>417</v>
      </c>
      <c r="D519" s="52">
        <f t="shared" ref="D519:E519" si="382">D488</f>
        <v>302</v>
      </c>
      <c r="E519" s="52">
        <f t="shared" si="382"/>
        <v>326</v>
      </c>
      <c r="F519" s="109"/>
      <c r="G519" s="248">
        <f t="shared" si="380"/>
        <v>0.07947019868</v>
      </c>
      <c r="H519" s="115"/>
      <c r="I519" s="93">
        <v>46.0</v>
      </c>
      <c r="J519" s="93">
        <v>184.0</v>
      </c>
      <c r="K519" s="93"/>
      <c r="L519" s="56"/>
      <c r="M519" s="91"/>
    </row>
    <row r="520">
      <c r="A520" s="133"/>
      <c r="B520" s="111" t="s">
        <v>2608</v>
      </c>
      <c r="C520" s="118" t="s">
        <v>2561</v>
      </c>
      <c r="D520" s="52">
        <f t="shared" ref="D520:E520" si="383">D489</f>
        <v>351.92</v>
      </c>
      <c r="E520" s="52">
        <f t="shared" si="383"/>
        <v>378</v>
      </c>
      <c r="F520" s="109"/>
      <c r="G520" s="248">
        <f t="shared" si="380"/>
        <v>0.07410775176</v>
      </c>
      <c r="H520" s="115"/>
      <c r="I520" s="134">
        <v>60.0</v>
      </c>
      <c r="J520" s="134">
        <v>240.0</v>
      </c>
      <c r="K520" s="93"/>
      <c r="L520" s="56"/>
      <c r="M520" s="91"/>
    </row>
    <row r="521">
      <c r="A521" s="133"/>
      <c r="B521" s="111" t="s">
        <v>2609</v>
      </c>
      <c r="C521" s="118" t="s">
        <v>2563</v>
      </c>
      <c r="D521" s="52">
        <f t="shared" ref="D521:E521" si="384">D490</f>
        <v>334</v>
      </c>
      <c r="E521" s="52">
        <f t="shared" si="384"/>
        <v>358</v>
      </c>
      <c r="F521" s="109"/>
      <c r="G521" s="248">
        <f t="shared" si="380"/>
        <v>0.07185628743</v>
      </c>
      <c r="H521" s="115"/>
      <c r="I521" s="93">
        <v>46.0</v>
      </c>
      <c r="J521" s="93">
        <v>184.0</v>
      </c>
      <c r="K521" s="93"/>
      <c r="L521" s="56"/>
      <c r="M521" s="91"/>
    </row>
    <row r="522">
      <c r="A522" s="133"/>
      <c r="B522" s="111" t="s">
        <v>2610</v>
      </c>
      <c r="C522" s="118" t="s">
        <v>2566</v>
      </c>
      <c r="D522" s="52">
        <f t="shared" ref="D522:E522" si="385">D491</f>
        <v>347.68</v>
      </c>
      <c r="E522" s="52">
        <f t="shared" si="385"/>
        <v>376</v>
      </c>
      <c r="F522" s="109"/>
      <c r="G522" s="248">
        <f t="shared" si="380"/>
        <v>0.08145421077</v>
      </c>
      <c r="H522" s="115"/>
      <c r="I522" s="93">
        <v>46.0</v>
      </c>
      <c r="J522" s="93">
        <v>184.0</v>
      </c>
      <c r="K522" s="93"/>
      <c r="L522" s="56"/>
      <c r="M522" s="91"/>
    </row>
    <row r="523">
      <c r="A523" s="133"/>
      <c r="B523" s="111" t="s">
        <v>2611</v>
      </c>
      <c r="C523" s="118" t="s">
        <v>363</v>
      </c>
      <c r="D523" s="52">
        <f t="shared" ref="D523:E523" si="386">D492</f>
        <v>296</v>
      </c>
      <c r="E523" s="52">
        <f t="shared" si="386"/>
        <v>316</v>
      </c>
      <c r="F523" s="109"/>
      <c r="G523" s="248">
        <f t="shared" si="380"/>
        <v>0.06756756757</v>
      </c>
      <c r="H523" s="115"/>
      <c r="I523" s="93">
        <v>66.0</v>
      </c>
      <c r="J523" s="93">
        <v>198.0</v>
      </c>
      <c r="K523" s="93"/>
      <c r="L523" s="56"/>
      <c r="M523" s="91"/>
    </row>
    <row r="524">
      <c r="A524" s="133"/>
      <c r="B524" s="111" t="s">
        <v>2613</v>
      </c>
      <c r="C524" s="118" t="s">
        <v>808</v>
      </c>
      <c r="D524" s="52">
        <f t="shared" ref="D524:E524" si="387">D493</f>
        <v>586</v>
      </c>
      <c r="E524" s="52">
        <f t="shared" si="387"/>
        <v>632</v>
      </c>
      <c r="F524" s="109"/>
      <c r="G524" s="248">
        <f t="shared" si="380"/>
        <v>0.07849829352</v>
      </c>
      <c r="H524" s="115"/>
      <c r="I524" s="93">
        <v>24.0</v>
      </c>
      <c r="J524" s="93">
        <v>96.0</v>
      </c>
      <c r="K524" s="93"/>
      <c r="L524" s="56"/>
      <c r="M524" s="91"/>
    </row>
    <row r="525">
      <c r="A525" s="133"/>
      <c r="B525" s="111" t="s">
        <v>2614</v>
      </c>
      <c r="C525" s="118" t="s">
        <v>682</v>
      </c>
      <c r="D525" s="52">
        <f t="shared" ref="D525:E525" si="388">D494</f>
        <v>374</v>
      </c>
      <c r="E525" s="52">
        <f t="shared" si="388"/>
        <v>406</v>
      </c>
      <c r="F525" s="109"/>
      <c r="G525" s="248">
        <f t="shared" si="380"/>
        <v>0.08556149733</v>
      </c>
      <c r="H525" s="115"/>
      <c r="I525" s="93">
        <v>66.0</v>
      </c>
      <c r="J525" s="93">
        <v>198.0</v>
      </c>
      <c r="K525" s="93"/>
      <c r="L525" s="56"/>
      <c r="M525" s="91"/>
    </row>
    <row r="526">
      <c r="A526" s="133"/>
      <c r="B526" s="111" t="s">
        <v>2615</v>
      </c>
      <c r="C526" s="118" t="s">
        <v>756</v>
      </c>
      <c r="D526" s="52">
        <f t="shared" ref="D526:E526" si="389">D495</f>
        <v>412</v>
      </c>
      <c r="E526" s="52">
        <f t="shared" si="389"/>
        <v>444</v>
      </c>
      <c r="F526" s="109"/>
      <c r="G526" s="248">
        <f t="shared" si="380"/>
        <v>0.07766990291</v>
      </c>
      <c r="H526" s="115"/>
      <c r="I526" s="93">
        <v>30.0</v>
      </c>
      <c r="J526" s="93">
        <v>120.0</v>
      </c>
      <c r="K526" s="93"/>
      <c r="L526" s="56"/>
      <c r="M526" s="91"/>
    </row>
    <row r="527">
      <c r="A527" s="133"/>
      <c r="B527" s="111" t="s">
        <v>2616</v>
      </c>
      <c r="C527" s="118" t="s">
        <v>756</v>
      </c>
      <c r="D527" s="52">
        <f t="shared" ref="D527:E527" si="390">D496</f>
        <v>421.668</v>
      </c>
      <c r="E527" s="52">
        <f t="shared" si="390"/>
        <v>454</v>
      </c>
      <c r="F527" s="109"/>
      <c r="G527" s="248">
        <f t="shared" si="380"/>
        <v>0.07667643739</v>
      </c>
      <c r="H527" s="115"/>
      <c r="I527" s="93">
        <v>30.0</v>
      </c>
      <c r="J527" s="93">
        <v>120.0</v>
      </c>
      <c r="K527" s="93"/>
      <c r="L527" s="56"/>
      <c r="M527" s="91"/>
    </row>
    <row r="528">
      <c r="A528" s="133"/>
      <c r="B528" s="111" t="s">
        <v>2617</v>
      </c>
      <c r="C528" s="118" t="s">
        <v>2465</v>
      </c>
      <c r="D528" s="52">
        <f t="shared" ref="D528:E528" si="391">D497</f>
        <v>756</v>
      </c>
      <c r="E528" s="52">
        <f t="shared" si="391"/>
        <v>814</v>
      </c>
      <c r="F528" s="109"/>
      <c r="G528" s="248">
        <f t="shared" si="380"/>
        <v>0.07671957672</v>
      </c>
      <c r="H528" s="115"/>
      <c r="I528" s="93">
        <v>13.0</v>
      </c>
      <c r="J528" s="93">
        <v>52.0</v>
      </c>
      <c r="K528" s="93"/>
      <c r="L528" s="56"/>
      <c r="M528" s="91"/>
    </row>
    <row r="529">
      <c r="A529" s="133"/>
      <c r="B529" s="111" t="s">
        <v>2619</v>
      </c>
      <c r="C529" s="118" t="s">
        <v>2577</v>
      </c>
      <c r="D529" s="52">
        <f t="shared" ref="D529:E529" si="392">D498</f>
        <v>672.419904</v>
      </c>
      <c r="E529" s="52">
        <f t="shared" si="392"/>
        <v>728</v>
      </c>
      <c r="F529" s="109"/>
      <c r="G529" s="248">
        <f t="shared" si="380"/>
        <v>0.08265682748</v>
      </c>
      <c r="H529" s="115"/>
      <c r="I529" s="93">
        <v>30.0</v>
      </c>
      <c r="J529" s="93">
        <v>120.0</v>
      </c>
      <c r="K529" s="93"/>
      <c r="L529" s="56"/>
      <c r="M529" s="91"/>
    </row>
    <row r="530">
      <c r="A530" s="133"/>
      <c r="B530" s="111" t="s">
        <v>2620</v>
      </c>
      <c r="C530" s="118" t="s">
        <v>2580</v>
      </c>
      <c r="D530" s="52">
        <f t="shared" ref="D530:E530" si="393">D499</f>
        <v>756</v>
      </c>
      <c r="E530" s="52">
        <f t="shared" si="393"/>
        <v>814</v>
      </c>
      <c r="F530" s="109"/>
      <c r="G530" s="248">
        <f t="shared" si="380"/>
        <v>0.07671957672</v>
      </c>
      <c r="H530" s="115"/>
      <c r="I530" s="93">
        <v>13.0</v>
      </c>
      <c r="J530" s="93">
        <v>52.0</v>
      </c>
      <c r="K530" s="93"/>
      <c r="L530" s="56"/>
      <c r="M530" s="91"/>
    </row>
    <row r="531">
      <c r="A531" s="133"/>
      <c r="B531" s="111" t="s">
        <v>2621</v>
      </c>
      <c r="C531" s="118" t="s">
        <v>913</v>
      </c>
      <c r="D531" s="52">
        <f t="shared" ref="D531:E531" si="394">D500</f>
        <v>1375.88</v>
      </c>
      <c r="E531" s="52">
        <f t="shared" si="394"/>
        <v>1486</v>
      </c>
      <c r="F531" s="109"/>
      <c r="G531" s="248">
        <f t="shared" si="380"/>
        <v>0.08003604966</v>
      </c>
      <c r="H531" s="115"/>
      <c r="I531" s="93">
        <v>13.0</v>
      </c>
      <c r="J531" s="93">
        <v>52.0</v>
      </c>
      <c r="K531" s="93"/>
      <c r="L531" s="56"/>
      <c r="M531" s="91"/>
    </row>
    <row r="532">
      <c r="A532" s="133"/>
      <c r="B532" s="111" t="s">
        <v>1300</v>
      </c>
      <c r="C532" s="118" t="s">
        <v>523</v>
      </c>
      <c r="D532" s="52">
        <f t="shared" ref="D532:E532" si="395">D501</f>
        <v>2117.88</v>
      </c>
      <c r="E532" s="52">
        <f t="shared" si="395"/>
        <v>2288</v>
      </c>
      <c r="F532" s="109"/>
      <c r="G532" s="248">
        <f t="shared" si="380"/>
        <v>0.08032560863</v>
      </c>
      <c r="H532" s="115"/>
      <c r="I532" s="93"/>
      <c r="J532" s="93"/>
      <c r="K532" s="93"/>
      <c r="L532" s="56"/>
      <c r="M532" s="91"/>
    </row>
    <row r="533">
      <c r="A533" s="133"/>
      <c r="B533" s="123" t="s">
        <v>2622</v>
      </c>
      <c r="C533" s="124" t="s">
        <v>2584</v>
      </c>
      <c r="D533" s="52">
        <f t="shared" ref="D533:E533" si="396">D502</f>
        <v>1795.64</v>
      </c>
      <c r="E533" s="52">
        <f t="shared" si="396"/>
        <v>1938</v>
      </c>
      <c r="F533" s="109"/>
      <c r="G533" s="248">
        <f t="shared" si="380"/>
        <v>0.07928092491</v>
      </c>
      <c r="H533" s="115"/>
      <c r="I533" s="93">
        <v>6.0</v>
      </c>
      <c r="J533" s="93">
        <v>24.0</v>
      </c>
      <c r="K533" s="93"/>
      <c r="L533" s="56"/>
      <c r="M533" s="91"/>
    </row>
    <row r="534">
      <c r="A534" s="133"/>
      <c r="B534" s="111" t="s">
        <v>2623</v>
      </c>
      <c r="C534" s="118" t="s">
        <v>719</v>
      </c>
      <c r="D534" s="52">
        <f t="shared" ref="D534:E534" si="397">D503</f>
        <v>260</v>
      </c>
      <c r="E534" s="52">
        <f t="shared" si="397"/>
        <v>278</v>
      </c>
      <c r="F534" s="109"/>
      <c r="G534" s="248">
        <f t="shared" si="380"/>
        <v>0.06923076923</v>
      </c>
      <c r="H534" s="115"/>
      <c r="I534" s="93">
        <v>66.0</v>
      </c>
      <c r="J534" s="93">
        <v>264.0</v>
      </c>
      <c r="K534" s="93"/>
      <c r="L534" s="56"/>
      <c r="M534" s="91"/>
    </row>
    <row r="535">
      <c r="A535" s="133"/>
      <c r="B535" s="111" t="s">
        <v>2625</v>
      </c>
      <c r="C535" s="118" t="s">
        <v>717</v>
      </c>
      <c r="D535" s="52">
        <f t="shared" ref="D535:E535" si="398">D504</f>
        <v>267.618624</v>
      </c>
      <c r="E535" s="52">
        <f t="shared" si="398"/>
        <v>288</v>
      </c>
      <c r="F535" s="109"/>
      <c r="G535" s="248">
        <f t="shared" si="380"/>
        <v>0.0761582871</v>
      </c>
      <c r="H535" s="115"/>
      <c r="I535" s="93">
        <v>66.0</v>
      </c>
      <c r="J535" s="93">
        <v>264.0</v>
      </c>
      <c r="K535" s="93"/>
      <c r="L535" s="56"/>
      <c r="M535" s="91"/>
    </row>
    <row r="536">
      <c r="A536" s="133"/>
      <c r="B536" s="111" t="s">
        <v>2626</v>
      </c>
      <c r="C536" s="118" t="s">
        <v>723</v>
      </c>
      <c r="D536" s="52">
        <f t="shared" ref="D536:E536" si="399">D505</f>
        <v>279.84</v>
      </c>
      <c r="E536" s="52">
        <f t="shared" si="399"/>
        <v>302</v>
      </c>
      <c r="F536" s="109"/>
      <c r="G536" s="248">
        <f t="shared" si="380"/>
        <v>0.07918810749</v>
      </c>
      <c r="H536" s="115"/>
      <c r="I536" s="93">
        <v>64.0</v>
      </c>
      <c r="J536" s="93">
        <v>256.0</v>
      </c>
      <c r="K536" s="93"/>
      <c r="L536" s="56"/>
      <c r="M536" s="91"/>
    </row>
    <row r="537">
      <c r="A537" s="133"/>
      <c r="B537" s="111" t="s">
        <v>2627</v>
      </c>
      <c r="C537" s="118" t="s">
        <v>395</v>
      </c>
      <c r="D537" s="52">
        <f t="shared" ref="D537:E537" si="400">D506</f>
        <v>250.16</v>
      </c>
      <c r="E537" s="52">
        <f t="shared" si="400"/>
        <v>272</v>
      </c>
      <c r="F537" s="109"/>
      <c r="G537" s="248">
        <f t="shared" si="380"/>
        <v>0.08730412536</v>
      </c>
      <c r="H537" s="115"/>
      <c r="I537" s="93">
        <v>90.0</v>
      </c>
      <c r="J537" s="93">
        <v>180.0</v>
      </c>
      <c r="K537" s="93"/>
      <c r="L537" s="56"/>
      <c r="M537" s="91"/>
    </row>
    <row r="538">
      <c r="A538" s="133"/>
      <c r="B538" s="111" t="s">
        <v>2628</v>
      </c>
      <c r="C538" s="118" t="s">
        <v>829</v>
      </c>
      <c r="D538" s="52">
        <f t="shared" ref="D538:E538" si="401">D507</f>
        <v>550</v>
      </c>
      <c r="E538" s="52">
        <f t="shared" si="401"/>
        <v>592</v>
      </c>
      <c r="F538" s="109"/>
      <c r="G538" s="248">
        <f t="shared" si="380"/>
        <v>0.07636363636</v>
      </c>
      <c r="H538" s="115"/>
      <c r="I538" s="93">
        <v>35.0</v>
      </c>
      <c r="J538" s="93">
        <v>140.0</v>
      </c>
      <c r="K538" s="93"/>
      <c r="L538" s="56"/>
      <c r="M538" s="91"/>
    </row>
    <row r="539">
      <c r="A539" s="133"/>
      <c r="B539" s="111" t="s">
        <v>2629</v>
      </c>
      <c r="C539" s="118" t="s">
        <v>663</v>
      </c>
      <c r="D539" s="52">
        <f t="shared" ref="D539:E539" si="402">D508</f>
        <v>416</v>
      </c>
      <c r="E539" s="52">
        <f t="shared" si="402"/>
        <v>448</v>
      </c>
      <c r="F539" s="109"/>
      <c r="G539" s="248">
        <f t="shared" si="380"/>
        <v>0.07692307692</v>
      </c>
      <c r="H539" s="115"/>
      <c r="I539" s="93">
        <v>64.0</v>
      </c>
      <c r="J539" s="93">
        <v>256.0</v>
      </c>
      <c r="K539" s="93"/>
      <c r="L539" s="56"/>
      <c r="M539" s="91"/>
    </row>
    <row r="540">
      <c r="A540" s="133"/>
      <c r="B540" s="111" t="s">
        <v>2630</v>
      </c>
      <c r="C540" s="118" t="s">
        <v>690</v>
      </c>
      <c r="D540" s="52">
        <f t="shared" ref="D540:E540" si="403">D509</f>
        <v>415.52</v>
      </c>
      <c r="E540" s="52">
        <f t="shared" si="403"/>
        <v>448</v>
      </c>
      <c r="F540" s="109"/>
      <c r="G540" s="248">
        <f t="shared" si="380"/>
        <v>0.0781671159</v>
      </c>
      <c r="H540" s="115"/>
      <c r="I540" s="93">
        <v>64.0</v>
      </c>
      <c r="J540" s="93">
        <v>256.0</v>
      </c>
      <c r="K540" s="93"/>
      <c r="L540" s="56"/>
      <c r="M540" s="91"/>
    </row>
    <row r="541">
      <c r="A541" s="133"/>
      <c r="B541" s="111" t="s">
        <v>2632</v>
      </c>
      <c r="C541" s="118" t="s">
        <v>2596</v>
      </c>
      <c r="D541" s="52">
        <f t="shared" ref="D541:E541" si="404">D510</f>
        <v>712.32</v>
      </c>
      <c r="E541" s="52">
        <f t="shared" si="404"/>
        <v>768</v>
      </c>
      <c r="F541" s="109"/>
      <c r="G541" s="248">
        <f t="shared" si="380"/>
        <v>0.0781671159</v>
      </c>
      <c r="H541" s="115"/>
      <c r="I541" s="93">
        <v>30.0</v>
      </c>
      <c r="J541" s="93">
        <v>120.0</v>
      </c>
      <c r="K541" s="93"/>
      <c r="L541" s="56"/>
      <c r="M541" s="91"/>
    </row>
    <row r="542">
      <c r="A542" s="133"/>
      <c r="B542" s="111" t="s">
        <v>2633</v>
      </c>
      <c r="C542" s="118" t="s">
        <v>2598</v>
      </c>
      <c r="D542" s="52">
        <f t="shared" ref="D542:E542" si="405">D511</f>
        <v>726</v>
      </c>
      <c r="E542" s="52">
        <f t="shared" si="405"/>
        <v>782</v>
      </c>
      <c r="F542" s="109"/>
      <c r="G542" s="248">
        <f t="shared" si="380"/>
        <v>0.07713498623</v>
      </c>
      <c r="H542" s="93"/>
      <c r="I542" s="134">
        <v>30.0</v>
      </c>
      <c r="J542" s="134">
        <v>120.0</v>
      </c>
      <c r="K542" s="93"/>
      <c r="L542" s="56"/>
      <c r="M542" s="91"/>
    </row>
    <row r="543">
      <c r="A543" s="133"/>
      <c r="B543" s="111" t="s">
        <v>2634</v>
      </c>
      <c r="C543" s="118" t="s">
        <v>731</v>
      </c>
      <c r="D543" s="52">
        <f t="shared" ref="D543:E543" si="406">D512</f>
        <v>422</v>
      </c>
      <c r="E543" s="52">
        <f t="shared" si="406"/>
        <v>454</v>
      </c>
      <c r="F543" s="109"/>
      <c r="G543" s="248">
        <f t="shared" si="380"/>
        <v>0.07582938389</v>
      </c>
      <c r="H543" s="93"/>
      <c r="I543" s="93">
        <v>30.0</v>
      </c>
      <c r="J543" s="93">
        <v>120.0</v>
      </c>
      <c r="K543" s="93"/>
      <c r="L543" s="56"/>
      <c r="M543" s="91"/>
    </row>
    <row r="544">
      <c r="A544" s="133"/>
      <c r="B544" s="111" t="s">
        <v>2635</v>
      </c>
      <c r="C544" s="341" t="s">
        <v>1145</v>
      </c>
      <c r="D544" s="52">
        <f t="shared" ref="D544:E544" si="407">D513</f>
        <v>1644</v>
      </c>
      <c r="E544" s="52">
        <f t="shared" si="407"/>
        <v>1774</v>
      </c>
      <c r="F544" s="109"/>
      <c r="G544" s="248">
        <f t="shared" si="380"/>
        <v>0.07907542579</v>
      </c>
      <c r="H544" s="115"/>
      <c r="I544" s="93">
        <v>14.0</v>
      </c>
      <c r="J544" s="93">
        <v>56.0</v>
      </c>
      <c r="K544" s="93"/>
      <c r="L544" s="56"/>
      <c r="M544" s="91"/>
    </row>
    <row r="545" ht="18.75" customHeight="1">
      <c r="A545" s="133"/>
      <c r="B545" s="185"/>
      <c r="C545" s="204"/>
      <c r="D545" s="109"/>
      <c r="E545" s="109"/>
      <c r="F545" s="109"/>
      <c r="G545" s="248"/>
      <c r="H545" s="115"/>
      <c r="I545" s="93"/>
      <c r="J545" s="93"/>
      <c r="K545" s="93"/>
      <c r="L545" s="56"/>
      <c r="M545" s="91"/>
    </row>
    <row r="546" ht="18.75" customHeight="1">
      <c r="A546" s="133"/>
      <c r="B546" s="107" t="s">
        <v>2636</v>
      </c>
      <c r="C546" s="166"/>
      <c r="D546" s="109"/>
      <c r="E546" s="109"/>
      <c r="F546" s="109"/>
      <c r="G546" s="248"/>
      <c r="H546" s="115"/>
      <c r="I546" s="93"/>
      <c r="J546" s="93"/>
      <c r="K546" s="93"/>
      <c r="L546" s="56"/>
      <c r="M546" s="91"/>
    </row>
    <row r="547">
      <c r="A547" s="133"/>
      <c r="B547" s="111" t="s">
        <v>2637</v>
      </c>
      <c r="C547" s="112" t="s">
        <v>1050</v>
      </c>
      <c r="D547" s="52">
        <f t="shared" ref="D547:E547" si="408">D516</f>
        <v>260</v>
      </c>
      <c r="E547" s="52">
        <f t="shared" si="408"/>
        <v>278</v>
      </c>
      <c r="F547" s="109"/>
      <c r="G547" s="248">
        <f t="shared" ref="G547:G575" si="410">IFERROR(DIVIDE(MINUS(E547,D547),D547),)</f>
        <v>0.06923076923</v>
      </c>
      <c r="H547" s="115"/>
      <c r="I547" s="93">
        <v>66.0</v>
      </c>
      <c r="J547" s="93">
        <v>198.0</v>
      </c>
      <c r="K547" s="93"/>
      <c r="L547" s="56"/>
      <c r="M547" s="91"/>
    </row>
    <row r="548">
      <c r="A548" s="133"/>
      <c r="B548" s="111" t="s">
        <v>1305</v>
      </c>
      <c r="C548" s="112" t="s">
        <v>748</v>
      </c>
      <c r="D548" s="52">
        <f t="shared" ref="D548:E548" si="409">D517</f>
        <v>272</v>
      </c>
      <c r="E548" s="52">
        <f t="shared" si="409"/>
        <v>294</v>
      </c>
      <c r="F548" s="109"/>
      <c r="G548" s="248">
        <f t="shared" si="410"/>
        <v>0.08088235294</v>
      </c>
      <c r="H548" s="115"/>
      <c r="I548" s="93"/>
      <c r="J548" s="93"/>
      <c r="K548" s="93"/>
      <c r="L548" s="56"/>
      <c r="M548" s="91"/>
    </row>
    <row r="549">
      <c r="A549" s="133"/>
      <c r="B549" s="111" t="s">
        <v>2639</v>
      </c>
      <c r="C549" s="118" t="s">
        <v>636</v>
      </c>
      <c r="D549" s="52">
        <f t="shared" ref="D549:E549" si="411">D518</f>
        <v>290.44</v>
      </c>
      <c r="E549" s="52">
        <f t="shared" si="411"/>
        <v>314</v>
      </c>
      <c r="F549" s="109"/>
      <c r="G549" s="248">
        <f t="shared" si="410"/>
        <v>0.08111830326</v>
      </c>
      <c r="H549" s="115"/>
      <c r="I549" s="93">
        <v>60.0</v>
      </c>
      <c r="J549" s="93">
        <v>180.0</v>
      </c>
      <c r="K549" s="93"/>
      <c r="L549" s="56"/>
      <c r="M549" s="91"/>
    </row>
    <row r="550">
      <c r="A550" s="133"/>
      <c r="B550" s="111" t="s">
        <v>2640</v>
      </c>
      <c r="C550" s="118" t="s">
        <v>417</v>
      </c>
      <c r="D550" s="52">
        <f t="shared" ref="D550:E550" si="412">D519</f>
        <v>302</v>
      </c>
      <c r="E550" s="52">
        <f t="shared" si="412"/>
        <v>326</v>
      </c>
      <c r="F550" s="109"/>
      <c r="G550" s="248">
        <f t="shared" si="410"/>
        <v>0.07947019868</v>
      </c>
      <c r="H550" s="115"/>
      <c r="I550" s="93">
        <v>46.0</v>
      </c>
      <c r="J550" s="93">
        <v>184.0</v>
      </c>
      <c r="K550" s="93"/>
      <c r="L550" s="56"/>
      <c r="M550" s="91"/>
    </row>
    <row r="551">
      <c r="A551" s="133"/>
      <c r="B551" s="111" t="s">
        <v>2641</v>
      </c>
      <c r="C551" s="118" t="s">
        <v>2561</v>
      </c>
      <c r="D551" s="52">
        <f t="shared" ref="D551:E551" si="413">D520</f>
        <v>351.92</v>
      </c>
      <c r="E551" s="52">
        <f t="shared" si="413"/>
        <v>378</v>
      </c>
      <c r="F551" s="109"/>
      <c r="G551" s="248">
        <f t="shared" si="410"/>
        <v>0.07410775176</v>
      </c>
      <c r="H551" s="115"/>
      <c r="I551" s="134">
        <v>60.0</v>
      </c>
      <c r="J551" s="134">
        <v>240.0</v>
      </c>
      <c r="K551" s="93"/>
      <c r="L551" s="56"/>
      <c r="M551" s="91"/>
    </row>
    <row r="552">
      <c r="A552" s="133"/>
      <c r="B552" s="111" t="s">
        <v>2642</v>
      </c>
      <c r="C552" s="118" t="s">
        <v>2563</v>
      </c>
      <c r="D552" s="52">
        <f t="shared" ref="D552:E552" si="414">D521</f>
        <v>334</v>
      </c>
      <c r="E552" s="52">
        <f t="shared" si="414"/>
        <v>358</v>
      </c>
      <c r="F552" s="109"/>
      <c r="G552" s="248">
        <f t="shared" si="410"/>
        <v>0.07185628743</v>
      </c>
      <c r="H552" s="115"/>
      <c r="I552" s="93">
        <v>46.0</v>
      </c>
      <c r="J552" s="93">
        <v>184.0</v>
      </c>
      <c r="K552" s="93"/>
      <c r="L552" s="56"/>
      <c r="M552" s="91"/>
    </row>
    <row r="553">
      <c r="A553" s="133"/>
      <c r="B553" s="111" t="s">
        <v>2643</v>
      </c>
      <c r="C553" s="118" t="s">
        <v>2566</v>
      </c>
      <c r="D553" s="52">
        <f t="shared" ref="D553:E553" si="415">D522</f>
        <v>347.68</v>
      </c>
      <c r="E553" s="52">
        <f t="shared" si="415"/>
        <v>376</v>
      </c>
      <c r="F553" s="109"/>
      <c r="G553" s="248">
        <f t="shared" si="410"/>
        <v>0.08145421077</v>
      </c>
      <c r="H553" s="115"/>
      <c r="I553" s="93">
        <v>46.0</v>
      </c>
      <c r="J553" s="93">
        <v>184.0</v>
      </c>
      <c r="K553" s="93"/>
      <c r="L553" s="56"/>
      <c r="M553" s="91"/>
    </row>
    <row r="554">
      <c r="A554" s="133"/>
      <c r="B554" s="111" t="s">
        <v>2644</v>
      </c>
      <c r="C554" s="118" t="s">
        <v>363</v>
      </c>
      <c r="D554" s="52">
        <f t="shared" ref="D554:E554" si="416">D523</f>
        <v>296</v>
      </c>
      <c r="E554" s="52">
        <f t="shared" si="416"/>
        <v>316</v>
      </c>
      <c r="F554" s="109"/>
      <c r="G554" s="248">
        <f t="shared" si="410"/>
        <v>0.06756756757</v>
      </c>
      <c r="H554" s="115"/>
      <c r="I554" s="93">
        <v>66.0</v>
      </c>
      <c r="J554" s="93">
        <v>198.0</v>
      </c>
      <c r="K554" s="93"/>
      <c r="L554" s="56"/>
      <c r="M554" s="91"/>
    </row>
    <row r="555">
      <c r="A555" s="133"/>
      <c r="B555" s="111" t="s">
        <v>2646</v>
      </c>
      <c r="C555" s="118" t="s">
        <v>808</v>
      </c>
      <c r="D555" s="52">
        <f t="shared" ref="D555:E555" si="417">D524</f>
        <v>586</v>
      </c>
      <c r="E555" s="52">
        <f t="shared" si="417"/>
        <v>632</v>
      </c>
      <c r="F555" s="109"/>
      <c r="G555" s="248">
        <f t="shared" si="410"/>
        <v>0.07849829352</v>
      </c>
      <c r="H555" s="115"/>
      <c r="I555" s="93">
        <v>24.0</v>
      </c>
      <c r="J555" s="93">
        <v>96.0</v>
      </c>
      <c r="K555" s="93"/>
      <c r="L555" s="56"/>
      <c r="M555" s="91"/>
    </row>
    <row r="556">
      <c r="A556" s="133"/>
      <c r="B556" s="111" t="s">
        <v>2647</v>
      </c>
      <c r="C556" s="118" t="s">
        <v>682</v>
      </c>
      <c r="D556" s="52">
        <f t="shared" ref="D556:E556" si="418">D525</f>
        <v>374</v>
      </c>
      <c r="E556" s="52">
        <f t="shared" si="418"/>
        <v>406</v>
      </c>
      <c r="F556" s="109"/>
      <c r="G556" s="248">
        <f t="shared" si="410"/>
        <v>0.08556149733</v>
      </c>
      <c r="H556" s="115"/>
      <c r="I556" s="93">
        <v>66.0</v>
      </c>
      <c r="J556" s="93">
        <v>198.0</v>
      </c>
      <c r="K556" s="93"/>
      <c r="L556" s="56"/>
      <c r="M556" s="91"/>
    </row>
    <row r="557">
      <c r="A557" s="133"/>
      <c r="B557" s="111" t="s">
        <v>2648</v>
      </c>
      <c r="C557" s="118" t="s">
        <v>756</v>
      </c>
      <c r="D557" s="52">
        <f t="shared" ref="D557:E557" si="419">D526</f>
        <v>412</v>
      </c>
      <c r="E557" s="52">
        <f t="shared" si="419"/>
        <v>444</v>
      </c>
      <c r="F557" s="109"/>
      <c r="G557" s="248">
        <f t="shared" si="410"/>
        <v>0.07766990291</v>
      </c>
      <c r="H557" s="115"/>
      <c r="I557" s="93">
        <v>30.0</v>
      </c>
      <c r="J557" s="93">
        <v>120.0</v>
      </c>
      <c r="K557" s="93"/>
      <c r="L557" s="56"/>
      <c r="M557" s="91"/>
    </row>
    <row r="558">
      <c r="A558" s="133"/>
      <c r="B558" s="111" t="s">
        <v>2649</v>
      </c>
      <c r="C558" s="118" t="s">
        <v>756</v>
      </c>
      <c r="D558" s="52">
        <f t="shared" ref="D558:E558" si="420">D527</f>
        <v>421.668</v>
      </c>
      <c r="E558" s="52">
        <f t="shared" si="420"/>
        <v>454</v>
      </c>
      <c r="F558" s="109"/>
      <c r="G558" s="248">
        <f t="shared" si="410"/>
        <v>0.07667643739</v>
      </c>
      <c r="H558" s="115"/>
      <c r="I558" s="93">
        <v>30.0</v>
      </c>
      <c r="J558" s="93">
        <v>120.0</v>
      </c>
      <c r="K558" s="93"/>
      <c r="L558" s="56"/>
      <c r="M558" s="91"/>
    </row>
    <row r="559">
      <c r="A559" s="133"/>
      <c r="B559" s="111" t="s">
        <v>2650</v>
      </c>
      <c r="C559" s="118" t="s">
        <v>2465</v>
      </c>
      <c r="D559" s="52">
        <f t="shared" ref="D559:E559" si="421">D528</f>
        <v>756</v>
      </c>
      <c r="E559" s="52">
        <f t="shared" si="421"/>
        <v>814</v>
      </c>
      <c r="F559" s="109"/>
      <c r="G559" s="248">
        <f t="shared" si="410"/>
        <v>0.07671957672</v>
      </c>
      <c r="H559" s="115"/>
      <c r="I559" s="93">
        <v>13.0</v>
      </c>
      <c r="J559" s="93">
        <v>52.0</v>
      </c>
      <c r="K559" s="93"/>
      <c r="L559" s="56"/>
      <c r="M559" s="91"/>
    </row>
    <row r="560">
      <c r="A560" s="133"/>
      <c r="B560" s="111" t="s">
        <v>2652</v>
      </c>
      <c r="C560" s="118" t="s">
        <v>2577</v>
      </c>
      <c r="D560" s="52">
        <f t="shared" ref="D560:E560" si="422">D529</f>
        <v>672.419904</v>
      </c>
      <c r="E560" s="52">
        <f t="shared" si="422"/>
        <v>728</v>
      </c>
      <c r="F560" s="109"/>
      <c r="G560" s="248">
        <f t="shared" si="410"/>
        <v>0.08265682748</v>
      </c>
      <c r="H560" s="115"/>
      <c r="I560" s="93">
        <v>30.0</v>
      </c>
      <c r="J560" s="93">
        <v>120.0</v>
      </c>
      <c r="K560" s="93"/>
      <c r="L560" s="56"/>
      <c r="M560" s="91"/>
    </row>
    <row r="561">
      <c r="A561" s="133"/>
      <c r="B561" s="111" t="s">
        <v>2653</v>
      </c>
      <c r="C561" s="118" t="s">
        <v>2580</v>
      </c>
      <c r="D561" s="52">
        <f t="shared" ref="D561:E561" si="423">D530</f>
        <v>756</v>
      </c>
      <c r="E561" s="52">
        <f t="shared" si="423"/>
        <v>814</v>
      </c>
      <c r="F561" s="109"/>
      <c r="G561" s="248">
        <f t="shared" si="410"/>
        <v>0.07671957672</v>
      </c>
      <c r="H561" s="115"/>
      <c r="I561" s="93">
        <v>13.0</v>
      </c>
      <c r="J561" s="93">
        <v>52.0</v>
      </c>
      <c r="K561" s="93"/>
      <c r="L561" s="56"/>
      <c r="M561" s="91"/>
    </row>
    <row r="562">
      <c r="A562" s="133"/>
      <c r="B562" s="111" t="s">
        <v>2654</v>
      </c>
      <c r="C562" s="118" t="s">
        <v>913</v>
      </c>
      <c r="D562" s="52">
        <f t="shared" ref="D562:E562" si="424">D531</f>
        <v>1375.88</v>
      </c>
      <c r="E562" s="52">
        <f t="shared" si="424"/>
        <v>1486</v>
      </c>
      <c r="F562" s="109"/>
      <c r="G562" s="248">
        <f t="shared" si="410"/>
        <v>0.08003604966</v>
      </c>
      <c r="H562" s="115"/>
      <c r="I562" s="93">
        <v>13.0</v>
      </c>
      <c r="J562" s="93">
        <v>52.0</v>
      </c>
      <c r="K562" s="93"/>
      <c r="L562" s="56"/>
      <c r="M562" s="91"/>
    </row>
    <row r="563">
      <c r="A563" s="133"/>
      <c r="B563" s="111" t="s">
        <v>1306</v>
      </c>
      <c r="C563" s="118" t="s">
        <v>523</v>
      </c>
      <c r="D563" s="52">
        <f t="shared" ref="D563:E563" si="425">D532</f>
        <v>2117.88</v>
      </c>
      <c r="E563" s="52">
        <f t="shared" si="425"/>
        <v>2288</v>
      </c>
      <c r="F563" s="109"/>
      <c r="G563" s="248">
        <f t="shared" si="410"/>
        <v>0.08032560863</v>
      </c>
      <c r="H563" s="115"/>
      <c r="I563" s="93"/>
      <c r="J563" s="93"/>
      <c r="K563" s="93"/>
      <c r="L563" s="56"/>
      <c r="M563" s="91"/>
    </row>
    <row r="564">
      <c r="A564" s="133"/>
      <c r="B564" s="111" t="s">
        <v>2655</v>
      </c>
      <c r="C564" s="118" t="s">
        <v>2584</v>
      </c>
      <c r="D564" s="52">
        <f t="shared" ref="D564:E564" si="426">D533</f>
        <v>1795.64</v>
      </c>
      <c r="E564" s="52">
        <f t="shared" si="426"/>
        <v>1938</v>
      </c>
      <c r="F564" s="109"/>
      <c r="G564" s="248">
        <f t="shared" si="410"/>
        <v>0.07928092491</v>
      </c>
      <c r="H564" s="115"/>
      <c r="I564" s="93">
        <v>6.0</v>
      </c>
      <c r="J564" s="93">
        <v>24.0</v>
      </c>
      <c r="K564" s="93"/>
      <c r="L564" s="56"/>
      <c r="M564" s="91"/>
    </row>
    <row r="565">
      <c r="A565" s="133"/>
      <c r="B565" s="111" t="s">
        <v>2656</v>
      </c>
      <c r="C565" s="118" t="s">
        <v>719</v>
      </c>
      <c r="D565" s="52">
        <f t="shared" ref="D565:E565" si="427">D534</f>
        <v>260</v>
      </c>
      <c r="E565" s="52">
        <f t="shared" si="427"/>
        <v>278</v>
      </c>
      <c r="F565" s="109"/>
      <c r="G565" s="248">
        <f t="shared" si="410"/>
        <v>0.06923076923</v>
      </c>
      <c r="H565" s="115"/>
      <c r="I565" s="93">
        <v>66.0</v>
      </c>
      <c r="J565" s="93">
        <v>264.0</v>
      </c>
      <c r="K565" s="93"/>
      <c r="L565" s="56"/>
      <c r="M565" s="91"/>
    </row>
    <row r="566">
      <c r="A566" s="133"/>
      <c r="B566" s="111" t="s">
        <v>2658</v>
      </c>
      <c r="C566" s="118" t="s">
        <v>717</v>
      </c>
      <c r="D566" s="52">
        <f t="shared" ref="D566:E566" si="428">D535</f>
        <v>267.618624</v>
      </c>
      <c r="E566" s="52">
        <f t="shared" si="428"/>
        <v>288</v>
      </c>
      <c r="F566" s="109"/>
      <c r="G566" s="248">
        <f t="shared" si="410"/>
        <v>0.0761582871</v>
      </c>
      <c r="H566" s="115"/>
      <c r="I566" s="93">
        <v>66.0</v>
      </c>
      <c r="J566" s="93">
        <v>264.0</v>
      </c>
      <c r="K566" s="93"/>
      <c r="L566" s="56"/>
      <c r="M566" s="91"/>
    </row>
    <row r="567">
      <c r="A567" s="133"/>
      <c r="B567" s="111" t="s">
        <v>2659</v>
      </c>
      <c r="C567" s="118" t="s">
        <v>723</v>
      </c>
      <c r="D567" s="52">
        <f t="shared" ref="D567:E567" si="429">D536</f>
        <v>279.84</v>
      </c>
      <c r="E567" s="52">
        <f t="shared" si="429"/>
        <v>302</v>
      </c>
      <c r="F567" s="109"/>
      <c r="G567" s="248">
        <f t="shared" si="410"/>
        <v>0.07918810749</v>
      </c>
      <c r="H567" s="115"/>
      <c r="I567" s="93">
        <v>64.0</v>
      </c>
      <c r="J567" s="93">
        <v>256.0</v>
      </c>
      <c r="K567" s="93"/>
      <c r="L567" s="56"/>
      <c r="M567" s="91"/>
    </row>
    <row r="568">
      <c r="A568" s="133"/>
      <c r="B568" s="111" t="s">
        <v>2660</v>
      </c>
      <c r="C568" s="118" t="s">
        <v>395</v>
      </c>
      <c r="D568" s="52">
        <f t="shared" ref="D568:E568" si="430">D537</f>
        <v>250.16</v>
      </c>
      <c r="E568" s="52">
        <f t="shared" si="430"/>
        <v>272</v>
      </c>
      <c r="F568" s="109"/>
      <c r="G568" s="248">
        <f t="shared" si="410"/>
        <v>0.08730412536</v>
      </c>
      <c r="H568" s="115"/>
      <c r="I568" s="93">
        <v>90.0</v>
      </c>
      <c r="J568" s="93">
        <v>180.0</v>
      </c>
      <c r="K568" s="93"/>
      <c r="L568" s="56"/>
      <c r="M568" s="91"/>
    </row>
    <row r="569">
      <c r="A569" s="133"/>
      <c r="B569" s="111" t="s">
        <v>2661</v>
      </c>
      <c r="C569" s="118" t="s">
        <v>829</v>
      </c>
      <c r="D569" s="52">
        <f t="shared" ref="D569:E569" si="431">D538</f>
        <v>550</v>
      </c>
      <c r="E569" s="52">
        <f t="shared" si="431"/>
        <v>592</v>
      </c>
      <c r="F569" s="109"/>
      <c r="G569" s="248">
        <f t="shared" si="410"/>
        <v>0.07636363636</v>
      </c>
      <c r="H569" s="115"/>
      <c r="I569" s="93">
        <v>35.0</v>
      </c>
      <c r="J569" s="93">
        <v>140.0</v>
      </c>
      <c r="K569" s="93"/>
      <c r="L569" s="56"/>
      <c r="M569" s="91"/>
    </row>
    <row r="570">
      <c r="A570" s="133"/>
      <c r="B570" s="111" t="s">
        <v>2662</v>
      </c>
      <c r="C570" s="118" t="s">
        <v>663</v>
      </c>
      <c r="D570" s="52">
        <f t="shared" ref="D570:E570" si="432">D539</f>
        <v>416</v>
      </c>
      <c r="E570" s="52">
        <f t="shared" si="432"/>
        <v>448</v>
      </c>
      <c r="F570" s="109"/>
      <c r="G570" s="248">
        <f t="shared" si="410"/>
        <v>0.07692307692</v>
      </c>
      <c r="H570" s="115"/>
      <c r="I570" s="93">
        <v>64.0</v>
      </c>
      <c r="J570" s="93">
        <v>256.0</v>
      </c>
      <c r="K570" s="93"/>
      <c r="L570" s="56"/>
      <c r="M570" s="91"/>
    </row>
    <row r="571">
      <c r="A571" s="133"/>
      <c r="B571" s="111" t="s">
        <v>2663</v>
      </c>
      <c r="C571" s="118" t="s">
        <v>690</v>
      </c>
      <c r="D571" s="52">
        <f t="shared" ref="D571:E571" si="433">D540</f>
        <v>415.52</v>
      </c>
      <c r="E571" s="52">
        <f t="shared" si="433"/>
        <v>448</v>
      </c>
      <c r="F571" s="109"/>
      <c r="G571" s="248">
        <f t="shared" si="410"/>
        <v>0.0781671159</v>
      </c>
      <c r="H571" s="115"/>
      <c r="I571" s="93">
        <v>64.0</v>
      </c>
      <c r="J571" s="93">
        <v>256.0</v>
      </c>
      <c r="K571" s="93"/>
      <c r="L571" s="56"/>
      <c r="M571" s="91"/>
    </row>
    <row r="572">
      <c r="A572" s="133"/>
      <c r="B572" s="111" t="s">
        <v>2665</v>
      </c>
      <c r="C572" s="118" t="s">
        <v>2596</v>
      </c>
      <c r="D572" s="52">
        <f t="shared" ref="D572:E572" si="434">D541</f>
        <v>712.32</v>
      </c>
      <c r="E572" s="52">
        <f t="shared" si="434"/>
        <v>768</v>
      </c>
      <c r="F572" s="109"/>
      <c r="G572" s="248">
        <f t="shared" si="410"/>
        <v>0.0781671159</v>
      </c>
      <c r="H572" s="115"/>
      <c r="I572" s="93">
        <v>30.0</v>
      </c>
      <c r="J572" s="93">
        <v>120.0</v>
      </c>
      <c r="K572" s="93"/>
      <c r="L572" s="56"/>
      <c r="M572" s="91"/>
    </row>
    <row r="573">
      <c r="A573" s="133"/>
      <c r="B573" s="111" t="s">
        <v>2666</v>
      </c>
      <c r="C573" s="118" t="s">
        <v>2598</v>
      </c>
      <c r="D573" s="52">
        <f t="shared" ref="D573:E573" si="435">D542</f>
        <v>726</v>
      </c>
      <c r="E573" s="52">
        <f t="shared" si="435"/>
        <v>782</v>
      </c>
      <c r="F573" s="109"/>
      <c r="G573" s="248">
        <f t="shared" si="410"/>
        <v>0.07713498623</v>
      </c>
      <c r="H573" s="93"/>
      <c r="I573" s="134">
        <v>30.0</v>
      </c>
      <c r="J573" s="134">
        <v>120.0</v>
      </c>
      <c r="K573" s="93"/>
      <c r="L573" s="56"/>
      <c r="M573" s="91"/>
    </row>
    <row r="574">
      <c r="A574" s="133"/>
      <c r="B574" s="111" t="s">
        <v>2667</v>
      </c>
      <c r="C574" s="118" t="s">
        <v>731</v>
      </c>
      <c r="D574" s="52">
        <f t="shared" ref="D574:E574" si="436">D543</f>
        <v>422</v>
      </c>
      <c r="E574" s="52">
        <f t="shared" si="436"/>
        <v>454</v>
      </c>
      <c r="F574" s="109"/>
      <c r="G574" s="248">
        <f t="shared" si="410"/>
        <v>0.07582938389</v>
      </c>
      <c r="H574" s="93"/>
      <c r="I574" s="93">
        <v>30.0</v>
      </c>
      <c r="J574" s="93">
        <v>120.0</v>
      </c>
      <c r="K574" s="93"/>
      <c r="L574" s="56"/>
      <c r="M574" s="91"/>
    </row>
    <row r="575">
      <c r="A575" s="133"/>
      <c r="B575" s="111" t="s">
        <v>2668</v>
      </c>
      <c r="C575" s="341" t="s">
        <v>1145</v>
      </c>
      <c r="D575" s="52">
        <f t="shared" ref="D575:E575" si="437">D544</f>
        <v>1644</v>
      </c>
      <c r="E575" s="52">
        <f t="shared" si="437"/>
        <v>1774</v>
      </c>
      <c r="F575" s="109"/>
      <c r="G575" s="248">
        <f t="shared" si="410"/>
        <v>0.07907542579</v>
      </c>
      <c r="H575" s="115"/>
      <c r="I575" s="93">
        <v>14.0</v>
      </c>
      <c r="J575" s="93">
        <v>56.0</v>
      </c>
      <c r="K575" s="93"/>
      <c r="L575" s="56"/>
      <c r="M575" s="91"/>
    </row>
    <row r="576" ht="18.75" customHeight="1">
      <c r="A576" s="133"/>
      <c r="B576" s="342"/>
      <c r="C576" s="92"/>
      <c r="D576" s="109"/>
      <c r="E576" s="109"/>
      <c r="F576" s="109"/>
      <c r="G576" s="248"/>
      <c r="H576" s="115"/>
      <c r="I576" s="93"/>
      <c r="J576" s="93"/>
      <c r="K576" s="93"/>
      <c r="L576" s="56"/>
      <c r="M576" s="91"/>
    </row>
    <row r="577" ht="18.75" customHeight="1">
      <c r="A577" s="133"/>
      <c r="B577" s="107" t="s">
        <v>2669</v>
      </c>
      <c r="C577" s="166"/>
      <c r="D577" s="109"/>
      <c r="E577" s="109"/>
      <c r="F577" s="109"/>
      <c r="G577" s="248"/>
      <c r="H577" s="115"/>
      <c r="I577" s="93"/>
      <c r="J577" s="93"/>
      <c r="K577" s="93"/>
      <c r="L577" s="56"/>
      <c r="M577" s="91"/>
    </row>
    <row r="578">
      <c r="A578" s="133"/>
      <c r="B578" s="111" t="s">
        <v>2670</v>
      </c>
      <c r="C578" s="213" t="s">
        <v>1050</v>
      </c>
      <c r="D578" s="52">
        <f t="shared" ref="D578:E578" si="438">D547</f>
        <v>260</v>
      </c>
      <c r="E578" s="52">
        <f t="shared" si="438"/>
        <v>278</v>
      </c>
      <c r="F578" s="109"/>
      <c r="G578" s="248">
        <f t="shared" ref="G578:G606" si="440">IFERROR(DIVIDE(MINUS(E578,D578),D578),)</f>
        <v>0.06923076923</v>
      </c>
      <c r="H578" s="115"/>
      <c r="I578" s="93">
        <v>66.0</v>
      </c>
      <c r="J578" s="93">
        <v>198.0</v>
      </c>
      <c r="K578" s="93"/>
      <c r="L578" s="56"/>
      <c r="M578" s="91"/>
    </row>
    <row r="579">
      <c r="A579" s="133"/>
      <c r="B579" s="111" t="s">
        <v>1310</v>
      </c>
      <c r="C579" s="112" t="s">
        <v>748</v>
      </c>
      <c r="D579" s="52">
        <f t="shared" ref="D579:E579" si="439">D548</f>
        <v>272</v>
      </c>
      <c r="E579" s="52">
        <f t="shared" si="439"/>
        <v>294</v>
      </c>
      <c r="F579" s="109"/>
      <c r="G579" s="248">
        <f t="shared" si="440"/>
        <v>0.08088235294</v>
      </c>
      <c r="H579" s="115"/>
      <c r="I579" s="93"/>
      <c r="J579" s="93"/>
      <c r="K579" s="93"/>
      <c r="L579" s="56"/>
      <c r="M579" s="91"/>
    </row>
    <row r="580">
      <c r="A580" s="133"/>
      <c r="B580" s="177" t="s">
        <v>2672</v>
      </c>
      <c r="C580" s="213" t="s">
        <v>636</v>
      </c>
      <c r="D580" s="52">
        <f t="shared" ref="D580:E580" si="441">D549</f>
        <v>290.44</v>
      </c>
      <c r="E580" s="52">
        <f t="shared" si="441"/>
        <v>314</v>
      </c>
      <c r="F580" s="109"/>
      <c r="G580" s="248">
        <f t="shared" si="440"/>
        <v>0.08111830326</v>
      </c>
      <c r="H580" s="115"/>
      <c r="I580" s="93">
        <v>60.0</v>
      </c>
      <c r="J580" s="93">
        <v>180.0</v>
      </c>
      <c r="K580" s="93"/>
      <c r="L580" s="56"/>
      <c r="M580" s="91"/>
    </row>
    <row r="581">
      <c r="A581" s="133"/>
      <c r="B581" s="177" t="s">
        <v>2674</v>
      </c>
      <c r="C581" s="213" t="s">
        <v>417</v>
      </c>
      <c r="D581" s="52">
        <f t="shared" ref="D581:E581" si="442">D550</f>
        <v>302</v>
      </c>
      <c r="E581" s="52">
        <f t="shared" si="442"/>
        <v>326</v>
      </c>
      <c r="F581" s="109"/>
      <c r="G581" s="248">
        <f t="shared" si="440"/>
        <v>0.07947019868</v>
      </c>
      <c r="H581" s="115"/>
      <c r="I581" s="93">
        <v>46.0</v>
      </c>
      <c r="J581" s="93">
        <v>184.0</v>
      </c>
      <c r="K581" s="93"/>
      <c r="L581" s="56"/>
      <c r="M581" s="91"/>
    </row>
    <row r="582">
      <c r="A582" s="133"/>
      <c r="B582" s="177" t="s">
        <v>2675</v>
      </c>
      <c r="C582" s="213" t="s">
        <v>2561</v>
      </c>
      <c r="D582" s="52">
        <f t="shared" ref="D582:E582" si="443">D551</f>
        <v>351.92</v>
      </c>
      <c r="E582" s="52">
        <f t="shared" si="443"/>
        <v>378</v>
      </c>
      <c r="F582" s="109"/>
      <c r="G582" s="248">
        <f t="shared" si="440"/>
        <v>0.07410775176</v>
      </c>
      <c r="H582" s="115"/>
      <c r="I582" s="134">
        <v>60.0</v>
      </c>
      <c r="J582" s="134">
        <v>240.0</v>
      </c>
      <c r="K582" s="93"/>
      <c r="L582" s="56"/>
      <c r="M582" s="91"/>
    </row>
    <row r="583">
      <c r="A583" s="133"/>
      <c r="B583" s="177" t="s">
        <v>2676</v>
      </c>
      <c r="C583" s="213" t="s">
        <v>2563</v>
      </c>
      <c r="D583" s="52">
        <f t="shared" ref="D583:E583" si="444">D552</f>
        <v>334</v>
      </c>
      <c r="E583" s="52">
        <f t="shared" si="444"/>
        <v>358</v>
      </c>
      <c r="F583" s="109"/>
      <c r="G583" s="248">
        <f t="shared" si="440"/>
        <v>0.07185628743</v>
      </c>
      <c r="H583" s="115"/>
      <c r="I583" s="93">
        <v>46.0</v>
      </c>
      <c r="J583" s="93">
        <v>184.0</v>
      </c>
      <c r="K583" s="93"/>
      <c r="L583" s="56"/>
      <c r="M583" s="91"/>
    </row>
    <row r="584">
      <c r="A584" s="133"/>
      <c r="B584" s="177" t="s">
        <v>2678</v>
      </c>
      <c r="C584" s="213" t="s">
        <v>2566</v>
      </c>
      <c r="D584" s="52">
        <f t="shared" ref="D584:E584" si="445">D553</f>
        <v>347.68</v>
      </c>
      <c r="E584" s="52">
        <f t="shared" si="445"/>
        <v>376</v>
      </c>
      <c r="F584" s="109"/>
      <c r="G584" s="248">
        <f t="shared" si="440"/>
        <v>0.08145421077</v>
      </c>
      <c r="H584" s="115"/>
      <c r="I584" s="93">
        <v>46.0</v>
      </c>
      <c r="J584" s="93">
        <v>184.0</v>
      </c>
      <c r="K584" s="93"/>
      <c r="L584" s="56"/>
      <c r="M584" s="91"/>
    </row>
    <row r="585">
      <c r="A585" s="133"/>
      <c r="B585" s="177" t="s">
        <v>2679</v>
      </c>
      <c r="C585" s="213" t="s">
        <v>363</v>
      </c>
      <c r="D585" s="52">
        <f t="shared" ref="D585:E585" si="446">D554</f>
        <v>296</v>
      </c>
      <c r="E585" s="52">
        <f t="shared" si="446"/>
        <v>316</v>
      </c>
      <c r="F585" s="109"/>
      <c r="G585" s="248">
        <f t="shared" si="440"/>
        <v>0.06756756757</v>
      </c>
      <c r="H585" s="115"/>
      <c r="I585" s="93">
        <v>66.0</v>
      </c>
      <c r="J585" s="93">
        <v>198.0</v>
      </c>
      <c r="K585" s="93"/>
      <c r="L585" s="56"/>
      <c r="M585" s="91"/>
    </row>
    <row r="586">
      <c r="A586" s="133"/>
      <c r="B586" s="177" t="s">
        <v>2680</v>
      </c>
      <c r="C586" s="213" t="s">
        <v>808</v>
      </c>
      <c r="D586" s="52">
        <f t="shared" ref="D586:E586" si="447">D555</f>
        <v>586</v>
      </c>
      <c r="E586" s="52">
        <f t="shared" si="447"/>
        <v>632</v>
      </c>
      <c r="F586" s="109"/>
      <c r="G586" s="248">
        <f t="shared" si="440"/>
        <v>0.07849829352</v>
      </c>
      <c r="H586" s="115"/>
      <c r="I586" s="93">
        <v>24.0</v>
      </c>
      <c r="J586" s="93">
        <v>96.0</v>
      </c>
      <c r="K586" s="93"/>
      <c r="L586" s="56"/>
      <c r="M586" s="91"/>
    </row>
    <row r="587">
      <c r="A587" s="133"/>
      <c r="B587" s="111" t="s">
        <v>2681</v>
      </c>
      <c r="C587" s="118" t="s">
        <v>682</v>
      </c>
      <c r="D587" s="52">
        <f t="shared" ref="D587:E587" si="448">D556</f>
        <v>374</v>
      </c>
      <c r="E587" s="52">
        <f t="shared" si="448"/>
        <v>406</v>
      </c>
      <c r="F587" s="109"/>
      <c r="G587" s="248">
        <f t="shared" si="440"/>
        <v>0.08556149733</v>
      </c>
      <c r="H587" s="115"/>
      <c r="I587" s="93">
        <v>66.0</v>
      </c>
      <c r="J587" s="93">
        <v>198.0</v>
      </c>
      <c r="K587" s="93"/>
      <c r="L587" s="56"/>
      <c r="M587" s="91"/>
    </row>
    <row r="588">
      <c r="A588" s="133"/>
      <c r="B588" s="111" t="s">
        <v>2682</v>
      </c>
      <c r="C588" s="118" t="s">
        <v>756</v>
      </c>
      <c r="D588" s="52">
        <f t="shared" ref="D588:E588" si="449">D557</f>
        <v>412</v>
      </c>
      <c r="E588" s="52">
        <f t="shared" si="449"/>
        <v>444</v>
      </c>
      <c r="F588" s="109"/>
      <c r="G588" s="248">
        <f t="shared" si="440"/>
        <v>0.07766990291</v>
      </c>
      <c r="H588" s="115"/>
      <c r="I588" s="93">
        <v>30.0</v>
      </c>
      <c r="J588" s="93">
        <v>120.0</v>
      </c>
      <c r="K588" s="93"/>
      <c r="L588" s="56"/>
      <c r="M588" s="91"/>
    </row>
    <row r="589">
      <c r="A589" s="133"/>
      <c r="B589" s="111" t="s">
        <v>2683</v>
      </c>
      <c r="C589" s="118" t="s">
        <v>756</v>
      </c>
      <c r="D589" s="52">
        <f t="shared" ref="D589:E589" si="450">D558</f>
        <v>421.668</v>
      </c>
      <c r="E589" s="52">
        <f t="shared" si="450"/>
        <v>454</v>
      </c>
      <c r="F589" s="109"/>
      <c r="G589" s="248">
        <f t="shared" si="440"/>
        <v>0.07667643739</v>
      </c>
      <c r="H589" s="115"/>
      <c r="I589" s="93">
        <v>30.0</v>
      </c>
      <c r="J589" s="93">
        <v>120.0</v>
      </c>
      <c r="K589" s="93"/>
      <c r="L589" s="56"/>
      <c r="M589" s="91"/>
    </row>
    <row r="590">
      <c r="A590" s="133"/>
      <c r="B590" s="111" t="s">
        <v>2685</v>
      </c>
      <c r="C590" s="118" t="s">
        <v>2465</v>
      </c>
      <c r="D590" s="52">
        <f t="shared" ref="D590:E590" si="451">D559</f>
        <v>756</v>
      </c>
      <c r="E590" s="52">
        <f t="shared" si="451"/>
        <v>814</v>
      </c>
      <c r="F590" s="109"/>
      <c r="G590" s="248">
        <f t="shared" si="440"/>
        <v>0.07671957672</v>
      </c>
      <c r="H590" s="115"/>
      <c r="I590" s="93">
        <v>13.0</v>
      </c>
      <c r="J590" s="93">
        <v>52.0</v>
      </c>
      <c r="K590" s="93"/>
      <c r="L590" s="56"/>
      <c r="M590" s="91"/>
    </row>
    <row r="591">
      <c r="A591" s="133"/>
      <c r="B591" s="111" t="s">
        <v>2686</v>
      </c>
      <c r="C591" s="118" t="s">
        <v>2577</v>
      </c>
      <c r="D591" s="52">
        <f t="shared" ref="D591:E591" si="452">D560</f>
        <v>672.419904</v>
      </c>
      <c r="E591" s="52">
        <f t="shared" si="452"/>
        <v>728</v>
      </c>
      <c r="F591" s="109"/>
      <c r="G591" s="248">
        <f t="shared" si="440"/>
        <v>0.08265682748</v>
      </c>
      <c r="H591" s="115"/>
      <c r="I591" s="93">
        <v>30.0</v>
      </c>
      <c r="J591" s="93">
        <v>120.0</v>
      </c>
      <c r="K591" s="93"/>
      <c r="L591" s="56"/>
      <c r="M591" s="91"/>
    </row>
    <row r="592">
      <c r="A592" s="133"/>
      <c r="B592" s="111" t="s">
        <v>2687</v>
      </c>
      <c r="C592" s="118" t="s">
        <v>2580</v>
      </c>
      <c r="D592" s="52">
        <f t="shared" ref="D592:E592" si="453">D561</f>
        <v>756</v>
      </c>
      <c r="E592" s="52">
        <f t="shared" si="453"/>
        <v>814</v>
      </c>
      <c r="F592" s="109"/>
      <c r="G592" s="248">
        <f t="shared" si="440"/>
        <v>0.07671957672</v>
      </c>
      <c r="H592" s="115"/>
      <c r="I592" s="93">
        <v>13.0</v>
      </c>
      <c r="J592" s="93">
        <v>52.0</v>
      </c>
      <c r="K592" s="93"/>
      <c r="L592" s="56"/>
      <c r="M592" s="91"/>
    </row>
    <row r="593">
      <c r="A593" s="133"/>
      <c r="B593" s="111" t="s">
        <v>2688</v>
      </c>
      <c r="C593" s="118" t="s">
        <v>913</v>
      </c>
      <c r="D593" s="52">
        <f t="shared" ref="D593:E593" si="454">D562</f>
        <v>1375.88</v>
      </c>
      <c r="E593" s="52">
        <f t="shared" si="454"/>
        <v>1486</v>
      </c>
      <c r="F593" s="109"/>
      <c r="G593" s="248">
        <f t="shared" si="440"/>
        <v>0.08003604966</v>
      </c>
      <c r="H593" s="115"/>
      <c r="I593" s="93">
        <v>13.0</v>
      </c>
      <c r="J593" s="93">
        <v>52.0</v>
      </c>
      <c r="K593" s="93"/>
      <c r="L593" s="56"/>
      <c r="M593" s="91"/>
    </row>
    <row r="594">
      <c r="A594" s="133"/>
      <c r="B594" s="111" t="s">
        <v>1312</v>
      </c>
      <c r="C594" s="118" t="s">
        <v>523</v>
      </c>
      <c r="D594" s="52">
        <f t="shared" ref="D594:E594" si="455">D563</f>
        <v>2117.88</v>
      </c>
      <c r="E594" s="52">
        <f t="shared" si="455"/>
        <v>2288</v>
      </c>
      <c r="F594" s="109"/>
      <c r="G594" s="248">
        <f t="shared" si="440"/>
        <v>0.08032560863</v>
      </c>
      <c r="H594" s="115"/>
      <c r="I594" s="93"/>
      <c r="J594" s="93"/>
      <c r="K594" s="93"/>
      <c r="L594" s="56"/>
      <c r="M594" s="91"/>
    </row>
    <row r="595">
      <c r="A595" s="133"/>
      <c r="B595" s="123" t="s">
        <v>2689</v>
      </c>
      <c r="C595" s="124" t="s">
        <v>2584</v>
      </c>
      <c r="D595" s="52">
        <f t="shared" ref="D595:E595" si="456">D564</f>
        <v>1795.64</v>
      </c>
      <c r="E595" s="52">
        <f t="shared" si="456"/>
        <v>1938</v>
      </c>
      <c r="F595" s="109"/>
      <c r="G595" s="248">
        <f t="shared" si="440"/>
        <v>0.07928092491</v>
      </c>
      <c r="H595" s="115"/>
      <c r="I595" s="93">
        <v>6.0</v>
      </c>
      <c r="J595" s="93">
        <v>24.0</v>
      </c>
      <c r="K595" s="93"/>
      <c r="L595" s="56"/>
      <c r="M595" s="91"/>
    </row>
    <row r="596">
      <c r="A596" s="133"/>
      <c r="B596" s="111" t="s">
        <v>2691</v>
      </c>
      <c r="C596" s="118" t="s">
        <v>719</v>
      </c>
      <c r="D596" s="52">
        <f t="shared" ref="D596:E596" si="457">D565</f>
        <v>260</v>
      </c>
      <c r="E596" s="52">
        <f t="shared" si="457"/>
        <v>278</v>
      </c>
      <c r="F596" s="109"/>
      <c r="G596" s="248">
        <f t="shared" si="440"/>
        <v>0.06923076923</v>
      </c>
      <c r="H596" s="115"/>
      <c r="I596" s="93">
        <v>66.0</v>
      </c>
      <c r="J596" s="93">
        <v>264.0</v>
      </c>
      <c r="K596" s="93"/>
      <c r="L596" s="56"/>
      <c r="M596" s="91"/>
    </row>
    <row r="597">
      <c r="A597" s="133"/>
      <c r="B597" s="111" t="s">
        <v>2692</v>
      </c>
      <c r="C597" s="118" t="s">
        <v>717</v>
      </c>
      <c r="D597" s="52">
        <f t="shared" ref="D597:E597" si="458">D566</f>
        <v>267.618624</v>
      </c>
      <c r="E597" s="52">
        <f t="shared" si="458"/>
        <v>288</v>
      </c>
      <c r="F597" s="109"/>
      <c r="G597" s="248">
        <f t="shared" si="440"/>
        <v>0.0761582871</v>
      </c>
      <c r="H597" s="115"/>
      <c r="I597" s="93">
        <v>66.0</v>
      </c>
      <c r="J597" s="93">
        <v>264.0</v>
      </c>
      <c r="K597" s="93"/>
      <c r="L597" s="56"/>
      <c r="M597" s="91"/>
    </row>
    <row r="598">
      <c r="A598" s="133"/>
      <c r="B598" s="111" t="s">
        <v>2693</v>
      </c>
      <c r="C598" s="118" t="s">
        <v>723</v>
      </c>
      <c r="D598" s="52">
        <f t="shared" ref="D598:E598" si="459">D567</f>
        <v>279.84</v>
      </c>
      <c r="E598" s="52">
        <f t="shared" si="459"/>
        <v>302</v>
      </c>
      <c r="F598" s="109"/>
      <c r="G598" s="248">
        <f t="shared" si="440"/>
        <v>0.07918810749</v>
      </c>
      <c r="H598" s="115"/>
      <c r="I598" s="93">
        <v>64.0</v>
      </c>
      <c r="J598" s="93">
        <v>256.0</v>
      </c>
      <c r="K598" s="93"/>
      <c r="L598" s="56"/>
      <c r="M598" s="91"/>
    </row>
    <row r="599">
      <c r="A599" s="133"/>
      <c r="B599" s="111" t="s">
        <v>2694</v>
      </c>
      <c r="C599" s="118" t="s">
        <v>395</v>
      </c>
      <c r="D599" s="52">
        <f t="shared" ref="D599:E599" si="460">D568</f>
        <v>250.16</v>
      </c>
      <c r="E599" s="52">
        <f t="shared" si="460"/>
        <v>272</v>
      </c>
      <c r="F599" s="109"/>
      <c r="G599" s="248">
        <f t="shared" si="440"/>
        <v>0.08730412536</v>
      </c>
      <c r="H599" s="115"/>
      <c r="I599" s="93">
        <v>90.0</v>
      </c>
      <c r="J599" s="93">
        <v>180.0</v>
      </c>
      <c r="K599" s="93"/>
      <c r="L599" s="56"/>
      <c r="M599" s="91"/>
    </row>
    <row r="600">
      <c r="A600" s="133"/>
      <c r="B600" s="111" t="s">
        <v>2695</v>
      </c>
      <c r="C600" s="118" t="s">
        <v>829</v>
      </c>
      <c r="D600" s="52">
        <f t="shared" ref="D600:E600" si="461">D569</f>
        <v>550</v>
      </c>
      <c r="E600" s="52">
        <f t="shared" si="461"/>
        <v>592</v>
      </c>
      <c r="F600" s="109"/>
      <c r="G600" s="248">
        <f t="shared" si="440"/>
        <v>0.07636363636</v>
      </c>
      <c r="H600" s="115"/>
      <c r="I600" s="93">
        <v>35.0</v>
      </c>
      <c r="J600" s="93">
        <v>140.0</v>
      </c>
      <c r="K600" s="93"/>
      <c r="L600" s="56"/>
      <c r="M600" s="91"/>
    </row>
    <row r="601">
      <c r="A601" s="133"/>
      <c r="B601" s="111" t="s">
        <v>2696</v>
      </c>
      <c r="C601" s="118" t="s">
        <v>663</v>
      </c>
      <c r="D601" s="52">
        <f t="shared" ref="D601:E601" si="462">D570</f>
        <v>416</v>
      </c>
      <c r="E601" s="52">
        <f t="shared" si="462"/>
        <v>448</v>
      </c>
      <c r="F601" s="109"/>
      <c r="G601" s="248">
        <f t="shared" si="440"/>
        <v>0.07692307692</v>
      </c>
      <c r="H601" s="115"/>
      <c r="I601" s="93">
        <v>64.0</v>
      </c>
      <c r="J601" s="93">
        <v>256.0</v>
      </c>
      <c r="K601" s="93"/>
      <c r="L601" s="56"/>
      <c r="M601" s="91"/>
    </row>
    <row r="602">
      <c r="A602" s="133"/>
      <c r="B602" s="111" t="s">
        <v>2697</v>
      </c>
      <c r="C602" s="118" t="s">
        <v>690</v>
      </c>
      <c r="D602" s="52">
        <f t="shared" ref="D602:E602" si="463">D571</f>
        <v>415.52</v>
      </c>
      <c r="E602" s="52">
        <f t="shared" si="463"/>
        <v>448</v>
      </c>
      <c r="F602" s="109"/>
      <c r="G602" s="248">
        <f t="shared" si="440"/>
        <v>0.0781671159</v>
      </c>
      <c r="H602" s="115"/>
      <c r="I602" s="93">
        <v>64.0</v>
      </c>
      <c r="J602" s="93">
        <v>256.0</v>
      </c>
      <c r="K602" s="93"/>
      <c r="L602" s="56"/>
      <c r="M602" s="91"/>
    </row>
    <row r="603">
      <c r="A603" s="133"/>
      <c r="B603" s="111" t="s">
        <v>2698</v>
      </c>
      <c r="C603" s="118" t="s">
        <v>2596</v>
      </c>
      <c r="D603" s="52">
        <f t="shared" ref="D603:E603" si="464">D572</f>
        <v>712.32</v>
      </c>
      <c r="E603" s="52">
        <f t="shared" si="464"/>
        <v>768</v>
      </c>
      <c r="F603" s="109"/>
      <c r="G603" s="248">
        <f t="shared" si="440"/>
        <v>0.0781671159</v>
      </c>
      <c r="H603" s="115"/>
      <c r="I603" s="93">
        <v>30.0</v>
      </c>
      <c r="J603" s="93">
        <v>120.0</v>
      </c>
      <c r="K603" s="93"/>
      <c r="L603" s="56"/>
      <c r="M603" s="91"/>
    </row>
    <row r="604">
      <c r="A604" s="133"/>
      <c r="B604" s="111" t="s">
        <v>2699</v>
      </c>
      <c r="C604" s="118" t="s">
        <v>2598</v>
      </c>
      <c r="D604" s="52">
        <f t="shared" ref="D604:E604" si="465">D573</f>
        <v>726</v>
      </c>
      <c r="E604" s="52">
        <f t="shared" si="465"/>
        <v>782</v>
      </c>
      <c r="F604" s="109"/>
      <c r="G604" s="248">
        <f t="shared" si="440"/>
        <v>0.07713498623</v>
      </c>
      <c r="H604" s="93"/>
      <c r="I604" s="134">
        <v>30.0</v>
      </c>
      <c r="J604" s="134">
        <v>120.0</v>
      </c>
      <c r="K604" s="93"/>
      <c r="L604" s="56"/>
      <c r="M604" s="91"/>
    </row>
    <row r="605">
      <c r="A605" s="133"/>
      <c r="B605" s="111" t="s">
        <v>2700</v>
      </c>
      <c r="C605" s="118" t="s">
        <v>731</v>
      </c>
      <c r="D605" s="52">
        <f t="shared" ref="D605:E605" si="466">D574</f>
        <v>422</v>
      </c>
      <c r="E605" s="52">
        <f t="shared" si="466"/>
        <v>454</v>
      </c>
      <c r="F605" s="109"/>
      <c r="G605" s="248">
        <f t="shared" si="440"/>
        <v>0.07582938389</v>
      </c>
      <c r="H605" s="93"/>
      <c r="I605" s="93">
        <v>30.0</v>
      </c>
      <c r="J605" s="93">
        <v>120.0</v>
      </c>
      <c r="K605" s="93"/>
      <c r="L605" s="56"/>
      <c r="M605" s="91"/>
    </row>
    <row r="606">
      <c r="A606" s="133"/>
      <c r="B606" s="111" t="s">
        <v>2701</v>
      </c>
      <c r="C606" s="341" t="s">
        <v>1145</v>
      </c>
      <c r="D606" s="52">
        <f t="shared" ref="D606:E606" si="467">D575</f>
        <v>1644</v>
      </c>
      <c r="E606" s="52">
        <f t="shared" si="467"/>
        <v>1774</v>
      </c>
      <c r="F606" s="109"/>
      <c r="G606" s="248">
        <f t="shared" si="440"/>
        <v>0.07907542579</v>
      </c>
      <c r="H606" s="115"/>
      <c r="I606" s="93">
        <v>14.0</v>
      </c>
      <c r="J606" s="93">
        <v>56.0</v>
      </c>
      <c r="K606" s="93"/>
      <c r="L606" s="56"/>
      <c r="M606" s="91"/>
    </row>
    <row r="607" ht="18.75" customHeight="1">
      <c r="A607" s="133"/>
      <c r="B607" s="204"/>
      <c r="C607" s="92"/>
      <c r="D607" s="56"/>
      <c r="E607" s="109"/>
      <c r="F607" s="109"/>
      <c r="G607" s="248"/>
      <c r="H607" s="115"/>
      <c r="I607" s="93"/>
      <c r="J607" s="93"/>
      <c r="K607" s="93"/>
      <c r="L607" s="56"/>
      <c r="M607" s="91"/>
    </row>
    <row r="608" ht="18.75" customHeight="1">
      <c r="A608" s="133"/>
      <c r="B608" s="107" t="s">
        <v>2704</v>
      </c>
      <c r="C608" s="166"/>
      <c r="D608" s="272"/>
      <c r="E608" s="343"/>
      <c r="F608" s="109"/>
      <c r="G608" s="248"/>
      <c r="H608" s="115"/>
      <c r="I608" s="93"/>
      <c r="J608" s="93"/>
      <c r="K608" s="93"/>
      <c r="L608" s="56"/>
      <c r="M608" s="91"/>
    </row>
    <row r="609" ht="18.75" customHeight="1">
      <c r="A609" s="133"/>
      <c r="B609" s="182" t="s">
        <v>1440</v>
      </c>
      <c r="C609" s="118" t="s">
        <v>951</v>
      </c>
      <c r="D609" s="52">
        <v>260.0</v>
      </c>
      <c r="E609" s="52">
        <v>278.0</v>
      </c>
      <c r="F609" s="109">
        <f t="shared" ref="F609:F636" si="468">H609*$H$2</f>
        <v>279.84</v>
      </c>
      <c r="G609" s="248">
        <f t="shared" ref="G609:G636" si="469">IFERROR(DIVIDE(MINUS(E609,D609),D609),)</f>
        <v>0.06923076923</v>
      </c>
      <c r="H609" s="132">
        <f>VLOOKUP(M609,'NEW PTMT'!$B$4:$E1406,4,0)</f>
        <v>264</v>
      </c>
      <c r="I609" s="93"/>
      <c r="J609" s="93"/>
      <c r="K609" s="93"/>
      <c r="L609" s="56"/>
      <c r="M609" s="126" t="s">
        <v>208</v>
      </c>
    </row>
    <row r="610" ht="18.75" customHeight="1">
      <c r="A610" s="133"/>
      <c r="B610" s="182" t="s">
        <v>1442</v>
      </c>
      <c r="C610" s="118" t="s">
        <v>748</v>
      </c>
      <c r="D610" s="52">
        <v>272.0</v>
      </c>
      <c r="E610" s="52">
        <v>294.0</v>
      </c>
      <c r="F610" s="109">
        <f t="shared" si="468"/>
        <v>292.56</v>
      </c>
      <c r="G610" s="248">
        <f t="shared" si="469"/>
        <v>0.08088235294</v>
      </c>
      <c r="H610" s="132">
        <f>VLOOKUP(M610,'NEW PTMT'!$B$4:$E1406,4,0)</f>
        <v>276</v>
      </c>
      <c r="I610" s="93"/>
      <c r="J610" s="93"/>
      <c r="K610" s="93"/>
      <c r="L610" s="56"/>
      <c r="M610" s="126" t="s">
        <v>1092</v>
      </c>
    </row>
    <row r="611" ht="18.75" customHeight="1">
      <c r="A611" s="133"/>
      <c r="B611" s="182" t="s">
        <v>1444</v>
      </c>
      <c r="C611" s="118" t="s">
        <v>798</v>
      </c>
      <c r="D611" s="52">
        <v>279.84000000000003</v>
      </c>
      <c r="E611" s="52">
        <v>302.0</v>
      </c>
      <c r="F611" s="109">
        <f t="shared" si="468"/>
        <v>303.16</v>
      </c>
      <c r="G611" s="248">
        <f t="shared" si="469"/>
        <v>0.07918810749</v>
      </c>
      <c r="H611" s="132">
        <f>VLOOKUP(M611,'NEW PTMT'!$B$4:$E1406,4,0)</f>
        <v>286</v>
      </c>
      <c r="I611" s="93"/>
      <c r="J611" s="93"/>
      <c r="K611" s="93"/>
      <c r="L611" s="56"/>
      <c r="M611" s="126" t="s">
        <v>1094</v>
      </c>
    </row>
    <row r="612" ht="18.75" customHeight="1">
      <c r="A612" s="133"/>
      <c r="B612" s="182" t="s">
        <v>1445</v>
      </c>
      <c r="C612" s="118" t="s">
        <v>306</v>
      </c>
      <c r="D612" s="52">
        <v>290.10758400000003</v>
      </c>
      <c r="E612" s="52">
        <v>314.0</v>
      </c>
      <c r="F612" s="109">
        <f t="shared" si="468"/>
        <v>313.76</v>
      </c>
      <c r="G612" s="248">
        <f t="shared" si="469"/>
        <v>0.0823570886</v>
      </c>
      <c r="H612" s="132">
        <f>VLOOKUP(M612,'NEW PTMT'!$B$4:$E1406,4,0)</f>
        <v>296</v>
      </c>
      <c r="I612" s="93"/>
      <c r="J612" s="93"/>
      <c r="K612" s="93"/>
      <c r="L612" s="56"/>
      <c r="M612" s="126" t="s">
        <v>1096</v>
      </c>
    </row>
    <row r="613" ht="18.75" customHeight="1">
      <c r="A613" s="133"/>
      <c r="B613" s="182" t="s">
        <v>1446</v>
      </c>
      <c r="C613" s="118" t="s">
        <v>801</v>
      </c>
      <c r="D613" s="52">
        <v>334.0</v>
      </c>
      <c r="E613" s="52">
        <v>358.0</v>
      </c>
      <c r="F613" s="109">
        <f t="shared" si="468"/>
        <v>358.28</v>
      </c>
      <c r="G613" s="248">
        <f t="shared" si="469"/>
        <v>0.07185628743</v>
      </c>
      <c r="H613" s="132">
        <f>VLOOKUP(M613,'NEW PTMT'!$B$4:$E1406,4,0)</f>
        <v>338</v>
      </c>
      <c r="I613" s="93"/>
      <c r="J613" s="93"/>
      <c r="K613" s="93"/>
      <c r="L613" s="56"/>
      <c r="M613" s="126" t="s">
        <v>1098</v>
      </c>
    </row>
    <row r="614" ht="18.75" customHeight="1">
      <c r="A614" s="133"/>
      <c r="B614" s="182" t="s">
        <v>1448</v>
      </c>
      <c r="C614" s="118" t="s">
        <v>803</v>
      </c>
      <c r="D614" s="52">
        <v>322.1976</v>
      </c>
      <c r="E614" s="52">
        <v>348.0</v>
      </c>
      <c r="F614" s="109">
        <f t="shared" si="468"/>
        <v>347.68</v>
      </c>
      <c r="G614" s="248">
        <f t="shared" si="469"/>
        <v>0.0800825332</v>
      </c>
      <c r="H614" s="132">
        <f>VLOOKUP(M614,'NEW PTMT'!$B$4:$E1406,4,0)</f>
        <v>328</v>
      </c>
      <c r="I614" s="93"/>
      <c r="J614" s="93"/>
      <c r="K614" s="93"/>
      <c r="L614" s="56"/>
      <c r="M614" s="126" t="s">
        <v>1100</v>
      </c>
    </row>
    <row r="615" ht="18.75" customHeight="1">
      <c r="A615" s="133"/>
      <c r="B615" s="182" t="s">
        <v>1450</v>
      </c>
      <c r="C615" s="118" t="s">
        <v>339</v>
      </c>
      <c r="D615" s="52">
        <v>334.0</v>
      </c>
      <c r="E615" s="52">
        <v>358.0</v>
      </c>
      <c r="F615" s="109">
        <f t="shared" si="468"/>
        <v>358.28</v>
      </c>
      <c r="G615" s="248">
        <f t="shared" si="469"/>
        <v>0.07185628743</v>
      </c>
      <c r="H615" s="132">
        <f>VLOOKUP(M615,'NEW PTMT'!$B$4:$E1406,4,0)</f>
        <v>338</v>
      </c>
      <c r="I615" s="93"/>
      <c r="J615" s="93"/>
      <c r="K615" s="93"/>
      <c r="L615" s="56"/>
      <c r="M615" s="126" t="s">
        <v>1102</v>
      </c>
    </row>
    <row r="616" ht="18.75" customHeight="1">
      <c r="A616" s="133"/>
      <c r="B616" s="182" t="s">
        <v>1452</v>
      </c>
      <c r="C616" s="118" t="s">
        <v>901</v>
      </c>
      <c r="D616" s="52">
        <v>279.84000000000003</v>
      </c>
      <c r="E616" s="52">
        <v>302.0</v>
      </c>
      <c r="F616" s="109">
        <f t="shared" si="468"/>
        <v>303.16</v>
      </c>
      <c r="G616" s="248">
        <f t="shared" si="469"/>
        <v>0.07918810749</v>
      </c>
      <c r="H616" s="132">
        <f>VLOOKUP(M616,'NEW PTMT'!$B$4:$E1406,4,0)</f>
        <v>286</v>
      </c>
      <c r="I616" s="93"/>
      <c r="J616" s="93"/>
      <c r="K616" s="93"/>
      <c r="L616" s="56"/>
      <c r="M616" s="126" t="s">
        <v>1104</v>
      </c>
    </row>
    <row r="617" ht="18.75" customHeight="1">
      <c r="A617" s="133"/>
      <c r="B617" s="182" t="s">
        <v>1453</v>
      </c>
      <c r="C617" s="118" t="s">
        <v>808</v>
      </c>
      <c r="D617" s="52">
        <v>557.726208</v>
      </c>
      <c r="E617" s="52">
        <v>602.0</v>
      </c>
      <c r="F617" s="109">
        <f t="shared" si="468"/>
        <v>602.08</v>
      </c>
      <c r="G617" s="248">
        <f t="shared" si="469"/>
        <v>0.07938266369</v>
      </c>
      <c r="H617" s="132">
        <f>VLOOKUP(M617,'NEW PTMT'!$B$4:$E1406,4,0)</f>
        <v>568</v>
      </c>
      <c r="I617" s="93"/>
      <c r="J617" s="93"/>
      <c r="K617" s="93"/>
      <c r="L617" s="56"/>
      <c r="M617" s="126" t="s">
        <v>1105</v>
      </c>
    </row>
    <row r="618" ht="18.75" customHeight="1">
      <c r="A618" s="133"/>
      <c r="B618" s="182" t="s">
        <v>1455</v>
      </c>
      <c r="C618" s="118" t="s">
        <v>939</v>
      </c>
      <c r="D618" s="52">
        <v>351.92</v>
      </c>
      <c r="E618" s="52">
        <v>378.0</v>
      </c>
      <c r="F618" s="109">
        <f t="shared" si="468"/>
        <v>379.48</v>
      </c>
      <c r="G618" s="248">
        <f t="shared" si="469"/>
        <v>0.07410775176</v>
      </c>
      <c r="H618" s="132">
        <f>VLOOKUP(M618,'NEW PTMT'!$B$4:$E1406,4,0)</f>
        <v>358</v>
      </c>
      <c r="I618" s="93"/>
      <c r="J618" s="93"/>
      <c r="K618" s="93"/>
      <c r="L618" s="56"/>
      <c r="M618" s="126" t="s">
        <v>1107</v>
      </c>
    </row>
    <row r="619" ht="18.75" customHeight="1">
      <c r="A619" s="133"/>
      <c r="B619" s="182" t="s">
        <v>1457</v>
      </c>
      <c r="C619" s="118" t="s">
        <v>941</v>
      </c>
      <c r="D619" s="52">
        <v>390.08000000000004</v>
      </c>
      <c r="E619" s="52">
        <v>422.0</v>
      </c>
      <c r="F619" s="109">
        <f t="shared" si="468"/>
        <v>421.88</v>
      </c>
      <c r="G619" s="248">
        <f t="shared" si="469"/>
        <v>0.08182936833</v>
      </c>
      <c r="H619" s="132">
        <f>VLOOKUP(M619,'NEW PTMT'!$B$4:$E1406,4,0)</f>
        <v>398</v>
      </c>
      <c r="I619" s="93"/>
      <c r="J619" s="93"/>
      <c r="K619" s="93"/>
      <c r="L619" s="56"/>
      <c r="M619" s="126" t="s">
        <v>1108</v>
      </c>
    </row>
    <row r="620" ht="18.75" customHeight="1">
      <c r="A620" s="133"/>
      <c r="B620" s="182" t="s">
        <v>1458</v>
      </c>
      <c r="C620" s="118" t="s">
        <v>1112</v>
      </c>
      <c r="D620" s="52">
        <v>748.1904000000001</v>
      </c>
      <c r="E620" s="52">
        <v>808.0</v>
      </c>
      <c r="F620" s="109">
        <f t="shared" si="468"/>
        <v>807.72</v>
      </c>
      <c r="G620" s="248">
        <f t="shared" si="469"/>
        <v>0.07993901018</v>
      </c>
      <c r="H620" s="132">
        <f>VLOOKUP(M620,'NEW PTMT'!$B$4:$E1406,4,0)</f>
        <v>762</v>
      </c>
      <c r="I620" s="93"/>
      <c r="J620" s="93"/>
      <c r="K620" s="93"/>
      <c r="L620" s="56"/>
      <c r="M620" s="126" t="s">
        <v>1111</v>
      </c>
    </row>
    <row r="621" ht="18.75" customHeight="1">
      <c r="A621" s="133"/>
      <c r="B621" s="182" t="s">
        <v>1459</v>
      </c>
      <c r="C621" s="118" t="s">
        <v>1114</v>
      </c>
      <c r="D621" s="52">
        <v>664.0</v>
      </c>
      <c r="E621" s="52">
        <v>716.0</v>
      </c>
      <c r="F621" s="109">
        <f t="shared" si="468"/>
        <v>716.56</v>
      </c>
      <c r="G621" s="248">
        <f t="shared" si="469"/>
        <v>0.07831325301</v>
      </c>
      <c r="H621" s="132">
        <f>VLOOKUP(M621,'NEW PTMT'!$B$4:$E1406,4,0)</f>
        <v>676</v>
      </c>
      <c r="I621" s="93"/>
      <c r="J621" s="93"/>
      <c r="K621" s="93"/>
      <c r="L621" s="56"/>
      <c r="M621" s="126" t="s">
        <v>1113</v>
      </c>
    </row>
    <row r="622" ht="18.75" customHeight="1">
      <c r="A622" s="133"/>
      <c r="B622" s="182" t="s">
        <v>1461</v>
      </c>
      <c r="C622" s="118" t="s">
        <v>1118</v>
      </c>
      <c r="D622" s="52">
        <v>756.0</v>
      </c>
      <c r="E622" s="52">
        <v>814.0</v>
      </c>
      <c r="F622" s="109">
        <f t="shared" si="468"/>
        <v>814.08</v>
      </c>
      <c r="G622" s="248">
        <f t="shared" si="469"/>
        <v>0.07671957672</v>
      </c>
      <c r="H622" s="132">
        <f>VLOOKUP(M622,'NEW PTMT'!$B$4:$E1406,4,0)</f>
        <v>768</v>
      </c>
      <c r="I622" s="93"/>
      <c r="J622" s="93"/>
      <c r="K622" s="93"/>
      <c r="L622" s="56"/>
      <c r="M622" s="126" t="s">
        <v>1117</v>
      </c>
    </row>
    <row r="623" ht="18.75" customHeight="1">
      <c r="A623" s="133"/>
      <c r="B623" s="182" t="s">
        <v>1462</v>
      </c>
      <c r="C623" s="118" t="s">
        <v>913</v>
      </c>
      <c r="D623" s="52">
        <v>1338.09312</v>
      </c>
      <c r="E623" s="52">
        <v>1444.0</v>
      </c>
      <c r="F623" s="109">
        <f t="shared" si="468"/>
        <v>1443.72</v>
      </c>
      <c r="G623" s="248">
        <f t="shared" si="469"/>
        <v>0.07914761568</v>
      </c>
      <c r="H623" s="132">
        <f>VLOOKUP(M623,'NEW PTMT'!$B$4:$E1406,4,0)</f>
        <v>1362</v>
      </c>
      <c r="I623" s="93"/>
      <c r="J623" s="93"/>
      <c r="K623" s="93"/>
      <c r="L623" s="56"/>
      <c r="M623" s="126" t="s">
        <v>1119</v>
      </c>
    </row>
    <row r="624" ht="18.75" customHeight="1">
      <c r="A624" s="133"/>
      <c r="B624" s="182" t="s">
        <v>1463</v>
      </c>
      <c r="C624" s="118" t="s">
        <v>523</v>
      </c>
      <c r="D624" s="52">
        <v>2113.6400000000003</v>
      </c>
      <c r="E624" s="52">
        <v>2284.0</v>
      </c>
      <c r="F624" s="109">
        <f t="shared" si="468"/>
        <v>2283.24</v>
      </c>
      <c r="G624" s="248">
        <f t="shared" si="469"/>
        <v>0.08060029144</v>
      </c>
      <c r="H624" s="132">
        <f>VLOOKUP(M624,'NEW PTMT'!$B$4:$E1406,4,0)</f>
        <v>2154</v>
      </c>
      <c r="I624" s="93"/>
      <c r="J624" s="93"/>
      <c r="K624" s="93"/>
      <c r="L624" s="56"/>
      <c r="M624" s="126" t="s">
        <v>1122</v>
      </c>
    </row>
    <row r="625" ht="18.75" customHeight="1">
      <c r="A625" s="133"/>
      <c r="B625" s="182" t="s">
        <v>1465</v>
      </c>
      <c r="C625" s="118" t="s">
        <v>1124</v>
      </c>
      <c r="D625" s="52">
        <v>1790.0</v>
      </c>
      <c r="E625" s="52">
        <v>1932.0</v>
      </c>
      <c r="F625" s="109">
        <f t="shared" si="468"/>
        <v>1931.32</v>
      </c>
      <c r="G625" s="248">
        <f t="shared" si="469"/>
        <v>0.07932960894</v>
      </c>
      <c r="H625" s="132">
        <f>VLOOKUP(M625,'NEW PTMT'!$B$4:$E1406,4,0)</f>
        <v>1822</v>
      </c>
      <c r="I625" s="93"/>
      <c r="J625" s="93"/>
      <c r="K625" s="93"/>
      <c r="L625" s="56"/>
      <c r="M625" s="126" t="s">
        <v>1123</v>
      </c>
    </row>
    <row r="626" ht="18.75" customHeight="1">
      <c r="A626" s="133"/>
      <c r="B626" s="182" t="s">
        <v>1466</v>
      </c>
      <c r="C626" s="118" t="s">
        <v>719</v>
      </c>
      <c r="D626" s="52">
        <v>248.04000000000002</v>
      </c>
      <c r="E626" s="52">
        <v>268.0</v>
      </c>
      <c r="F626" s="109">
        <f t="shared" si="468"/>
        <v>267.12</v>
      </c>
      <c r="G626" s="248">
        <f t="shared" si="469"/>
        <v>0.08047089179</v>
      </c>
      <c r="H626" s="132">
        <f>VLOOKUP(M626,'NEW PTMT'!$B$4:$E1406,4,0)</f>
        <v>252</v>
      </c>
      <c r="I626" s="93"/>
      <c r="J626" s="93"/>
      <c r="K626" s="93"/>
      <c r="L626" s="56"/>
      <c r="M626" s="126" t="s">
        <v>1127</v>
      </c>
    </row>
    <row r="627" ht="18.75" customHeight="1">
      <c r="A627" s="133"/>
      <c r="B627" s="182" t="s">
        <v>1467</v>
      </c>
      <c r="C627" s="118" t="s">
        <v>717</v>
      </c>
      <c r="D627" s="52">
        <v>248.04000000000002</v>
      </c>
      <c r="E627" s="52">
        <v>268.0</v>
      </c>
      <c r="F627" s="109">
        <f t="shared" si="468"/>
        <v>267.12</v>
      </c>
      <c r="G627" s="248">
        <f t="shared" si="469"/>
        <v>0.08047089179</v>
      </c>
      <c r="H627" s="132">
        <f>VLOOKUP(M627,'NEW PTMT'!$B$4:$E1406,4,0)</f>
        <v>252</v>
      </c>
      <c r="I627" s="93"/>
      <c r="J627" s="93"/>
      <c r="K627" s="93"/>
      <c r="L627" s="56"/>
      <c r="M627" s="126" t="s">
        <v>1128</v>
      </c>
    </row>
    <row r="628" ht="18.75" customHeight="1">
      <c r="A628" s="133"/>
      <c r="B628" s="182" t="s">
        <v>1469</v>
      </c>
      <c r="C628" s="118" t="s">
        <v>723</v>
      </c>
      <c r="D628" s="52">
        <v>260.0</v>
      </c>
      <c r="E628" s="52">
        <v>278.0</v>
      </c>
      <c r="F628" s="109">
        <f t="shared" si="468"/>
        <v>279.84</v>
      </c>
      <c r="G628" s="248">
        <f t="shared" si="469"/>
        <v>0.06923076923</v>
      </c>
      <c r="H628" s="132">
        <f>VLOOKUP(M628,'NEW PTMT'!$B$4:$E1406,4,0)</f>
        <v>264</v>
      </c>
      <c r="I628" s="93"/>
      <c r="J628" s="93"/>
      <c r="K628" s="93"/>
      <c r="L628" s="56"/>
      <c r="M628" s="126" t="s">
        <v>1130</v>
      </c>
    </row>
    <row r="629" ht="18.75" customHeight="1">
      <c r="A629" s="133"/>
      <c r="B629" s="182" t="s">
        <v>1471</v>
      </c>
      <c r="C629" s="118" t="s">
        <v>978</v>
      </c>
      <c r="D629" s="52">
        <v>236.0</v>
      </c>
      <c r="E629" s="52">
        <v>258.0</v>
      </c>
      <c r="F629" s="109">
        <f t="shared" si="468"/>
        <v>256.52</v>
      </c>
      <c r="G629" s="248">
        <f t="shared" si="469"/>
        <v>0.09322033898</v>
      </c>
      <c r="H629" s="132">
        <f>VLOOKUP(M629,'NEW PTMT'!$B$4:$E1406,4,0)</f>
        <v>242</v>
      </c>
      <c r="I629" s="93"/>
      <c r="J629" s="93"/>
      <c r="K629" s="93"/>
      <c r="L629" s="56"/>
      <c r="M629" s="126" t="s">
        <v>1132</v>
      </c>
    </row>
    <row r="630" ht="18.75" customHeight="1">
      <c r="A630" s="133"/>
      <c r="B630" s="182" t="s">
        <v>1472</v>
      </c>
      <c r="C630" s="118" t="s">
        <v>359</v>
      </c>
      <c r="D630" s="52">
        <v>522.0</v>
      </c>
      <c r="E630" s="52">
        <v>564.0</v>
      </c>
      <c r="F630" s="109">
        <f t="shared" si="468"/>
        <v>563.92</v>
      </c>
      <c r="G630" s="248">
        <f t="shared" si="469"/>
        <v>0.08045977011</v>
      </c>
      <c r="H630" s="132">
        <f>VLOOKUP(M630,'NEW PTMT'!$B$4:$E1406,4,0)</f>
        <v>532</v>
      </c>
      <c r="I630" s="93"/>
      <c r="J630" s="93"/>
      <c r="K630" s="93"/>
      <c r="L630" s="56"/>
      <c r="M630" s="126" t="s">
        <v>1133</v>
      </c>
    </row>
    <row r="631" ht="18.75" customHeight="1">
      <c r="A631" s="133"/>
      <c r="B631" s="182" t="s">
        <v>1474</v>
      </c>
      <c r="C631" s="118" t="s">
        <v>928</v>
      </c>
      <c r="D631" s="52">
        <v>398.05459200000007</v>
      </c>
      <c r="E631" s="52">
        <v>432.0</v>
      </c>
      <c r="F631" s="109">
        <f t="shared" si="468"/>
        <v>430.36</v>
      </c>
      <c r="G631" s="248">
        <f t="shared" si="469"/>
        <v>0.08527827258</v>
      </c>
      <c r="H631" s="132">
        <f>VLOOKUP(M631,'NEW PTMT'!$B$4:$E1406,4,0)</f>
        <v>406</v>
      </c>
      <c r="I631" s="93"/>
      <c r="J631" s="93"/>
      <c r="K631" s="93"/>
      <c r="L631" s="56"/>
      <c r="M631" s="126" t="s">
        <v>1134</v>
      </c>
    </row>
    <row r="632" ht="18.75" customHeight="1">
      <c r="A632" s="133"/>
      <c r="B632" s="182" t="s">
        <v>1476</v>
      </c>
      <c r="C632" s="118" t="s">
        <v>930</v>
      </c>
      <c r="D632" s="52">
        <v>410.0</v>
      </c>
      <c r="E632" s="52">
        <v>442.0</v>
      </c>
      <c r="F632" s="109">
        <f t="shared" si="468"/>
        <v>440.96</v>
      </c>
      <c r="G632" s="248">
        <f t="shared" si="469"/>
        <v>0.07804878049</v>
      </c>
      <c r="H632" s="132">
        <f>VLOOKUP(M632,'NEW PTMT'!$B$4:$E1406,4,0)</f>
        <v>416</v>
      </c>
      <c r="I632" s="93"/>
      <c r="J632" s="93"/>
      <c r="K632" s="93"/>
      <c r="L632" s="56"/>
      <c r="M632" s="126" t="s">
        <v>1135</v>
      </c>
    </row>
    <row r="633" ht="18.75" customHeight="1">
      <c r="A633" s="133"/>
      <c r="B633" s="182" t="s">
        <v>1477</v>
      </c>
      <c r="C633" s="118" t="s">
        <v>1137</v>
      </c>
      <c r="D633" s="52">
        <v>686.0</v>
      </c>
      <c r="E633" s="52">
        <v>742.0</v>
      </c>
      <c r="F633" s="109">
        <f t="shared" si="468"/>
        <v>739.88</v>
      </c>
      <c r="G633" s="248">
        <f t="shared" si="469"/>
        <v>0.08163265306</v>
      </c>
      <c r="H633" s="132">
        <f>VLOOKUP(M633,'NEW PTMT'!$B$4:$E1406,4,0)</f>
        <v>698</v>
      </c>
      <c r="I633" s="93"/>
      <c r="J633" s="93"/>
      <c r="K633" s="93"/>
      <c r="L633" s="56"/>
      <c r="M633" s="126" t="s">
        <v>1136</v>
      </c>
    </row>
    <row r="634" ht="18.75" customHeight="1">
      <c r="A634" s="133"/>
      <c r="B634" s="182" t="s">
        <v>1479</v>
      </c>
      <c r="C634" s="118" t="s">
        <v>1141</v>
      </c>
      <c r="D634" s="52">
        <v>730.0</v>
      </c>
      <c r="E634" s="52">
        <v>788.0</v>
      </c>
      <c r="F634" s="109">
        <f t="shared" si="468"/>
        <v>788.64</v>
      </c>
      <c r="G634" s="248">
        <f t="shared" si="469"/>
        <v>0.07945205479</v>
      </c>
      <c r="H634" s="132">
        <f>VLOOKUP(M634,'NEW PTMT'!$B$4:$E1406,4,0)</f>
        <v>744</v>
      </c>
      <c r="I634" s="93"/>
      <c r="J634" s="93"/>
      <c r="K634" s="93"/>
      <c r="L634" s="56"/>
      <c r="M634" s="126" t="s">
        <v>1140</v>
      </c>
    </row>
    <row r="635" ht="18.75" customHeight="1">
      <c r="A635" s="133"/>
      <c r="B635" s="182" t="s">
        <v>1481</v>
      </c>
      <c r="C635" s="118" t="s">
        <v>731</v>
      </c>
      <c r="D635" s="52">
        <v>425.9928</v>
      </c>
      <c r="E635" s="52">
        <v>462.0</v>
      </c>
      <c r="F635" s="109">
        <f t="shared" si="468"/>
        <v>460.04</v>
      </c>
      <c r="G635" s="248">
        <f t="shared" si="469"/>
        <v>0.08452537226</v>
      </c>
      <c r="H635" s="132">
        <f>VLOOKUP(M635,'NEW PTMT'!$B$4:$E1406,4,0)</f>
        <v>434</v>
      </c>
      <c r="I635" s="93"/>
      <c r="J635" s="93"/>
      <c r="K635" s="93"/>
      <c r="L635" s="56"/>
      <c r="M635" s="126" t="s">
        <v>1143</v>
      </c>
    </row>
    <row r="636" ht="18.75" customHeight="1">
      <c r="A636" s="133"/>
      <c r="B636" s="182" t="s">
        <v>1483</v>
      </c>
      <c r="C636" s="118" t="s">
        <v>1145</v>
      </c>
      <c r="D636" s="52">
        <v>1592.1200000000001</v>
      </c>
      <c r="E636" s="52">
        <v>1718.0</v>
      </c>
      <c r="F636" s="109">
        <f t="shared" si="468"/>
        <v>1719.32</v>
      </c>
      <c r="G636" s="248">
        <f t="shared" si="469"/>
        <v>0.07906439213</v>
      </c>
      <c r="H636" s="132">
        <f>VLOOKUP(M636,'NEW PTMT'!$B$4:$E1406,4,0)</f>
        <v>1622</v>
      </c>
      <c r="I636" s="93"/>
      <c r="J636" s="93"/>
      <c r="K636" s="93"/>
      <c r="L636" s="56"/>
      <c r="M636" s="126" t="s">
        <v>1144</v>
      </c>
    </row>
    <row r="637" ht="18.75" customHeight="1">
      <c r="A637" s="133"/>
      <c r="B637" s="204"/>
      <c r="C637" s="92"/>
      <c r="D637" s="56"/>
      <c r="E637" s="109"/>
      <c r="F637" s="109"/>
      <c r="G637" s="248"/>
      <c r="H637" s="93"/>
      <c r="I637" s="93"/>
      <c r="J637" s="93"/>
      <c r="K637" s="93"/>
      <c r="L637" s="56"/>
      <c r="M637" s="91"/>
    </row>
    <row r="638" ht="18.75" customHeight="1">
      <c r="A638" s="133"/>
      <c r="B638" s="107" t="s">
        <v>2888</v>
      </c>
      <c r="C638" s="166"/>
      <c r="D638" s="272"/>
      <c r="E638" s="343"/>
      <c r="F638" s="109"/>
      <c r="G638" s="248"/>
      <c r="H638" s="115"/>
      <c r="I638" s="93"/>
      <c r="J638" s="93"/>
      <c r="K638" s="93"/>
      <c r="L638" s="56"/>
      <c r="M638" s="91"/>
    </row>
    <row r="639" ht="18.75" customHeight="1">
      <c r="A639" s="133"/>
      <c r="B639" s="182" t="s">
        <v>1487</v>
      </c>
      <c r="C639" s="118" t="s">
        <v>951</v>
      </c>
      <c r="D639" s="52">
        <f t="shared" ref="D639:E639" si="470">D609</f>
        <v>260</v>
      </c>
      <c r="E639" s="52">
        <f t="shared" si="470"/>
        <v>278</v>
      </c>
      <c r="F639" s="109"/>
      <c r="G639" s="248">
        <f t="shared" ref="G639:G666" si="472">IFERROR(DIVIDE(MINUS(E639,D639),D639),)</f>
        <v>0.06923076923</v>
      </c>
      <c r="H639" s="115"/>
      <c r="I639" s="93"/>
      <c r="J639" s="93"/>
      <c r="K639" s="93"/>
      <c r="L639" s="56"/>
      <c r="M639" s="91"/>
    </row>
    <row r="640" ht="18.75" customHeight="1">
      <c r="A640" s="133"/>
      <c r="B640" s="182" t="s">
        <v>1488</v>
      </c>
      <c r="C640" s="118" t="s">
        <v>748</v>
      </c>
      <c r="D640" s="52">
        <f t="shared" ref="D640:E640" si="471">D610</f>
        <v>272</v>
      </c>
      <c r="E640" s="52">
        <f t="shared" si="471"/>
        <v>294</v>
      </c>
      <c r="F640" s="109"/>
      <c r="G640" s="248">
        <f t="shared" si="472"/>
        <v>0.08088235294</v>
      </c>
      <c r="H640" s="115"/>
      <c r="I640" s="93"/>
      <c r="J640" s="93"/>
      <c r="K640" s="93"/>
      <c r="L640" s="56"/>
      <c r="M640" s="91"/>
    </row>
    <row r="641" ht="18.75" customHeight="1">
      <c r="A641" s="133"/>
      <c r="B641" s="182" t="s">
        <v>1490</v>
      </c>
      <c r="C641" s="118" t="s">
        <v>798</v>
      </c>
      <c r="D641" s="52">
        <f t="shared" ref="D641:E641" si="473">D611</f>
        <v>279.84</v>
      </c>
      <c r="E641" s="52">
        <f t="shared" si="473"/>
        <v>302</v>
      </c>
      <c r="F641" s="109"/>
      <c r="G641" s="248">
        <f t="shared" si="472"/>
        <v>0.07918810749</v>
      </c>
      <c r="H641" s="115"/>
      <c r="I641" s="93"/>
      <c r="J641" s="93"/>
      <c r="K641" s="93"/>
      <c r="L641" s="56"/>
      <c r="M641" s="91"/>
    </row>
    <row r="642" ht="18.75" customHeight="1">
      <c r="A642" s="133"/>
      <c r="B642" s="182" t="s">
        <v>1492</v>
      </c>
      <c r="C642" s="118" t="s">
        <v>306</v>
      </c>
      <c r="D642" s="52">
        <f t="shared" ref="D642:E642" si="474">D612</f>
        <v>290.107584</v>
      </c>
      <c r="E642" s="52">
        <f t="shared" si="474"/>
        <v>314</v>
      </c>
      <c r="F642" s="109"/>
      <c r="G642" s="248">
        <f t="shared" si="472"/>
        <v>0.0823570886</v>
      </c>
      <c r="H642" s="115"/>
      <c r="I642" s="93"/>
      <c r="J642" s="93"/>
      <c r="K642" s="93"/>
      <c r="L642" s="56"/>
      <c r="M642" s="91"/>
    </row>
    <row r="643" ht="18.75" customHeight="1">
      <c r="A643" s="133"/>
      <c r="B643" s="182" t="s">
        <v>1493</v>
      </c>
      <c r="C643" s="118" t="s">
        <v>801</v>
      </c>
      <c r="D643" s="52">
        <f t="shared" ref="D643:E643" si="475">D613</f>
        <v>334</v>
      </c>
      <c r="E643" s="52">
        <f t="shared" si="475"/>
        <v>358</v>
      </c>
      <c r="F643" s="109"/>
      <c r="G643" s="248">
        <f t="shared" si="472"/>
        <v>0.07185628743</v>
      </c>
      <c r="H643" s="115"/>
      <c r="I643" s="93"/>
      <c r="J643" s="93"/>
      <c r="K643" s="93"/>
      <c r="L643" s="56"/>
      <c r="M643" s="91"/>
    </row>
    <row r="644" ht="18.75" customHeight="1">
      <c r="A644" s="133"/>
      <c r="B644" s="182" t="s">
        <v>1494</v>
      </c>
      <c r="C644" s="118" t="s">
        <v>803</v>
      </c>
      <c r="D644" s="52">
        <f t="shared" ref="D644:E644" si="476">D614</f>
        <v>322.1976</v>
      </c>
      <c r="E644" s="52">
        <f t="shared" si="476"/>
        <v>348</v>
      </c>
      <c r="F644" s="109"/>
      <c r="G644" s="248">
        <f t="shared" si="472"/>
        <v>0.0800825332</v>
      </c>
      <c r="H644" s="115"/>
      <c r="I644" s="93"/>
      <c r="J644" s="93"/>
      <c r="K644" s="93"/>
      <c r="L644" s="56"/>
      <c r="M644" s="91"/>
    </row>
    <row r="645" ht="18.75" customHeight="1">
      <c r="A645" s="133"/>
      <c r="B645" s="182" t="s">
        <v>1495</v>
      </c>
      <c r="C645" s="118" t="s">
        <v>339</v>
      </c>
      <c r="D645" s="52">
        <f t="shared" ref="D645:E645" si="477">D615</f>
        <v>334</v>
      </c>
      <c r="E645" s="52">
        <f t="shared" si="477"/>
        <v>358</v>
      </c>
      <c r="F645" s="109"/>
      <c r="G645" s="248">
        <f t="shared" si="472"/>
        <v>0.07185628743</v>
      </c>
      <c r="H645" s="115"/>
      <c r="I645" s="93"/>
      <c r="J645" s="93"/>
      <c r="K645" s="93"/>
      <c r="L645" s="56"/>
      <c r="M645" s="91"/>
    </row>
    <row r="646" ht="18.75" customHeight="1">
      <c r="A646" s="133"/>
      <c r="B646" s="182" t="s">
        <v>1497</v>
      </c>
      <c r="C646" s="118" t="s">
        <v>901</v>
      </c>
      <c r="D646" s="52">
        <f t="shared" ref="D646:E646" si="478">D616</f>
        <v>279.84</v>
      </c>
      <c r="E646" s="52">
        <f t="shared" si="478"/>
        <v>302</v>
      </c>
      <c r="F646" s="109"/>
      <c r="G646" s="248">
        <f t="shared" si="472"/>
        <v>0.07918810749</v>
      </c>
      <c r="H646" s="115"/>
      <c r="I646" s="93"/>
      <c r="J646" s="93"/>
      <c r="K646" s="93"/>
      <c r="L646" s="56"/>
      <c r="M646" s="91"/>
    </row>
    <row r="647" ht="18.75" customHeight="1">
      <c r="A647" s="133"/>
      <c r="B647" s="182" t="s">
        <v>1499</v>
      </c>
      <c r="C647" s="118" t="s">
        <v>808</v>
      </c>
      <c r="D647" s="52">
        <f t="shared" ref="D647:E647" si="479">D617</f>
        <v>557.726208</v>
      </c>
      <c r="E647" s="52">
        <f t="shared" si="479"/>
        <v>602</v>
      </c>
      <c r="F647" s="109"/>
      <c r="G647" s="248">
        <f t="shared" si="472"/>
        <v>0.07938266369</v>
      </c>
      <c r="H647" s="115"/>
      <c r="I647" s="93"/>
      <c r="J647" s="93"/>
      <c r="K647" s="93"/>
      <c r="L647" s="56"/>
      <c r="M647" s="91"/>
    </row>
    <row r="648" ht="18.75" customHeight="1">
      <c r="A648" s="133"/>
      <c r="B648" s="182" t="s">
        <v>1500</v>
      </c>
      <c r="C648" s="118" t="s">
        <v>939</v>
      </c>
      <c r="D648" s="52">
        <f t="shared" ref="D648:E648" si="480">D618</f>
        <v>351.92</v>
      </c>
      <c r="E648" s="52">
        <f t="shared" si="480"/>
        <v>378</v>
      </c>
      <c r="F648" s="109"/>
      <c r="G648" s="248">
        <f t="shared" si="472"/>
        <v>0.07410775176</v>
      </c>
      <c r="H648" s="115"/>
      <c r="I648" s="93"/>
      <c r="J648" s="93"/>
      <c r="K648" s="93"/>
      <c r="L648" s="56"/>
      <c r="M648" s="91"/>
    </row>
    <row r="649" ht="18.75" customHeight="1">
      <c r="A649" s="133"/>
      <c r="B649" s="182" t="s">
        <v>1502</v>
      </c>
      <c r="C649" s="118" t="s">
        <v>941</v>
      </c>
      <c r="D649" s="52">
        <f t="shared" ref="D649:E649" si="481">D619</f>
        <v>390.08</v>
      </c>
      <c r="E649" s="52">
        <f t="shared" si="481"/>
        <v>422</v>
      </c>
      <c r="F649" s="109"/>
      <c r="G649" s="248">
        <f t="shared" si="472"/>
        <v>0.08182936833</v>
      </c>
      <c r="H649" s="115"/>
      <c r="I649" s="93"/>
      <c r="J649" s="93"/>
      <c r="K649" s="93"/>
      <c r="L649" s="56"/>
      <c r="M649" s="91"/>
    </row>
    <row r="650" ht="18.75" customHeight="1">
      <c r="A650" s="133"/>
      <c r="B650" s="182" t="s">
        <v>1503</v>
      </c>
      <c r="C650" s="118" t="s">
        <v>1112</v>
      </c>
      <c r="D650" s="52">
        <f t="shared" ref="D650:E650" si="482">D620</f>
        <v>748.1904</v>
      </c>
      <c r="E650" s="52">
        <f t="shared" si="482"/>
        <v>808</v>
      </c>
      <c r="F650" s="109"/>
      <c r="G650" s="248">
        <f t="shared" si="472"/>
        <v>0.07993901018</v>
      </c>
      <c r="H650" s="115"/>
      <c r="I650" s="93"/>
      <c r="J650" s="93"/>
      <c r="K650" s="93"/>
      <c r="L650" s="56"/>
      <c r="M650" s="91"/>
    </row>
    <row r="651" ht="18.75" customHeight="1">
      <c r="A651" s="133"/>
      <c r="B651" s="118" t="s">
        <v>1505</v>
      </c>
      <c r="C651" s="118" t="s">
        <v>1114</v>
      </c>
      <c r="D651" s="52">
        <f t="shared" ref="D651:E651" si="483">D621</f>
        <v>664</v>
      </c>
      <c r="E651" s="52">
        <f t="shared" si="483"/>
        <v>716</v>
      </c>
      <c r="F651" s="109"/>
      <c r="G651" s="248">
        <f t="shared" si="472"/>
        <v>0.07831325301</v>
      </c>
      <c r="H651" s="115"/>
      <c r="I651" s="93"/>
      <c r="J651" s="93"/>
      <c r="K651" s="93"/>
      <c r="L651" s="56"/>
      <c r="M651" s="91"/>
    </row>
    <row r="652" ht="18.75" customHeight="1">
      <c r="A652" s="133"/>
      <c r="B652" s="118" t="s">
        <v>1506</v>
      </c>
      <c r="C652" s="118" t="s">
        <v>1118</v>
      </c>
      <c r="D652" s="52">
        <f t="shared" ref="D652:E652" si="484">D622</f>
        <v>756</v>
      </c>
      <c r="E652" s="52">
        <f t="shared" si="484"/>
        <v>814</v>
      </c>
      <c r="F652" s="109"/>
      <c r="G652" s="248">
        <f t="shared" si="472"/>
        <v>0.07671957672</v>
      </c>
      <c r="H652" s="115"/>
      <c r="I652" s="93"/>
      <c r="J652" s="93"/>
      <c r="K652" s="93"/>
      <c r="L652" s="56"/>
      <c r="M652" s="91"/>
    </row>
    <row r="653" ht="18.75" customHeight="1">
      <c r="A653" s="133"/>
      <c r="B653" s="118" t="s">
        <v>1507</v>
      </c>
      <c r="C653" s="118" t="s">
        <v>913</v>
      </c>
      <c r="D653" s="52">
        <f t="shared" ref="D653:E653" si="485">D623</f>
        <v>1338.09312</v>
      </c>
      <c r="E653" s="52">
        <f t="shared" si="485"/>
        <v>1444</v>
      </c>
      <c r="F653" s="109"/>
      <c r="G653" s="248">
        <f t="shared" si="472"/>
        <v>0.07914761568</v>
      </c>
      <c r="H653" s="115"/>
      <c r="I653" s="93"/>
      <c r="J653" s="93"/>
      <c r="K653" s="93"/>
      <c r="L653" s="56"/>
      <c r="M653" s="91"/>
    </row>
    <row r="654" ht="18.75" customHeight="1">
      <c r="A654" s="133"/>
      <c r="B654" s="118" t="s">
        <v>1509</v>
      </c>
      <c r="C654" s="118" t="s">
        <v>523</v>
      </c>
      <c r="D654" s="52">
        <f t="shared" ref="D654:E654" si="486">D624</f>
        <v>2113.64</v>
      </c>
      <c r="E654" s="52">
        <f t="shared" si="486"/>
        <v>2284</v>
      </c>
      <c r="F654" s="109"/>
      <c r="G654" s="248">
        <f t="shared" si="472"/>
        <v>0.08060029144</v>
      </c>
      <c r="H654" s="115"/>
      <c r="I654" s="93"/>
      <c r="J654" s="93"/>
      <c r="K654" s="93"/>
      <c r="L654" s="56"/>
      <c r="M654" s="91"/>
    </row>
    <row r="655" ht="18.75" customHeight="1">
      <c r="A655" s="133"/>
      <c r="B655" s="118" t="s">
        <v>1510</v>
      </c>
      <c r="C655" s="118" t="s">
        <v>1124</v>
      </c>
      <c r="D655" s="52">
        <f t="shared" ref="D655:E655" si="487">D625</f>
        <v>1790</v>
      </c>
      <c r="E655" s="52">
        <f t="shared" si="487"/>
        <v>1932</v>
      </c>
      <c r="F655" s="109"/>
      <c r="G655" s="248">
        <f t="shared" si="472"/>
        <v>0.07932960894</v>
      </c>
      <c r="H655" s="115"/>
      <c r="I655" s="93"/>
      <c r="J655" s="93"/>
      <c r="K655" s="93"/>
      <c r="L655" s="56"/>
      <c r="M655" s="91"/>
    </row>
    <row r="656" ht="18.75" customHeight="1">
      <c r="A656" s="133"/>
      <c r="B656" s="118" t="s">
        <v>1511</v>
      </c>
      <c r="C656" s="118" t="s">
        <v>719</v>
      </c>
      <c r="D656" s="52">
        <f t="shared" ref="D656:E656" si="488">D626</f>
        <v>248.04</v>
      </c>
      <c r="E656" s="52">
        <f t="shared" si="488"/>
        <v>268</v>
      </c>
      <c r="F656" s="109"/>
      <c r="G656" s="248">
        <f t="shared" si="472"/>
        <v>0.08047089179</v>
      </c>
      <c r="H656" s="115"/>
      <c r="I656" s="93"/>
      <c r="J656" s="93"/>
      <c r="K656" s="93"/>
      <c r="L656" s="56"/>
      <c r="M656" s="91"/>
    </row>
    <row r="657" ht="18.75" customHeight="1">
      <c r="A657" s="133"/>
      <c r="B657" s="118" t="s">
        <v>1512</v>
      </c>
      <c r="C657" s="118" t="s">
        <v>717</v>
      </c>
      <c r="D657" s="52">
        <f t="shared" ref="D657:E657" si="489">D627</f>
        <v>248.04</v>
      </c>
      <c r="E657" s="52">
        <f t="shared" si="489"/>
        <v>268</v>
      </c>
      <c r="F657" s="109"/>
      <c r="G657" s="248">
        <f t="shared" si="472"/>
        <v>0.08047089179</v>
      </c>
      <c r="H657" s="115"/>
      <c r="I657" s="93"/>
      <c r="J657" s="93"/>
      <c r="K657" s="93"/>
      <c r="L657" s="56"/>
      <c r="M657" s="91"/>
    </row>
    <row r="658" ht="18.75" customHeight="1">
      <c r="A658" s="133"/>
      <c r="B658" s="118" t="s">
        <v>1514</v>
      </c>
      <c r="C658" s="118" t="s">
        <v>723</v>
      </c>
      <c r="D658" s="52">
        <f t="shared" ref="D658:E658" si="490">D628</f>
        <v>260</v>
      </c>
      <c r="E658" s="52">
        <f t="shared" si="490"/>
        <v>278</v>
      </c>
      <c r="F658" s="109"/>
      <c r="G658" s="248">
        <f t="shared" si="472"/>
        <v>0.06923076923</v>
      </c>
      <c r="H658" s="115"/>
      <c r="I658" s="93"/>
      <c r="J658" s="93"/>
      <c r="K658" s="93"/>
      <c r="L658" s="56"/>
      <c r="M658" s="91"/>
    </row>
    <row r="659" ht="18.75" customHeight="1">
      <c r="A659" s="133"/>
      <c r="B659" s="118" t="s">
        <v>1515</v>
      </c>
      <c r="C659" s="118" t="s">
        <v>978</v>
      </c>
      <c r="D659" s="52">
        <f t="shared" ref="D659:E659" si="491">D629</f>
        <v>236</v>
      </c>
      <c r="E659" s="52">
        <f t="shared" si="491"/>
        <v>258</v>
      </c>
      <c r="F659" s="109"/>
      <c r="G659" s="248">
        <f t="shared" si="472"/>
        <v>0.09322033898</v>
      </c>
      <c r="H659" s="115"/>
      <c r="I659" s="93"/>
      <c r="J659" s="93"/>
      <c r="K659" s="93"/>
      <c r="L659" s="56"/>
      <c r="M659" s="91"/>
    </row>
    <row r="660" ht="18.75" customHeight="1">
      <c r="A660" s="133"/>
      <c r="B660" s="118" t="s">
        <v>1517</v>
      </c>
      <c r="C660" s="118" t="s">
        <v>359</v>
      </c>
      <c r="D660" s="52">
        <f t="shared" ref="D660:E660" si="492">D630</f>
        <v>522</v>
      </c>
      <c r="E660" s="52">
        <f t="shared" si="492"/>
        <v>564</v>
      </c>
      <c r="F660" s="109"/>
      <c r="G660" s="248">
        <f t="shared" si="472"/>
        <v>0.08045977011</v>
      </c>
      <c r="H660" s="115"/>
      <c r="I660" s="93"/>
      <c r="J660" s="93"/>
      <c r="K660" s="93"/>
      <c r="L660" s="56"/>
      <c r="M660" s="91"/>
    </row>
    <row r="661" ht="18.75" customHeight="1">
      <c r="A661" s="133"/>
      <c r="B661" s="118" t="s">
        <v>1518</v>
      </c>
      <c r="C661" s="118" t="s">
        <v>928</v>
      </c>
      <c r="D661" s="52">
        <f t="shared" ref="D661:E661" si="493">D631</f>
        <v>398.054592</v>
      </c>
      <c r="E661" s="52">
        <f t="shared" si="493"/>
        <v>432</v>
      </c>
      <c r="F661" s="109"/>
      <c r="G661" s="248">
        <f t="shared" si="472"/>
        <v>0.08527827258</v>
      </c>
      <c r="H661" s="115"/>
      <c r="I661" s="93"/>
      <c r="J661" s="93"/>
      <c r="K661" s="93"/>
      <c r="L661" s="56"/>
      <c r="M661" s="91"/>
    </row>
    <row r="662" ht="18.75" customHeight="1">
      <c r="A662" s="133"/>
      <c r="B662" s="118" t="s">
        <v>1520</v>
      </c>
      <c r="C662" s="118" t="s">
        <v>930</v>
      </c>
      <c r="D662" s="52">
        <f t="shared" ref="D662:E662" si="494">D632</f>
        <v>410</v>
      </c>
      <c r="E662" s="52">
        <f t="shared" si="494"/>
        <v>442</v>
      </c>
      <c r="F662" s="109"/>
      <c r="G662" s="248">
        <f t="shared" si="472"/>
        <v>0.07804878049</v>
      </c>
      <c r="H662" s="115"/>
      <c r="I662" s="93"/>
      <c r="J662" s="93"/>
      <c r="K662" s="93"/>
      <c r="L662" s="56"/>
      <c r="M662" s="91"/>
    </row>
    <row r="663" ht="18.75" customHeight="1">
      <c r="A663" s="133"/>
      <c r="B663" s="118" t="s">
        <v>1521</v>
      </c>
      <c r="C663" s="118" t="s">
        <v>1137</v>
      </c>
      <c r="D663" s="52">
        <f t="shared" ref="D663:E663" si="495">D633</f>
        <v>686</v>
      </c>
      <c r="E663" s="52">
        <f t="shared" si="495"/>
        <v>742</v>
      </c>
      <c r="F663" s="109"/>
      <c r="G663" s="248">
        <f t="shared" si="472"/>
        <v>0.08163265306</v>
      </c>
      <c r="H663" s="115"/>
      <c r="I663" s="93"/>
      <c r="J663" s="93"/>
      <c r="K663" s="93"/>
      <c r="L663" s="56"/>
      <c r="M663" s="91"/>
    </row>
    <row r="664" ht="18.75" customHeight="1">
      <c r="A664" s="133"/>
      <c r="B664" s="118" t="s">
        <v>1523</v>
      </c>
      <c r="C664" s="118" t="s">
        <v>1141</v>
      </c>
      <c r="D664" s="52">
        <f t="shared" ref="D664:E664" si="496">D634</f>
        <v>730</v>
      </c>
      <c r="E664" s="52">
        <f t="shared" si="496"/>
        <v>788</v>
      </c>
      <c r="F664" s="109"/>
      <c r="G664" s="248">
        <f t="shared" si="472"/>
        <v>0.07945205479</v>
      </c>
      <c r="H664" s="115"/>
      <c r="I664" s="93"/>
      <c r="J664" s="93"/>
      <c r="K664" s="93"/>
      <c r="L664" s="56"/>
      <c r="M664" s="91"/>
    </row>
    <row r="665" ht="18.75" customHeight="1">
      <c r="A665" s="133"/>
      <c r="B665" s="118" t="s">
        <v>1525</v>
      </c>
      <c r="C665" s="118" t="s">
        <v>731</v>
      </c>
      <c r="D665" s="52">
        <f t="shared" ref="D665:E665" si="497">D635</f>
        <v>425.9928</v>
      </c>
      <c r="E665" s="52">
        <f t="shared" si="497"/>
        <v>462</v>
      </c>
      <c r="F665" s="109"/>
      <c r="G665" s="248">
        <f t="shared" si="472"/>
        <v>0.08452537226</v>
      </c>
      <c r="H665" s="115"/>
      <c r="I665" s="93"/>
      <c r="J665" s="93"/>
      <c r="K665" s="93"/>
      <c r="L665" s="56"/>
      <c r="M665" s="91"/>
    </row>
    <row r="666" ht="18.75" customHeight="1">
      <c r="A666" s="133"/>
      <c r="B666" s="124" t="s">
        <v>1526</v>
      </c>
      <c r="C666" s="124" t="s">
        <v>1145</v>
      </c>
      <c r="D666" s="52">
        <f t="shared" ref="D666:E666" si="498">D636</f>
        <v>1592.12</v>
      </c>
      <c r="E666" s="52">
        <f t="shared" si="498"/>
        <v>1718</v>
      </c>
      <c r="F666" s="109"/>
      <c r="G666" s="248">
        <f t="shared" si="472"/>
        <v>0.07906439213</v>
      </c>
      <c r="H666" s="115"/>
      <c r="I666" s="93"/>
      <c r="J666" s="93"/>
      <c r="K666" s="93"/>
      <c r="L666" s="56"/>
      <c r="M666" s="91"/>
    </row>
    <row r="667" ht="18.75" customHeight="1">
      <c r="A667" s="133"/>
      <c r="B667" s="376"/>
      <c r="C667" s="376"/>
      <c r="D667" s="259"/>
      <c r="E667" s="377"/>
      <c r="F667" s="109"/>
      <c r="G667" s="248"/>
      <c r="H667" s="115"/>
      <c r="I667" s="93"/>
      <c r="J667" s="93"/>
      <c r="K667" s="93"/>
      <c r="L667" s="56"/>
      <c r="M667" s="91"/>
    </row>
    <row r="668" ht="18.75" customHeight="1">
      <c r="A668" s="133"/>
      <c r="B668" s="107" t="s">
        <v>3043</v>
      </c>
      <c r="C668" s="166"/>
      <c r="D668" s="56"/>
      <c r="E668" s="109"/>
      <c r="F668" s="109"/>
      <c r="G668" s="248"/>
      <c r="H668" s="115"/>
      <c r="I668" s="93"/>
      <c r="J668" s="93"/>
      <c r="K668" s="93"/>
      <c r="L668" s="56"/>
      <c r="M668" s="91"/>
    </row>
    <row r="669" ht="18.75" customHeight="1">
      <c r="A669" s="133"/>
      <c r="B669" s="182" t="s">
        <v>3049</v>
      </c>
      <c r="C669" s="118" t="s">
        <v>951</v>
      </c>
      <c r="D669" s="52">
        <f t="shared" ref="D669:E669" si="499">D639</f>
        <v>260</v>
      </c>
      <c r="E669" s="52">
        <f t="shared" si="499"/>
        <v>278</v>
      </c>
      <c r="F669" s="109"/>
      <c r="G669" s="248">
        <f t="shared" ref="G669:G696" si="501">IFERROR(DIVIDE(MINUS(E669,D669),D669),)</f>
        <v>0.06923076923</v>
      </c>
      <c r="H669" s="115"/>
      <c r="I669" s="134"/>
      <c r="J669" s="134"/>
      <c r="K669" s="93"/>
      <c r="L669" s="56"/>
      <c r="M669" s="91"/>
    </row>
    <row r="670" ht="18.75" customHeight="1">
      <c r="A670" s="133"/>
      <c r="B670" s="182" t="s">
        <v>3061</v>
      </c>
      <c r="C670" s="118" t="s">
        <v>748</v>
      </c>
      <c r="D670" s="52">
        <f t="shared" ref="D670:E670" si="500">D640</f>
        <v>272</v>
      </c>
      <c r="E670" s="52">
        <f t="shared" si="500"/>
        <v>294</v>
      </c>
      <c r="F670" s="109"/>
      <c r="G670" s="248">
        <f t="shared" si="501"/>
        <v>0.08088235294</v>
      </c>
      <c r="H670" s="115"/>
      <c r="I670" s="134"/>
      <c r="J670" s="134"/>
      <c r="K670" s="93"/>
      <c r="L670" s="56"/>
      <c r="M670" s="91"/>
    </row>
    <row r="671" ht="18.75" customHeight="1">
      <c r="A671" s="133"/>
      <c r="B671" s="182" t="s">
        <v>3068</v>
      </c>
      <c r="C671" s="118" t="s">
        <v>798</v>
      </c>
      <c r="D671" s="52">
        <f t="shared" ref="D671:E671" si="502">D641</f>
        <v>279.84</v>
      </c>
      <c r="E671" s="52">
        <f t="shared" si="502"/>
        <v>302</v>
      </c>
      <c r="F671" s="109"/>
      <c r="G671" s="248">
        <f t="shared" si="501"/>
        <v>0.07918810749</v>
      </c>
      <c r="H671" s="115"/>
      <c r="I671" s="134"/>
      <c r="J671" s="134"/>
      <c r="K671" s="93"/>
      <c r="L671" s="56"/>
      <c r="M671" s="91"/>
    </row>
    <row r="672" ht="18.75" customHeight="1">
      <c r="A672" s="133"/>
      <c r="B672" s="182" t="s">
        <v>3075</v>
      </c>
      <c r="C672" s="118" t="s">
        <v>306</v>
      </c>
      <c r="D672" s="52">
        <f t="shared" ref="D672:E672" si="503">D642</f>
        <v>290.107584</v>
      </c>
      <c r="E672" s="52">
        <f t="shared" si="503"/>
        <v>314</v>
      </c>
      <c r="F672" s="109"/>
      <c r="G672" s="248">
        <f t="shared" si="501"/>
        <v>0.0823570886</v>
      </c>
      <c r="H672" s="115"/>
      <c r="I672" s="134"/>
      <c r="J672" s="134"/>
      <c r="K672" s="93"/>
      <c r="L672" s="56"/>
      <c r="M672" s="91"/>
    </row>
    <row r="673" ht="18.75" customHeight="1">
      <c r="A673" s="133"/>
      <c r="B673" s="182" t="s">
        <v>3081</v>
      </c>
      <c r="C673" s="118" t="s">
        <v>801</v>
      </c>
      <c r="D673" s="52">
        <f t="shared" ref="D673:E673" si="504">D643</f>
        <v>334</v>
      </c>
      <c r="E673" s="52">
        <f t="shared" si="504"/>
        <v>358</v>
      </c>
      <c r="F673" s="109"/>
      <c r="G673" s="248">
        <f t="shared" si="501"/>
        <v>0.07185628743</v>
      </c>
      <c r="H673" s="115"/>
      <c r="I673" s="134"/>
      <c r="J673" s="134"/>
      <c r="K673" s="93"/>
      <c r="L673" s="56"/>
      <c r="M673" s="91"/>
    </row>
    <row r="674" ht="18.75" customHeight="1">
      <c r="A674" s="133"/>
      <c r="B674" s="182" t="s">
        <v>3087</v>
      </c>
      <c r="C674" s="118" t="s">
        <v>803</v>
      </c>
      <c r="D674" s="52">
        <f t="shared" ref="D674:E674" si="505">D644</f>
        <v>322.1976</v>
      </c>
      <c r="E674" s="52">
        <f t="shared" si="505"/>
        <v>348</v>
      </c>
      <c r="F674" s="109"/>
      <c r="G674" s="248">
        <f t="shared" si="501"/>
        <v>0.0800825332</v>
      </c>
      <c r="H674" s="115"/>
      <c r="I674" s="134"/>
      <c r="J674" s="134"/>
      <c r="K674" s="93"/>
      <c r="L674" s="56"/>
      <c r="M674" s="91"/>
    </row>
    <row r="675" ht="18.75" customHeight="1">
      <c r="A675" s="133"/>
      <c r="B675" s="182" t="s">
        <v>3093</v>
      </c>
      <c r="C675" s="118" t="s">
        <v>339</v>
      </c>
      <c r="D675" s="52">
        <f t="shared" ref="D675:E675" si="506">D645</f>
        <v>334</v>
      </c>
      <c r="E675" s="52">
        <f t="shared" si="506"/>
        <v>358</v>
      </c>
      <c r="F675" s="109"/>
      <c r="G675" s="248">
        <f t="shared" si="501"/>
        <v>0.07185628743</v>
      </c>
      <c r="H675" s="115"/>
      <c r="I675" s="134"/>
      <c r="J675" s="134"/>
      <c r="K675" s="93"/>
      <c r="L675" s="56"/>
      <c r="M675" s="91"/>
    </row>
    <row r="676" ht="18.75" customHeight="1">
      <c r="A676" s="133"/>
      <c r="B676" s="182" t="s">
        <v>3098</v>
      </c>
      <c r="C676" s="118" t="s">
        <v>901</v>
      </c>
      <c r="D676" s="52">
        <f t="shared" ref="D676:E676" si="507">D646</f>
        <v>279.84</v>
      </c>
      <c r="E676" s="52">
        <f t="shared" si="507"/>
        <v>302</v>
      </c>
      <c r="F676" s="109"/>
      <c r="G676" s="248">
        <f t="shared" si="501"/>
        <v>0.07918810749</v>
      </c>
      <c r="H676" s="115"/>
      <c r="I676" s="134"/>
      <c r="J676" s="134"/>
      <c r="K676" s="93"/>
      <c r="L676" s="56"/>
      <c r="M676" s="91"/>
    </row>
    <row r="677" ht="18.75" customHeight="1">
      <c r="A677" s="133"/>
      <c r="B677" s="182" t="s">
        <v>3101</v>
      </c>
      <c r="C677" s="118" t="s">
        <v>808</v>
      </c>
      <c r="D677" s="52">
        <f t="shared" ref="D677:E677" si="508">D647</f>
        <v>557.726208</v>
      </c>
      <c r="E677" s="52">
        <f t="shared" si="508"/>
        <v>602</v>
      </c>
      <c r="F677" s="109"/>
      <c r="G677" s="248">
        <f t="shared" si="501"/>
        <v>0.07938266369</v>
      </c>
      <c r="H677" s="115"/>
      <c r="I677" s="134"/>
      <c r="J677" s="134"/>
      <c r="K677" s="93"/>
      <c r="L677" s="56"/>
      <c r="M677" s="91"/>
    </row>
    <row r="678" ht="18.75" customHeight="1">
      <c r="A678" s="133"/>
      <c r="B678" s="182" t="s">
        <v>3104</v>
      </c>
      <c r="C678" s="118" t="s">
        <v>939</v>
      </c>
      <c r="D678" s="52">
        <f t="shared" ref="D678:E678" si="509">D648</f>
        <v>351.92</v>
      </c>
      <c r="E678" s="52">
        <f t="shared" si="509"/>
        <v>378</v>
      </c>
      <c r="F678" s="109"/>
      <c r="G678" s="248">
        <f t="shared" si="501"/>
        <v>0.07410775176</v>
      </c>
      <c r="H678" s="115"/>
      <c r="I678" s="134"/>
      <c r="J678" s="134"/>
      <c r="K678" s="93"/>
      <c r="L678" s="56"/>
      <c r="M678" s="91"/>
    </row>
    <row r="679" ht="18.75" customHeight="1">
      <c r="A679" s="133"/>
      <c r="B679" s="182" t="s">
        <v>3106</v>
      </c>
      <c r="C679" s="118" t="s">
        <v>941</v>
      </c>
      <c r="D679" s="52">
        <f t="shared" ref="D679:E679" si="510">D649</f>
        <v>390.08</v>
      </c>
      <c r="E679" s="52">
        <f t="shared" si="510"/>
        <v>422</v>
      </c>
      <c r="F679" s="109"/>
      <c r="G679" s="248">
        <f t="shared" si="501"/>
        <v>0.08182936833</v>
      </c>
      <c r="H679" s="115"/>
      <c r="I679" s="134"/>
      <c r="J679" s="134"/>
      <c r="K679" s="93"/>
      <c r="L679" s="56"/>
      <c r="M679" s="91"/>
    </row>
    <row r="680" ht="18.75" customHeight="1">
      <c r="A680" s="133"/>
      <c r="B680" s="182" t="s">
        <v>3108</v>
      </c>
      <c r="C680" s="118" t="s">
        <v>1112</v>
      </c>
      <c r="D680" s="52">
        <f t="shared" ref="D680:E680" si="511">D650</f>
        <v>748.1904</v>
      </c>
      <c r="E680" s="52">
        <f t="shared" si="511"/>
        <v>808</v>
      </c>
      <c r="F680" s="109"/>
      <c r="G680" s="248">
        <f t="shared" si="501"/>
        <v>0.07993901018</v>
      </c>
      <c r="H680" s="115"/>
      <c r="I680" s="134"/>
      <c r="J680" s="134"/>
      <c r="K680" s="93"/>
      <c r="L680" s="56"/>
      <c r="M680" s="91"/>
    </row>
    <row r="681" ht="18.75" customHeight="1">
      <c r="A681" s="133"/>
      <c r="B681" s="118" t="s">
        <v>3111</v>
      </c>
      <c r="C681" s="118" t="s">
        <v>1114</v>
      </c>
      <c r="D681" s="52">
        <f t="shared" ref="D681:E681" si="512">D651</f>
        <v>664</v>
      </c>
      <c r="E681" s="52">
        <f t="shared" si="512"/>
        <v>716</v>
      </c>
      <c r="F681" s="109"/>
      <c r="G681" s="248">
        <f t="shared" si="501"/>
        <v>0.07831325301</v>
      </c>
      <c r="H681" s="115"/>
      <c r="I681" s="134"/>
      <c r="J681" s="134"/>
      <c r="K681" s="93"/>
      <c r="L681" s="56"/>
      <c r="M681" s="91"/>
    </row>
    <row r="682" ht="18.75" customHeight="1">
      <c r="A682" s="133"/>
      <c r="B682" s="118" t="s">
        <v>3114</v>
      </c>
      <c r="C682" s="118" t="s">
        <v>1118</v>
      </c>
      <c r="D682" s="52">
        <f t="shared" ref="D682:E682" si="513">D652</f>
        <v>756</v>
      </c>
      <c r="E682" s="52">
        <f t="shared" si="513"/>
        <v>814</v>
      </c>
      <c r="F682" s="109"/>
      <c r="G682" s="248">
        <f t="shared" si="501"/>
        <v>0.07671957672</v>
      </c>
      <c r="H682" s="115"/>
      <c r="I682" s="134"/>
      <c r="J682" s="134"/>
      <c r="K682" s="93"/>
      <c r="L682" s="56"/>
      <c r="M682" s="91"/>
    </row>
    <row r="683" ht="18.75" customHeight="1">
      <c r="A683" s="133"/>
      <c r="B683" s="118" t="s">
        <v>3117</v>
      </c>
      <c r="C683" s="118" t="s">
        <v>913</v>
      </c>
      <c r="D683" s="52">
        <f t="shared" ref="D683:E683" si="514">D653</f>
        <v>1338.09312</v>
      </c>
      <c r="E683" s="52">
        <f t="shared" si="514"/>
        <v>1444</v>
      </c>
      <c r="F683" s="109"/>
      <c r="G683" s="248">
        <f t="shared" si="501"/>
        <v>0.07914761568</v>
      </c>
      <c r="H683" s="115"/>
      <c r="I683" s="134"/>
      <c r="J683" s="134"/>
      <c r="K683" s="93"/>
      <c r="L683" s="56"/>
      <c r="M683" s="91"/>
    </row>
    <row r="684" ht="18.75" customHeight="1">
      <c r="A684" s="133"/>
      <c r="B684" s="118" t="s">
        <v>3120</v>
      </c>
      <c r="C684" s="118" t="s">
        <v>523</v>
      </c>
      <c r="D684" s="52">
        <f t="shared" ref="D684:E684" si="515">D654</f>
        <v>2113.64</v>
      </c>
      <c r="E684" s="52">
        <f t="shared" si="515"/>
        <v>2284</v>
      </c>
      <c r="F684" s="109"/>
      <c r="G684" s="248">
        <f t="shared" si="501"/>
        <v>0.08060029144</v>
      </c>
      <c r="H684" s="115"/>
      <c r="I684" s="134"/>
      <c r="J684" s="134"/>
      <c r="K684" s="93"/>
      <c r="L684" s="56"/>
      <c r="M684" s="91"/>
    </row>
    <row r="685" ht="18.75" customHeight="1">
      <c r="A685" s="133"/>
      <c r="B685" s="118" t="s">
        <v>3124</v>
      </c>
      <c r="C685" s="118" t="s">
        <v>1124</v>
      </c>
      <c r="D685" s="52">
        <f t="shared" ref="D685:E685" si="516">D655</f>
        <v>1790</v>
      </c>
      <c r="E685" s="52">
        <f t="shared" si="516"/>
        <v>1932</v>
      </c>
      <c r="F685" s="109"/>
      <c r="G685" s="248">
        <f t="shared" si="501"/>
        <v>0.07932960894</v>
      </c>
      <c r="H685" s="115"/>
      <c r="I685" s="134"/>
      <c r="J685" s="134"/>
      <c r="K685" s="93"/>
      <c r="L685" s="56"/>
      <c r="M685" s="91"/>
    </row>
    <row r="686" ht="18.75" customHeight="1">
      <c r="A686" s="133"/>
      <c r="B686" s="118" t="s">
        <v>3127</v>
      </c>
      <c r="C686" s="118" t="s">
        <v>719</v>
      </c>
      <c r="D686" s="52">
        <f t="shared" ref="D686:E686" si="517">D656</f>
        <v>248.04</v>
      </c>
      <c r="E686" s="52">
        <f t="shared" si="517"/>
        <v>268</v>
      </c>
      <c r="F686" s="109"/>
      <c r="G686" s="248">
        <f t="shared" si="501"/>
        <v>0.08047089179</v>
      </c>
      <c r="H686" s="115"/>
      <c r="I686" s="93"/>
      <c r="J686" s="93"/>
      <c r="K686" s="93"/>
      <c r="L686" s="56"/>
      <c r="M686" s="91"/>
    </row>
    <row r="687" ht="18.75" customHeight="1">
      <c r="A687" s="133"/>
      <c r="B687" s="118" t="s">
        <v>3130</v>
      </c>
      <c r="C687" s="118" t="s">
        <v>717</v>
      </c>
      <c r="D687" s="52">
        <f t="shared" ref="D687:E687" si="518">D657</f>
        <v>248.04</v>
      </c>
      <c r="E687" s="52">
        <f t="shared" si="518"/>
        <v>268</v>
      </c>
      <c r="F687" s="109"/>
      <c r="G687" s="248">
        <f t="shared" si="501"/>
        <v>0.08047089179</v>
      </c>
      <c r="H687" s="115"/>
      <c r="I687" s="93"/>
      <c r="J687" s="93"/>
      <c r="K687" s="93"/>
      <c r="L687" s="56"/>
      <c r="M687" s="91"/>
    </row>
    <row r="688" ht="18.75" customHeight="1">
      <c r="A688" s="133"/>
      <c r="B688" s="118" t="s">
        <v>3133</v>
      </c>
      <c r="C688" s="118" t="s">
        <v>723</v>
      </c>
      <c r="D688" s="52">
        <f t="shared" ref="D688:E688" si="519">D658</f>
        <v>260</v>
      </c>
      <c r="E688" s="52">
        <f t="shared" si="519"/>
        <v>278</v>
      </c>
      <c r="F688" s="109"/>
      <c r="G688" s="248">
        <f t="shared" si="501"/>
        <v>0.06923076923</v>
      </c>
      <c r="H688" s="115"/>
      <c r="I688" s="93"/>
      <c r="J688" s="93"/>
      <c r="K688" s="93"/>
      <c r="L688" s="56"/>
      <c r="M688" s="91"/>
    </row>
    <row r="689" ht="18.75" customHeight="1">
      <c r="A689" s="133"/>
      <c r="B689" s="118" t="s">
        <v>3135</v>
      </c>
      <c r="C689" s="118" t="s">
        <v>978</v>
      </c>
      <c r="D689" s="52">
        <f t="shared" ref="D689:E689" si="520">D659</f>
        <v>236</v>
      </c>
      <c r="E689" s="52">
        <f t="shared" si="520"/>
        <v>258</v>
      </c>
      <c r="F689" s="109"/>
      <c r="G689" s="248">
        <f t="shared" si="501"/>
        <v>0.09322033898</v>
      </c>
      <c r="H689" s="115"/>
      <c r="I689" s="93"/>
      <c r="J689" s="93"/>
      <c r="K689" s="93"/>
      <c r="L689" s="56"/>
      <c r="M689" s="91"/>
    </row>
    <row r="690" ht="18.75" customHeight="1">
      <c r="A690" s="133"/>
      <c r="B690" s="118" t="s">
        <v>3137</v>
      </c>
      <c r="C690" s="118" t="s">
        <v>359</v>
      </c>
      <c r="D690" s="52">
        <f t="shared" ref="D690:E690" si="521">D660</f>
        <v>522</v>
      </c>
      <c r="E690" s="52">
        <f t="shared" si="521"/>
        <v>564</v>
      </c>
      <c r="F690" s="109"/>
      <c r="G690" s="248">
        <f t="shared" si="501"/>
        <v>0.08045977011</v>
      </c>
      <c r="H690" s="115"/>
      <c r="I690" s="93"/>
      <c r="J690" s="93"/>
      <c r="K690" s="93"/>
      <c r="L690" s="56"/>
      <c r="M690" s="91"/>
    </row>
    <row r="691" ht="18.75" customHeight="1">
      <c r="A691" s="133"/>
      <c r="B691" s="118" t="s">
        <v>3143</v>
      </c>
      <c r="C691" s="118" t="s">
        <v>928</v>
      </c>
      <c r="D691" s="52">
        <f t="shared" ref="D691:E691" si="522">D661</f>
        <v>398.054592</v>
      </c>
      <c r="E691" s="52">
        <f t="shared" si="522"/>
        <v>432</v>
      </c>
      <c r="F691" s="109"/>
      <c r="G691" s="248">
        <f t="shared" si="501"/>
        <v>0.08527827258</v>
      </c>
      <c r="H691" s="115"/>
      <c r="I691" s="93"/>
      <c r="J691" s="93"/>
      <c r="K691" s="93"/>
      <c r="L691" s="56"/>
      <c r="M691" s="91"/>
    </row>
    <row r="692" ht="18.75" customHeight="1">
      <c r="A692" s="133"/>
      <c r="B692" s="118" t="s">
        <v>3144</v>
      </c>
      <c r="C692" s="118" t="s">
        <v>930</v>
      </c>
      <c r="D692" s="52">
        <f t="shared" ref="D692:E692" si="523">D662</f>
        <v>410</v>
      </c>
      <c r="E692" s="52">
        <f t="shared" si="523"/>
        <v>442</v>
      </c>
      <c r="F692" s="109"/>
      <c r="G692" s="248">
        <f t="shared" si="501"/>
        <v>0.07804878049</v>
      </c>
      <c r="H692" s="115"/>
      <c r="I692" s="93"/>
      <c r="J692" s="93"/>
      <c r="K692" s="93"/>
      <c r="L692" s="56"/>
      <c r="M692" s="91"/>
    </row>
    <row r="693" ht="18.75" customHeight="1">
      <c r="A693" s="133"/>
      <c r="B693" s="118" t="s">
        <v>3149</v>
      </c>
      <c r="C693" s="118" t="s">
        <v>1137</v>
      </c>
      <c r="D693" s="52">
        <f t="shared" ref="D693:E693" si="524">D663</f>
        <v>686</v>
      </c>
      <c r="E693" s="52">
        <f t="shared" si="524"/>
        <v>742</v>
      </c>
      <c r="F693" s="109"/>
      <c r="G693" s="248">
        <f t="shared" si="501"/>
        <v>0.08163265306</v>
      </c>
      <c r="H693" s="115"/>
      <c r="I693" s="93"/>
      <c r="J693" s="93"/>
      <c r="K693" s="93"/>
      <c r="L693" s="56"/>
      <c r="M693" s="91"/>
    </row>
    <row r="694" ht="18.75" customHeight="1">
      <c r="A694" s="133"/>
      <c r="B694" s="118" t="s">
        <v>3153</v>
      </c>
      <c r="C694" s="118" t="s">
        <v>1141</v>
      </c>
      <c r="D694" s="52">
        <f t="shared" ref="D694:E694" si="525">D664</f>
        <v>730</v>
      </c>
      <c r="E694" s="52">
        <f t="shared" si="525"/>
        <v>788</v>
      </c>
      <c r="F694" s="109"/>
      <c r="G694" s="248">
        <f t="shared" si="501"/>
        <v>0.07945205479</v>
      </c>
      <c r="H694" s="115"/>
      <c r="I694" s="93"/>
      <c r="J694" s="93"/>
      <c r="K694" s="93"/>
      <c r="L694" s="56"/>
      <c r="M694" s="91"/>
    </row>
    <row r="695" ht="18.75" customHeight="1">
      <c r="A695" s="133"/>
      <c r="B695" s="118" t="s">
        <v>3157</v>
      </c>
      <c r="C695" s="118" t="s">
        <v>731</v>
      </c>
      <c r="D695" s="52">
        <f t="shared" ref="D695:E695" si="526">D665</f>
        <v>425.9928</v>
      </c>
      <c r="E695" s="52">
        <f t="shared" si="526"/>
        <v>462</v>
      </c>
      <c r="F695" s="109"/>
      <c r="G695" s="248">
        <f t="shared" si="501"/>
        <v>0.08452537226</v>
      </c>
      <c r="H695" s="115"/>
      <c r="I695" s="93"/>
      <c r="J695" s="93"/>
      <c r="K695" s="93"/>
      <c r="L695" s="56"/>
      <c r="M695" s="91"/>
    </row>
    <row r="696" ht="18.75" customHeight="1">
      <c r="A696" s="133"/>
      <c r="B696" s="118" t="s">
        <v>3161</v>
      </c>
      <c r="C696" s="118" t="s">
        <v>1145</v>
      </c>
      <c r="D696" s="52">
        <f t="shared" ref="D696:E696" si="527">D666</f>
        <v>1592.12</v>
      </c>
      <c r="E696" s="52">
        <f t="shared" si="527"/>
        <v>1718</v>
      </c>
      <c r="F696" s="109"/>
      <c r="G696" s="248">
        <f t="shared" si="501"/>
        <v>0.07906439213</v>
      </c>
      <c r="H696" s="115"/>
      <c r="I696" s="93"/>
      <c r="J696" s="93"/>
      <c r="K696" s="93"/>
      <c r="L696" s="56"/>
      <c r="M696" s="91"/>
    </row>
    <row r="697" ht="18.75" customHeight="1">
      <c r="A697" s="133"/>
      <c r="B697" s="92"/>
      <c r="C697" s="92"/>
      <c r="D697" s="56"/>
      <c r="E697" s="109"/>
      <c r="F697" s="109"/>
      <c r="G697" s="248"/>
      <c r="H697" s="115"/>
      <c r="I697" s="93"/>
      <c r="J697" s="93"/>
      <c r="K697" s="93"/>
      <c r="L697" s="56"/>
      <c r="M697" s="91"/>
    </row>
    <row r="698" ht="18.75" customHeight="1">
      <c r="A698" s="133"/>
      <c r="B698" s="389" t="s">
        <v>1252</v>
      </c>
      <c r="C698" s="92"/>
      <c r="D698" s="56"/>
      <c r="E698" s="109"/>
      <c r="F698" s="109"/>
      <c r="G698" s="248"/>
      <c r="H698" s="115"/>
      <c r="I698" s="93"/>
      <c r="J698" s="93"/>
      <c r="K698" s="93"/>
      <c r="L698" s="56"/>
      <c r="M698" s="91"/>
    </row>
    <row r="699" ht="18.75" customHeight="1">
      <c r="A699" s="133"/>
      <c r="B699" s="204"/>
      <c r="C699" s="92"/>
      <c r="D699" s="56"/>
      <c r="E699" s="109"/>
      <c r="F699" s="109"/>
      <c r="G699" s="248"/>
      <c r="H699" s="115"/>
      <c r="I699" s="93"/>
      <c r="J699" s="93"/>
      <c r="K699" s="93"/>
      <c r="L699" s="56"/>
      <c r="M699" s="91"/>
    </row>
    <row r="700" ht="18.75" customHeight="1">
      <c r="A700" s="133"/>
      <c r="B700" s="107" t="s">
        <v>3165</v>
      </c>
      <c r="C700" s="166"/>
      <c r="D700" s="272"/>
      <c r="E700" s="343"/>
      <c r="F700" s="109"/>
      <c r="G700" s="248" t="str">
        <f>IFERROR(DIVIDE(MINUS(E700,D700),E700),)</f>
        <v/>
      </c>
      <c r="H700" s="93"/>
      <c r="I700" s="93"/>
      <c r="J700" s="93"/>
      <c r="K700" s="93"/>
      <c r="L700" s="56"/>
      <c r="M700" s="258"/>
    </row>
    <row r="701">
      <c r="A701" s="133"/>
      <c r="B701" s="111" t="s">
        <v>2707</v>
      </c>
      <c r="C701" s="111" t="s">
        <v>3169</v>
      </c>
      <c r="D701" s="52">
        <v>493.96000000000004</v>
      </c>
      <c r="E701" s="52">
        <v>534.0</v>
      </c>
      <c r="F701" s="109">
        <f t="shared" ref="F701:F717" si="528">H701*$H$2</f>
        <v>534.24</v>
      </c>
      <c r="G701" s="248">
        <f t="shared" ref="G701:G717" si="529">IFERROR(DIVIDE(MINUS(E701,D701),D701),)</f>
        <v>0.08105919508</v>
      </c>
      <c r="H701" s="132">
        <f>VLOOKUP(M701,'NEW PTMT'!$B$4:$E1406,4,0)</f>
        <v>504</v>
      </c>
      <c r="I701" s="93">
        <v>33.0</v>
      </c>
      <c r="J701" s="93">
        <v>132.0</v>
      </c>
      <c r="K701" s="93"/>
      <c r="L701" s="56"/>
      <c r="M701" s="126" t="s">
        <v>1259</v>
      </c>
    </row>
    <row r="702">
      <c r="A702" s="133"/>
      <c r="B702" s="111" t="s">
        <v>2708</v>
      </c>
      <c r="C702" s="118" t="s">
        <v>339</v>
      </c>
      <c r="D702" s="52">
        <v>606.32</v>
      </c>
      <c r="E702" s="52">
        <v>654.0</v>
      </c>
      <c r="F702" s="109">
        <f t="shared" si="528"/>
        <v>655.08</v>
      </c>
      <c r="G702" s="248">
        <f t="shared" si="529"/>
        <v>0.07863834279</v>
      </c>
      <c r="H702" s="132">
        <f>VLOOKUP(M702,'NEW PTMT'!$B$4:$E1406,4,0)</f>
        <v>618</v>
      </c>
      <c r="I702" s="134">
        <v>33.0</v>
      </c>
      <c r="J702" s="134">
        <v>99.0</v>
      </c>
      <c r="K702" s="93"/>
      <c r="L702" s="56"/>
      <c r="M702" s="126" t="s">
        <v>1261</v>
      </c>
    </row>
    <row r="703">
      <c r="A703" s="133"/>
      <c r="B703" s="111" t="s">
        <v>2709</v>
      </c>
      <c r="C703" s="118" t="s">
        <v>363</v>
      </c>
      <c r="D703" s="52">
        <v>516.0</v>
      </c>
      <c r="E703" s="52">
        <v>558.0</v>
      </c>
      <c r="F703" s="109">
        <f t="shared" si="528"/>
        <v>557.56</v>
      </c>
      <c r="G703" s="248">
        <f t="shared" si="529"/>
        <v>0.08139534884</v>
      </c>
      <c r="H703" s="132">
        <f>VLOOKUP(M703,'NEW PTMT'!$B$4:$E1406,4,0)</f>
        <v>526</v>
      </c>
      <c r="I703" s="134">
        <v>33.0</v>
      </c>
      <c r="J703" s="134">
        <v>132.0</v>
      </c>
      <c r="K703" s="93"/>
      <c r="L703" s="56"/>
      <c r="M703" s="126" t="s">
        <v>1262</v>
      </c>
    </row>
    <row r="704">
      <c r="A704" s="133"/>
      <c r="B704" s="111" t="s">
        <v>2710</v>
      </c>
      <c r="C704" s="184" t="s">
        <v>666</v>
      </c>
      <c r="D704" s="52">
        <v>930.0</v>
      </c>
      <c r="E704" s="52">
        <v>998.0</v>
      </c>
      <c r="F704" s="109">
        <f t="shared" si="528"/>
        <v>1002.76</v>
      </c>
      <c r="G704" s="248">
        <f t="shared" si="529"/>
        <v>0.07311827957</v>
      </c>
      <c r="H704" s="132">
        <f>VLOOKUP(M704,'NEW PTMT'!$B$4:$E1406,4,0)</f>
        <v>946</v>
      </c>
      <c r="I704" s="93">
        <v>24.0</v>
      </c>
      <c r="J704" s="93">
        <v>48.0</v>
      </c>
      <c r="K704" s="93"/>
      <c r="L704" s="56"/>
      <c r="M704" s="126" t="s">
        <v>1264</v>
      </c>
    </row>
    <row r="705">
      <c r="A705" s="133"/>
      <c r="B705" s="111" t="s">
        <v>2711</v>
      </c>
      <c r="C705" s="184" t="s">
        <v>682</v>
      </c>
      <c r="D705" s="52">
        <v>666.0192000000001</v>
      </c>
      <c r="E705" s="52">
        <v>718.0</v>
      </c>
      <c r="F705" s="109">
        <f t="shared" si="528"/>
        <v>718.68</v>
      </c>
      <c r="G705" s="248">
        <f t="shared" si="529"/>
        <v>0.07804699925</v>
      </c>
      <c r="H705" s="132">
        <f>VLOOKUP(M705,'NEW PTMT'!$B$4:$E1406,4,0)</f>
        <v>678</v>
      </c>
      <c r="I705" s="93">
        <v>30.0</v>
      </c>
      <c r="J705" s="93">
        <v>90.0</v>
      </c>
      <c r="K705" s="93"/>
      <c r="L705" s="56"/>
      <c r="M705" s="126" t="s">
        <v>1265</v>
      </c>
    </row>
    <row r="706">
      <c r="A706" s="133"/>
      <c r="B706" s="111" t="s">
        <v>1230</v>
      </c>
      <c r="C706" s="111" t="s">
        <v>696</v>
      </c>
      <c r="D706" s="52">
        <v>778.464</v>
      </c>
      <c r="E706" s="52">
        <v>842.0</v>
      </c>
      <c r="F706" s="109">
        <f t="shared" si="528"/>
        <v>841.64</v>
      </c>
      <c r="G706" s="248">
        <f t="shared" si="529"/>
        <v>0.08161713323</v>
      </c>
      <c r="H706" s="132">
        <f>VLOOKUP(M706,'NEW PTMT'!$B$4:$E1406,4,0)</f>
        <v>794</v>
      </c>
      <c r="I706" s="93"/>
      <c r="J706" s="93"/>
      <c r="K706" s="93"/>
      <c r="L706" s="56"/>
      <c r="M706" s="126" t="s">
        <v>1225</v>
      </c>
    </row>
    <row r="707">
      <c r="A707" s="133"/>
      <c r="B707" s="111" t="s">
        <v>2712</v>
      </c>
      <c r="C707" s="184" t="s">
        <v>692</v>
      </c>
      <c r="D707" s="52">
        <v>998.0</v>
      </c>
      <c r="E707" s="52">
        <v>1078.0</v>
      </c>
      <c r="F707" s="109">
        <f t="shared" si="528"/>
        <v>1079.08</v>
      </c>
      <c r="G707" s="248">
        <f t="shared" si="529"/>
        <v>0.08016032064</v>
      </c>
      <c r="H707" s="132">
        <f>VLOOKUP(M707,'NEW PTMT'!$B$4:$E1406,4,0)</f>
        <v>1018</v>
      </c>
      <c r="I707" s="93">
        <v>13.0</v>
      </c>
      <c r="J707" s="93">
        <v>52.0</v>
      </c>
      <c r="K707" s="93"/>
      <c r="L707" s="56"/>
      <c r="M707" s="126" t="s">
        <v>1266</v>
      </c>
    </row>
    <row r="708">
      <c r="A708" s="133"/>
      <c r="B708" s="111" t="s">
        <v>2713</v>
      </c>
      <c r="C708" s="394" t="s">
        <v>2209</v>
      </c>
      <c r="D708" s="52">
        <v>951.88</v>
      </c>
      <c r="E708" s="52">
        <v>1026.0</v>
      </c>
      <c r="F708" s="109">
        <f t="shared" si="528"/>
        <v>1026.08</v>
      </c>
      <c r="G708" s="248">
        <f t="shared" si="529"/>
        <v>0.07786695802</v>
      </c>
      <c r="H708" s="132">
        <f>VLOOKUP(M708,'NEW PTMT'!$B$4:$E1406,4,0)</f>
        <v>968</v>
      </c>
      <c r="I708" s="93">
        <v>30.0</v>
      </c>
      <c r="J708" s="93">
        <v>120.0</v>
      </c>
      <c r="K708" s="93"/>
      <c r="L708" s="56"/>
      <c r="M708" s="126" t="s">
        <v>1268</v>
      </c>
    </row>
    <row r="709">
      <c r="A709" s="133"/>
      <c r="B709" s="111" t="s">
        <v>2714</v>
      </c>
      <c r="C709" s="184" t="s">
        <v>3197</v>
      </c>
      <c r="D709" s="52">
        <v>998.0</v>
      </c>
      <c r="E709" s="52">
        <v>1078.0</v>
      </c>
      <c r="F709" s="109">
        <f t="shared" si="528"/>
        <v>1076.96</v>
      </c>
      <c r="G709" s="248">
        <f t="shared" si="529"/>
        <v>0.08016032064</v>
      </c>
      <c r="H709" s="132">
        <f>VLOOKUP(M709,'NEW PTMT'!$B$4:$E1406,4,0)</f>
        <v>1016</v>
      </c>
      <c r="I709" s="93">
        <v>13.0</v>
      </c>
      <c r="J709" s="93">
        <v>52.0</v>
      </c>
      <c r="K709" s="93"/>
      <c r="L709" s="56"/>
      <c r="M709" s="126" t="s">
        <v>1270</v>
      </c>
    </row>
    <row r="710">
      <c r="A710" s="133"/>
      <c r="B710" s="111" t="s">
        <v>2715</v>
      </c>
      <c r="C710" s="184" t="s">
        <v>913</v>
      </c>
      <c r="D710" s="52">
        <v>1998.0</v>
      </c>
      <c r="E710" s="52">
        <v>2168.0</v>
      </c>
      <c r="F710" s="109">
        <f t="shared" si="528"/>
        <v>2170.88</v>
      </c>
      <c r="G710" s="248">
        <f t="shared" si="529"/>
        <v>0.08508508509</v>
      </c>
      <c r="H710" s="132">
        <f>VLOOKUP(M710,'NEW PTMT'!$B$4:$E1406,4,0)</f>
        <v>2048</v>
      </c>
      <c r="I710" s="93">
        <v>13.0</v>
      </c>
      <c r="J710" s="93">
        <v>52.0</v>
      </c>
      <c r="K710" s="93"/>
      <c r="L710" s="56"/>
      <c r="M710" s="126" t="s">
        <v>1272</v>
      </c>
    </row>
    <row r="711">
      <c r="A711" s="133"/>
      <c r="B711" s="111" t="s">
        <v>2716</v>
      </c>
      <c r="C711" s="184" t="s">
        <v>1949</v>
      </c>
      <c r="D711" s="52">
        <v>1998.0</v>
      </c>
      <c r="E711" s="52">
        <v>2168.0</v>
      </c>
      <c r="F711" s="109">
        <f t="shared" si="528"/>
        <v>2170.88</v>
      </c>
      <c r="G711" s="248">
        <f t="shared" si="529"/>
        <v>0.08508508509</v>
      </c>
      <c r="H711" s="132">
        <f>VLOOKUP(M711,'NEW PTMT'!$B$4:$E1406,4,0)</f>
        <v>2048</v>
      </c>
      <c r="I711" s="93">
        <v>13.0</v>
      </c>
      <c r="J711" s="93">
        <v>52.0</v>
      </c>
      <c r="K711" s="93"/>
      <c r="L711" s="56"/>
      <c r="M711" s="126" t="s">
        <v>1274</v>
      </c>
    </row>
    <row r="712">
      <c r="A712" s="133"/>
      <c r="B712" s="111" t="s">
        <v>1231</v>
      </c>
      <c r="C712" s="111" t="s">
        <v>523</v>
      </c>
      <c r="D712" s="52">
        <v>2778.0</v>
      </c>
      <c r="E712" s="52">
        <v>2998.0</v>
      </c>
      <c r="F712" s="109">
        <f t="shared" si="528"/>
        <v>3001.92</v>
      </c>
      <c r="G712" s="248">
        <f t="shared" si="529"/>
        <v>0.07919366451</v>
      </c>
      <c r="H712" s="132">
        <f>VLOOKUP(M712,'NEW PTMT'!$B$4:$E1406,4,0)</f>
        <v>2832</v>
      </c>
      <c r="I712" s="93"/>
      <c r="J712" s="93"/>
      <c r="K712" s="93"/>
      <c r="L712" s="56"/>
      <c r="M712" s="126" t="s">
        <v>1226</v>
      </c>
    </row>
    <row r="713">
      <c r="A713" s="133"/>
      <c r="B713" s="111" t="s">
        <v>2717</v>
      </c>
      <c r="C713" s="184" t="s">
        <v>3229</v>
      </c>
      <c r="D713" s="52">
        <v>2454.0</v>
      </c>
      <c r="E713" s="52">
        <v>2648.0</v>
      </c>
      <c r="F713" s="109">
        <f t="shared" si="528"/>
        <v>2647.88</v>
      </c>
      <c r="G713" s="248">
        <f t="shared" si="529"/>
        <v>0.07905460473</v>
      </c>
      <c r="H713" s="132">
        <f>VLOOKUP(M713,'NEW PTMT'!$B$4:$E1406,4,0)</f>
        <v>2498</v>
      </c>
      <c r="I713" s="93">
        <v>6.0</v>
      </c>
      <c r="J713" s="93">
        <v>24.0</v>
      </c>
      <c r="K713" s="93"/>
      <c r="L713" s="56"/>
      <c r="M713" s="126" t="s">
        <v>1275</v>
      </c>
    </row>
    <row r="714">
      <c r="A714" s="133"/>
      <c r="B714" s="111" t="s">
        <v>2718</v>
      </c>
      <c r="C714" s="184" t="s">
        <v>395</v>
      </c>
      <c r="D714" s="52">
        <v>474.0</v>
      </c>
      <c r="E714" s="52">
        <v>512.0</v>
      </c>
      <c r="F714" s="109">
        <f t="shared" si="528"/>
        <v>510.92</v>
      </c>
      <c r="G714" s="248">
        <f t="shared" si="529"/>
        <v>0.08016877637</v>
      </c>
      <c r="H714" s="132">
        <f>VLOOKUP(M714,'NEW PTMT'!$B$4:$E1406,4,0)</f>
        <v>482</v>
      </c>
      <c r="I714" s="93">
        <v>66.0</v>
      </c>
      <c r="J714" s="93">
        <v>198.0</v>
      </c>
      <c r="K714" s="93"/>
      <c r="L714" s="56"/>
      <c r="M714" s="126" t="s">
        <v>1277</v>
      </c>
    </row>
    <row r="715">
      <c r="A715" s="133"/>
      <c r="B715" s="111" t="s">
        <v>2719</v>
      </c>
      <c r="C715" s="184" t="s">
        <v>359</v>
      </c>
      <c r="D715" s="52">
        <v>864.0</v>
      </c>
      <c r="E715" s="52">
        <v>932.0</v>
      </c>
      <c r="F715" s="109">
        <f t="shared" si="528"/>
        <v>930.68</v>
      </c>
      <c r="G715" s="248">
        <f t="shared" si="529"/>
        <v>0.0787037037</v>
      </c>
      <c r="H715" s="132">
        <f>VLOOKUP(M715,'NEW PTMT'!$B$4:$E1406,4,0)</f>
        <v>878</v>
      </c>
      <c r="I715" s="93">
        <v>23.0</v>
      </c>
      <c r="J715" s="93">
        <v>92.0</v>
      </c>
      <c r="K715" s="93"/>
      <c r="L715" s="56"/>
      <c r="M715" s="126" t="s">
        <v>1278</v>
      </c>
    </row>
    <row r="716">
      <c r="A716" s="133"/>
      <c r="B716" s="111" t="s">
        <v>2720</v>
      </c>
      <c r="C716" s="184" t="s">
        <v>3272</v>
      </c>
      <c r="D716" s="52">
        <v>841.64</v>
      </c>
      <c r="E716" s="52">
        <v>908.0</v>
      </c>
      <c r="F716" s="109">
        <f t="shared" si="528"/>
        <v>909.48</v>
      </c>
      <c r="G716" s="248">
        <f t="shared" si="529"/>
        <v>0.07884606245</v>
      </c>
      <c r="H716" s="132">
        <f>VLOOKUP(M716,'NEW PTMT'!$B$4:$E1406,4,0)</f>
        <v>858</v>
      </c>
      <c r="I716" s="93">
        <v>30.0</v>
      </c>
      <c r="J716" s="93">
        <v>120.0</v>
      </c>
      <c r="K716" s="93"/>
      <c r="L716" s="56"/>
      <c r="M716" s="126" t="s">
        <v>1279</v>
      </c>
    </row>
    <row r="717">
      <c r="A717" s="133"/>
      <c r="B717" s="123" t="s">
        <v>2722</v>
      </c>
      <c r="C717" s="277" t="s">
        <v>1145</v>
      </c>
      <c r="D717" s="125">
        <v>2398.0</v>
      </c>
      <c r="E717" s="52">
        <v>2592.0</v>
      </c>
      <c r="F717" s="109">
        <f t="shared" si="528"/>
        <v>2592.76</v>
      </c>
      <c r="G717" s="248">
        <f t="shared" si="529"/>
        <v>0.08090075063</v>
      </c>
      <c r="H717" s="132">
        <f>VLOOKUP(M717,'NEW PTMT'!$B$4:$E1406,4,0)</f>
        <v>2446</v>
      </c>
      <c r="I717" s="93">
        <v>14.0</v>
      </c>
      <c r="J717" s="93">
        <v>56.0</v>
      </c>
      <c r="K717" s="93"/>
      <c r="L717" s="56"/>
      <c r="M717" s="126" t="s">
        <v>1282</v>
      </c>
    </row>
    <row r="718" ht="18.75" customHeight="1">
      <c r="A718" s="256"/>
      <c r="B718" s="149"/>
      <c r="C718" s="204"/>
      <c r="D718" s="259"/>
      <c r="E718" s="109"/>
      <c r="F718" s="109"/>
      <c r="G718" s="248"/>
      <c r="H718" s="115"/>
      <c r="I718" s="93"/>
      <c r="J718" s="93"/>
      <c r="K718" s="93"/>
      <c r="L718" s="56"/>
      <c r="M718" s="91"/>
    </row>
    <row r="719" ht="18.75" customHeight="1">
      <c r="A719" s="133"/>
      <c r="B719" s="107" t="s">
        <v>3279</v>
      </c>
      <c r="C719" s="166"/>
      <c r="D719" s="272"/>
      <c r="E719" s="343"/>
      <c r="F719" s="109"/>
      <c r="G719" s="248"/>
      <c r="H719" s="115"/>
      <c r="I719" s="93"/>
      <c r="J719" s="93"/>
      <c r="K719" s="93"/>
      <c r="L719" s="56"/>
      <c r="M719" s="91"/>
    </row>
    <row r="720">
      <c r="A720" s="133"/>
      <c r="B720" s="111" t="s">
        <v>2724</v>
      </c>
      <c r="C720" s="177" t="s">
        <v>3169</v>
      </c>
      <c r="D720" s="52">
        <f t="shared" ref="D720:E720" si="530">D701</f>
        <v>493.96</v>
      </c>
      <c r="E720" s="52">
        <f t="shared" si="530"/>
        <v>534</v>
      </c>
      <c r="F720" s="109"/>
      <c r="G720" s="248">
        <f t="shared" ref="G720:G736" si="532">IFERROR(DIVIDE(MINUS(E720,D720),D720),)</f>
        <v>0.08105919508</v>
      </c>
      <c r="H720" s="115"/>
      <c r="I720" s="93">
        <v>33.0</v>
      </c>
      <c r="J720" s="93">
        <v>132.0</v>
      </c>
      <c r="K720" s="93"/>
      <c r="L720" s="56"/>
      <c r="M720" s="91"/>
    </row>
    <row r="721">
      <c r="A721" s="133"/>
      <c r="B721" s="111" t="s">
        <v>2725</v>
      </c>
      <c r="C721" s="118" t="s">
        <v>339</v>
      </c>
      <c r="D721" s="52">
        <f t="shared" ref="D721:E721" si="531">D702</f>
        <v>606.32</v>
      </c>
      <c r="E721" s="52">
        <f t="shared" si="531"/>
        <v>654</v>
      </c>
      <c r="F721" s="109"/>
      <c r="G721" s="248">
        <f t="shared" si="532"/>
        <v>0.07863834279</v>
      </c>
      <c r="H721" s="115"/>
      <c r="I721" s="134">
        <v>33.0</v>
      </c>
      <c r="J721" s="134">
        <v>99.0</v>
      </c>
      <c r="K721" s="93"/>
      <c r="L721" s="56"/>
      <c r="M721" s="91"/>
    </row>
    <row r="722">
      <c r="A722" s="133"/>
      <c r="B722" s="111" t="s">
        <v>2726</v>
      </c>
      <c r="C722" s="118" t="s">
        <v>363</v>
      </c>
      <c r="D722" s="52">
        <f t="shared" ref="D722:E722" si="533">D703</f>
        <v>516</v>
      </c>
      <c r="E722" s="52">
        <f t="shared" si="533"/>
        <v>558</v>
      </c>
      <c r="F722" s="109"/>
      <c r="G722" s="248">
        <f t="shared" si="532"/>
        <v>0.08139534884</v>
      </c>
      <c r="H722" s="115"/>
      <c r="I722" s="134">
        <v>33.0</v>
      </c>
      <c r="J722" s="134">
        <v>132.0</v>
      </c>
      <c r="K722" s="93"/>
      <c r="L722" s="56"/>
      <c r="M722" s="91"/>
    </row>
    <row r="723">
      <c r="A723" s="133"/>
      <c r="B723" s="111" t="s">
        <v>2727</v>
      </c>
      <c r="C723" s="184" t="s">
        <v>666</v>
      </c>
      <c r="D723" s="52">
        <f t="shared" ref="D723:E723" si="534">D704</f>
        <v>930</v>
      </c>
      <c r="E723" s="52">
        <f t="shared" si="534"/>
        <v>998</v>
      </c>
      <c r="F723" s="109"/>
      <c r="G723" s="248">
        <f t="shared" si="532"/>
        <v>0.07311827957</v>
      </c>
      <c r="H723" s="115"/>
      <c r="I723" s="93">
        <v>24.0</v>
      </c>
      <c r="J723" s="93">
        <v>48.0</v>
      </c>
      <c r="K723" s="93"/>
      <c r="L723" s="56"/>
      <c r="M723" s="91"/>
    </row>
    <row r="724">
      <c r="A724" s="133"/>
      <c r="B724" s="111" t="s">
        <v>2728</v>
      </c>
      <c r="C724" s="184" t="s">
        <v>682</v>
      </c>
      <c r="D724" s="52">
        <f t="shared" ref="D724:E724" si="535">D705</f>
        <v>666.0192</v>
      </c>
      <c r="E724" s="52">
        <f t="shared" si="535"/>
        <v>718</v>
      </c>
      <c r="F724" s="109"/>
      <c r="G724" s="248">
        <f t="shared" si="532"/>
        <v>0.07804699925</v>
      </c>
      <c r="H724" s="115"/>
      <c r="I724" s="93">
        <v>30.0</v>
      </c>
      <c r="J724" s="93">
        <v>90.0</v>
      </c>
      <c r="K724" s="93"/>
      <c r="L724" s="56"/>
      <c r="M724" s="91"/>
    </row>
    <row r="725">
      <c r="A725" s="133"/>
      <c r="B725" s="111" t="s">
        <v>1236</v>
      </c>
      <c r="C725" s="111" t="s">
        <v>696</v>
      </c>
      <c r="D725" s="52">
        <f t="shared" ref="D725:E725" si="536">D706</f>
        <v>778.464</v>
      </c>
      <c r="E725" s="52">
        <f t="shared" si="536"/>
        <v>842</v>
      </c>
      <c r="F725" s="109"/>
      <c r="G725" s="248">
        <f t="shared" si="532"/>
        <v>0.08161713323</v>
      </c>
      <c r="H725" s="115"/>
      <c r="I725" s="93"/>
      <c r="J725" s="93"/>
      <c r="K725" s="93"/>
      <c r="L725" s="56"/>
      <c r="M725" s="91"/>
    </row>
    <row r="726">
      <c r="A726" s="133"/>
      <c r="B726" s="111" t="s">
        <v>2729</v>
      </c>
      <c r="C726" s="184" t="s">
        <v>692</v>
      </c>
      <c r="D726" s="52">
        <f t="shared" ref="D726:E726" si="537">D707</f>
        <v>998</v>
      </c>
      <c r="E726" s="52">
        <f t="shared" si="537"/>
        <v>1078</v>
      </c>
      <c r="F726" s="109"/>
      <c r="G726" s="248">
        <f t="shared" si="532"/>
        <v>0.08016032064</v>
      </c>
      <c r="H726" s="115"/>
      <c r="I726" s="93">
        <v>13.0</v>
      </c>
      <c r="J726" s="93">
        <v>52.0</v>
      </c>
      <c r="K726" s="93"/>
      <c r="L726" s="56"/>
      <c r="M726" s="91"/>
    </row>
    <row r="727">
      <c r="A727" s="133"/>
      <c r="B727" s="111" t="s">
        <v>2730</v>
      </c>
      <c r="C727" s="394" t="s">
        <v>2209</v>
      </c>
      <c r="D727" s="52">
        <f t="shared" ref="D727:E727" si="538">D708</f>
        <v>951.88</v>
      </c>
      <c r="E727" s="52">
        <f t="shared" si="538"/>
        <v>1026</v>
      </c>
      <c r="F727" s="109"/>
      <c r="G727" s="248">
        <f t="shared" si="532"/>
        <v>0.07786695802</v>
      </c>
      <c r="H727" s="115"/>
      <c r="I727" s="93">
        <v>30.0</v>
      </c>
      <c r="J727" s="93">
        <v>120.0</v>
      </c>
      <c r="K727" s="93"/>
      <c r="L727" s="56"/>
      <c r="M727" s="91"/>
    </row>
    <row r="728">
      <c r="A728" s="133"/>
      <c r="B728" s="111" t="s">
        <v>2731</v>
      </c>
      <c r="C728" s="184" t="s">
        <v>3197</v>
      </c>
      <c r="D728" s="52">
        <f t="shared" ref="D728:E728" si="539">D709</f>
        <v>998</v>
      </c>
      <c r="E728" s="52">
        <f t="shared" si="539"/>
        <v>1078</v>
      </c>
      <c r="F728" s="109"/>
      <c r="G728" s="248">
        <f t="shared" si="532"/>
        <v>0.08016032064</v>
      </c>
      <c r="H728" s="115"/>
      <c r="I728" s="93">
        <v>13.0</v>
      </c>
      <c r="J728" s="93">
        <v>52.0</v>
      </c>
      <c r="K728" s="93"/>
      <c r="L728" s="56"/>
      <c r="M728" s="91"/>
    </row>
    <row r="729">
      <c r="A729" s="133"/>
      <c r="B729" s="111" t="s">
        <v>2732</v>
      </c>
      <c r="C729" s="184" t="s">
        <v>913</v>
      </c>
      <c r="D729" s="52">
        <f t="shared" ref="D729:E729" si="540">D710</f>
        <v>1998</v>
      </c>
      <c r="E729" s="52">
        <f t="shared" si="540"/>
        <v>2168</v>
      </c>
      <c r="F729" s="109"/>
      <c r="G729" s="248">
        <f t="shared" si="532"/>
        <v>0.08508508509</v>
      </c>
      <c r="H729" s="115"/>
      <c r="I729" s="93">
        <v>13.0</v>
      </c>
      <c r="J729" s="93">
        <v>52.0</v>
      </c>
      <c r="K729" s="93"/>
      <c r="L729" s="56"/>
      <c r="M729" s="91"/>
    </row>
    <row r="730">
      <c r="A730" s="133"/>
      <c r="B730" s="111" t="s">
        <v>2733</v>
      </c>
      <c r="C730" s="184" t="s">
        <v>1949</v>
      </c>
      <c r="D730" s="52">
        <f t="shared" ref="D730:E730" si="541">D711</f>
        <v>1998</v>
      </c>
      <c r="E730" s="52">
        <f t="shared" si="541"/>
        <v>2168</v>
      </c>
      <c r="F730" s="109"/>
      <c r="G730" s="248">
        <f t="shared" si="532"/>
        <v>0.08508508509</v>
      </c>
      <c r="H730" s="115"/>
      <c r="I730" s="93">
        <v>13.0</v>
      </c>
      <c r="J730" s="93">
        <v>52.0</v>
      </c>
      <c r="K730" s="93"/>
      <c r="L730" s="56"/>
      <c r="M730" s="91"/>
    </row>
    <row r="731">
      <c r="A731" s="133"/>
      <c r="B731" s="111" t="s">
        <v>1238</v>
      </c>
      <c r="C731" s="111" t="s">
        <v>523</v>
      </c>
      <c r="D731" s="52">
        <f t="shared" ref="D731:E731" si="542">D712</f>
        <v>2778</v>
      </c>
      <c r="E731" s="52">
        <f t="shared" si="542"/>
        <v>2998</v>
      </c>
      <c r="F731" s="109"/>
      <c r="G731" s="248">
        <f t="shared" si="532"/>
        <v>0.07919366451</v>
      </c>
      <c r="H731" s="115"/>
      <c r="I731" s="93"/>
      <c r="J731" s="93"/>
      <c r="K731" s="93"/>
      <c r="L731" s="56"/>
      <c r="M731" s="91"/>
    </row>
    <row r="732">
      <c r="A732" s="133"/>
      <c r="B732" s="111" t="s">
        <v>2734</v>
      </c>
      <c r="C732" s="184" t="s">
        <v>3229</v>
      </c>
      <c r="D732" s="52">
        <f t="shared" ref="D732:E732" si="543">D713</f>
        <v>2454</v>
      </c>
      <c r="E732" s="52">
        <f t="shared" si="543"/>
        <v>2648</v>
      </c>
      <c r="F732" s="109"/>
      <c r="G732" s="248">
        <f t="shared" si="532"/>
        <v>0.07905460473</v>
      </c>
      <c r="H732" s="115"/>
      <c r="I732" s="93">
        <v>6.0</v>
      </c>
      <c r="J732" s="93">
        <v>24.0</v>
      </c>
      <c r="K732" s="93"/>
      <c r="L732" s="56"/>
      <c r="M732" s="91"/>
    </row>
    <row r="733">
      <c r="A733" s="133"/>
      <c r="B733" s="111" t="s">
        <v>2735</v>
      </c>
      <c r="C733" s="184" t="s">
        <v>395</v>
      </c>
      <c r="D733" s="52">
        <f t="shared" ref="D733:E733" si="544">D714</f>
        <v>474</v>
      </c>
      <c r="E733" s="52">
        <f t="shared" si="544"/>
        <v>512</v>
      </c>
      <c r="F733" s="109"/>
      <c r="G733" s="248">
        <f t="shared" si="532"/>
        <v>0.08016877637</v>
      </c>
      <c r="H733" s="115"/>
      <c r="I733" s="93">
        <v>66.0</v>
      </c>
      <c r="J733" s="93">
        <v>198.0</v>
      </c>
      <c r="K733" s="93"/>
      <c r="L733" s="56"/>
      <c r="M733" s="91"/>
    </row>
    <row r="734">
      <c r="A734" s="133"/>
      <c r="B734" s="111" t="s">
        <v>2736</v>
      </c>
      <c r="C734" s="184" t="s">
        <v>359</v>
      </c>
      <c r="D734" s="52">
        <f t="shared" ref="D734:E734" si="545">D715</f>
        <v>864</v>
      </c>
      <c r="E734" s="52">
        <f t="shared" si="545"/>
        <v>932</v>
      </c>
      <c r="F734" s="109"/>
      <c r="G734" s="248">
        <f t="shared" si="532"/>
        <v>0.0787037037</v>
      </c>
      <c r="H734" s="115"/>
      <c r="I734" s="93">
        <v>23.0</v>
      </c>
      <c r="J734" s="93">
        <v>92.0</v>
      </c>
      <c r="K734" s="93"/>
      <c r="L734" s="56"/>
      <c r="M734" s="91"/>
    </row>
    <row r="735">
      <c r="A735" s="133"/>
      <c r="B735" s="111" t="s">
        <v>2737</v>
      </c>
      <c r="C735" s="184" t="s">
        <v>3272</v>
      </c>
      <c r="D735" s="52">
        <f t="shared" ref="D735:E735" si="546">D716</f>
        <v>841.64</v>
      </c>
      <c r="E735" s="52">
        <f t="shared" si="546"/>
        <v>908</v>
      </c>
      <c r="F735" s="109"/>
      <c r="G735" s="248">
        <f t="shared" si="532"/>
        <v>0.07884606245</v>
      </c>
      <c r="H735" s="93"/>
      <c r="I735" s="93">
        <v>30.0</v>
      </c>
      <c r="J735" s="93">
        <v>120.0</v>
      </c>
      <c r="K735" s="93"/>
      <c r="L735" s="56"/>
      <c r="M735" s="91"/>
    </row>
    <row r="736">
      <c r="A736" s="133"/>
      <c r="B736" s="123" t="s">
        <v>2738</v>
      </c>
      <c r="C736" s="277" t="s">
        <v>1145</v>
      </c>
      <c r="D736" s="52">
        <f t="shared" ref="D736:E736" si="547">D717</f>
        <v>2398</v>
      </c>
      <c r="E736" s="52">
        <f t="shared" si="547"/>
        <v>2592</v>
      </c>
      <c r="F736" s="109"/>
      <c r="G736" s="248">
        <f t="shared" si="532"/>
        <v>0.08090075063</v>
      </c>
      <c r="H736" s="93"/>
      <c r="I736" s="93">
        <v>14.0</v>
      </c>
      <c r="J736" s="93">
        <v>56.0</v>
      </c>
      <c r="K736" s="93"/>
      <c r="L736" s="56"/>
      <c r="M736" s="91"/>
    </row>
    <row r="737" ht="18.75" customHeight="1">
      <c r="A737" s="256"/>
      <c r="B737" s="149"/>
      <c r="C737" s="204"/>
      <c r="D737" s="109"/>
      <c r="E737" s="109"/>
      <c r="F737" s="109"/>
      <c r="G737" s="248"/>
      <c r="H737" s="115"/>
      <c r="I737" s="93"/>
      <c r="J737" s="93"/>
      <c r="K737" s="93"/>
      <c r="L737" s="56"/>
      <c r="M737" s="91"/>
    </row>
    <row r="738" ht="18.75" customHeight="1">
      <c r="A738" s="133"/>
      <c r="B738" s="107" t="s">
        <v>3308</v>
      </c>
      <c r="C738" s="166"/>
      <c r="D738" s="343"/>
      <c r="E738" s="343"/>
      <c r="F738" s="109"/>
      <c r="G738" s="248"/>
      <c r="H738" s="115"/>
      <c r="I738" s="93"/>
      <c r="J738" s="93"/>
      <c r="K738" s="93"/>
      <c r="L738" s="56"/>
      <c r="M738" s="91"/>
    </row>
    <row r="739">
      <c r="A739" s="133"/>
      <c r="B739" s="111" t="s">
        <v>2740</v>
      </c>
      <c r="C739" s="111" t="s">
        <v>3169</v>
      </c>
      <c r="D739" s="52">
        <f t="shared" ref="D739:E739" si="548">D720</f>
        <v>493.96</v>
      </c>
      <c r="E739" s="52">
        <f t="shared" si="548"/>
        <v>534</v>
      </c>
      <c r="F739" s="109"/>
      <c r="G739" s="248">
        <f t="shared" ref="G739:G755" si="550">IFERROR(DIVIDE(MINUS(E739,D739),D739),)</f>
        <v>0.08105919508</v>
      </c>
      <c r="H739" s="115"/>
      <c r="I739" s="93">
        <v>33.0</v>
      </c>
      <c r="J739" s="93">
        <v>132.0</v>
      </c>
      <c r="K739" s="93"/>
      <c r="L739" s="56"/>
      <c r="M739" s="91"/>
    </row>
    <row r="740">
      <c r="A740" s="133"/>
      <c r="B740" s="111" t="s">
        <v>2741</v>
      </c>
      <c r="C740" s="118" t="s">
        <v>339</v>
      </c>
      <c r="D740" s="52">
        <f t="shared" ref="D740:E740" si="549">D721</f>
        <v>606.32</v>
      </c>
      <c r="E740" s="52">
        <f t="shared" si="549"/>
        <v>654</v>
      </c>
      <c r="F740" s="109"/>
      <c r="G740" s="248">
        <f t="shared" si="550"/>
        <v>0.07863834279</v>
      </c>
      <c r="H740" s="115"/>
      <c r="I740" s="134">
        <v>33.0</v>
      </c>
      <c r="J740" s="134">
        <v>99.0</v>
      </c>
      <c r="K740" s="93"/>
      <c r="L740" s="56"/>
      <c r="M740" s="91"/>
    </row>
    <row r="741">
      <c r="A741" s="133"/>
      <c r="B741" s="111" t="s">
        <v>2742</v>
      </c>
      <c r="C741" s="118" t="s">
        <v>363</v>
      </c>
      <c r="D741" s="52">
        <f t="shared" ref="D741:E741" si="551">D722</f>
        <v>516</v>
      </c>
      <c r="E741" s="52">
        <f t="shared" si="551"/>
        <v>558</v>
      </c>
      <c r="F741" s="109"/>
      <c r="G741" s="248">
        <f t="shared" si="550"/>
        <v>0.08139534884</v>
      </c>
      <c r="H741" s="115"/>
      <c r="I741" s="134">
        <v>33.0</v>
      </c>
      <c r="J741" s="134">
        <v>132.0</v>
      </c>
      <c r="K741" s="93"/>
      <c r="L741" s="56"/>
      <c r="M741" s="91"/>
    </row>
    <row r="742">
      <c r="A742" s="133"/>
      <c r="B742" s="111" t="s">
        <v>2743</v>
      </c>
      <c r="C742" s="184" t="s">
        <v>666</v>
      </c>
      <c r="D742" s="52">
        <f t="shared" ref="D742:E742" si="552">D723</f>
        <v>930</v>
      </c>
      <c r="E742" s="52">
        <f t="shared" si="552"/>
        <v>998</v>
      </c>
      <c r="F742" s="109"/>
      <c r="G742" s="248">
        <f t="shared" si="550"/>
        <v>0.07311827957</v>
      </c>
      <c r="H742" s="115"/>
      <c r="I742" s="93">
        <v>24.0</v>
      </c>
      <c r="J742" s="93">
        <v>48.0</v>
      </c>
      <c r="K742" s="93"/>
      <c r="L742" s="56"/>
      <c r="M742" s="91"/>
    </row>
    <row r="743">
      <c r="A743" s="133"/>
      <c r="B743" s="111" t="s">
        <v>2744</v>
      </c>
      <c r="C743" s="184" t="s">
        <v>682</v>
      </c>
      <c r="D743" s="52">
        <f t="shared" ref="D743:E743" si="553">D724</f>
        <v>666.0192</v>
      </c>
      <c r="E743" s="52">
        <f t="shared" si="553"/>
        <v>718</v>
      </c>
      <c r="F743" s="109"/>
      <c r="G743" s="248">
        <f t="shared" si="550"/>
        <v>0.07804699925</v>
      </c>
      <c r="H743" s="115"/>
      <c r="I743" s="93">
        <v>30.0</v>
      </c>
      <c r="J743" s="93">
        <v>90.0</v>
      </c>
      <c r="K743" s="93"/>
      <c r="L743" s="56"/>
      <c r="M743" s="91"/>
    </row>
    <row r="744">
      <c r="A744" s="133"/>
      <c r="B744" s="111" t="s">
        <v>1243</v>
      </c>
      <c r="C744" s="111" t="s">
        <v>696</v>
      </c>
      <c r="D744" s="52">
        <f t="shared" ref="D744:E744" si="554">D725</f>
        <v>778.464</v>
      </c>
      <c r="E744" s="52">
        <f t="shared" si="554"/>
        <v>842</v>
      </c>
      <c r="F744" s="109"/>
      <c r="G744" s="248">
        <f t="shared" si="550"/>
        <v>0.08161713323</v>
      </c>
      <c r="H744" s="115"/>
      <c r="I744" s="93"/>
      <c r="J744" s="93"/>
      <c r="K744" s="93"/>
      <c r="L744" s="56"/>
      <c r="M744" s="91"/>
    </row>
    <row r="745">
      <c r="A745" s="133"/>
      <c r="B745" s="111" t="s">
        <v>2745</v>
      </c>
      <c r="C745" s="184" t="s">
        <v>692</v>
      </c>
      <c r="D745" s="52">
        <f t="shared" ref="D745:E745" si="555">D726</f>
        <v>998</v>
      </c>
      <c r="E745" s="52">
        <f t="shared" si="555"/>
        <v>1078</v>
      </c>
      <c r="F745" s="109"/>
      <c r="G745" s="248">
        <f t="shared" si="550"/>
        <v>0.08016032064</v>
      </c>
      <c r="H745" s="115"/>
      <c r="I745" s="93">
        <v>13.0</v>
      </c>
      <c r="J745" s="93">
        <v>52.0</v>
      </c>
      <c r="K745" s="93"/>
      <c r="L745" s="56"/>
      <c r="M745" s="91"/>
    </row>
    <row r="746">
      <c r="A746" s="133"/>
      <c r="B746" s="111" t="s">
        <v>2746</v>
      </c>
      <c r="C746" s="394" t="s">
        <v>2209</v>
      </c>
      <c r="D746" s="52">
        <f t="shared" ref="D746:E746" si="556">D727</f>
        <v>951.88</v>
      </c>
      <c r="E746" s="52">
        <f t="shared" si="556"/>
        <v>1026</v>
      </c>
      <c r="F746" s="109"/>
      <c r="G746" s="248">
        <f t="shared" si="550"/>
        <v>0.07786695802</v>
      </c>
      <c r="H746" s="115"/>
      <c r="I746" s="93">
        <v>30.0</v>
      </c>
      <c r="J746" s="93">
        <v>120.0</v>
      </c>
      <c r="K746" s="93"/>
      <c r="L746" s="56"/>
      <c r="M746" s="91"/>
    </row>
    <row r="747">
      <c r="A747" s="133"/>
      <c r="B747" s="111" t="s">
        <v>2747</v>
      </c>
      <c r="C747" s="184" t="s">
        <v>3197</v>
      </c>
      <c r="D747" s="52">
        <f t="shared" ref="D747:E747" si="557">D728</f>
        <v>998</v>
      </c>
      <c r="E747" s="52">
        <f t="shared" si="557"/>
        <v>1078</v>
      </c>
      <c r="F747" s="109"/>
      <c r="G747" s="248">
        <f t="shared" si="550"/>
        <v>0.08016032064</v>
      </c>
      <c r="H747" s="115"/>
      <c r="I747" s="93">
        <v>13.0</v>
      </c>
      <c r="J747" s="93">
        <v>52.0</v>
      </c>
      <c r="K747" s="93"/>
      <c r="L747" s="56"/>
      <c r="M747" s="91"/>
    </row>
    <row r="748">
      <c r="A748" s="133"/>
      <c r="B748" s="111" t="s">
        <v>2748</v>
      </c>
      <c r="C748" s="184" t="s">
        <v>913</v>
      </c>
      <c r="D748" s="52">
        <f t="shared" ref="D748:E748" si="558">D729</f>
        <v>1998</v>
      </c>
      <c r="E748" s="52">
        <f t="shared" si="558"/>
        <v>2168</v>
      </c>
      <c r="F748" s="109"/>
      <c r="G748" s="248">
        <f t="shared" si="550"/>
        <v>0.08508508509</v>
      </c>
      <c r="H748" s="115"/>
      <c r="I748" s="93">
        <v>13.0</v>
      </c>
      <c r="J748" s="93">
        <v>52.0</v>
      </c>
      <c r="K748" s="93"/>
      <c r="L748" s="56"/>
      <c r="M748" s="91"/>
    </row>
    <row r="749">
      <c r="A749" s="133"/>
      <c r="B749" s="111" t="s">
        <v>2749</v>
      </c>
      <c r="C749" s="184" t="s">
        <v>1949</v>
      </c>
      <c r="D749" s="52">
        <f t="shared" ref="D749:E749" si="559">D730</f>
        <v>1998</v>
      </c>
      <c r="E749" s="52">
        <f t="shared" si="559"/>
        <v>2168</v>
      </c>
      <c r="F749" s="109"/>
      <c r="G749" s="248">
        <f t="shared" si="550"/>
        <v>0.08508508509</v>
      </c>
      <c r="H749" s="115"/>
      <c r="I749" s="93">
        <v>13.0</v>
      </c>
      <c r="J749" s="93">
        <v>52.0</v>
      </c>
      <c r="K749" s="93"/>
      <c r="L749" s="56"/>
      <c r="M749" s="91"/>
    </row>
    <row r="750">
      <c r="A750" s="133"/>
      <c r="B750" s="111" t="s">
        <v>1245</v>
      </c>
      <c r="C750" s="111" t="s">
        <v>523</v>
      </c>
      <c r="D750" s="52">
        <f t="shared" ref="D750:E750" si="560">D731</f>
        <v>2778</v>
      </c>
      <c r="E750" s="52">
        <f t="shared" si="560"/>
        <v>2998</v>
      </c>
      <c r="F750" s="109"/>
      <c r="G750" s="248">
        <f t="shared" si="550"/>
        <v>0.07919366451</v>
      </c>
      <c r="H750" s="115"/>
      <c r="I750" s="93"/>
      <c r="J750" s="93"/>
      <c r="K750" s="93"/>
      <c r="L750" s="56"/>
      <c r="M750" s="91"/>
    </row>
    <row r="751">
      <c r="A751" s="133"/>
      <c r="B751" s="111" t="s">
        <v>2750</v>
      </c>
      <c r="C751" s="184" t="s">
        <v>3229</v>
      </c>
      <c r="D751" s="52">
        <f t="shared" ref="D751:E751" si="561">D732</f>
        <v>2454</v>
      </c>
      <c r="E751" s="52">
        <f t="shared" si="561"/>
        <v>2648</v>
      </c>
      <c r="F751" s="109"/>
      <c r="G751" s="248">
        <f t="shared" si="550"/>
        <v>0.07905460473</v>
      </c>
      <c r="H751" s="115"/>
      <c r="I751" s="93">
        <v>6.0</v>
      </c>
      <c r="J751" s="93">
        <v>24.0</v>
      </c>
      <c r="K751" s="93"/>
      <c r="L751" s="56"/>
      <c r="M751" s="91"/>
    </row>
    <row r="752">
      <c r="A752" s="133"/>
      <c r="B752" s="111" t="s">
        <v>2751</v>
      </c>
      <c r="C752" s="184" t="s">
        <v>395</v>
      </c>
      <c r="D752" s="52">
        <f t="shared" ref="D752:E752" si="562">D733</f>
        <v>474</v>
      </c>
      <c r="E752" s="52">
        <f t="shared" si="562"/>
        <v>512</v>
      </c>
      <c r="F752" s="109"/>
      <c r="G752" s="248">
        <f t="shared" si="550"/>
        <v>0.08016877637</v>
      </c>
      <c r="H752" s="115"/>
      <c r="I752" s="93">
        <v>66.0</v>
      </c>
      <c r="J752" s="93">
        <v>198.0</v>
      </c>
      <c r="K752" s="93"/>
      <c r="L752" s="56"/>
      <c r="M752" s="91"/>
    </row>
    <row r="753">
      <c r="A753" s="133"/>
      <c r="B753" s="111" t="s">
        <v>2752</v>
      </c>
      <c r="C753" s="184" t="s">
        <v>359</v>
      </c>
      <c r="D753" s="52">
        <f t="shared" ref="D753:E753" si="563">D734</f>
        <v>864</v>
      </c>
      <c r="E753" s="52">
        <f t="shared" si="563"/>
        <v>932</v>
      </c>
      <c r="F753" s="109"/>
      <c r="G753" s="248">
        <f t="shared" si="550"/>
        <v>0.0787037037</v>
      </c>
      <c r="H753" s="115"/>
      <c r="I753" s="93">
        <v>23.0</v>
      </c>
      <c r="J753" s="93">
        <v>92.0</v>
      </c>
      <c r="K753" s="93"/>
      <c r="L753" s="56"/>
      <c r="M753" s="91"/>
    </row>
    <row r="754">
      <c r="A754" s="133"/>
      <c r="B754" s="111" t="s">
        <v>2753</v>
      </c>
      <c r="C754" s="184" t="s">
        <v>3272</v>
      </c>
      <c r="D754" s="52">
        <f t="shared" ref="D754:E754" si="564">D735</f>
        <v>841.64</v>
      </c>
      <c r="E754" s="52">
        <f t="shared" si="564"/>
        <v>908</v>
      </c>
      <c r="F754" s="109"/>
      <c r="G754" s="248">
        <f t="shared" si="550"/>
        <v>0.07884606245</v>
      </c>
      <c r="H754" s="93"/>
      <c r="I754" s="93">
        <v>30.0</v>
      </c>
      <c r="J754" s="93">
        <v>120.0</v>
      </c>
      <c r="K754" s="93"/>
      <c r="L754" s="56"/>
      <c r="M754" s="91"/>
    </row>
    <row r="755">
      <c r="A755" s="133"/>
      <c r="B755" s="123" t="s">
        <v>2754</v>
      </c>
      <c r="C755" s="277" t="s">
        <v>1145</v>
      </c>
      <c r="D755" s="52">
        <f t="shared" ref="D755:E755" si="565">D736</f>
        <v>2398</v>
      </c>
      <c r="E755" s="52">
        <f t="shared" si="565"/>
        <v>2592</v>
      </c>
      <c r="F755" s="109"/>
      <c r="G755" s="248">
        <f t="shared" si="550"/>
        <v>0.08090075063</v>
      </c>
      <c r="H755" s="93"/>
      <c r="I755" s="93">
        <v>14.0</v>
      </c>
      <c r="J755" s="93">
        <v>56.0</v>
      </c>
      <c r="K755" s="93"/>
      <c r="L755" s="56"/>
      <c r="M755" s="91"/>
    </row>
    <row r="756">
      <c r="A756" s="256"/>
      <c r="B756" s="149"/>
      <c r="C756" s="204"/>
      <c r="D756" s="109"/>
      <c r="E756" s="109"/>
      <c r="F756" s="109"/>
      <c r="G756" s="248"/>
      <c r="H756" s="115"/>
      <c r="I756" s="93"/>
      <c r="J756" s="93"/>
      <c r="K756" s="93"/>
      <c r="L756" s="56"/>
      <c r="M756" s="91"/>
    </row>
    <row r="757" ht="18.75" customHeight="1">
      <c r="A757" s="133"/>
      <c r="B757" s="107" t="s">
        <v>3335</v>
      </c>
      <c r="C757" s="166"/>
      <c r="D757" s="343"/>
      <c r="E757" s="343"/>
      <c r="F757" s="109"/>
      <c r="G757" s="248"/>
      <c r="H757" s="115"/>
      <c r="I757" s="93"/>
      <c r="J757" s="93"/>
      <c r="K757" s="93"/>
      <c r="L757" s="56"/>
      <c r="M757" s="91"/>
    </row>
    <row r="758">
      <c r="A758" s="133"/>
      <c r="B758" s="111" t="s">
        <v>2756</v>
      </c>
      <c r="C758" s="177" t="s">
        <v>3169</v>
      </c>
      <c r="D758" s="52">
        <f t="shared" ref="D758:E758" si="566">D739</f>
        <v>493.96</v>
      </c>
      <c r="E758" s="52">
        <f t="shared" si="566"/>
        <v>534</v>
      </c>
      <c r="F758" s="109"/>
      <c r="G758" s="248">
        <f t="shared" ref="G758:G774" si="568">IFERROR(DIVIDE(MINUS(E758,D758),D758),)</f>
        <v>0.08105919508</v>
      </c>
      <c r="H758" s="115"/>
      <c r="I758" s="93">
        <v>33.0</v>
      </c>
      <c r="J758" s="93">
        <v>132.0</v>
      </c>
      <c r="K758" s="93"/>
      <c r="L758" s="56"/>
      <c r="M758" s="91"/>
    </row>
    <row r="759">
      <c r="A759" s="133"/>
      <c r="B759" s="111" t="s">
        <v>2757</v>
      </c>
      <c r="C759" s="118" t="s">
        <v>339</v>
      </c>
      <c r="D759" s="52">
        <f t="shared" ref="D759:E759" si="567">D740</f>
        <v>606.32</v>
      </c>
      <c r="E759" s="52">
        <f t="shared" si="567"/>
        <v>654</v>
      </c>
      <c r="F759" s="109"/>
      <c r="G759" s="248">
        <f t="shared" si="568"/>
        <v>0.07863834279</v>
      </c>
      <c r="H759" s="115"/>
      <c r="I759" s="134">
        <v>33.0</v>
      </c>
      <c r="J759" s="134">
        <v>99.0</v>
      </c>
      <c r="K759" s="93"/>
      <c r="L759" s="56"/>
      <c r="M759" s="91"/>
    </row>
    <row r="760">
      <c r="A760" s="133"/>
      <c r="B760" s="111" t="s">
        <v>2758</v>
      </c>
      <c r="C760" s="118" t="s">
        <v>363</v>
      </c>
      <c r="D760" s="52">
        <f t="shared" ref="D760:E760" si="569">D741</f>
        <v>516</v>
      </c>
      <c r="E760" s="52">
        <f t="shared" si="569"/>
        <v>558</v>
      </c>
      <c r="F760" s="109"/>
      <c r="G760" s="248">
        <f t="shared" si="568"/>
        <v>0.08139534884</v>
      </c>
      <c r="H760" s="115"/>
      <c r="I760" s="134">
        <v>33.0</v>
      </c>
      <c r="J760" s="134">
        <v>132.0</v>
      </c>
      <c r="K760" s="93"/>
      <c r="L760" s="56"/>
      <c r="M760" s="91"/>
    </row>
    <row r="761">
      <c r="A761" s="133"/>
      <c r="B761" s="111" t="s">
        <v>2759</v>
      </c>
      <c r="C761" s="184" t="s">
        <v>666</v>
      </c>
      <c r="D761" s="52">
        <f t="shared" ref="D761:E761" si="570">D742</f>
        <v>930</v>
      </c>
      <c r="E761" s="52">
        <f t="shared" si="570"/>
        <v>998</v>
      </c>
      <c r="F761" s="109"/>
      <c r="G761" s="248">
        <f t="shared" si="568"/>
        <v>0.07311827957</v>
      </c>
      <c r="H761" s="115"/>
      <c r="I761" s="93">
        <v>24.0</v>
      </c>
      <c r="J761" s="93">
        <v>48.0</v>
      </c>
      <c r="K761" s="93"/>
      <c r="L761" s="56"/>
      <c r="M761" s="91"/>
    </row>
    <row r="762">
      <c r="A762" s="133"/>
      <c r="B762" s="111" t="s">
        <v>2760</v>
      </c>
      <c r="C762" s="184" t="s">
        <v>682</v>
      </c>
      <c r="D762" s="52">
        <f t="shared" ref="D762:E762" si="571">D743</f>
        <v>666.0192</v>
      </c>
      <c r="E762" s="52">
        <f t="shared" si="571"/>
        <v>718</v>
      </c>
      <c r="F762" s="109"/>
      <c r="G762" s="248">
        <f t="shared" si="568"/>
        <v>0.07804699925</v>
      </c>
      <c r="H762" s="115"/>
      <c r="I762" s="93">
        <v>30.0</v>
      </c>
      <c r="J762" s="93">
        <v>90.0</v>
      </c>
      <c r="K762" s="93"/>
      <c r="L762" s="56"/>
      <c r="M762" s="91"/>
    </row>
    <row r="763">
      <c r="A763" s="133"/>
      <c r="B763" s="111" t="s">
        <v>1250</v>
      </c>
      <c r="C763" s="111" t="s">
        <v>696</v>
      </c>
      <c r="D763" s="52">
        <f t="shared" ref="D763:E763" si="572">D744</f>
        <v>778.464</v>
      </c>
      <c r="E763" s="52">
        <f t="shared" si="572"/>
        <v>842</v>
      </c>
      <c r="F763" s="109"/>
      <c r="G763" s="248">
        <f t="shared" si="568"/>
        <v>0.08161713323</v>
      </c>
      <c r="H763" s="115"/>
      <c r="I763" s="93"/>
      <c r="J763" s="93"/>
      <c r="K763" s="93"/>
      <c r="L763" s="56"/>
      <c r="M763" s="91"/>
    </row>
    <row r="764">
      <c r="A764" s="133"/>
      <c r="B764" s="111" t="s">
        <v>2761</v>
      </c>
      <c r="C764" s="184" t="s">
        <v>692</v>
      </c>
      <c r="D764" s="52">
        <f t="shared" ref="D764:E764" si="573">D745</f>
        <v>998</v>
      </c>
      <c r="E764" s="52">
        <f t="shared" si="573"/>
        <v>1078</v>
      </c>
      <c r="F764" s="109"/>
      <c r="G764" s="248">
        <f t="shared" si="568"/>
        <v>0.08016032064</v>
      </c>
      <c r="H764" s="115"/>
      <c r="I764" s="93">
        <v>13.0</v>
      </c>
      <c r="J764" s="93">
        <v>52.0</v>
      </c>
      <c r="K764" s="93"/>
      <c r="L764" s="56"/>
      <c r="M764" s="91"/>
    </row>
    <row r="765">
      <c r="A765" s="133"/>
      <c r="B765" s="111" t="s">
        <v>2762</v>
      </c>
      <c r="C765" s="394" t="s">
        <v>2209</v>
      </c>
      <c r="D765" s="52">
        <f t="shared" ref="D765:E765" si="574">D746</f>
        <v>951.88</v>
      </c>
      <c r="E765" s="52">
        <f t="shared" si="574"/>
        <v>1026</v>
      </c>
      <c r="F765" s="109"/>
      <c r="G765" s="248">
        <f t="shared" si="568"/>
        <v>0.07786695802</v>
      </c>
      <c r="H765" s="115"/>
      <c r="I765" s="93">
        <v>30.0</v>
      </c>
      <c r="J765" s="93">
        <v>120.0</v>
      </c>
      <c r="K765" s="93"/>
      <c r="L765" s="56"/>
      <c r="M765" s="91"/>
    </row>
    <row r="766">
      <c r="A766" s="133"/>
      <c r="B766" s="111" t="s">
        <v>2763</v>
      </c>
      <c r="C766" s="184" t="s">
        <v>3197</v>
      </c>
      <c r="D766" s="52">
        <f t="shared" ref="D766:E766" si="575">D747</f>
        <v>998</v>
      </c>
      <c r="E766" s="52">
        <f t="shared" si="575"/>
        <v>1078</v>
      </c>
      <c r="F766" s="109"/>
      <c r="G766" s="248">
        <f t="shared" si="568"/>
        <v>0.08016032064</v>
      </c>
      <c r="H766" s="115"/>
      <c r="I766" s="93">
        <v>13.0</v>
      </c>
      <c r="J766" s="93">
        <v>52.0</v>
      </c>
      <c r="K766" s="93"/>
      <c r="L766" s="56"/>
      <c r="M766" s="91"/>
    </row>
    <row r="767">
      <c r="A767" s="133"/>
      <c r="B767" s="111" t="s">
        <v>2764</v>
      </c>
      <c r="C767" s="184" t="s">
        <v>913</v>
      </c>
      <c r="D767" s="52">
        <f t="shared" ref="D767:E767" si="576">D748</f>
        <v>1998</v>
      </c>
      <c r="E767" s="52">
        <f t="shared" si="576"/>
        <v>2168</v>
      </c>
      <c r="F767" s="109"/>
      <c r="G767" s="248">
        <f t="shared" si="568"/>
        <v>0.08508508509</v>
      </c>
      <c r="H767" s="115"/>
      <c r="I767" s="93">
        <v>13.0</v>
      </c>
      <c r="J767" s="93">
        <v>52.0</v>
      </c>
      <c r="K767" s="93"/>
      <c r="L767" s="56"/>
      <c r="M767" s="91"/>
    </row>
    <row r="768">
      <c r="A768" s="133"/>
      <c r="B768" s="111" t="s">
        <v>2765</v>
      </c>
      <c r="C768" s="184" t="s">
        <v>1949</v>
      </c>
      <c r="D768" s="52">
        <f t="shared" ref="D768:E768" si="577">D749</f>
        <v>1998</v>
      </c>
      <c r="E768" s="52">
        <f t="shared" si="577"/>
        <v>2168</v>
      </c>
      <c r="F768" s="109"/>
      <c r="G768" s="248">
        <f t="shared" si="568"/>
        <v>0.08508508509</v>
      </c>
      <c r="H768" s="115"/>
      <c r="I768" s="93">
        <v>13.0</v>
      </c>
      <c r="J768" s="93">
        <v>52.0</v>
      </c>
      <c r="K768" s="93"/>
      <c r="L768" s="56"/>
      <c r="M768" s="91"/>
    </row>
    <row r="769">
      <c r="A769" s="133"/>
      <c r="B769" s="111" t="s">
        <v>1251</v>
      </c>
      <c r="C769" s="111" t="s">
        <v>523</v>
      </c>
      <c r="D769" s="52">
        <f t="shared" ref="D769:E769" si="578">D750</f>
        <v>2778</v>
      </c>
      <c r="E769" s="52">
        <f t="shared" si="578"/>
        <v>2998</v>
      </c>
      <c r="F769" s="109"/>
      <c r="G769" s="248">
        <f t="shared" si="568"/>
        <v>0.07919366451</v>
      </c>
      <c r="H769" s="115"/>
      <c r="I769" s="93"/>
      <c r="J769" s="93"/>
      <c r="K769" s="93"/>
      <c r="L769" s="56"/>
      <c r="M769" s="91"/>
    </row>
    <row r="770">
      <c r="A770" s="133"/>
      <c r="B770" s="111" t="s">
        <v>2766</v>
      </c>
      <c r="C770" s="184" t="s">
        <v>3229</v>
      </c>
      <c r="D770" s="52">
        <f t="shared" ref="D770:E770" si="579">D751</f>
        <v>2454</v>
      </c>
      <c r="E770" s="52">
        <f t="shared" si="579"/>
        <v>2648</v>
      </c>
      <c r="F770" s="109"/>
      <c r="G770" s="248">
        <f t="shared" si="568"/>
        <v>0.07905460473</v>
      </c>
      <c r="H770" s="115"/>
      <c r="I770" s="93">
        <v>6.0</v>
      </c>
      <c r="J770" s="93">
        <v>24.0</v>
      </c>
      <c r="K770" s="93"/>
      <c r="L770" s="56"/>
      <c r="M770" s="91"/>
    </row>
    <row r="771">
      <c r="A771" s="133"/>
      <c r="B771" s="111" t="s">
        <v>2767</v>
      </c>
      <c r="C771" s="184" t="s">
        <v>395</v>
      </c>
      <c r="D771" s="52">
        <f t="shared" ref="D771:E771" si="580">D752</f>
        <v>474</v>
      </c>
      <c r="E771" s="52">
        <f t="shared" si="580"/>
        <v>512</v>
      </c>
      <c r="F771" s="109"/>
      <c r="G771" s="248">
        <f t="shared" si="568"/>
        <v>0.08016877637</v>
      </c>
      <c r="H771" s="115"/>
      <c r="I771" s="93">
        <v>66.0</v>
      </c>
      <c r="J771" s="93">
        <v>198.0</v>
      </c>
      <c r="K771" s="93"/>
      <c r="L771" s="56"/>
      <c r="M771" s="91"/>
    </row>
    <row r="772">
      <c r="A772" s="133"/>
      <c r="B772" s="111" t="s">
        <v>2768</v>
      </c>
      <c r="C772" s="184" t="s">
        <v>359</v>
      </c>
      <c r="D772" s="52">
        <f t="shared" ref="D772:E772" si="581">D753</f>
        <v>864</v>
      </c>
      <c r="E772" s="52">
        <f t="shared" si="581"/>
        <v>932</v>
      </c>
      <c r="F772" s="109"/>
      <c r="G772" s="248">
        <f t="shared" si="568"/>
        <v>0.0787037037</v>
      </c>
      <c r="H772" s="115"/>
      <c r="I772" s="93">
        <v>23.0</v>
      </c>
      <c r="J772" s="93">
        <v>92.0</v>
      </c>
      <c r="K772" s="93"/>
      <c r="L772" s="56"/>
      <c r="M772" s="91"/>
    </row>
    <row r="773">
      <c r="A773" s="133"/>
      <c r="B773" s="111" t="s">
        <v>2769</v>
      </c>
      <c r="C773" s="184" t="s">
        <v>3272</v>
      </c>
      <c r="D773" s="52">
        <f t="shared" ref="D773:E773" si="582">D754</f>
        <v>841.64</v>
      </c>
      <c r="E773" s="52">
        <f t="shared" si="582"/>
        <v>908</v>
      </c>
      <c r="F773" s="109"/>
      <c r="G773" s="248">
        <f t="shared" si="568"/>
        <v>0.07884606245</v>
      </c>
      <c r="H773" s="93"/>
      <c r="I773" s="93">
        <v>30.0</v>
      </c>
      <c r="J773" s="93">
        <v>120.0</v>
      </c>
      <c r="K773" s="93"/>
      <c r="L773" s="56"/>
      <c r="M773" s="91"/>
    </row>
    <row r="774">
      <c r="A774" s="133"/>
      <c r="B774" s="111" t="s">
        <v>2770</v>
      </c>
      <c r="C774" s="145" t="s">
        <v>1145</v>
      </c>
      <c r="D774" s="52">
        <f t="shared" ref="D774:E774" si="583">D755</f>
        <v>2398</v>
      </c>
      <c r="E774" s="52">
        <f t="shared" si="583"/>
        <v>2592</v>
      </c>
      <c r="F774" s="109"/>
      <c r="G774" s="248">
        <f t="shared" si="568"/>
        <v>0.08090075063</v>
      </c>
      <c r="H774" s="93"/>
      <c r="I774" s="93">
        <v>14.0</v>
      </c>
      <c r="J774" s="93">
        <v>56.0</v>
      </c>
      <c r="K774" s="93"/>
      <c r="L774" s="56"/>
      <c r="M774" s="91"/>
    </row>
    <row r="775" ht="18.75" customHeight="1">
      <c r="A775" s="133"/>
      <c r="B775" s="126"/>
      <c r="C775" s="409"/>
      <c r="D775" s="109"/>
      <c r="E775" s="109"/>
      <c r="F775" s="109"/>
      <c r="G775" s="248"/>
      <c r="H775" s="93"/>
      <c r="I775" s="93"/>
      <c r="J775" s="93"/>
      <c r="K775" s="93"/>
      <c r="L775" s="56"/>
      <c r="M775" s="91"/>
    </row>
    <row r="776" ht="18.75" customHeight="1">
      <c r="A776" s="133"/>
      <c r="B776" s="107" t="s">
        <v>3438</v>
      </c>
      <c r="C776" s="166"/>
      <c r="D776" s="343"/>
      <c r="E776" s="343"/>
      <c r="F776" s="109"/>
      <c r="G776" s="248"/>
      <c r="H776" s="93"/>
      <c r="I776" s="93"/>
      <c r="J776" s="93"/>
      <c r="K776" s="93"/>
      <c r="L776" s="56"/>
      <c r="M776" s="91"/>
    </row>
    <row r="777">
      <c r="A777" s="133"/>
      <c r="B777" s="111" t="s">
        <v>2772</v>
      </c>
      <c r="C777" s="177" t="s">
        <v>3169</v>
      </c>
      <c r="D777" s="52">
        <f t="shared" ref="D777:E777" si="584">D758</f>
        <v>493.96</v>
      </c>
      <c r="E777" s="52">
        <f t="shared" si="584"/>
        <v>534</v>
      </c>
      <c r="F777" s="109"/>
      <c r="G777" s="248">
        <f t="shared" ref="G777:G793" si="586">IFERROR(DIVIDE(MINUS(E777,D777),D777),)</f>
        <v>0.08105919508</v>
      </c>
      <c r="H777" s="93"/>
      <c r="I777" s="93">
        <v>33.0</v>
      </c>
      <c r="J777" s="93">
        <v>132.0</v>
      </c>
      <c r="K777" s="93"/>
      <c r="L777" s="56"/>
      <c r="M777" s="91"/>
    </row>
    <row r="778">
      <c r="A778" s="133"/>
      <c r="B778" s="111" t="s">
        <v>2773</v>
      </c>
      <c r="C778" s="118" t="s">
        <v>339</v>
      </c>
      <c r="D778" s="52">
        <f t="shared" ref="D778:E778" si="585">D759</f>
        <v>606.32</v>
      </c>
      <c r="E778" s="52">
        <f t="shared" si="585"/>
        <v>654</v>
      </c>
      <c r="F778" s="109"/>
      <c r="G778" s="248">
        <f t="shared" si="586"/>
        <v>0.07863834279</v>
      </c>
      <c r="H778" s="93"/>
      <c r="I778" s="134">
        <v>33.0</v>
      </c>
      <c r="J778" s="134">
        <v>99.0</v>
      </c>
      <c r="K778" s="93"/>
      <c r="L778" s="56"/>
      <c r="M778" s="91"/>
    </row>
    <row r="779">
      <c r="A779" s="133"/>
      <c r="B779" s="111" t="s">
        <v>2774</v>
      </c>
      <c r="C779" s="118" t="s">
        <v>363</v>
      </c>
      <c r="D779" s="52">
        <f t="shared" ref="D779:E779" si="587">D760</f>
        <v>516</v>
      </c>
      <c r="E779" s="52">
        <f t="shared" si="587"/>
        <v>558</v>
      </c>
      <c r="F779" s="109"/>
      <c r="G779" s="248">
        <f t="shared" si="586"/>
        <v>0.08139534884</v>
      </c>
      <c r="H779" s="93"/>
      <c r="I779" s="134">
        <v>33.0</v>
      </c>
      <c r="J779" s="134">
        <v>132.0</v>
      </c>
      <c r="K779" s="93"/>
      <c r="L779" s="56"/>
      <c r="M779" s="91"/>
    </row>
    <row r="780">
      <c r="A780" s="133"/>
      <c r="B780" s="111" t="s">
        <v>2775</v>
      </c>
      <c r="C780" s="184" t="s">
        <v>666</v>
      </c>
      <c r="D780" s="52">
        <f t="shared" ref="D780:E780" si="588">D761</f>
        <v>930</v>
      </c>
      <c r="E780" s="52">
        <f t="shared" si="588"/>
        <v>998</v>
      </c>
      <c r="F780" s="109"/>
      <c r="G780" s="248">
        <f t="shared" si="586"/>
        <v>0.07311827957</v>
      </c>
      <c r="H780" s="93"/>
      <c r="I780" s="93">
        <v>24.0</v>
      </c>
      <c r="J780" s="93">
        <v>48.0</v>
      </c>
      <c r="K780" s="93"/>
      <c r="L780" s="56"/>
      <c r="M780" s="91"/>
    </row>
    <row r="781">
      <c r="A781" s="133"/>
      <c r="B781" s="111" t="s">
        <v>2776</v>
      </c>
      <c r="C781" s="184" t="s">
        <v>682</v>
      </c>
      <c r="D781" s="52">
        <f t="shared" ref="D781:E781" si="589">D762</f>
        <v>666.0192</v>
      </c>
      <c r="E781" s="52">
        <f t="shared" si="589"/>
        <v>718</v>
      </c>
      <c r="F781" s="109"/>
      <c r="G781" s="248">
        <f t="shared" si="586"/>
        <v>0.07804699925</v>
      </c>
      <c r="H781" s="93"/>
      <c r="I781" s="93">
        <v>30.0</v>
      </c>
      <c r="J781" s="93">
        <v>90.0</v>
      </c>
      <c r="K781" s="93"/>
      <c r="L781" s="56"/>
      <c r="M781" s="91"/>
    </row>
    <row r="782">
      <c r="A782" s="133"/>
      <c r="B782" s="111" t="s">
        <v>1254</v>
      </c>
      <c r="C782" s="111" t="s">
        <v>696</v>
      </c>
      <c r="D782" s="52">
        <f t="shared" ref="D782:E782" si="590">D763</f>
        <v>778.464</v>
      </c>
      <c r="E782" s="52">
        <f t="shared" si="590"/>
        <v>842</v>
      </c>
      <c r="F782" s="109"/>
      <c r="G782" s="248">
        <f t="shared" si="586"/>
        <v>0.08161713323</v>
      </c>
      <c r="H782" s="93"/>
      <c r="I782" s="93"/>
      <c r="J782" s="93"/>
      <c r="K782" s="93"/>
      <c r="L782" s="56"/>
      <c r="M782" s="91"/>
    </row>
    <row r="783">
      <c r="A783" s="133"/>
      <c r="B783" s="111" t="s">
        <v>2777</v>
      </c>
      <c r="C783" s="184" t="s">
        <v>692</v>
      </c>
      <c r="D783" s="52">
        <f t="shared" ref="D783:E783" si="591">D764</f>
        <v>998</v>
      </c>
      <c r="E783" s="52">
        <f t="shared" si="591"/>
        <v>1078</v>
      </c>
      <c r="F783" s="109"/>
      <c r="G783" s="248">
        <f t="shared" si="586"/>
        <v>0.08016032064</v>
      </c>
      <c r="H783" s="93"/>
      <c r="I783" s="93">
        <v>13.0</v>
      </c>
      <c r="J783" s="93">
        <v>52.0</v>
      </c>
      <c r="K783" s="93"/>
      <c r="L783" s="56"/>
      <c r="M783" s="91"/>
    </row>
    <row r="784">
      <c r="A784" s="133"/>
      <c r="B784" s="111" t="s">
        <v>2778</v>
      </c>
      <c r="C784" s="394" t="s">
        <v>2209</v>
      </c>
      <c r="D784" s="52">
        <f t="shared" ref="D784:E784" si="592">D765</f>
        <v>951.88</v>
      </c>
      <c r="E784" s="52">
        <f t="shared" si="592"/>
        <v>1026</v>
      </c>
      <c r="F784" s="109"/>
      <c r="G784" s="248">
        <f t="shared" si="586"/>
        <v>0.07786695802</v>
      </c>
      <c r="H784" s="93"/>
      <c r="I784" s="93">
        <v>30.0</v>
      </c>
      <c r="J784" s="93">
        <v>120.0</v>
      </c>
      <c r="K784" s="93"/>
      <c r="L784" s="56"/>
      <c r="M784" s="91"/>
    </row>
    <row r="785">
      <c r="A785" s="133"/>
      <c r="B785" s="111" t="s">
        <v>2779</v>
      </c>
      <c r="C785" s="184" t="s">
        <v>3197</v>
      </c>
      <c r="D785" s="52">
        <f t="shared" ref="D785:E785" si="593">D766</f>
        <v>998</v>
      </c>
      <c r="E785" s="52">
        <f t="shared" si="593"/>
        <v>1078</v>
      </c>
      <c r="F785" s="109"/>
      <c r="G785" s="248">
        <f t="shared" si="586"/>
        <v>0.08016032064</v>
      </c>
      <c r="H785" s="93"/>
      <c r="I785" s="93">
        <v>13.0</v>
      </c>
      <c r="J785" s="93">
        <v>52.0</v>
      </c>
      <c r="K785" s="93"/>
      <c r="L785" s="56"/>
      <c r="M785" s="91"/>
    </row>
    <row r="786">
      <c r="A786" s="133"/>
      <c r="B786" s="111" t="s">
        <v>2780</v>
      </c>
      <c r="C786" s="184" t="s">
        <v>913</v>
      </c>
      <c r="D786" s="52">
        <f t="shared" ref="D786:E786" si="594">D767</f>
        <v>1998</v>
      </c>
      <c r="E786" s="52">
        <f t="shared" si="594"/>
        <v>2168</v>
      </c>
      <c r="F786" s="109"/>
      <c r="G786" s="248">
        <f t="shared" si="586"/>
        <v>0.08508508509</v>
      </c>
      <c r="H786" s="93"/>
      <c r="I786" s="93">
        <v>13.0</v>
      </c>
      <c r="J786" s="93">
        <v>52.0</v>
      </c>
      <c r="K786" s="93"/>
      <c r="L786" s="56"/>
      <c r="M786" s="91"/>
    </row>
    <row r="787">
      <c r="A787" s="133"/>
      <c r="B787" s="111" t="s">
        <v>2781</v>
      </c>
      <c r="C787" s="184" t="s">
        <v>1949</v>
      </c>
      <c r="D787" s="52">
        <f t="shared" ref="D787:E787" si="595">D768</f>
        <v>1998</v>
      </c>
      <c r="E787" s="52">
        <f t="shared" si="595"/>
        <v>2168</v>
      </c>
      <c r="F787" s="109"/>
      <c r="G787" s="248">
        <f t="shared" si="586"/>
        <v>0.08508508509</v>
      </c>
      <c r="H787" s="93"/>
      <c r="I787" s="93">
        <v>13.0</v>
      </c>
      <c r="J787" s="93">
        <v>52.0</v>
      </c>
      <c r="K787" s="93"/>
      <c r="L787" s="56"/>
      <c r="M787" s="91"/>
    </row>
    <row r="788">
      <c r="A788" s="133"/>
      <c r="B788" s="111" t="s">
        <v>1255</v>
      </c>
      <c r="C788" s="111" t="s">
        <v>523</v>
      </c>
      <c r="D788" s="52">
        <f t="shared" ref="D788:E788" si="596">D769</f>
        <v>2778</v>
      </c>
      <c r="E788" s="52">
        <f t="shared" si="596"/>
        <v>2998</v>
      </c>
      <c r="F788" s="109"/>
      <c r="G788" s="248">
        <f t="shared" si="586"/>
        <v>0.07919366451</v>
      </c>
      <c r="H788" s="93"/>
      <c r="I788" s="93"/>
      <c r="J788" s="93"/>
      <c r="K788" s="93"/>
      <c r="L788" s="56"/>
      <c r="M788" s="91"/>
    </row>
    <row r="789">
      <c r="A789" s="133"/>
      <c r="B789" s="111" t="s">
        <v>2782</v>
      </c>
      <c r="C789" s="184" t="s">
        <v>3229</v>
      </c>
      <c r="D789" s="52">
        <f t="shared" ref="D789:E789" si="597">D770</f>
        <v>2454</v>
      </c>
      <c r="E789" s="52">
        <f t="shared" si="597"/>
        <v>2648</v>
      </c>
      <c r="F789" s="109"/>
      <c r="G789" s="248">
        <f t="shared" si="586"/>
        <v>0.07905460473</v>
      </c>
      <c r="H789" s="93"/>
      <c r="I789" s="93">
        <v>6.0</v>
      </c>
      <c r="J789" s="93">
        <v>24.0</v>
      </c>
      <c r="K789" s="93"/>
      <c r="L789" s="56"/>
      <c r="M789" s="91"/>
    </row>
    <row r="790">
      <c r="A790" s="133"/>
      <c r="B790" s="111" t="s">
        <v>2783</v>
      </c>
      <c r="C790" s="184" t="s">
        <v>395</v>
      </c>
      <c r="D790" s="52">
        <f t="shared" ref="D790:E790" si="598">D771</f>
        <v>474</v>
      </c>
      <c r="E790" s="52">
        <f t="shared" si="598"/>
        <v>512</v>
      </c>
      <c r="F790" s="109"/>
      <c r="G790" s="248">
        <f t="shared" si="586"/>
        <v>0.08016877637</v>
      </c>
      <c r="H790" s="93"/>
      <c r="I790" s="93">
        <v>66.0</v>
      </c>
      <c r="J790" s="93">
        <v>198.0</v>
      </c>
      <c r="K790" s="93"/>
      <c r="L790" s="56"/>
      <c r="M790" s="91"/>
    </row>
    <row r="791">
      <c r="A791" s="133"/>
      <c r="B791" s="111" t="s">
        <v>2784</v>
      </c>
      <c r="C791" s="184" t="s">
        <v>359</v>
      </c>
      <c r="D791" s="52">
        <f t="shared" ref="D791:E791" si="599">D772</f>
        <v>864</v>
      </c>
      <c r="E791" s="52">
        <f t="shared" si="599"/>
        <v>932</v>
      </c>
      <c r="F791" s="109"/>
      <c r="G791" s="248">
        <f t="shared" si="586"/>
        <v>0.0787037037</v>
      </c>
      <c r="H791" s="93"/>
      <c r="I791" s="93">
        <v>23.0</v>
      </c>
      <c r="J791" s="93">
        <v>92.0</v>
      </c>
      <c r="K791" s="93"/>
      <c r="L791" s="56"/>
      <c r="M791" s="91"/>
    </row>
    <row r="792">
      <c r="A792" s="133"/>
      <c r="B792" s="111" t="s">
        <v>2785</v>
      </c>
      <c r="C792" s="184" t="s">
        <v>3272</v>
      </c>
      <c r="D792" s="52">
        <f t="shared" ref="D792:E792" si="600">D773</f>
        <v>841.64</v>
      </c>
      <c r="E792" s="52">
        <f t="shared" si="600"/>
        <v>908</v>
      </c>
      <c r="F792" s="109"/>
      <c r="G792" s="248">
        <f t="shared" si="586"/>
        <v>0.07884606245</v>
      </c>
      <c r="H792" s="93"/>
      <c r="I792" s="93">
        <v>30.0</v>
      </c>
      <c r="J792" s="93">
        <v>120.0</v>
      </c>
      <c r="K792" s="93"/>
      <c r="L792" s="56"/>
      <c r="M792" s="91"/>
    </row>
    <row r="793">
      <c r="A793" s="133"/>
      <c r="B793" s="111" t="s">
        <v>2786</v>
      </c>
      <c r="C793" s="145" t="s">
        <v>1145</v>
      </c>
      <c r="D793" s="52">
        <f t="shared" ref="D793:E793" si="601">D774</f>
        <v>2398</v>
      </c>
      <c r="E793" s="52">
        <f t="shared" si="601"/>
        <v>2592</v>
      </c>
      <c r="F793" s="109"/>
      <c r="G793" s="248">
        <f t="shared" si="586"/>
        <v>0.08090075063</v>
      </c>
      <c r="H793" s="93"/>
      <c r="I793" s="93">
        <v>14.0</v>
      </c>
      <c r="J793" s="93">
        <v>56.0</v>
      </c>
      <c r="K793" s="93"/>
      <c r="L793" s="56"/>
      <c r="M793" s="91"/>
    </row>
    <row r="794">
      <c r="A794" s="256"/>
      <c r="B794" s="126"/>
      <c r="C794" s="409"/>
      <c r="D794" s="56"/>
      <c r="E794" s="109"/>
      <c r="F794" s="109"/>
      <c r="G794" s="248"/>
      <c r="H794" s="115"/>
      <c r="I794" s="93"/>
      <c r="J794" s="93"/>
      <c r="K794" s="93"/>
      <c r="L794" s="56"/>
      <c r="M794" s="91"/>
    </row>
    <row r="795" ht="18.75" customHeight="1">
      <c r="A795" s="256"/>
      <c r="B795" s="107" t="s">
        <v>1317</v>
      </c>
      <c r="C795" s="166"/>
      <c r="D795" s="410"/>
      <c r="E795" s="343"/>
      <c r="F795" s="109"/>
      <c r="G795" s="248"/>
      <c r="H795" s="115"/>
      <c r="I795" s="93"/>
      <c r="J795" s="93"/>
      <c r="K795" s="93"/>
      <c r="L795" s="56"/>
      <c r="M795" s="258"/>
    </row>
    <row r="796">
      <c r="A796" s="256"/>
      <c r="B796" s="111" t="s">
        <v>2791</v>
      </c>
      <c r="C796" s="118" t="s">
        <v>773</v>
      </c>
      <c r="D796" s="335">
        <v>421.88</v>
      </c>
      <c r="E796" s="52">
        <v>458.0</v>
      </c>
      <c r="F796" s="109">
        <f t="shared" ref="F796:F813" si="602">H796*$H$2</f>
        <v>457.92</v>
      </c>
      <c r="G796" s="248">
        <f t="shared" ref="G796:G813" si="603">IFERROR(DIVIDE(MINUS(E796,D796),D796),)</f>
        <v>0.08561676306</v>
      </c>
      <c r="H796" s="132">
        <f>VLOOKUP(M796,'NEW PTMT'!$B$4:$E1406,4,0)</f>
        <v>432</v>
      </c>
      <c r="I796" s="93">
        <v>48.0</v>
      </c>
      <c r="J796" s="93">
        <v>192.0</v>
      </c>
      <c r="K796" s="93"/>
      <c r="L796" s="56"/>
      <c r="M796" s="126" t="s">
        <v>1284</v>
      </c>
    </row>
    <row r="797">
      <c r="A797" s="256"/>
      <c r="B797" s="111" t="s">
        <v>2792</v>
      </c>
      <c r="C797" s="118" t="s">
        <v>748</v>
      </c>
      <c r="D797" s="52">
        <v>462.16</v>
      </c>
      <c r="E797" s="52">
        <v>498.0</v>
      </c>
      <c r="F797" s="109">
        <f t="shared" si="602"/>
        <v>500.32</v>
      </c>
      <c r="G797" s="248">
        <f t="shared" si="603"/>
        <v>0.07754890081</v>
      </c>
      <c r="H797" s="132">
        <f>VLOOKUP(M797,'NEW PTMT'!$B$4:$E1406,4,0)</f>
        <v>472</v>
      </c>
      <c r="I797" s="93">
        <v>33.0</v>
      </c>
      <c r="J797" s="93">
        <v>132.0</v>
      </c>
      <c r="K797" s="93"/>
      <c r="L797" s="56"/>
      <c r="M797" s="126" t="s">
        <v>1285</v>
      </c>
    </row>
    <row r="798">
      <c r="A798" s="256"/>
      <c r="B798" s="111" t="s">
        <v>2793</v>
      </c>
      <c r="C798" s="118" t="s">
        <v>306</v>
      </c>
      <c r="D798" s="152">
        <v>506.0</v>
      </c>
      <c r="E798" s="52">
        <v>546.0</v>
      </c>
      <c r="F798" s="109">
        <f t="shared" si="602"/>
        <v>544.84</v>
      </c>
      <c r="G798" s="248">
        <f t="shared" si="603"/>
        <v>0.0790513834</v>
      </c>
      <c r="H798" s="132">
        <f>VLOOKUP(M798,'NEW PTMT'!$B$4:$E1406,4,0)</f>
        <v>514</v>
      </c>
      <c r="I798" s="93">
        <v>33.0</v>
      </c>
      <c r="J798" s="93">
        <v>132.0</v>
      </c>
      <c r="K798" s="93"/>
      <c r="L798" s="56"/>
      <c r="M798" s="126" t="s">
        <v>1286</v>
      </c>
    </row>
    <row r="799">
      <c r="A799" s="256"/>
      <c r="B799" s="111" t="s">
        <v>2794</v>
      </c>
      <c r="C799" s="118" t="s">
        <v>2460</v>
      </c>
      <c r="D799" s="152">
        <v>524.0</v>
      </c>
      <c r="E799" s="52">
        <v>566.0</v>
      </c>
      <c r="F799" s="109">
        <f t="shared" si="602"/>
        <v>566.04</v>
      </c>
      <c r="G799" s="248">
        <f t="shared" si="603"/>
        <v>0.08015267176</v>
      </c>
      <c r="H799" s="132">
        <f>VLOOKUP(M799,'NEW PTMT'!$B$4:$E1406,4,0)</f>
        <v>534</v>
      </c>
      <c r="I799" s="93">
        <v>60.0</v>
      </c>
      <c r="J799" s="93">
        <v>240.0</v>
      </c>
      <c r="K799" s="93"/>
      <c r="L799" s="56"/>
      <c r="M799" s="126" t="s">
        <v>1288</v>
      </c>
    </row>
    <row r="800">
      <c r="A800" s="256"/>
      <c r="B800" s="111" t="s">
        <v>2797</v>
      </c>
      <c r="C800" s="118" t="s">
        <v>666</v>
      </c>
      <c r="D800" s="152">
        <v>896.0</v>
      </c>
      <c r="E800" s="52">
        <v>968.0</v>
      </c>
      <c r="F800" s="109">
        <f t="shared" si="602"/>
        <v>966.72</v>
      </c>
      <c r="G800" s="248">
        <f t="shared" si="603"/>
        <v>0.08035714286</v>
      </c>
      <c r="H800" s="132">
        <f>VLOOKUP(M800,'NEW PTMT'!$B$4:$E1406,4,0)</f>
        <v>912</v>
      </c>
      <c r="I800" s="93">
        <v>30.0</v>
      </c>
      <c r="J800" s="93">
        <v>120.0</v>
      </c>
      <c r="K800" s="93"/>
      <c r="L800" s="56"/>
      <c r="M800" s="126" t="s">
        <v>1289</v>
      </c>
    </row>
    <row r="801">
      <c r="A801" s="256"/>
      <c r="B801" s="111" t="s">
        <v>2799</v>
      </c>
      <c r="C801" s="118" t="s">
        <v>682</v>
      </c>
      <c r="D801" s="152">
        <v>640.0704000000001</v>
      </c>
      <c r="E801" s="52">
        <v>692.0</v>
      </c>
      <c r="F801" s="109">
        <f t="shared" si="602"/>
        <v>691.12</v>
      </c>
      <c r="G801" s="248">
        <f t="shared" si="603"/>
        <v>0.08113107558</v>
      </c>
      <c r="H801" s="132">
        <f>VLOOKUP(M801,'NEW PTMT'!$B$4:$E1406,4,0)</f>
        <v>652</v>
      </c>
      <c r="I801" s="93">
        <v>33.0</v>
      </c>
      <c r="J801" s="93">
        <v>132.0</v>
      </c>
      <c r="K801" s="93"/>
      <c r="L801" s="56"/>
      <c r="M801" s="126" t="s">
        <v>1290</v>
      </c>
    </row>
    <row r="802">
      <c r="A802" s="256"/>
      <c r="B802" s="111" t="s">
        <v>2801</v>
      </c>
      <c r="C802" s="118" t="s">
        <v>781</v>
      </c>
      <c r="D802" s="152">
        <v>640.0704000000001</v>
      </c>
      <c r="E802" s="52">
        <v>692.0</v>
      </c>
      <c r="F802" s="109">
        <f t="shared" si="602"/>
        <v>691.12</v>
      </c>
      <c r="G802" s="248">
        <f t="shared" si="603"/>
        <v>0.08113107558</v>
      </c>
      <c r="H802" s="132">
        <f>VLOOKUP(M802,'NEW PTMT'!$B$4:$E1406,4,0)</f>
        <v>652</v>
      </c>
      <c r="I802" s="93">
        <v>33.0</v>
      </c>
      <c r="J802" s="93">
        <v>132.0</v>
      </c>
      <c r="K802" s="93"/>
      <c r="L802" s="56"/>
      <c r="M802" s="126" t="s">
        <v>1292</v>
      </c>
    </row>
    <row r="803">
      <c r="A803" s="256"/>
      <c r="B803" s="111" t="s">
        <v>2802</v>
      </c>
      <c r="C803" s="118" t="s">
        <v>2465</v>
      </c>
      <c r="D803" s="152">
        <v>945.5200000000001</v>
      </c>
      <c r="E803" s="52">
        <v>1022.0</v>
      </c>
      <c r="F803" s="109">
        <f t="shared" si="602"/>
        <v>1021.84</v>
      </c>
      <c r="G803" s="248">
        <f t="shared" si="603"/>
        <v>0.08088670784</v>
      </c>
      <c r="H803" s="132">
        <f>VLOOKUP(M803,'NEW PTMT'!$B$4:$E1406,4,0)</f>
        <v>964</v>
      </c>
      <c r="I803" s="93">
        <v>13.0</v>
      </c>
      <c r="J803" s="93">
        <v>52.0</v>
      </c>
      <c r="K803" s="93"/>
      <c r="L803" s="56"/>
      <c r="M803" s="126" t="s">
        <v>1295</v>
      </c>
    </row>
    <row r="804">
      <c r="A804" s="256"/>
      <c r="B804" s="111" t="s">
        <v>2803</v>
      </c>
      <c r="C804" s="186" t="s">
        <v>2209</v>
      </c>
      <c r="D804" s="52">
        <v>968.0</v>
      </c>
      <c r="E804" s="52">
        <v>1046.0</v>
      </c>
      <c r="F804" s="109">
        <f t="shared" si="602"/>
        <v>1045.16</v>
      </c>
      <c r="G804" s="248">
        <f t="shared" si="603"/>
        <v>0.0805785124</v>
      </c>
      <c r="H804" s="132">
        <f>VLOOKUP(M804,'NEW PTMT'!$B$4:$E1406,4,0)</f>
        <v>986</v>
      </c>
      <c r="I804" s="134">
        <v>30.0</v>
      </c>
      <c r="J804" s="134">
        <v>120.0</v>
      </c>
      <c r="K804" s="93"/>
      <c r="L804" s="56"/>
      <c r="M804" s="126" t="s">
        <v>1298</v>
      </c>
    </row>
    <row r="805">
      <c r="A805" s="256"/>
      <c r="B805" s="111" t="s">
        <v>2804</v>
      </c>
      <c r="C805" s="118" t="s">
        <v>2468</v>
      </c>
      <c r="D805" s="152">
        <v>968.0</v>
      </c>
      <c r="E805" s="52">
        <v>1046.0</v>
      </c>
      <c r="F805" s="109">
        <f t="shared" si="602"/>
        <v>1045.16</v>
      </c>
      <c r="G805" s="248">
        <f t="shared" si="603"/>
        <v>0.0805785124</v>
      </c>
      <c r="H805" s="132">
        <f>VLOOKUP(M805,'NEW PTMT'!$B$4:$E1406,4,0)</f>
        <v>986</v>
      </c>
      <c r="I805" s="93">
        <v>13.0</v>
      </c>
      <c r="J805" s="93">
        <v>52.0</v>
      </c>
      <c r="K805" s="93"/>
      <c r="L805" s="56"/>
      <c r="M805" s="126" t="s">
        <v>1301</v>
      </c>
    </row>
    <row r="806">
      <c r="A806" s="256"/>
      <c r="B806" s="111" t="s">
        <v>1318</v>
      </c>
      <c r="C806" s="118" t="s">
        <v>523</v>
      </c>
      <c r="D806" s="52">
        <v>2753.88</v>
      </c>
      <c r="E806" s="52">
        <v>2966.0</v>
      </c>
      <c r="F806" s="109">
        <f t="shared" si="602"/>
        <v>2965.88</v>
      </c>
      <c r="G806" s="248">
        <f t="shared" si="603"/>
        <v>0.07702586896</v>
      </c>
      <c r="H806" s="132">
        <f>VLOOKUP(M806,'NEW PTMT'!$B$4:$E1406,4,0)</f>
        <v>2798</v>
      </c>
      <c r="I806" s="93"/>
      <c r="J806" s="93"/>
      <c r="K806" s="93"/>
      <c r="L806" s="56"/>
      <c r="M806" s="111" t="s">
        <v>1304</v>
      </c>
    </row>
    <row r="807">
      <c r="A807" s="256"/>
      <c r="B807" s="111" t="s">
        <v>2806</v>
      </c>
      <c r="C807" s="118" t="s">
        <v>1124</v>
      </c>
      <c r="D807" s="152">
        <v>2429.52</v>
      </c>
      <c r="E807" s="52">
        <v>2626.0</v>
      </c>
      <c r="F807" s="109">
        <f t="shared" si="602"/>
        <v>2624.56</v>
      </c>
      <c r="G807" s="248">
        <f t="shared" si="603"/>
        <v>0.08087194178</v>
      </c>
      <c r="H807" s="132">
        <f>VLOOKUP(M807,'NEW PTMT'!$B$4:$E1406,4,0)</f>
        <v>2476</v>
      </c>
      <c r="I807" s="93">
        <v>6.0</v>
      </c>
      <c r="J807" s="93">
        <v>24.0</v>
      </c>
      <c r="K807" s="93"/>
      <c r="L807" s="56"/>
      <c r="M807" s="126" t="s">
        <v>1307</v>
      </c>
    </row>
    <row r="808">
      <c r="A808" s="256"/>
      <c r="B808" s="111" t="s">
        <v>2807</v>
      </c>
      <c r="C808" s="118" t="s">
        <v>395</v>
      </c>
      <c r="D808" s="152">
        <v>422.0</v>
      </c>
      <c r="E808" s="52">
        <v>458.0</v>
      </c>
      <c r="F808" s="109">
        <f t="shared" si="602"/>
        <v>460.04</v>
      </c>
      <c r="G808" s="248">
        <f t="shared" si="603"/>
        <v>0.08530805687</v>
      </c>
      <c r="H808" s="132">
        <f>VLOOKUP(M808,'NEW PTMT'!$B$4:$E1406,4,0)</f>
        <v>434</v>
      </c>
      <c r="I808" s="93">
        <v>66.0</v>
      </c>
      <c r="J808" s="93">
        <v>264.0</v>
      </c>
      <c r="K808" s="93"/>
      <c r="L808" s="56"/>
      <c r="M808" s="126" t="s">
        <v>1308</v>
      </c>
    </row>
    <row r="809">
      <c r="A809" s="256"/>
      <c r="B809" s="111" t="s">
        <v>2808</v>
      </c>
      <c r="C809" s="118" t="s">
        <v>359</v>
      </c>
      <c r="D809" s="152">
        <v>841.64</v>
      </c>
      <c r="E809" s="52">
        <v>908.0</v>
      </c>
      <c r="F809" s="109">
        <f t="shared" si="602"/>
        <v>909.48</v>
      </c>
      <c r="G809" s="248">
        <f t="shared" si="603"/>
        <v>0.07884606245</v>
      </c>
      <c r="H809" s="132">
        <f>VLOOKUP(M809,'NEW PTMT'!$B$4:$E1406,4,0)</f>
        <v>858</v>
      </c>
      <c r="I809" s="93">
        <v>23.0</v>
      </c>
      <c r="J809" s="93">
        <v>92.0</v>
      </c>
      <c r="K809" s="93"/>
      <c r="L809" s="56"/>
      <c r="M809" s="126" t="s">
        <v>1311</v>
      </c>
    </row>
    <row r="810">
      <c r="A810" s="256"/>
      <c r="B810" s="111" t="s">
        <v>2809</v>
      </c>
      <c r="C810" s="118" t="s">
        <v>1137</v>
      </c>
      <c r="D810" s="152">
        <v>832.0</v>
      </c>
      <c r="E810" s="52">
        <v>898.0</v>
      </c>
      <c r="F810" s="109">
        <f t="shared" si="602"/>
        <v>898.88</v>
      </c>
      <c r="G810" s="248">
        <f t="shared" si="603"/>
        <v>0.07932692308</v>
      </c>
      <c r="H810" s="132">
        <f>VLOOKUP(M810,'NEW PTMT'!$B$4:$E1406,4,0)</f>
        <v>848</v>
      </c>
      <c r="I810" s="93">
        <v>30.0</v>
      </c>
      <c r="J810" s="93">
        <v>120.0</v>
      </c>
      <c r="K810" s="93"/>
      <c r="L810" s="56"/>
      <c r="M810" s="126" t="s">
        <v>1313</v>
      </c>
    </row>
    <row r="811">
      <c r="A811" s="256"/>
      <c r="B811" s="111" t="s">
        <v>2810</v>
      </c>
      <c r="C811" s="118" t="s">
        <v>1141</v>
      </c>
      <c r="D811" s="152">
        <v>998.0</v>
      </c>
      <c r="E811" s="52">
        <v>1086.0</v>
      </c>
      <c r="F811" s="109">
        <f t="shared" si="602"/>
        <v>1085.44</v>
      </c>
      <c r="G811" s="248">
        <f t="shared" si="603"/>
        <v>0.08817635271</v>
      </c>
      <c r="H811" s="132">
        <f>VLOOKUP(M811,'NEW PTMT'!$B$4:$E1406,4,0)</f>
        <v>1024</v>
      </c>
      <c r="I811" s="93">
        <v>30.0</v>
      </c>
      <c r="J811" s="93">
        <v>120.0</v>
      </c>
      <c r="K811" s="93"/>
      <c r="L811" s="56"/>
      <c r="M811" s="126" t="s">
        <v>1314</v>
      </c>
    </row>
    <row r="812">
      <c r="A812" s="256"/>
      <c r="B812" s="270" t="s">
        <v>2811</v>
      </c>
      <c r="C812" s="277" t="s">
        <v>1145</v>
      </c>
      <c r="D812" s="338">
        <v>1992.0</v>
      </c>
      <c r="E812" s="52">
        <v>2148.0</v>
      </c>
      <c r="F812" s="109">
        <f t="shared" si="602"/>
        <v>2149.68</v>
      </c>
      <c r="G812" s="248">
        <f t="shared" si="603"/>
        <v>0.07831325301</v>
      </c>
      <c r="H812" s="132">
        <f>VLOOKUP(M812,'NEW PTMT'!$B$4:$E1406,4,0)</f>
        <v>2028</v>
      </c>
      <c r="I812" s="93">
        <v>14.0</v>
      </c>
      <c r="J812" s="93">
        <v>56.0</v>
      </c>
      <c r="K812" s="93"/>
      <c r="L812" s="56"/>
      <c r="M812" s="126" t="s">
        <v>1315</v>
      </c>
    </row>
    <row r="813">
      <c r="A813" s="256"/>
      <c r="B813" s="111" t="s">
        <v>2812</v>
      </c>
      <c r="C813" s="118" t="s">
        <v>2219</v>
      </c>
      <c r="D813" s="152">
        <v>2336.2400000000002</v>
      </c>
      <c r="E813" s="52">
        <v>2526.0</v>
      </c>
      <c r="F813" s="109">
        <f t="shared" si="602"/>
        <v>2524.92</v>
      </c>
      <c r="G813" s="248">
        <f t="shared" si="603"/>
        <v>0.08122453173</v>
      </c>
      <c r="H813" s="132">
        <f>VLOOKUP(M813,'NEW PTMT'!$B$4:$E1406,4,0)</f>
        <v>2382</v>
      </c>
      <c r="I813" s="93">
        <v>14.0</v>
      </c>
      <c r="J813" s="93">
        <v>56.0</v>
      </c>
      <c r="K813" s="93"/>
      <c r="L813" s="56"/>
      <c r="M813" s="126" t="s">
        <v>1316</v>
      </c>
    </row>
    <row r="814">
      <c r="A814" s="256"/>
      <c r="B814" s="149"/>
      <c r="C814" s="204"/>
      <c r="D814" s="259"/>
      <c r="E814" s="109"/>
      <c r="F814" s="109"/>
      <c r="G814" s="248"/>
      <c r="H814" s="115"/>
      <c r="I814" s="93"/>
      <c r="J814" s="93"/>
      <c r="K814" s="93"/>
      <c r="L814" s="56"/>
      <c r="M814" s="91"/>
    </row>
    <row r="815" ht="18.75" customHeight="1">
      <c r="A815" s="256"/>
      <c r="B815" s="107" t="s">
        <v>1320</v>
      </c>
      <c r="C815" s="166"/>
      <c r="D815" s="410"/>
      <c r="E815" s="343"/>
      <c r="F815" s="109"/>
      <c r="G815" s="248"/>
      <c r="H815" s="115"/>
      <c r="I815" s="93"/>
      <c r="J815" s="93"/>
      <c r="K815" s="93"/>
      <c r="L815" s="56"/>
      <c r="M815" s="91"/>
    </row>
    <row r="816">
      <c r="A816" s="256"/>
      <c r="B816" s="111" t="s">
        <v>2814</v>
      </c>
      <c r="C816" s="118" t="s">
        <v>773</v>
      </c>
      <c r="D816" s="52">
        <f t="shared" ref="D816:E816" si="604">D796</f>
        <v>421.88</v>
      </c>
      <c r="E816" s="52">
        <f t="shared" si="604"/>
        <v>458</v>
      </c>
      <c r="F816" s="109"/>
      <c r="G816" s="248">
        <f t="shared" ref="G816:G833" si="606">IFERROR(DIVIDE(MINUS(E816,D816),D816),)</f>
        <v>0.08561676306</v>
      </c>
      <c r="H816" s="115"/>
      <c r="I816" s="93">
        <v>48.0</v>
      </c>
      <c r="J816" s="93">
        <v>192.0</v>
      </c>
      <c r="K816" s="93"/>
      <c r="L816" s="56"/>
      <c r="M816" s="91"/>
    </row>
    <row r="817">
      <c r="A817" s="256"/>
      <c r="B817" s="111" t="s">
        <v>2815</v>
      </c>
      <c r="C817" s="118" t="s">
        <v>748</v>
      </c>
      <c r="D817" s="52">
        <f t="shared" ref="D817:E817" si="605">D797</f>
        <v>462.16</v>
      </c>
      <c r="E817" s="52">
        <f t="shared" si="605"/>
        <v>498</v>
      </c>
      <c r="F817" s="109"/>
      <c r="G817" s="248">
        <f t="shared" si="606"/>
        <v>0.07754890081</v>
      </c>
      <c r="H817" s="115"/>
      <c r="I817" s="93">
        <v>33.0</v>
      </c>
      <c r="J817" s="93">
        <v>132.0</v>
      </c>
      <c r="K817" s="93"/>
      <c r="L817" s="56"/>
      <c r="M817" s="91"/>
    </row>
    <row r="818">
      <c r="A818" s="256"/>
      <c r="B818" s="111" t="s">
        <v>2816</v>
      </c>
      <c r="C818" s="118" t="s">
        <v>306</v>
      </c>
      <c r="D818" s="52">
        <f t="shared" ref="D818:E818" si="607">D798</f>
        <v>506</v>
      </c>
      <c r="E818" s="52">
        <f t="shared" si="607"/>
        <v>546</v>
      </c>
      <c r="F818" s="109"/>
      <c r="G818" s="248">
        <f t="shared" si="606"/>
        <v>0.0790513834</v>
      </c>
      <c r="H818" s="115"/>
      <c r="I818" s="93">
        <v>33.0</v>
      </c>
      <c r="J818" s="93">
        <v>132.0</v>
      </c>
      <c r="K818" s="93"/>
      <c r="L818" s="56"/>
      <c r="M818" s="91"/>
    </row>
    <row r="819">
      <c r="A819" s="256"/>
      <c r="B819" s="111" t="s">
        <v>2817</v>
      </c>
      <c r="C819" s="118" t="s">
        <v>2460</v>
      </c>
      <c r="D819" s="52">
        <f t="shared" ref="D819:E819" si="608">D799</f>
        <v>524</v>
      </c>
      <c r="E819" s="52">
        <f t="shared" si="608"/>
        <v>566</v>
      </c>
      <c r="F819" s="109"/>
      <c r="G819" s="248">
        <f t="shared" si="606"/>
        <v>0.08015267176</v>
      </c>
      <c r="H819" s="115"/>
      <c r="I819" s="93">
        <v>60.0</v>
      </c>
      <c r="J819" s="93">
        <v>240.0</v>
      </c>
      <c r="K819" s="93"/>
      <c r="L819" s="56"/>
      <c r="M819" s="91"/>
    </row>
    <row r="820">
      <c r="A820" s="256"/>
      <c r="B820" s="111" t="s">
        <v>2818</v>
      </c>
      <c r="C820" s="118" t="s">
        <v>666</v>
      </c>
      <c r="D820" s="52">
        <f t="shared" ref="D820:E820" si="609">D800</f>
        <v>896</v>
      </c>
      <c r="E820" s="52">
        <f t="shared" si="609"/>
        <v>968</v>
      </c>
      <c r="F820" s="109"/>
      <c r="G820" s="248">
        <f t="shared" si="606"/>
        <v>0.08035714286</v>
      </c>
      <c r="H820" s="115"/>
      <c r="I820" s="93">
        <v>30.0</v>
      </c>
      <c r="J820" s="93">
        <v>120.0</v>
      </c>
      <c r="K820" s="93"/>
      <c r="L820" s="56"/>
      <c r="M820" s="91"/>
    </row>
    <row r="821">
      <c r="A821" s="256"/>
      <c r="B821" s="111" t="s">
        <v>2819</v>
      </c>
      <c r="C821" s="118" t="s">
        <v>682</v>
      </c>
      <c r="D821" s="52">
        <f t="shared" ref="D821:E821" si="610">D801</f>
        <v>640.0704</v>
      </c>
      <c r="E821" s="52">
        <f t="shared" si="610"/>
        <v>692</v>
      </c>
      <c r="F821" s="109"/>
      <c r="G821" s="248">
        <f t="shared" si="606"/>
        <v>0.08113107558</v>
      </c>
      <c r="H821" s="115"/>
      <c r="I821" s="93">
        <v>33.0</v>
      </c>
      <c r="J821" s="93">
        <v>132.0</v>
      </c>
      <c r="K821" s="93"/>
      <c r="L821" s="56"/>
      <c r="M821" s="91"/>
    </row>
    <row r="822">
      <c r="A822" s="256"/>
      <c r="B822" s="111" t="s">
        <v>2820</v>
      </c>
      <c r="C822" s="118" t="s">
        <v>781</v>
      </c>
      <c r="D822" s="52">
        <f t="shared" ref="D822:E822" si="611">D802</f>
        <v>640.0704</v>
      </c>
      <c r="E822" s="52">
        <f t="shared" si="611"/>
        <v>692</v>
      </c>
      <c r="F822" s="109"/>
      <c r="G822" s="248">
        <f t="shared" si="606"/>
        <v>0.08113107558</v>
      </c>
      <c r="H822" s="115"/>
      <c r="I822" s="93">
        <v>33.0</v>
      </c>
      <c r="J822" s="93">
        <v>132.0</v>
      </c>
      <c r="K822" s="93"/>
      <c r="L822" s="56"/>
      <c r="M822" s="91"/>
    </row>
    <row r="823">
      <c r="A823" s="256"/>
      <c r="B823" s="111" t="s">
        <v>2821</v>
      </c>
      <c r="C823" s="118" t="s">
        <v>2465</v>
      </c>
      <c r="D823" s="52">
        <f t="shared" ref="D823:E823" si="612">D803</f>
        <v>945.52</v>
      </c>
      <c r="E823" s="52">
        <f t="shared" si="612"/>
        <v>1022</v>
      </c>
      <c r="F823" s="109"/>
      <c r="G823" s="248">
        <f t="shared" si="606"/>
        <v>0.08088670784</v>
      </c>
      <c r="H823" s="115"/>
      <c r="I823" s="93">
        <v>13.0</v>
      </c>
      <c r="J823" s="93">
        <v>52.0</v>
      </c>
      <c r="K823" s="93"/>
      <c r="L823" s="56"/>
      <c r="M823" s="91"/>
    </row>
    <row r="824">
      <c r="A824" s="256"/>
      <c r="B824" s="111" t="s">
        <v>2822</v>
      </c>
      <c r="C824" s="186" t="s">
        <v>2209</v>
      </c>
      <c r="D824" s="52">
        <f t="shared" ref="D824:E824" si="613">D804</f>
        <v>968</v>
      </c>
      <c r="E824" s="52">
        <f t="shared" si="613"/>
        <v>1046</v>
      </c>
      <c r="F824" s="109"/>
      <c r="G824" s="248">
        <f t="shared" si="606"/>
        <v>0.0805785124</v>
      </c>
      <c r="H824" s="115"/>
      <c r="I824" s="134">
        <v>30.0</v>
      </c>
      <c r="J824" s="134">
        <v>120.0</v>
      </c>
      <c r="K824" s="93"/>
      <c r="L824" s="56"/>
      <c r="M824" s="91"/>
    </row>
    <row r="825">
      <c r="A825" s="256"/>
      <c r="B825" s="111" t="s">
        <v>2823</v>
      </c>
      <c r="C825" s="118" t="s">
        <v>2468</v>
      </c>
      <c r="D825" s="52">
        <f t="shared" ref="D825:E825" si="614">D805</f>
        <v>968</v>
      </c>
      <c r="E825" s="52">
        <f t="shared" si="614"/>
        <v>1046</v>
      </c>
      <c r="F825" s="109"/>
      <c r="G825" s="248">
        <f t="shared" si="606"/>
        <v>0.0805785124</v>
      </c>
      <c r="H825" s="115"/>
      <c r="I825" s="93">
        <v>13.0</v>
      </c>
      <c r="J825" s="93">
        <v>52.0</v>
      </c>
      <c r="K825" s="93"/>
      <c r="L825" s="56"/>
      <c r="M825" s="91"/>
    </row>
    <row r="826">
      <c r="A826" s="256"/>
      <c r="B826" s="111" t="s">
        <v>1322</v>
      </c>
      <c r="C826" s="118" t="s">
        <v>523</v>
      </c>
      <c r="D826" s="52">
        <f t="shared" ref="D826:E826" si="615">D806</f>
        <v>2753.88</v>
      </c>
      <c r="E826" s="52">
        <f t="shared" si="615"/>
        <v>2966</v>
      </c>
      <c r="F826" s="109"/>
      <c r="G826" s="248">
        <f t="shared" si="606"/>
        <v>0.07702586896</v>
      </c>
      <c r="H826" s="115"/>
      <c r="I826" s="93"/>
      <c r="J826" s="93"/>
      <c r="K826" s="93"/>
      <c r="L826" s="56"/>
      <c r="M826" s="91"/>
    </row>
    <row r="827">
      <c r="A827" s="256"/>
      <c r="B827" s="111" t="s">
        <v>2824</v>
      </c>
      <c r="C827" s="118" t="s">
        <v>1124</v>
      </c>
      <c r="D827" s="52">
        <f t="shared" ref="D827:E827" si="616">D807</f>
        <v>2429.52</v>
      </c>
      <c r="E827" s="52">
        <f t="shared" si="616"/>
        <v>2626</v>
      </c>
      <c r="F827" s="109"/>
      <c r="G827" s="248">
        <f t="shared" si="606"/>
        <v>0.08087194178</v>
      </c>
      <c r="H827" s="115"/>
      <c r="I827" s="93">
        <v>6.0</v>
      </c>
      <c r="J827" s="93">
        <v>24.0</v>
      </c>
      <c r="K827" s="93"/>
      <c r="L827" s="56"/>
      <c r="M827" s="91"/>
    </row>
    <row r="828">
      <c r="A828" s="256"/>
      <c r="B828" s="111" t="s">
        <v>2825</v>
      </c>
      <c r="C828" s="118" t="s">
        <v>395</v>
      </c>
      <c r="D828" s="52">
        <f t="shared" ref="D828:E828" si="617">D808</f>
        <v>422</v>
      </c>
      <c r="E828" s="52">
        <f t="shared" si="617"/>
        <v>458</v>
      </c>
      <c r="F828" s="109"/>
      <c r="G828" s="248">
        <f t="shared" si="606"/>
        <v>0.08530805687</v>
      </c>
      <c r="H828" s="115"/>
      <c r="I828" s="93">
        <v>66.0</v>
      </c>
      <c r="J828" s="93">
        <v>264.0</v>
      </c>
      <c r="K828" s="93"/>
      <c r="L828" s="56"/>
      <c r="M828" s="91"/>
    </row>
    <row r="829">
      <c r="A829" s="256"/>
      <c r="B829" s="111" t="s">
        <v>2826</v>
      </c>
      <c r="C829" s="118" t="s">
        <v>359</v>
      </c>
      <c r="D829" s="52">
        <f t="shared" ref="D829:E829" si="618">D809</f>
        <v>841.64</v>
      </c>
      <c r="E829" s="52">
        <f t="shared" si="618"/>
        <v>908</v>
      </c>
      <c r="F829" s="109"/>
      <c r="G829" s="248">
        <f t="shared" si="606"/>
        <v>0.07884606245</v>
      </c>
      <c r="H829" s="115"/>
      <c r="I829" s="93">
        <v>23.0</v>
      </c>
      <c r="J829" s="93">
        <v>92.0</v>
      </c>
      <c r="K829" s="93"/>
      <c r="L829" s="56"/>
      <c r="M829" s="91"/>
    </row>
    <row r="830">
      <c r="A830" s="256"/>
      <c r="B830" s="111" t="s">
        <v>2827</v>
      </c>
      <c r="C830" s="118" t="s">
        <v>1137</v>
      </c>
      <c r="D830" s="52">
        <f t="shared" ref="D830:E830" si="619">D810</f>
        <v>832</v>
      </c>
      <c r="E830" s="52">
        <f t="shared" si="619"/>
        <v>898</v>
      </c>
      <c r="F830" s="109"/>
      <c r="G830" s="248">
        <f t="shared" si="606"/>
        <v>0.07932692308</v>
      </c>
      <c r="H830" s="115"/>
      <c r="I830" s="93">
        <v>30.0</v>
      </c>
      <c r="J830" s="93">
        <v>120.0</v>
      </c>
      <c r="K830" s="93"/>
      <c r="L830" s="56"/>
      <c r="M830" s="91"/>
    </row>
    <row r="831">
      <c r="A831" s="256"/>
      <c r="B831" s="111" t="s">
        <v>2828</v>
      </c>
      <c r="C831" s="118" t="s">
        <v>1141</v>
      </c>
      <c r="D831" s="52">
        <f t="shared" ref="D831:E831" si="620">D811</f>
        <v>998</v>
      </c>
      <c r="E831" s="52">
        <f t="shared" si="620"/>
        <v>1086</v>
      </c>
      <c r="F831" s="109"/>
      <c r="G831" s="248">
        <f t="shared" si="606"/>
        <v>0.08817635271</v>
      </c>
      <c r="H831" s="93"/>
      <c r="I831" s="93">
        <v>30.0</v>
      </c>
      <c r="J831" s="93">
        <v>120.0</v>
      </c>
      <c r="K831" s="93"/>
      <c r="L831" s="56"/>
      <c r="M831" s="91"/>
    </row>
    <row r="832">
      <c r="A832" s="256"/>
      <c r="B832" s="270" t="s">
        <v>2829</v>
      </c>
      <c r="C832" s="277" t="s">
        <v>1145</v>
      </c>
      <c r="D832" s="52">
        <f t="shared" ref="D832:E832" si="621">D812</f>
        <v>1992</v>
      </c>
      <c r="E832" s="52">
        <f t="shared" si="621"/>
        <v>2148</v>
      </c>
      <c r="F832" s="109"/>
      <c r="G832" s="248">
        <f t="shared" si="606"/>
        <v>0.07831325301</v>
      </c>
      <c r="H832" s="93"/>
      <c r="I832" s="93">
        <v>14.0</v>
      </c>
      <c r="J832" s="93">
        <v>56.0</v>
      </c>
      <c r="K832" s="93"/>
      <c r="L832" s="56"/>
      <c r="M832" s="91"/>
    </row>
    <row r="833">
      <c r="A833" s="256"/>
      <c r="B833" s="111" t="s">
        <v>2830</v>
      </c>
      <c r="C833" s="118" t="s">
        <v>2219</v>
      </c>
      <c r="D833" s="52">
        <f t="shared" ref="D833:E833" si="622">D813</f>
        <v>2336.24</v>
      </c>
      <c r="E833" s="52">
        <f t="shared" si="622"/>
        <v>2526</v>
      </c>
      <c r="F833" s="109"/>
      <c r="G833" s="248">
        <f t="shared" si="606"/>
        <v>0.08122453173</v>
      </c>
      <c r="H833" s="115"/>
      <c r="I833" s="93">
        <v>14.0</v>
      </c>
      <c r="J833" s="93">
        <v>56.0</v>
      </c>
      <c r="K833" s="93"/>
      <c r="L833" s="56"/>
      <c r="M833" s="91"/>
    </row>
    <row r="834" ht="18.75" customHeight="1">
      <c r="A834" s="133"/>
      <c r="B834" s="149"/>
      <c r="C834" s="204"/>
      <c r="D834" s="109"/>
      <c r="E834" s="109"/>
      <c r="F834" s="109"/>
      <c r="G834" s="248"/>
      <c r="H834" s="115"/>
      <c r="I834" s="93"/>
      <c r="J834" s="93"/>
      <c r="K834" s="93"/>
      <c r="L834" s="56"/>
      <c r="M834" s="91"/>
    </row>
    <row r="835" ht="18.75" customHeight="1">
      <c r="A835" s="256"/>
      <c r="B835" s="107" t="s">
        <v>1324</v>
      </c>
      <c r="C835" s="166"/>
      <c r="D835" s="343"/>
      <c r="E835" s="343"/>
      <c r="F835" s="109"/>
      <c r="G835" s="248"/>
      <c r="H835" s="115"/>
      <c r="I835" s="93"/>
      <c r="J835" s="93"/>
      <c r="K835" s="93"/>
      <c r="L835" s="56"/>
      <c r="M835" s="91"/>
    </row>
    <row r="836">
      <c r="A836" s="256"/>
      <c r="B836" s="111" t="s">
        <v>2832</v>
      </c>
      <c r="C836" s="118" t="s">
        <v>773</v>
      </c>
      <c r="D836" s="52">
        <f t="shared" ref="D836:E836" si="623">D816</f>
        <v>421.88</v>
      </c>
      <c r="E836" s="52">
        <f t="shared" si="623"/>
        <v>458</v>
      </c>
      <c r="F836" s="109"/>
      <c r="G836" s="248">
        <f t="shared" ref="G836:G853" si="625">IFERROR(DIVIDE(MINUS(E836,D836),D836),)</f>
        <v>0.08561676306</v>
      </c>
      <c r="H836" s="115"/>
      <c r="I836" s="93">
        <v>48.0</v>
      </c>
      <c r="J836" s="93">
        <v>192.0</v>
      </c>
      <c r="K836" s="93"/>
      <c r="L836" s="56"/>
      <c r="M836" s="91"/>
    </row>
    <row r="837">
      <c r="A837" s="256"/>
      <c r="B837" s="111" t="s">
        <v>2833</v>
      </c>
      <c r="C837" s="118" t="s">
        <v>748</v>
      </c>
      <c r="D837" s="52">
        <f t="shared" ref="D837:E837" si="624">D817</f>
        <v>462.16</v>
      </c>
      <c r="E837" s="52">
        <f t="shared" si="624"/>
        <v>498</v>
      </c>
      <c r="F837" s="109"/>
      <c r="G837" s="248">
        <f t="shared" si="625"/>
        <v>0.07754890081</v>
      </c>
      <c r="H837" s="115"/>
      <c r="I837" s="93">
        <v>33.0</v>
      </c>
      <c r="J837" s="93">
        <v>132.0</v>
      </c>
      <c r="K837" s="93"/>
      <c r="L837" s="56"/>
      <c r="M837" s="91"/>
    </row>
    <row r="838">
      <c r="A838" s="256"/>
      <c r="B838" s="111" t="s">
        <v>2834</v>
      </c>
      <c r="C838" s="118" t="s">
        <v>306</v>
      </c>
      <c r="D838" s="52">
        <f t="shared" ref="D838:E838" si="626">D818</f>
        <v>506</v>
      </c>
      <c r="E838" s="52">
        <f t="shared" si="626"/>
        <v>546</v>
      </c>
      <c r="F838" s="109"/>
      <c r="G838" s="248">
        <f t="shared" si="625"/>
        <v>0.0790513834</v>
      </c>
      <c r="H838" s="115"/>
      <c r="I838" s="93">
        <v>33.0</v>
      </c>
      <c r="J838" s="93">
        <v>132.0</v>
      </c>
      <c r="K838" s="93"/>
      <c r="L838" s="56"/>
      <c r="M838" s="91"/>
    </row>
    <row r="839">
      <c r="A839" s="256"/>
      <c r="B839" s="111" t="s">
        <v>2835</v>
      </c>
      <c r="C839" s="118" t="s">
        <v>2460</v>
      </c>
      <c r="D839" s="52">
        <f t="shared" ref="D839:E839" si="627">D819</f>
        <v>524</v>
      </c>
      <c r="E839" s="52">
        <f t="shared" si="627"/>
        <v>566</v>
      </c>
      <c r="F839" s="109"/>
      <c r="G839" s="248">
        <f t="shared" si="625"/>
        <v>0.08015267176</v>
      </c>
      <c r="H839" s="115"/>
      <c r="I839" s="93">
        <v>60.0</v>
      </c>
      <c r="J839" s="93">
        <v>240.0</v>
      </c>
      <c r="K839" s="93"/>
      <c r="L839" s="56"/>
      <c r="M839" s="91"/>
    </row>
    <row r="840">
      <c r="A840" s="256"/>
      <c r="B840" s="111" t="s">
        <v>2836</v>
      </c>
      <c r="C840" s="118" t="s">
        <v>666</v>
      </c>
      <c r="D840" s="52">
        <f t="shared" ref="D840:E840" si="628">D820</f>
        <v>896</v>
      </c>
      <c r="E840" s="52">
        <f t="shared" si="628"/>
        <v>968</v>
      </c>
      <c r="F840" s="109"/>
      <c r="G840" s="248">
        <f t="shared" si="625"/>
        <v>0.08035714286</v>
      </c>
      <c r="H840" s="115"/>
      <c r="I840" s="93">
        <v>30.0</v>
      </c>
      <c r="J840" s="93">
        <v>120.0</v>
      </c>
      <c r="K840" s="93"/>
      <c r="L840" s="56"/>
      <c r="M840" s="91"/>
    </row>
    <row r="841">
      <c r="A841" s="256"/>
      <c r="B841" s="111" t="s">
        <v>2837</v>
      </c>
      <c r="C841" s="118" t="s">
        <v>682</v>
      </c>
      <c r="D841" s="52">
        <f t="shared" ref="D841:E841" si="629">D821</f>
        <v>640.0704</v>
      </c>
      <c r="E841" s="52">
        <f t="shared" si="629"/>
        <v>692</v>
      </c>
      <c r="F841" s="109"/>
      <c r="G841" s="248">
        <f t="shared" si="625"/>
        <v>0.08113107558</v>
      </c>
      <c r="H841" s="115"/>
      <c r="I841" s="93">
        <v>33.0</v>
      </c>
      <c r="J841" s="93">
        <v>132.0</v>
      </c>
      <c r="K841" s="93"/>
      <c r="L841" s="56"/>
      <c r="M841" s="91"/>
    </row>
    <row r="842">
      <c r="A842" s="256"/>
      <c r="B842" s="111" t="s">
        <v>2838</v>
      </c>
      <c r="C842" s="118" t="s">
        <v>781</v>
      </c>
      <c r="D842" s="52">
        <f t="shared" ref="D842:E842" si="630">D822</f>
        <v>640.0704</v>
      </c>
      <c r="E842" s="52">
        <f t="shared" si="630"/>
        <v>692</v>
      </c>
      <c r="F842" s="109"/>
      <c r="G842" s="248">
        <f t="shared" si="625"/>
        <v>0.08113107558</v>
      </c>
      <c r="H842" s="115"/>
      <c r="I842" s="93">
        <v>33.0</v>
      </c>
      <c r="J842" s="93">
        <v>132.0</v>
      </c>
      <c r="K842" s="93"/>
      <c r="L842" s="56"/>
      <c r="M842" s="91"/>
    </row>
    <row r="843">
      <c r="A843" s="256"/>
      <c r="B843" s="111" t="s">
        <v>2839</v>
      </c>
      <c r="C843" s="118" t="s">
        <v>2465</v>
      </c>
      <c r="D843" s="52">
        <f t="shared" ref="D843:E843" si="631">D823</f>
        <v>945.52</v>
      </c>
      <c r="E843" s="52">
        <f t="shared" si="631"/>
        <v>1022</v>
      </c>
      <c r="F843" s="109"/>
      <c r="G843" s="248">
        <f t="shared" si="625"/>
        <v>0.08088670784</v>
      </c>
      <c r="H843" s="115"/>
      <c r="I843" s="93">
        <v>13.0</v>
      </c>
      <c r="J843" s="93">
        <v>52.0</v>
      </c>
      <c r="K843" s="93"/>
      <c r="L843" s="56"/>
      <c r="M843" s="91"/>
    </row>
    <row r="844">
      <c r="A844" s="256"/>
      <c r="B844" s="111" t="s">
        <v>2841</v>
      </c>
      <c r="C844" s="186" t="s">
        <v>2209</v>
      </c>
      <c r="D844" s="52">
        <f t="shared" ref="D844:E844" si="632">D824</f>
        <v>968</v>
      </c>
      <c r="E844" s="52">
        <f t="shared" si="632"/>
        <v>1046</v>
      </c>
      <c r="F844" s="109"/>
      <c r="G844" s="248">
        <f t="shared" si="625"/>
        <v>0.0805785124</v>
      </c>
      <c r="H844" s="115"/>
      <c r="I844" s="134">
        <v>30.0</v>
      </c>
      <c r="J844" s="134">
        <v>120.0</v>
      </c>
      <c r="K844" s="93"/>
      <c r="L844" s="56"/>
      <c r="M844" s="91"/>
    </row>
    <row r="845">
      <c r="A845" s="256"/>
      <c r="B845" s="111" t="s">
        <v>2842</v>
      </c>
      <c r="C845" s="118" t="s">
        <v>2468</v>
      </c>
      <c r="D845" s="52">
        <f t="shared" ref="D845:E845" si="633">D825</f>
        <v>968</v>
      </c>
      <c r="E845" s="52">
        <f t="shared" si="633"/>
        <v>1046</v>
      </c>
      <c r="F845" s="109"/>
      <c r="G845" s="248">
        <f t="shared" si="625"/>
        <v>0.0805785124</v>
      </c>
      <c r="H845" s="115"/>
      <c r="I845" s="93">
        <v>13.0</v>
      </c>
      <c r="J845" s="93">
        <v>52.0</v>
      </c>
      <c r="K845" s="93"/>
      <c r="L845" s="56"/>
      <c r="M845" s="91"/>
    </row>
    <row r="846">
      <c r="A846" s="256"/>
      <c r="B846" s="111" t="s">
        <v>1325</v>
      </c>
      <c r="C846" s="118" t="s">
        <v>523</v>
      </c>
      <c r="D846" s="52">
        <f t="shared" ref="D846:E846" si="634">D826</f>
        <v>2753.88</v>
      </c>
      <c r="E846" s="52">
        <f t="shared" si="634"/>
        <v>2966</v>
      </c>
      <c r="F846" s="109"/>
      <c r="G846" s="248">
        <f t="shared" si="625"/>
        <v>0.07702586896</v>
      </c>
      <c r="H846" s="115"/>
      <c r="I846" s="93"/>
      <c r="J846" s="93"/>
      <c r="K846" s="93"/>
      <c r="L846" s="56"/>
      <c r="M846" s="91"/>
    </row>
    <row r="847">
      <c r="A847" s="256"/>
      <c r="B847" s="111" t="s">
        <v>2843</v>
      </c>
      <c r="C847" s="118" t="s">
        <v>1124</v>
      </c>
      <c r="D847" s="52">
        <f t="shared" ref="D847:E847" si="635">D827</f>
        <v>2429.52</v>
      </c>
      <c r="E847" s="52">
        <f t="shared" si="635"/>
        <v>2626</v>
      </c>
      <c r="F847" s="109"/>
      <c r="G847" s="248">
        <f t="shared" si="625"/>
        <v>0.08087194178</v>
      </c>
      <c r="H847" s="115"/>
      <c r="I847" s="93">
        <v>6.0</v>
      </c>
      <c r="J847" s="93">
        <v>24.0</v>
      </c>
      <c r="K847" s="93"/>
      <c r="L847" s="56"/>
      <c r="M847" s="91"/>
    </row>
    <row r="848">
      <c r="A848" s="256"/>
      <c r="B848" s="111" t="s">
        <v>2845</v>
      </c>
      <c r="C848" s="118" t="s">
        <v>395</v>
      </c>
      <c r="D848" s="52">
        <f t="shared" ref="D848:E848" si="636">D828</f>
        <v>422</v>
      </c>
      <c r="E848" s="52">
        <f t="shared" si="636"/>
        <v>458</v>
      </c>
      <c r="F848" s="109"/>
      <c r="G848" s="248">
        <f t="shared" si="625"/>
        <v>0.08530805687</v>
      </c>
      <c r="H848" s="115"/>
      <c r="I848" s="93">
        <v>66.0</v>
      </c>
      <c r="J848" s="93">
        <v>264.0</v>
      </c>
      <c r="K848" s="93"/>
      <c r="L848" s="56"/>
      <c r="M848" s="91"/>
    </row>
    <row r="849">
      <c r="A849" s="256"/>
      <c r="B849" s="111" t="s">
        <v>2849</v>
      </c>
      <c r="C849" s="118" t="s">
        <v>359</v>
      </c>
      <c r="D849" s="52">
        <f t="shared" ref="D849:E849" si="637">D829</f>
        <v>841.64</v>
      </c>
      <c r="E849" s="52">
        <f t="shared" si="637"/>
        <v>908</v>
      </c>
      <c r="F849" s="109"/>
      <c r="G849" s="248">
        <f t="shared" si="625"/>
        <v>0.07884606245</v>
      </c>
      <c r="H849" s="115"/>
      <c r="I849" s="93">
        <v>23.0</v>
      </c>
      <c r="J849" s="93">
        <v>92.0</v>
      </c>
      <c r="K849" s="93"/>
      <c r="L849" s="56"/>
      <c r="M849" s="91"/>
    </row>
    <row r="850">
      <c r="A850" s="256"/>
      <c r="B850" s="111" t="s">
        <v>2850</v>
      </c>
      <c r="C850" s="118" t="s">
        <v>1137</v>
      </c>
      <c r="D850" s="52">
        <f t="shared" ref="D850:E850" si="638">D830</f>
        <v>832</v>
      </c>
      <c r="E850" s="52">
        <f t="shared" si="638"/>
        <v>898</v>
      </c>
      <c r="F850" s="109"/>
      <c r="G850" s="248">
        <f t="shared" si="625"/>
        <v>0.07932692308</v>
      </c>
      <c r="H850" s="115"/>
      <c r="I850" s="93">
        <v>30.0</v>
      </c>
      <c r="J850" s="93">
        <v>120.0</v>
      </c>
      <c r="K850" s="93"/>
      <c r="L850" s="56"/>
      <c r="M850" s="91"/>
    </row>
    <row r="851">
      <c r="A851" s="256"/>
      <c r="B851" s="111" t="s">
        <v>2851</v>
      </c>
      <c r="C851" s="118" t="s">
        <v>1141</v>
      </c>
      <c r="D851" s="52">
        <f t="shared" ref="D851:E851" si="639">D831</f>
        <v>998</v>
      </c>
      <c r="E851" s="52">
        <f t="shared" si="639"/>
        <v>1086</v>
      </c>
      <c r="F851" s="109"/>
      <c r="G851" s="248">
        <f t="shared" si="625"/>
        <v>0.08817635271</v>
      </c>
      <c r="H851" s="93"/>
      <c r="I851" s="93">
        <v>30.0</v>
      </c>
      <c r="J851" s="93">
        <v>120.0</v>
      </c>
      <c r="K851" s="93"/>
      <c r="L851" s="56"/>
      <c r="M851" s="91"/>
    </row>
    <row r="852">
      <c r="A852" s="256"/>
      <c r="B852" s="270" t="s">
        <v>2852</v>
      </c>
      <c r="C852" s="277" t="s">
        <v>1145</v>
      </c>
      <c r="D852" s="52">
        <f t="shared" ref="D852:E852" si="640">D832</f>
        <v>1992</v>
      </c>
      <c r="E852" s="52">
        <f t="shared" si="640"/>
        <v>2148</v>
      </c>
      <c r="F852" s="109"/>
      <c r="G852" s="248">
        <f t="shared" si="625"/>
        <v>0.07831325301</v>
      </c>
      <c r="H852" s="93"/>
      <c r="I852" s="93">
        <v>14.0</v>
      </c>
      <c r="J852" s="93">
        <v>56.0</v>
      </c>
      <c r="K852" s="93"/>
      <c r="L852" s="56"/>
      <c r="M852" s="91"/>
    </row>
    <row r="853">
      <c r="A853" s="256"/>
      <c r="B853" s="111" t="s">
        <v>2853</v>
      </c>
      <c r="C853" s="118" t="s">
        <v>2219</v>
      </c>
      <c r="D853" s="52">
        <f t="shared" ref="D853:E853" si="641">D833</f>
        <v>2336.24</v>
      </c>
      <c r="E853" s="52">
        <f t="shared" si="641"/>
        <v>2526</v>
      </c>
      <c r="F853" s="109"/>
      <c r="G853" s="248">
        <f t="shared" si="625"/>
        <v>0.08122453173</v>
      </c>
      <c r="H853" s="115"/>
      <c r="I853" s="93">
        <v>14.0</v>
      </c>
      <c r="J853" s="93">
        <v>56.0</v>
      </c>
      <c r="K853" s="93"/>
      <c r="L853" s="56"/>
      <c r="M853" s="91"/>
    </row>
    <row r="854">
      <c r="A854" s="133"/>
      <c r="B854" s="149"/>
      <c r="C854" s="204"/>
      <c r="D854" s="109"/>
      <c r="E854" s="109"/>
      <c r="F854" s="109"/>
      <c r="G854" s="248"/>
      <c r="H854" s="115"/>
      <c r="I854" s="93"/>
      <c r="J854" s="93"/>
      <c r="K854" s="93"/>
      <c r="L854" s="56"/>
      <c r="M854" s="91"/>
    </row>
    <row r="855" ht="18.75" customHeight="1">
      <c r="A855" s="256"/>
      <c r="B855" s="107" t="s">
        <v>1328</v>
      </c>
      <c r="C855" s="166"/>
      <c r="D855" s="343"/>
      <c r="E855" s="343"/>
      <c r="F855" s="109"/>
      <c r="G855" s="248"/>
      <c r="H855" s="115"/>
      <c r="I855" s="93"/>
      <c r="J855" s="93"/>
      <c r="K855" s="93"/>
      <c r="L855" s="56"/>
      <c r="M855" s="91"/>
    </row>
    <row r="856">
      <c r="A856" s="256"/>
      <c r="B856" s="111" t="s">
        <v>2855</v>
      </c>
      <c r="C856" s="118" t="s">
        <v>773</v>
      </c>
      <c r="D856" s="52">
        <f t="shared" ref="D856:E856" si="642">D836</f>
        <v>421.88</v>
      </c>
      <c r="E856" s="52">
        <f t="shared" si="642"/>
        <v>458</v>
      </c>
      <c r="F856" s="109"/>
      <c r="G856" s="248">
        <f t="shared" ref="G856:G873" si="644">IFERROR(DIVIDE(MINUS(E856,D856),D856),)</f>
        <v>0.08561676306</v>
      </c>
      <c r="H856" s="115"/>
      <c r="I856" s="93">
        <v>48.0</v>
      </c>
      <c r="J856" s="93">
        <v>192.0</v>
      </c>
      <c r="K856" s="93"/>
      <c r="L856" s="56"/>
      <c r="M856" s="91"/>
    </row>
    <row r="857">
      <c r="A857" s="256"/>
      <c r="B857" s="111" t="s">
        <v>2856</v>
      </c>
      <c r="C857" s="118" t="s">
        <v>748</v>
      </c>
      <c r="D857" s="52">
        <f t="shared" ref="D857:E857" si="643">D837</f>
        <v>462.16</v>
      </c>
      <c r="E857" s="52">
        <f t="shared" si="643"/>
        <v>498</v>
      </c>
      <c r="F857" s="109"/>
      <c r="G857" s="248">
        <f t="shared" si="644"/>
        <v>0.07754890081</v>
      </c>
      <c r="H857" s="115"/>
      <c r="I857" s="93">
        <v>33.0</v>
      </c>
      <c r="J857" s="93">
        <v>132.0</v>
      </c>
      <c r="K857" s="93"/>
      <c r="L857" s="56"/>
      <c r="M857" s="91"/>
    </row>
    <row r="858">
      <c r="A858" s="256"/>
      <c r="B858" s="111" t="s">
        <v>2857</v>
      </c>
      <c r="C858" s="118" t="s">
        <v>306</v>
      </c>
      <c r="D858" s="52">
        <f t="shared" ref="D858:E858" si="645">D838</f>
        <v>506</v>
      </c>
      <c r="E858" s="52">
        <f t="shared" si="645"/>
        <v>546</v>
      </c>
      <c r="F858" s="109"/>
      <c r="G858" s="248">
        <f t="shared" si="644"/>
        <v>0.0790513834</v>
      </c>
      <c r="H858" s="115"/>
      <c r="I858" s="93">
        <v>33.0</v>
      </c>
      <c r="J858" s="93">
        <v>132.0</v>
      </c>
      <c r="K858" s="93"/>
      <c r="L858" s="56"/>
      <c r="M858" s="91"/>
    </row>
    <row r="859">
      <c r="A859" s="256"/>
      <c r="B859" s="111" t="s">
        <v>2858</v>
      </c>
      <c r="C859" s="118" t="s">
        <v>2460</v>
      </c>
      <c r="D859" s="52">
        <f t="shared" ref="D859:E859" si="646">D839</f>
        <v>524</v>
      </c>
      <c r="E859" s="52">
        <f t="shared" si="646"/>
        <v>566</v>
      </c>
      <c r="F859" s="109"/>
      <c r="G859" s="248">
        <f t="shared" si="644"/>
        <v>0.08015267176</v>
      </c>
      <c r="H859" s="115"/>
      <c r="I859" s="93">
        <v>60.0</v>
      </c>
      <c r="J859" s="93">
        <v>240.0</v>
      </c>
      <c r="K859" s="93"/>
      <c r="L859" s="56"/>
      <c r="M859" s="91"/>
    </row>
    <row r="860">
      <c r="A860" s="256"/>
      <c r="B860" s="111" t="s">
        <v>2859</v>
      </c>
      <c r="C860" s="118" t="s">
        <v>666</v>
      </c>
      <c r="D860" s="52">
        <f t="shared" ref="D860:E860" si="647">D840</f>
        <v>896</v>
      </c>
      <c r="E860" s="52">
        <f t="shared" si="647"/>
        <v>968</v>
      </c>
      <c r="F860" s="109"/>
      <c r="G860" s="248">
        <f t="shared" si="644"/>
        <v>0.08035714286</v>
      </c>
      <c r="H860" s="115"/>
      <c r="I860" s="93">
        <v>30.0</v>
      </c>
      <c r="J860" s="93">
        <v>120.0</v>
      </c>
      <c r="K860" s="93"/>
      <c r="L860" s="56"/>
      <c r="M860" s="91"/>
    </row>
    <row r="861">
      <c r="A861" s="256"/>
      <c r="B861" s="111" t="s">
        <v>2860</v>
      </c>
      <c r="C861" s="118" t="s">
        <v>682</v>
      </c>
      <c r="D861" s="52">
        <f t="shared" ref="D861:E861" si="648">D841</f>
        <v>640.0704</v>
      </c>
      <c r="E861" s="52">
        <f t="shared" si="648"/>
        <v>692</v>
      </c>
      <c r="F861" s="109"/>
      <c r="G861" s="248">
        <f t="shared" si="644"/>
        <v>0.08113107558</v>
      </c>
      <c r="H861" s="115"/>
      <c r="I861" s="93">
        <v>33.0</v>
      </c>
      <c r="J861" s="93">
        <v>132.0</v>
      </c>
      <c r="K861" s="93"/>
      <c r="L861" s="56"/>
      <c r="M861" s="91"/>
    </row>
    <row r="862">
      <c r="A862" s="256"/>
      <c r="B862" s="111" t="s">
        <v>2863</v>
      </c>
      <c r="C862" s="118" t="s">
        <v>781</v>
      </c>
      <c r="D862" s="52">
        <f t="shared" ref="D862:E862" si="649">D842</f>
        <v>640.0704</v>
      </c>
      <c r="E862" s="52">
        <f t="shared" si="649"/>
        <v>692</v>
      </c>
      <c r="F862" s="109"/>
      <c r="G862" s="248">
        <f t="shared" si="644"/>
        <v>0.08113107558</v>
      </c>
      <c r="H862" s="115"/>
      <c r="I862" s="93">
        <v>33.0</v>
      </c>
      <c r="J862" s="93">
        <v>132.0</v>
      </c>
      <c r="K862" s="93"/>
      <c r="L862" s="56"/>
      <c r="M862" s="91"/>
    </row>
    <row r="863">
      <c r="A863" s="256"/>
      <c r="B863" s="111" t="s">
        <v>2866</v>
      </c>
      <c r="C863" s="118" t="s">
        <v>2465</v>
      </c>
      <c r="D863" s="52">
        <f t="shared" ref="D863:E863" si="650">D843</f>
        <v>945.52</v>
      </c>
      <c r="E863" s="52">
        <f t="shared" si="650"/>
        <v>1022</v>
      </c>
      <c r="F863" s="109"/>
      <c r="G863" s="248">
        <f t="shared" si="644"/>
        <v>0.08088670784</v>
      </c>
      <c r="H863" s="115"/>
      <c r="I863" s="93">
        <v>13.0</v>
      </c>
      <c r="J863" s="93">
        <v>52.0</v>
      </c>
      <c r="K863" s="93"/>
      <c r="L863" s="56"/>
      <c r="M863" s="91"/>
    </row>
    <row r="864">
      <c r="A864" s="256"/>
      <c r="B864" s="111" t="s">
        <v>2867</v>
      </c>
      <c r="C864" s="186" t="s">
        <v>2209</v>
      </c>
      <c r="D864" s="52">
        <f t="shared" ref="D864:E864" si="651">D844</f>
        <v>968</v>
      </c>
      <c r="E864" s="52">
        <f t="shared" si="651"/>
        <v>1046</v>
      </c>
      <c r="F864" s="109"/>
      <c r="G864" s="248">
        <f t="shared" si="644"/>
        <v>0.0805785124</v>
      </c>
      <c r="H864" s="115"/>
      <c r="I864" s="134">
        <v>30.0</v>
      </c>
      <c r="J864" s="134">
        <v>120.0</v>
      </c>
      <c r="K864" s="93"/>
      <c r="L864" s="56"/>
      <c r="M864" s="91"/>
    </row>
    <row r="865">
      <c r="A865" s="256"/>
      <c r="B865" s="111" t="s">
        <v>2868</v>
      </c>
      <c r="C865" s="118" t="s">
        <v>2468</v>
      </c>
      <c r="D865" s="52">
        <f t="shared" ref="D865:E865" si="652">D845</f>
        <v>968</v>
      </c>
      <c r="E865" s="52">
        <f t="shared" si="652"/>
        <v>1046</v>
      </c>
      <c r="F865" s="109"/>
      <c r="G865" s="248">
        <f t="shared" si="644"/>
        <v>0.0805785124</v>
      </c>
      <c r="H865" s="115"/>
      <c r="I865" s="93">
        <v>13.0</v>
      </c>
      <c r="J865" s="93">
        <v>52.0</v>
      </c>
      <c r="K865" s="93"/>
      <c r="L865" s="56"/>
      <c r="M865" s="91"/>
    </row>
    <row r="866">
      <c r="A866" s="256"/>
      <c r="B866" s="111" t="s">
        <v>1329</v>
      </c>
      <c r="C866" s="118" t="s">
        <v>523</v>
      </c>
      <c r="D866" s="52">
        <f t="shared" ref="D866:E866" si="653">D846</f>
        <v>2753.88</v>
      </c>
      <c r="E866" s="52">
        <f t="shared" si="653"/>
        <v>2966</v>
      </c>
      <c r="F866" s="109"/>
      <c r="G866" s="248">
        <f t="shared" si="644"/>
        <v>0.07702586896</v>
      </c>
      <c r="H866" s="115"/>
      <c r="I866" s="93"/>
      <c r="J866" s="93"/>
      <c r="K866" s="93"/>
      <c r="L866" s="56"/>
      <c r="M866" s="91"/>
    </row>
    <row r="867">
      <c r="A867" s="256"/>
      <c r="B867" s="111" t="s">
        <v>2869</v>
      </c>
      <c r="C867" s="118" t="s">
        <v>1124</v>
      </c>
      <c r="D867" s="52">
        <f t="shared" ref="D867:E867" si="654">D847</f>
        <v>2429.52</v>
      </c>
      <c r="E867" s="52">
        <f t="shared" si="654"/>
        <v>2626</v>
      </c>
      <c r="F867" s="109"/>
      <c r="G867" s="248">
        <f t="shared" si="644"/>
        <v>0.08087194178</v>
      </c>
      <c r="H867" s="115"/>
      <c r="I867" s="93">
        <v>6.0</v>
      </c>
      <c r="J867" s="93">
        <v>24.0</v>
      </c>
      <c r="K867" s="93"/>
      <c r="L867" s="56"/>
      <c r="M867" s="91"/>
    </row>
    <row r="868">
      <c r="A868" s="256"/>
      <c r="B868" s="111" t="s">
        <v>2870</v>
      </c>
      <c r="C868" s="118" t="s">
        <v>395</v>
      </c>
      <c r="D868" s="52">
        <f t="shared" ref="D868:E868" si="655">D848</f>
        <v>422</v>
      </c>
      <c r="E868" s="52">
        <f t="shared" si="655"/>
        <v>458</v>
      </c>
      <c r="F868" s="109"/>
      <c r="G868" s="248">
        <f t="shared" si="644"/>
        <v>0.08530805687</v>
      </c>
      <c r="H868" s="115"/>
      <c r="I868" s="93">
        <v>66.0</v>
      </c>
      <c r="J868" s="93">
        <v>264.0</v>
      </c>
      <c r="K868" s="93"/>
      <c r="L868" s="56"/>
      <c r="M868" s="91"/>
    </row>
    <row r="869">
      <c r="A869" s="256"/>
      <c r="B869" s="111" t="s">
        <v>2871</v>
      </c>
      <c r="C869" s="118" t="s">
        <v>359</v>
      </c>
      <c r="D869" s="52">
        <f t="shared" ref="D869:E869" si="656">D849</f>
        <v>841.64</v>
      </c>
      <c r="E869" s="52">
        <f t="shared" si="656"/>
        <v>908</v>
      </c>
      <c r="F869" s="109"/>
      <c r="G869" s="248">
        <f t="shared" si="644"/>
        <v>0.07884606245</v>
      </c>
      <c r="H869" s="115"/>
      <c r="I869" s="93">
        <v>23.0</v>
      </c>
      <c r="J869" s="93">
        <v>92.0</v>
      </c>
      <c r="K869" s="93"/>
      <c r="L869" s="56"/>
      <c r="M869" s="91"/>
    </row>
    <row r="870">
      <c r="A870" s="256"/>
      <c r="B870" s="111" t="s">
        <v>2875</v>
      </c>
      <c r="C870" s="118" t="s">
        <v>1137</v>
      </c>
      <c r="D870" s="52">
        <f t="shared" ref="D870:E870" si="657">D850</f>
        <v>832</v>
      </c>
      <c r="E870" s="52">
        <f t="shared" si="657"/>
        <v>898</v>
      </c>
      <c r="F870" s="109"/>
      <c r="G870" s="248">
        <f t="shared" si="644"/>
        <v>0.07932692308</v>
      </c>
      <c r="H870" s="115"/>
      <c r="I870" s="93">
        <v>30.0</v>
      </c>
      <c r="J870" s="93">
        <v>120.0</v>
      </c>
      <c r="K870" s="93"/>
      <c r="L870" s="56"/>
      <c r="M870" s="91"/>
    </row>
    <row r="871">
      <c r="A871" s="256"/>
      <c r="B871" s="111" t="s">
        <v>2877</v>
      </c>
      <c r="C871" s="118" t="s">
        <v>1141</v>
      </c>
      <c r="D871" s="52">
        <f t="shared" ref="D871:E871" si="658">D851</f>
        <v>998</v>
      </c>
      <c r="E871" s="52">
        <f t="shared" si="658"/>
        <v>1086</v>
      </c>
      <c r="F871" s="109"/>
      <c r="G871" s="248">
        <f t="shared" si="644"/>
        <v>0.08817635271</v>
      </c>
      <c r="H871" s="93"/>
      <c r="I871" s="93">
        <v>30.0</v>
      </c>
      <c r="J871" s="93">
        <v>120.0</v>
      </c>
      <c r="K871" s="93"/>
      <c r="L871" s="56"/>
      <c r="M871" s="91"/>
    </row>
    <row r="872">
      <c r="A872" s="256"/>
      <c r="B872" s="270" t="s">
        <v>2878</v>
      </c>
      <c r="C872" s="277" t="s">
        <v>1145</v>
      </c>
      <c r="D872" s="52">
        <f t="shared" ref="D872:E872" si="659">D852</f>
        <v>1992</v>
      </c>
      <c r="E872" s="52">
        <f t="shared" si="659"/>
        <v>2148</v>
      </c>
      <c r="F872" s="109"/>
      <c r="G872" s="248">
        <f t="shared" si="644"/>
        <v>0.07831325301</v>
      </c>
      <c r="H872" s="93"/>
      <c r="I872" s="93">
        <v>14.0</v>
      </c>
      <c r="J872" s="93">
        <v>56.0</v>
      </c>
      <c r="K872" s="93"/>
      <c r="L872" s="56"/>
      <c r="M872" s="91"/>
    </row>
    <row r="873">
      <c r="A873" s="256"/>
      <c r="B873" s="111" t="s">
        <v>2879</v>
      </c>
      <c r="C873" s="118" t="s">
        <v>2219</v>
      </c>
      <c r="D873" s="52">
        <f t="shared" ref="D873:E873" si="660">D853</f>
        <v>2336.24</v>
      </c>
      <c r="E873" s="52">
        <f t="shared" si="660"/>
        <v>2526</v>
      </c>
      <c r="F873" s="109"/>
      <c r="G873" s="248">
        <f t="shared" si="644"/>
        <v>0.08122453173</v>
      </c>
      <c r="H873" s="115"/>
      <c r="I873" s="93">
        <v>14.0</v>
      </c>
      <c r="J873" s="93">
        <v>56.0</v>
      </c>
      <c r="K873" s="93"/>
      <c r="L873" s="56"/>
      <c r="M873" s="91"/>
    </row>
    <row r="874" ht="18.75" customHeight="1">
      <c r="A874" s="133"/>
      <c r="B874" s="149"/>
      <c r="C874" s="204"/>
      <c r="D874" s="259"/>
      <c r="E874" s="109"/>
      <c r="F874" s="109"/>
      <c r="G874" s="248"/>
      <c r="H874" s="115"/>
      <c r="I874" s="93"/>
      <c r="J874" s="93"/>
      <c r="K874" s="93"/>
      <c r="L874" s="56"/>
      <c r="M874" s="91"/>
    </row>
    <row r="875" ht="18.75" customHeight="1">
      <c r="A875" s="133"/>
      <c r="B875" s="107" t="s">
        <v>3487</v>
      </c>
      <c r="C875" s="166"/>
      <c r="D875" s="410"/>
      <c r="E875" s="343"/>
      <c r="F875" s="109"/>
      <c r="G875" s="248"/>
      <c r="H875" s="115"/>
      <c r="I875" s="93"/>
      <c r="J875" s="93"/>
      <c r="K875" s="93"/>
      <c r="L875" s="56"/>
      <c r="M875" s="258"/>
    </row>
    <row r="876">
      <c r="A876" s="133"/>
      <c r="B876" s="111" t="s">
        <v>2896</v>
      </c>
      <c r="C876" s="118" t="s">
        <v>306</v>
      </c>
      <c r="D876" s="52">
        <v>266.20000000000005</v>
      </c>
      <c r="E876" s="52">
        <v>288.0</v>
      </c>
      <c r="F876" s="109">
        <f t="shared" ref="F876:F891" si="661">H876*1.1</f>
        <v>288.2</v>
      </c>
      <c r="G876" s="248">
        <f t="shared" ref="G876:G891" si="662">IFERROR(DIVIDE(MINUS(E876,D876),D876),)</f>
        <v>0.0818933133</v>
      </c>
      <c r="H876" s="132">
        <f>VLOOKUP(M876,'NEW PTMT'!$B$4:$E1406,4,0)</f>
        <v>262</v>
      </c>
      <c r="I876" s="93">
        <v>108.0</v>
      </c>
      <c r="J876" s="93">
        <v>324.0</v>
      </c>
      <c r="K876" s="93"/>
      <c r="L876" s="56"/>
      <c r="M876" s="126" t="s">
        <v>1321</v>
      </c>
    </row>
    <row r="877">
      <c r="A877" s="133"/>
      <c r="B877" s="111" t="s">
        <v>1336</v>
      </c>
      <c r="C877" s="118" t="s">
        <v>748</v>
      </c>
      <c r="D877" s="52">
        <v>280.0</v>
      </c>
      <c r="E877" s="52">
        <v>302.0</v>
      </c>
      <c r="F877" s="109">
        <f t="shared" si="661"/>
        <v>301.4</v>
      </c>
      <c r="G877" s="248">
        <f t="shared" si="662"/>
        <v>0.07857142857</v>
      </c>
      <c r="H877" s="132">
        <f>VLOOKUP(M877,'NEW PTMT'!$B$4:$E1406,4,0)</f>
        <v>274</v>
      </c>
      <c r="I877" s="93"/>
      <c r="J877" s="93"/>
      <c r="K877" s="93"/>
      <c r="L877" s="56"/>
      <c r="M877" s="126" t="s">
        <v>1323</v>
      </c>
    </row>
    <row r="878">
      <c r="A878" s="133"/>
      <c r="B878" s="111" t="s">
        <v>2897</v>
      </c>
      <c r="C878" s="118" t="s">
        <v>751</v>
      </c>
      <c r="D878" s="52">
        <v>368.0</v>
      </c>
      <c r="E878" s="52">
        <v>398.0</v>
      </c>
      <c r="F878" s="109">
        <f t="shared" si="661"/>
        <v>398.2</v>
      </c>
      <c r="G878" s="248">
        <f t="shared" si="662"/>
        <v>0.08152173913</v>
      </c>
      <c r="H878" s="132">
        <f>VLOOKUP(M878,'NEW PTMT'!$B$4:$E1406,4,0)</f>
        <v>362</v>
      </c>
      <c r="I878" s="93">
        <v>54.0</v>
      </c>
      <c r="J878" s="93">
        <v>216.0</v>
      </c>
      <c r="K878" s="93"/>
      <c r="L878" s="56"/>
      <c r="M878" s="126" t="s">
        <v>1326</v>
      </c>
    </row>
    <row r="879">
      <c r="A879" s="133"/>
      <c r="B879" s="111" t="s">
        <v>2898</v>
      </c>
      <c r="C879" s="118" t="s">
        <v>363</v>
      </c>
      <c r="D879" s="52">
        <v>314.16</v>
      </c>
      <c r="E879" s="52">
        <v>338.0</v>
      </c>
      <c r="F879" s="109">
        <f t="shared" si="661"/>
        <v>338.8</v>
      </c>
      <c r="G879" s="248">
        <f t="shared" si="662"/>
        <v>0.07588489941</v>
      </c>
      <c r="H879" s="132">
        <f>VLOOKUP(M879,'NEW PTMT'!$B$4:$E1406,4,0)</f>
        <v>308</v>
      </c>
      <c r="I879" s="93">
        <v>66.0</v>
      </c>
      <c r="J879" s="93">
        <v>198.0</v>
      </c>
      <c r="K879" s="93"/>
      <c r="L879" s="56"/>
      <c r="M879" s="126" t="s">
        <v>1327</v>
      </c>
    </row>
    <row r="880">
      <c r="A880" s="133"/>
      <c r="B880" s="111" t="s">
        <v>2901</v>
      </c>
      <c r="C880" s="118" t="s">
        <v>378</v>
      </c>
      <c r="D880" s="52">
        <v>570.0</v>
      </c>
      <c r="E880" s="52">
        <v>614.0</v>
      </c>
      <c r="F880" s="109">
        <f t="shared" si="661"/>
        <v>613.8</v>
      </c>
      <c r="G880" s="248">
        <f t="shared" si="662"/>
        <v>0.07719298246</v>
      </c>
      <c r="H880" s="132">
        <f>VLOOKUP(M880,'NEW PTMT'!$B$4:$E1406,4,0)</f>
        <v>558</v>
      </c>
      <c r="I880" s="93">
        <v>24.0</v>
      </c>
      <c r="J880" s="93">
        <v>96.0</v>
      </c>
      <c r="K880" s="93"/>
      <c r="L880" s="56"/>
      <c r="M880" s="126" t="s">
        <v>1330</v>
      </c>
    </row>
    <row r="881">
      <c r="A881" s="133"/>
      <c r="B881" s="111" t="s">
        <v>2904</v>
      </c>
      <c r="C881" s="118" t="s">
        <v>416</v>
      </c>
      <c r="D881" s="52">
        <v>366.0</v>
      </c>
      <c r="E881" s="52">
        <v>394.0</v>
      </c>
      <c r="F881" s="109">
        <f t="shared" si="661"/>
        <v>393.8</v>
      </c>
      <c r="G881" s="248">
        <f t="shared" si="662"/>
        <v>0.07650273224</v>
      </c>
      <c r="H881" s="132">
        <f>VLOOKUP(M881,'NEW PTMT'!$B$4:$E1406,4,0)</f>
        <v>358</v>
      </c>
      <c r="I881" s="93">
        <v>30.0</v>
      </c>
      <c r="J881" s="93">
        <v>120.0</v>
      </c>
      <c r="K881" s="93"/>
      <c r="L881" s="56"/>
      <c r="M881" s="126" t="s">
        <v>1331</v>
      </c>
    </row>
    <row r="882">
      <c r="A882" s="133"/>
      <c r="B882" s="111" t="s">
        <v>2905</v>
      </c>
      <c r="C882" s="118" t="s">
        <v>692</v>
      </c>
      <c r="D882" s="52">
        <v>740.0</v>
      </c>
      <c r="E882" s="52">
        <v>798.0</v>
      </c>
      <c r="F882" s="109">
        <f t="shared" si="661"/>
        <v>798.6</v>
      </c>
      <c r="G882" s="248">
        <f t="shared" si="662"/>
        <v>0.07837837838</v>
      </c>
      <c r="H882" s="132">
        <f>VLOOKUP(M882,'NEW PTMT'!$B$4:$E1406,4,0)</f>
        <v>726</v>
      </c>
      <c r="I882" s="93">
        <v>13.0</v>
      </c>
      <c r="J882" s="93">
        <v>52.0</v>
      </c>
      <c r="K882" s="93"/>
      <c r="L882" s="56"/>
      <c r="M882" s="126" t="s">
        <v>1332</v>
      </c>
    </row>
    <row r="883">
      <c r="A883" s="133"/>
      <c r="B883" s="111" t="s">
        <v>2906</v>
      </c>
      <c r="C883" s="118" t="s">
        <v>3488</v>
      </c>
      <c r="D883" s="52">
        <v>674.0</v>
      </c>
      <c r="E883" s="52">
        <v>728.0</v>
      </c>
      <c r="F883" s="109">
        <f t="shared" si="661"/>
        <v>728.2</v>
      </c>
      <c r="G883" s="248">
        <f t="shared" si="662"/>
        <v>0.08011869436</v>
      </c>
      <c r="H883" s="132">
        <f>VLOOKUP(M883,'NEW PTMT'!$B$4:$E1406,4,0)</f>
        <v>662</v>
      </c>
      <c r="I883" s="93">
        <v>30.0</v>
      </c>
      <c r="J883" s="93">
        <v>120.0</v>
      </c>
      <c r="K883" s="93"/>
      <c r="L883" s="56"/>
      <c r="M883" s="126" t="s">
        <v>1334</v>
      </c>
    </row>
    <row r="884">
      <c r="A884" s="133"/>
      <c r="B884" s="111" t="s">
        <v>2907</v>
      </c>
      <c r="C884" s="118" t="s">
        <v>2468</v>
      </c>
      <c r="D884" s="52">
        <v>740.0</v>
      </c>
      <c r="E884" s="52">
        <v>798.0</v>
      </c>
      <c r="F884" s="109">
        <f t="shared" si="661"/>
        <v>798.6</v>
      </c>
      <c r="G884" s="248">
        <f t="shared" si="662"/>
        <v>0.07837837838</v>
      </c>
      <c r="H884" s="132">
        <f>VLOOKUP(M884,'NEW PTMT'!$B$4:$E1406,4,0)</f>
        <v>726</v>
      </c>
      <c r="I884" s="93">
        <v>13.0</v>
      </c>
      <c r="J884" s="93">
        <v>52.0</v>
      </c>
      <c r="K884" s="93"/>
      <c r="L884" s="56"/>
      <c r="M884" s="126" t="s">
        <v>1337</v>
      </c>
    </row>
    <row r="885">
      <c r="A885" s="133"/>
      <c r="B885" s="111" t="s">
        <v>2910</v>
      </c>
      <c r="C885" s="118" t="s">
        <v>913</v>
      </c>
      <c r="D885" s="52">
        <v>1390.0</v>
      </c>
      <c r="E885" s="52">
        <v>1498.0</v>
      </c>
      <c r="F885" s="109">
        <f t="shared" si="661"/>
        <v>1500.4</v>
      </c>
      <c r="G885" s="248">
        <f t="shared" si="662"/>
        <v>0.07769784173</v>
      </c>
      <c r="H885" s="132">
        <f>VLOOKUP(M885,'NEW PTMT'!$B$4:$E1406,4,0)</f>
        <v>1364</v>
      </c>
      <c r="I885" s="93">
        <v>13.0</v>
      </c>
      <c r="J885" s="93">
        <v>52.0</v>
      </c>
      <c r="K885" s="93"/>
      <c r="L885" s="56"/>
      <c r="M885" s="126" t="s">
        <v>1339</v>
      </c>
    </row>
    <row r="886">
      <c r="A886" s="133"/>
      <c r="B886" s="123" t="s">
        <v>2913</v>
      </c>
      <c r="C886" s="124" t="s">
        <v>1949</v>
      </c>
      <c r="D886" s="125">
        <v>1280.4</v>
      </c>
      <c r="E886" s="52">
        <v>1384.0</v>
      </c>
      <c r="F886" s="109">
        <f t="shared" si="661"/>
        <v>1383.8</v>
      </c>
      <c r="G886" s="248">
        <f t="shared" si="662"/>
        <v>0.08091221493</v>
      </c>
      <c r="H886" s="132">
        <f>VLOOKUP(M886,'NEW PTMT'!$B$4:$E1406,4,0)</f>
        <v>1258</v>
      </c>
      <c r="I886" s="93">
        <v>13.0</v>
      </c>
      <c r="J886" s="93">
        <v>52.0</v>
      </c>
      <c r="K886" s="93"/>
      <c r="L886" s="56"/>
      <c r="M886" s="126" t="s">
        <v>1341</v>
      </c>
    </row>
    <row r="887">
      <c r="A887" s="133"/>
      <c r="B887" s="111" t="s">
        <v>2914</v>
      </c>
      <c r="C887" s="118" t="s">
        <v>1598</v>
      </c>
      <c r="D887" s="52">
        <v>1680.3072</v>
      </c>
      <c r="E887" s="52">
        <v>1814.0</v>
      </c>
      <c r="F887" s="109">
        <f t="shared" si="661"/>
        <v>1812.8</v>
      </c>
      <c r="G887" s="248">
        <f t="shared" si="662"/>
        <v>0.07956449868</v>
      </c>
      <c r="H887" s="132">
        <f>VLOOKUP(M887,'NEW PTMT'!$B$4:$E1406,4,0)</f>
        <v>1648</v>
      </c>
      <c r="I887" s="93">
        <v>6.0</v>
      </c>
      <c r="J887" s="93">
        <v>24.0</v>
      </c>
      <c r="K887" s="93"/>
      <c r="L887" s="56"/>
      <c r="M887" s="126" t="s">
        <v>1343</v>
      </c>
    </row>
    <row r="888">
      <c r="A888" s="133"/>
      <c r="B888" s="111" t="s">
        <v>2915</v>
      </c>
      <c r="C888" s="118" t="s">
        <v>395</v>
      </c>
      <c r="D888" s="52">
        <v>259.6</v>
      </c>
      <c r="E888" s="52">
        <v>282.0</v>
      </c>
      <c r="F888" s="109">
        <f t="shared" si="661"/>
        <v>281.6</v>
      </c>
      <c r="G888" s="248">
        <f t="shared" si="662"/>
        <v>0.08628659476</v>
      </c>
      <c r="H888" s="132">
        <f>VLOOKUP(M888,'NEW PTMT'!$B$4:$E1406,4,0)</f>
        <v>256</v>
      </c>
      <c r="I888" s="93">
        <v>90.0</v>
      </c>
      <c r="J888" s="93">
        <v>270.0</v>
      </c>
      <c r="K888" s="93"/>
      <c r="L888" s="56"/>
      <c r="M888" s="126" t="s">
        <v>1345</v>
      </c>
    </row>
    <row r="889">
      <c r="A889" s="133"/>
      <c r="B889" s="111" t="s">
        <v>2916</v>
      </c>
      <c r="C889" s="118" t="s">
        <v>359</v>
      </c>
      <c r="D889" s="52">
        <v>560.0</v>
      </c>
      <c r="E889" s="52">
        <v>598.0</v>
      </c>
      <c r="F889" s="109">
        <f t="shared" si="661"/>
        <v>600.6</v>
      </c>
      <c r="G889" s="248">
        <f t="shared" si="662"/>
        <v>0.06785714286</v>
      </c>
      <c r="H889" s="132">
        <f>VLOOKUP(M889,'NEW PTMT'!$B$4:$E1406,4,0)</f>
        <v>546</v>
      </c>
      <c r="I889" s="93">
        <v>30.0</v>
      </c>
      <c r="J889" s="93">
        <v>120.0</v>
      </c>
      <c r="K889" s="93"/>
      <c r="L889" s="56"/>
      <c r="M889" s="126" t="s">
        <v>1347</v>
      </c>
    </row>
    <row r="890">
      <c r="A890" s="133"/>
      <c r="B890" s="111" t="s">
        <v>2918</v>
      </c>
      <c r="C890" s="118" t="s">
        <v>1137</v>
      </c>
      <c r="D890" s="52">
        <v>670.0</v>
      </c>
      <c r="E890" s="52">
        <v>724.0</v>
      </c>
      <c r="F890" s="109">
        <f t="shared" si="661"/>
        <v>723.8</v>
      </c>
      <c r="G890" s="248">
        <f t="shared" si="662"/>
        <v>0.08059701493</v>
      </c>
      <c r="H890" s="132">
        <f>VLOOKUP(M890,'NEW PTMT'!$B$4:$E1406,4,0)</f>
        <v>658</v>
      </c>
      <c r="I890" s="93">
        <v>30.0</v>
      </c>
      <c r="J890" s="93">
        <v>120.0</v>
      </c>
      <c r="K890" s="93"/>
      <c r="L890" s="56"/>
      <c r="M890" s="126" t="s">
        <v>1349</v>
      </c>
    </row>
    <row r="891">
      <c r="A891" s="133"/>
      <c r="B891" s="111" t="s">
        <v>2921</v>
      </c>
      <c r="C891" s="118" t="s">
        <v>731</v>
      </c>
      <c r="D891" s="52">
        <v>432.0</v>
      </c>
      <c r="E891" s="52">
        <v>466.0</v>
      </c>
      <c r="F891" s="109">
        <f t="shared" si="661"/>
        <v>466.4</v>
      </c>
      <c r="G891" s="248">
        <f t="shared" si="662"/>
        <v>0.0787037037</v>
      </c>
      <c r="H891" s="132">
        <f>VLOOKUP(M891,'NEW PTMT'!$B$4:$E1406,4,0)</f>
        <v>424</v>
      </c>
      <c r="I891" s="93">
        <v>66.0</v>
      </c>
      <c r="J891" s="93">
        <v>198.0</v>
      </c>
      <c r="K891" s="93"/>
      <c r="L891" s="56"/>
      <c r="M891" s="126" t="s">
        <v>1352</v>
      </c>
    </row>
    <row r="892" ht="18.75" customHeight="1">
      <c r="A892" s="133"/>
      <c r="B892" s="149"/>
      <c r="C892" s="204"/>
      <c r="D892" s="259"/>
      <c r="E892" s="109"/>
      <c r="F892" s="132"/>
      <c r="G892" s="248"/>
      <c r="H892" s="115"/>
      <c r="I892" s="93"/>
      <c r="J892" s="93"/>
      <c r="K892" s="93"/>
      <c r="L892" s="56"/>
      <c r="M892" s="91"/>
    </row>
    <row r="893" ht="18.75" customHeight="1">
      <c r="A893" s="133"/>
      <c r="B893" s="107" t="s">
        <v>3489</v>
      </c>
      <c r="C893" s="166"/>
      <c r="D893" s="410"/>
      <c r="E893" s="343"/>
      <c r="F893" s="132"/>
      <c r="G893" s="248"/>
      <c r="H893" s="115"/>
      <c r="I893" s="93"/>
      <c r="J893" s="93"/>
      <c r="K893" s="93"/>
      <c r="L893" s="56"/>
      <c r="M893" s="91"/>
    </row>
    <row r="894">
      <c r="A894" s="133"/>
      <c r="B894" s="111" t="s">
        <v>2923</v>
      </c>
      <c r="C894" s="118" t="s">
        <v>306</v>
      </c>
      <c r="D894" s="52">
        <f t="shared" ref="D894:E894" si="663">D876</f>
        <v>266.2</v>
      </c>
      <c r="E894" s="52">
        <f t="shared" si="663"/>
        <v>288</v>
      </c>
      <c r="F894" s="132"/>
      <c r="G894" s="248">
        <f t="shared" ref="G894:G909" si="665">IFERROR(DIVIDE(MINUS(E894,D894),D894),)</f>
        <v>0.0818933133</v>
      </c>
      <c r="H894" s="115"/>
      <c r="I894" s="93">
        <v>108.0</v>
      </c>
      <c r="J894" s="93">
        <v>324.0</v>
      </c>
      <c r="K894" s="93"/>
      <c r="L894" s="56"/>
      <c r="M894" s="91"/>
    </row>
    <row r="895">
      <c r="A895" s="133"/>
      <c r="B895" s="111" t="s">
        <v>1340</v>
      </c>
      <c r="C895" s="118" t="s">
        <v>748</v>
      </c>
      <c r="D895" s="52">
        <f t="shared" ref="D895:E895" si="664">D877</f>
        <v>280</v>
      </c>
      <c r="E895" s="52">
        <f t="shared" si="664"/>
        <v>302</v>
      </c>
      <c r="F895" s="132"/>
      <c r="G895" s="248">
        <f t="shared" si="665"/>
        <v>0.07857142857</v>
      </c>
      <c r="H895" s="115"/>
      <c r="I895" s="93"/>
      <c r="J895" s="93"/>
      <c r="K895" s="93"/>
      <c r="L895" s="56"/>
      <c r="M895" s="91"/>
    </row>
    <row r="896">
      <c r="A896" s="133"/>
      <c r="B896" s="111" t="s">
        <v>2924</v>
      </c>
      <c r="C896" s="118" t="s">
        <v>751</v>
      </c>
      <c r="D896" s="52">
        <f t="shared" ref="D896:E896" si="666">D878</f>
        <v>368</v>
      </c>
      <c r="E896" s="52">
        <f t="shared" si="666"/>
        <v>398</v>
      </c>
      <c r="F896" s="132"/>
      <c r="G896" s="248">
        <f t="shared" si="665"/>
        <v>0.08152173913</v>
      </c>
      <c r="H896" s="115"/>
      <c r="I896" s="93">
        <v>54.0</v>
      </c>
      <c r="J896" s="93">
        <v>216.0</v>
      </c>
      <c r="K896" s="93"/>
      <c r="L896" s="56"/>
      <c r="M896" s="91"/>
    </row>
    <row r="897">
      <c r="A897" s="133"/>
      <c r="B897" s="111" t="s">
        <v>2927</v>
      </c>
      <c r="C897" s="118" t="s">
        <v>363</v>
      </c>
      <c r="D897" s="52">
        <f t="shared" ref="D897:E897" si="667">D879</f>
        <v>314.16</v>
      </c>
      <c r="E897" s="52">
        <f t="shared" si="667"/>
        <v>338</v>
      </c>
      <c r="F897" s="132"/>
      <c r="G897" s="248">
        <f t="shared" si="665"/>
        <v>0.07588489941</v>
      </c>
      <c r="H897" s="115"/>
      <c r="I897" s="93">
        <v>66.0</v>
      </c>
      <c r="J897" s="93">
        <v>198.0</v>
      </c>
      <c r="K897" s="93"/>
      <c r="L897" s="56"/>
      <c r="M897" s="91"/>
    </row>
    <row r="898">
      <c r="A898" s="133"/>
      <c r="B898" s="111" t="s">
        <v>2930</v>
      </c>
      <c r="C898" s="118" t="s">
        <v>378</v>
      </c>
      <c r="D898" s="52">
        <f t="shared" ref="D898:E898" si="668">D880</f>
        <v>570</v>
      </c>
      <c r="E898" s="52">
        <f t="shared" si="668"/>
        <v>614</v>
      </c>
      <c r="F898" s="132"/>
      <c r="G898" s="248">
        <f t="shared" si="665"/>
        <v>0.07719298246</v>
      </c>
      <c r="H898" s="115"/>
      <c r="I898" s="93">
        <v>24.0</v>
      </c>
      <c r="J898" s="93">
        <v>96.0</v>
      </c>
      <c r="K898" s="93"/>
      <c r="L898" s="56"/>
      <c r="M898" s="91"/>
    </row>
    <row r="899">
      <c r="A899" s="133"/>
      <c r="B899" s="111" t="s">
        <v>2931</v>
      </c>
      <c r="C899" s="118" t="s">
        <v>416</v>
      </c>
      <c r="D899" s="52">
        <f t="shared" ref="D899:E899" si="669">D881</f>
        <v>366</v>
      </c>
      <c r="E899" s="52">
        <f t="shared" si="669"/>
        <v>394</v>
      </c>
      <c r="F899" s="132"/>
      <c r="G899" s="248">
        <f t="shared" si="665"/>
        <v>0.07650273224</v>
      </c>
      <c r="H899" s="115"/>
      <c r="I899" s="93">
        <v>30.0</v>
      </c>
      <c r="J899" s="93">
        <v>120.0</v>
      </c>
      <c r="K899" s="93"/>
      <c r="L899" s="56"/>
      <c r="M899" s="91"/>
    </row>
    <row r="900">
      <c r="A900" s="133"/>
      <c r="B900" s="111" t="s">
        <v>2932</v>
      </c>
      <c r="C900" s="118" t="s">
        <v>692</v>
      </c>
      <c r="D900" s="52">
        <f t="shared" ref="D900:E900" si="670">D882</f>
        <v>740</v>
      </c>
      <c r="E900" s="52">
        <f t="shared" si="670"/>
        <v>798</v>
      </c>
      <c r="F900" s="132"/>
      <c r="G900" s="248">
        <f t="shared" si="665"/>
        <v>0.07837837838</v>
      </c>
      <c r="H900" s="115"/>
      <c r="I900" s="93">
        <v>13.0</v>
      </c>
      <c r="J900" s="93">
        <v>52.0</v>
      </c>
      <c r="K900" s="93"/>
      <c r="L900" s="56"/>
      <c r="M900" s="91"/>
    </row>
    <row r="901">
      <c r="A901" s="133"/>
      <c r="B901" s="111" t="s">
        <v>2933</v>
      </c>
      <c r="C901" s="118" t="s">
        <v>3488</v>
      </c>
      <c r="D901" s="52">
        <f t="shared" ref="D901:E901" si="671">D883</f>
        <v>674</v>
      </c>
      <c r="E901" s="52">
        <f t="shared" si="671"/>
        <v>728</v>
      </c>
      <c r="F901" s="132"/>
      <c r="G901" s="248">
        <f t="shared" si="665"/>
        <v>0.08011869436</v>
      </c>
      <c r="H901" s="115"/>
      <c r="I901" s="93">
        <v>30.0</v>
      </c>
      <c r="J901" s="93">
        <v>120.0</v>
      </c>
      <c r="K901" s="93"/>
      <c r="L901" s="56"/>
      <c r="M901" s="91"/>
    </row>
    <row r="902">
      <c r="A902" s="133"/>
      <c r="B902" s="111" t="s">
        <v>2934</v>
      </c>
      <c r="C902" s="118" t="s">
        <v>2468</v>
      </c>
      <c r="D902" s="52">
        <f t="shared" ref="D902:E902" si="672">D884</f>
        <v>740</v>
      </c>
      <c r="E902" s="52">
        <f t="shared" si="672"/>
        <v>798</v>
      </c>
      <c r="F902" s="132"/>
      <c r="G902" s="248">
        <f t="shared" si="665"/>
        <v>0.07837837838</v>
      </c>
      <c r="H902" s="115"/>
      <c r="I902" s="93">
        <v>13.0</v>
      </c>
      <c r="J902" s="93">
        <v>52.0</v>
      </c>
      <c r="K902" s="93"/>
      <c r="L902" s="56"/>
      <c r="M902" s="91"/>
    </row>
    <row r="903">
      <c r="A903" s="133"/>
      <c r="B903" s="111" t="s">
        <v>2935</v>
      </c>
      <c r="C903" s="118" t="s">
        <v>913</v>
      </c>
      <c r="D903" s="52">
        <f t="shared" ref="D903:E903" si="673">D885</f>
        <v>1390</v>
      </c>
      <c r="E903" s="52">
        <f t="shared" si="673"/>
        <v>1498</v>
      </c>
      <c r="F903" s="132"/>
      <c r="G903" s="248">
        <f t="shared" si="665"/>
        <v>0.07769784173</v>
      </c>
      <c r="H903" s="115"/>
      <c r="I903" s="93">
        <v>13.0</v>
      </c>
      <c r="J903" s="93">
        <v>52.0</v>
      </c>
      <c r="K903" s="93"/>
      <c r="L903" s="56"/>
      <c r="M903" s="91"/>
    </row>
    <row r="904">
      <c r="A904" s="133"/>
      <c r="B904" s="123" t="s">
        <v>2936</v>
      </c>
      <c r="C904" s="124" t="s">
        <v>1949</v>
      </c>
      <c r="D904" s="52">
        <f t="shared" ref="D904:E904" si="674">D886</f>
        <v>1280.4</v>
      </c>
      <c r="E904" s="52">
        <f t="shared" si="674"/>
        <v>1384</v>
      </c>
      <c r="F904" s="132"/>
      <c r="G904" s="248">
        <f t="shared" si="665"/>
        <v>0.08091221493</v>
      </c>
      <c r="H904" s="115"/>
      <c r="I904" s="93">
        <v>13.0</v>
      </c>
      <c r="J904" s="93">
        <v>52.0</v>
      </c>
      <c r="K904" s="93"/>
      <c r="L904" s="56"/>
      <c r="M904" s="91"/>
    </row>
    <row r="905">
      <c r="A905" s="133"/>
      <c r="B905" s="111" t="s">
        <v>2937</v>
      </c>
      <c r="C905" s="118" t="s">
        <v>1598</v>
      </c>
      <c r="D905" s="52">
        <f t="shared" ref="D905:E905" si="675">D887</f>
        <v>1680.3072</v>
      </c>
      <c r="E905" s="52">
        <f t="shared" si="675"/>
        <v>1814</v>
      </c>
      <c r="F905" s="132"/>
      <c r="G905" s="248">
        <f t="shared" si="665"/>
        <v>0.07956449868</v>
      </c>
      <c r="H905" s="115"/>
      <c r="I905" s="93">
        <v>6.0</v>
      </c>
      <c r="J905" s="93">
        <v>24.0</v>
      </c>
      <c r="K905" s="93"/>
      <c r="L905" s="56"/>
      <c r="M905" s="91"/>
    </row>
    <row r="906">
      <c r="A906" s="133"/>
      <c r="B906" s="111" t="s">
        <v>2938</v>
      </c>
      <c r="C906" s="118" t="s">
        <v>395</v>
      </c>
      <c r="D906" s="52">
        <f t="shared" ref="D906:E906" si="676">D888</f>
        <v>259.6</v>
      </c>
      <c r="E906" s="52">
        <f t="shared" si="676"/>
        <v>282</v>
      </c>
      <c r="F906" s="132"/>
      <c r="G906" s="248">
        <f t="shared" si="665"/>
        <v>0.08628659476</v>
      </c>
      <c r="H906" s="115"/>
      <c r="I906" s="93">
        <v>90.0</v>
      </c>
      <c r="J906" s="93">
        <v>270.0</v>
      </c>
      <c r="K906" s="93"/>
      <c r="L906" s="56"/>
      <c r="M906" s="91"/>
    </row>
    <row r="907">
      <c r="A907" s="133"/>
      <c r="B907" s="111" t="s">
        <v>2940</v>
      </c>
      <c r="C907" s="118" t="s">
        <v>359</v>
      </c>
      <c r="D907" s="52">
        <f t="shared" ref="D907:E907" si="677">D889</f>
        <v>560</v>
      </c>
      <c r="E907" s="52">
        <f t="shared" si="677"/>
        <v>598</v>
      </c>
      <c r="F907" s="109"/>
      <c r="G907" s="248">
        <f t="shared" si="665"/>
        <v>0.06785714286</v>
      </c>
      <c r="H907" s="93"/>
      <c r="I907" s="93">
        <v>30.0</v>
      </c>
      <c r="J907" s="93">
        <v>120.0</v>
      </c>
      <c r="K907" s="93"/>
      <c r="L907" s="56"/>
      <c r="M907" s="91"/>
    </row>
    <row r="908">
      <c r="A908" s="133"/>
      <c r="B908" s="111" t="s">
        <v>2941</v>
      </c>
      <c r="C908" s="118" t="s">
        <v>1137</v>
      </c>
      <c r="D908" s="52">
        <f t="shared" ref="D908:E908" si="678">D890</f>
        <v>670</v>
      </c>
      <c r="E908" s="52">
        <f t="shared" si="678"/>
        <v>724</v>
      </c>
      <c r="F908" s="109"/>
      <c r="G908" s="248">
        <f t="shared" si="665"/>
        <v>0.08059701493</v>
      </c>
      <c r="H908" s="93"/>
      <c r="I908" s="93">
        <v>30.0</v>
      </c>
      <c r="J908" s="93">
        <v>120.0</v>
      </c>
      <c r="K908" s="93"/>
      <c r="L908" s="56"/>
      <c r="M908" s="91"/>
    </row>
    <row r="909">
      <c r="A909" s="133"/>
      <c r="B909" s="111" t="s">
        <v>2943</v>
      </c>
      <c r="C909" s="118" t="s">
        <v>731</v>
      </c>
      <c r="D909" s="52">
        <f t="shared" ref="D909:E909" si="679">D891</f>
        <v>432</v>
      </c>
      <c r="E909" s="52">
        <f t="shared" si="679"/>
        <v>466</v>
      </c>
      <c r="F909" s="132"/>
      <c r="G909" s="248">
        <f t="shared" si="665"/>
        <v>0.0787037037</v>
      </c>
      <c r="H909" s="115"/>
      <c r="I909" s="93">
        <v>66.0</v>
      </c>
      <c r="J909" s="93">
        <v>198.0</v>
      </c>
      <c r="K909" s="93"/>
      <c r="L909" s="56"/>
      <c r="M909" s="91"/>
    </row>
    <row r="910" ht="18.75" customHeight="1">
      <c r="A910" s="133"/>
      <c r="B910" s="149"/>
      <c r="C910" s="204"/>
      <c r="D910" s="109"/>
      <c r="E910" s="109"/>
      <c r="F910" s="132"/>
      <c r="G910" s="248"/>
      <c r="H910" s="115"/>
      <c r="I910" s="93"/>
      <c r="J910" s="93"/>
      <c r="K910" s="93"/>
      <c r="L910" s="56"/>
      <c r="M910" s="91"/>
    </row>
    <row r="911" ht="18.75" customHeight="1">
      <c r="A911" s="133"/>
      <c r="B911" s="107" t="s">
        <v>3490</v>
      </c>
      <c r="C911" s="166"/>
      <c r="D911" s="343"/>
      <c r="E911" s="343"/>
      <c r="F911" s="132"/>
      <c r="G911" s="248"/>
      <c r="H911" s="115"/>
      <c r="I911" s="93"/>
      <c r="J911" s="93"/>
      <c r="K911" s="93"/>
      <c r="L911" s="56"/>
      <c r="M911" s="91"/>
    </row>
    <row r="912">
      <c r="A912" s="133"/>
      <c r="B912" s="111" t="s">
        <v>2948</v>
      </c>
      <c r="C912" s="118" t="s">
        <v>306</v>
      </c>
      <c r="D912" s="52">
        <f t="shared" ref="D912:E912" si="680">D894</f>
        <v>266.2</v>
      </c>
      <c r="E912" s="52">
        <f t="shared" si="680"/>
        <v>288</v>
      </c>
      <c r="F912" s="132"/>
      <c r="G912" s="248">
        <f t="shared" ref="G912:G927" si="682">IFERROR(DIVIDE(MINUS(E912,D912),D912),)</f>
        <v>0.0818933133</v>
      </c>
      <c r="H912" s="115"/>
      <c r="I912" s="93">
        <v>108.0</v>
      </c>
      <c r="J912" s="93">
        <v>324.0</v>
      </c>
      <c r="K912" s="93"/>
      <c r="L912" s="56"/>
      <c r="M912" s="91"/>
    </row>
    <row r="913">
      <c r="A913" s="133"/>
      <c r="B913" s="111" t="s">
        <v>1344</v>
      </c>
      <c r="C913" s="118" t="s">
        <v>748</v>
      </c>
      <c r="D913" s="52">
        <f t="shared" ref="D913:E913" si="681">D895</f>
        <v>280</v>
      </c>
      <c r="E913" s="52">
        <f t="shared" si="681"/>
        <v>302</v>
      </c>
      <c r="F913" s="132"/>
      <c r="G913" s="248">
        <f t="shared" si="682"/>
        <v>0.07857142857</v>
      </c>
      <c r="H913" s="115"/>
      <c r="I913" s="93"/>
      <c r="J913" s="93"/>
      <c r="K913" s="93"/>
      <c r="L913" s="56"/>
      <c r="M913" s="91"/>
    </row>
    <row r="914">
      <c r="A914" s="133"/>
      <c r="B914" s="111" t="s">
        <v>2949</v>
      </c>
      <c r="C914" s="118" t="s">
        <v>751</v>
      </c>
      <c r="D914" s="52">
        <f t="shared" ref="D914:E914" si="683">D896</f>
        <v>368</v>
      </c>
      <c r="E914" s="52">
        <f t="shared" si="683"/>
        <v>398</v>
      </c>
      <c r="F914" s="132"/>
      <c r="G914" s="248">
        <f t="shared" si="682"/>
        <v>0.08152173913</v>
      </c>
      <c r="H914" s="115"/>
      <c r="I914" s="93">
        <v>54.0</v>
      </c>
      <c r="J914" s="93">
        <v>216.0</v>
      </c>
      <c r="K914" s="93"/>
      <c r="L914" s="56"/>
      <c r="M914" s="91"/>
    </row>
    <row r="915">
      <c r="A915" s="133"/>
      <c r="B915" s="111" t="s">
        <v>2950</v>
      </c>
      <c r="C915" s="118" t="s">
        <v>363</v>
      </c>
      <c r="D915" s="52">
        <f t="shared" ref="D915:E915" si="684">D897</f>
        <v>314.16</v>
      </c>
      <c r="E915" s="52">
        <f t="shared" si="684"/>
        <v>338</v>
      </c>
      <c r="F915" s="132"/>
      <c r="G915" s="248">
        <f t="shared" si="682"/>
        <v>0.07588489941</v>
      </c>
      <c r="H915" s="115"/>
      <c r="I915" s="93">
        <v>66.0</v>
      </c>
      <c r="J915" s="93">
        <v>198.0</v>
      </c>
      <c r="K915" s="93"/>
      <c r="L915" s="56"/>
      <c r="M915" s="91"/>
    </row>
    <row r="916">
      <c r="A916" s="133"/>
      <c r="B916" s="111" t="s">
        <v>2951</v>
      </c>
      <c r="C916" s="118" t="s">
        <v>378</v>
      </c>
      <c r="D916" s="52">
        <f t="shared" ref="D916:E916" si="685">D898</f>
        <v>570</v>
      </c>
      <c r="E916" s="52">
        <f t="shared" si="685"/>
        <v>614</v>
      </c>
      <c r="F916" s="132"/>
      <c r="G916" s="248">
        <f t="shared" si="682"/>
        <v>0.07719298246</v>
      </c>
      <c r="H916" s="115"/>
      <c r="I916" s="93">
        <v>24.0</v>
      </c>
      <c r="J916" s="93">
        <v>96.0</v>
      </c>
      <c r="K916" s="93"/>
      <c r="L916" s="56"/>
      <c r="M916" s="91"/>
    </row>
    <row r="917">
      <c r="A917" s="133"/>
      <c r="B917" s="111" t="s">
        <v>2952</v>
      </c>
      <c r="C917" s="118" t="s">
        <v>416</v>
      </c>
      <c r="D917" s="52">
        <f t="shared" ref="D917:E917" si="686">D899</f>
        <v>366</v>
      </c>
      <c r="E917" s="52">
        <f t="shared" si="686"/>
        <v>394</v>
      </c>
      <c r="F917" s="132"/>
      <c r="G917" s="248">
        <f t="shared" si="682"/>
        <v>0.07650273224</v>
      </c>
      <c r="H917" s="115"/>
      <c r="I917" s="93">
        <v>30.0</v>
      </c>
      <c r="J917" s="93">
        <v>120.0</v>
      </c>
      <c r="K917" s="93"/>
      <c r="L917" s="56"/>
      <c r="M917" s="91"/>
    </row>
    <row r="918">
      <c r="A918" s="133"/>
      <c r="B918" s="111" t="s">
        <v>2953</v>
      </c>
      <c r="C918" s="118" t="s">
        <v>692</v>
      </c>
      <c r="D918" s="52">
        <f t="shared" ref="D918:E918" si="687">D900</f>
        <v>740</v>
      </c>
      <c r="E918" s="52">
        <f t="shared" si="687"/>
        <v>798</v>
      </c>
      <c r="F918" s="132"/>
      <c r="G918" s="248">
        <f t="shared" si="682"/>
        <v>0.07837837838</v>
      </c>
      <c r="H918" s="115"/>
      <c r="I918" s="93">
        <v>13.0</v>
      </c>
      <c r="J918" s="93">
        <v>52.0</v>
      </c>
      <c r="K918" s="93"/>
      <c r="L918" s="56"/>
      <c r="M918" s="91"/>
    </row>
    <row r="919">
      <c r="A919" s="133"/>
      <c r="B919" s="111" t="s">
        <v>2954</v>
      </c>
      <c r="C919" s="118" t="s">
        <v>3488</v>
      </c>
      <c r="D919" s="52">
        <f t="shared" ref="D919:E919" si="688">D901</f>
        <v>674</v>
      </c>
      <c r="E919" s="52">
        <f t="shared" si="688"/>
        <v>728</v>
      </c>
      <c r="F919" s="132"/>
      <c r="G919" s="248">
        <f t="shared" si="682"/>
        <v>0.08011869436</v>
      </c>
      <c r="H919" s="115"/>
      <c r="I919" s="93">
        <v>30.0</v>
      </c>
      <c r="J919" s="93">
        <v>120.0</v>
      </c>
      <c r="K919" s="93"/>
      <c r="L919" s="56"/>
      <c r="M919" s="91"/>
    </row>
    <row r="920">
      <c r="A920" s="133"/>
      <c r="B920" s="111" t="s">
        <v>2955</v>
      </c>
      <c r="C920" s="118" t="s">
        <v>2468</v>
      </c>
      <c r="D920" s="52">
        <f t="shared" ref="D920:E920" si="689">D902</f>
        <v>740</v>
      </c>
      <c r="E920" s="52">
        <f t="shared" si="689"/>
        <v>798</v>
      </c>
      <c r="F920" s="132"/>
      <c r="G920" s="248">
        <f t="shared" si="682"/>
        <v>0.07837837838</v>
      </c>
      <c r="H920" s="115"/>
      <c r="I920" s="93">
        <v>13.0</v>
      </c>
      <c r="J920" s="93">
        <v>52.0</v>
      </c>
      <c r="K920" s="93"/>
      <c r="L920" s="56"/>
      <c r="M920" s="91"/>
    </row>
    <row r="921">
      <c r="A921" s="133"/>
      <c r="B921" s="111" t="s">
        <v>2956</v>
      </c>
      <c r="C921" s="118" t="s">
        <v>913</v>
      </c>
      <c r="D921" s="52">
        <f t="shared" ref="D921:E921" si="690">D903</f>
        <v>1390</v>
      </c>
      <c r="E921" s="52">
        <f t="shared" si="690"/>
        <v>1498</v>
      </c>
      <c r="F921" s="132"/>
      <c r="G921" s="248">
        <f t="shared" si="682"/>
        <v>0.07769784173</v>
      </c>
      <c r="H921" s="115"/>
      <c r="I921" s="93">
        <v>13.0</v>
      </c>
      <c r="J921" s="93">
        <v>52.0</v>
      </c>
      <c r="K921" s="93"/>
      <c r="L921" s="56"/>
      <c r="M921" s="91"/>
    </row>
    <row r="922">
      <c r="A922" s="133"/>
      <c r="B922" s="123" t="s">
        <v>2957</v>
      </c>
      <c r="C922" s="124" t="s">
        <v>1949</v>
      </c>
      <c r="D922" s="52">
        <f t="shared" ref="D922:E922" si="691">D904</f>
        <v>1280.4</v>
      </c>
      <c r="E922" s="52">
        <f t="shared" si="691"/>
        <v>1384</v>
      </c>
      <c r="F922" s="132"/>
      <c r="G922" s="248">
        <f t="shared" si="682"/>
        <v>0.08091221493</v>
      </c>
      <c r="H922" s="115"/>
      <c r="I922" s="93">
        <v>13.0</v>
      </c>
      <c r="J922" s="93">
        <v>52.0</v>
      </c>
      <c r="K922" s="93"/>
      <c r="L922" s="56"/>
      <c r="M922" s="91"/>
    </row>
    <row r="923">
      <c r="A923" s="133"/>
      <c r="B923" s="111" t="s">
        <v>2958</v>
      </c>
      <c r="C923" s="118" t="s">
        <v>1598</v>
      </c>
      <c r="D923" s="52">
        <f t="shared" ref="D923:E923" si="692">D905</f>
        <v>1680.3072</v>
      </c>
      <c r="E923" s="52">
        <f t="shared" si="692"/>
        <v>1814</v>
      </c>
      <c r="F923" s="132"/>
      <c r="G923" s="248">
        <f t="shared" si="682"/>
        <v>0.07956449868</v>
      </c>
      <c r="H923" s="115"/>
      <c r="I923" s="93">
        <v>6.0</v>
      </c>
      <c r="J923" s="93">
        <v>24.0</v>
      </c>
      <c r="K923" s="93"/>
      <c r="L923" s="56"/>
      <c r="M923" s="91"/>
    </row>
    <row r="924">
      <c r="A924" s="133"/>
      <c r="B924" s="111" t="s">
        <v>2960</v>
      </c>
      <c r="C924" s="118" t="s">
        <v>395</v>
      </c>
      <c r="D924" s="52">
        <f t="shared" ref="D924:E924" si="693">D906</f>
        <v>259.6</v>
      </c>
      <c r="E924" s="52">
        <f t="shared" si="693"/>
        <v>282</v>
      </c>
      <c r="F924" s="132"/>
      <c r="G924" s="248">
        <f t="shared" si="682"/>
        <v>0.08628659476</v>
      </c>
      <c r="H924" s="115"/>
      <c r="I924" s="93">
        <v>90.0</v>
      </c>
      <c r="J924" s="93">
        <v>270.0</v>
      </c>
      <c r="K924" s="93"/>
      <c r="L924" s="56"/>
      <c r="M924" s="91"/>
    </row>
    <row r="925">
      <c r="A925" s="133"/>
      <c r="B925" s="111" t="s">
        <v>2962</v>
      </c>
      <c r="C925" s="118" t="s">
        <v>359</v>
      </c>
      <c r="D925" s="52">
        <f t="shared" ref="D925:E925" si="694">D907</f>
        <v>560</v>
      </c>
      <c r="E925" s="52">
        <f t="shared" si="694"/>
        <v>598</v>
      </c>
      <c r="F925" s="109"/>
      <c r="G925" s="248">
        <f t="shared" si="682"/>
        <v>0.06785714286</v>
      </c>
      <c r="H925" s="93"/>
      <c r="I925" s="93">
        <v>30.0</v>
      </c>
      <c r="J925" s="93">
        <v>120.0</v>
      </c>
      <c r="K925" s="93"/>
      <c r="L925" s="56"/>
      <c r="M925" s="91"/>
    </row>
    <row r="926">
      <c r="A926" s="133"/>
      <c r="B926" s="111" t="s">
        <v>2963</v>
      </c>
      <c r="C926" s="118" t="s">
        <v>1137</v>
      </c>
      <c r="D926" s="52">
        <f t="shared" ref="D926:E926" si="695">D908</f>
        <v>670</v>
      </c>
      <c r="E926" s="52">
        <f t="shared" si="695"/>
        <v>724</v>
      </c>
      <c r="F926" s="109"/>
      <c r="G926" s="248">
        <f t="shared" si="682"/>
        <v>0.08059701493</v>
      </c>
      <c r="H926" s="93"/>
      <c r="I926" s="93">
        <v>30.0</v>
      </c>
      <c r="J926" s="93">
        <v>120.0</v>
      </c>
      <c r="K926" s="93"/>
      <c r="L926" s="56"/>
      <c r="M926" s="91"/>
    </row>
    <row r="927">
      <c r="A927" s="133"/>
      <c r="B927" s="111" t="s">
        <v>2964</v>
      </c>
      <c r="C927" s="118" t="s">
        <v>731</v>
      </c>
      <c r="D927" s="52">
        <f t="shared" ref="D927:E927" si="696">D909</f>
        <v>432</v>
      </c>
      <c r="E927" s="52">
        <f t="shared" si="696"/>
        <v>466</v>
      </c>
      <c r="F927" s="132"/>
      <c r="G927" s="248">
        <f t="shared" si="682"/>
        <v>0.0787037037</v>
      </c>
      <c r="H927" s="115"/>
      <c r="I927" s="93">
        <v>30.0</v>
      </c>
      <c r="J927" s="93">
        <v>120.0</v>
      </c>
      <c r="K927" s="93"/>
      <c r="L927" s="56"/>
      <c r="M927" s="91"/>
    </row>
    <row r="928" ht="18.75" customHeight="1">
      <c r="A928" s="133"/>
      <c r="B928" s="149"/>
      <c r="C928" s="204"/>
      <c r="D928" s="109"/>
      <c r="E928" s="109"/>
      <c r="F928" s="132"/>
      <c r="G928" s="248"/>
      <c r="H928" s="115"/>
      <c r="I928" s="93"/>
      <c r="J928" s="93"/>
      <c r="K928" s="93"/>
      <c r="L928" s="56"/>
      <c r="M928" s="91"/>
    </row>
    <row r="929" ht="18.75" customHeight="1">
      <c r="A929" s="133"/>
      <c r="B929" s="107" t="s">
        <v>3491</v>
      </c>
      <c r="C929" s="166"/>
      <c r="D929" s="343"/>
      <c r="E929" s="343"/>
      <c r="F929" s="132"/>
      <c r="G929" s="248"/>
      <c r="H929" s="115"/>
      <c r="I929" s="93"/>
      <c r="J929" s="93"/>
      <c r="K929" s="93"/>
      <c r="L929" s="56"/>
      <c r="M929" s="91"/>
    </row>
    <row r="930">
      <c r="A930" s="133"/>
      <c r="B930" s="111" t="s">
        <v>2968</v>
      </c>
      <c r="C930" s="112" t="s">
        <v>306</v>
      </c>
      <c r="D930" s="52">
        <f t="shared" ref="D930:E930" si="697">D912</f>
        <v>266.2</v>
      </c>
      <c r="E930" s="52">
        <f t="shared" si="697"/>
        <v>288</v>
      </c>
      <c r="F930" s="132"/>
      <c r="G930" s="248">
        <f t="shared" ref="G930:G945" si="699">IFERROR(DIVIDE(MINUS(E930,D930),D930),)</f>
        <v>0.0818933133</v>
      </c>
      <c r="H930" s="115"/>
      <c r="I930" s="93">
        <v>108.0</v>
      </c>
      <c r="J930" s="93">
        <v>324.0</v>
      </c>
      <c r="K930" s="93"/>
      <c r="L930" s="56"/>
      <c r="M930" s="91"/>
    </row>
    <row r="931">
      <c r="A931" s="133"/>
      <c r="B931" s="111" t="s">
        <v>1348</v>
      </c>
      <c r="C931" s="118" t="s">
        <v>748</v>
      </c>
      <c r="D931" s="52">
        <f t="shared" ref="D931:E931" si="698">D913</f>
        <v>280</v>
      </c>
      <c r="E931" s="52">
        <f t="shared" si="698"/>
        <v>302</v>
      </c>
      <c r="F931" s="132"/>
      <c r="G931" s="248">
        <f t="shared" si="699"/>
        <v>0.07857142857</v>
      </c>
      <c r="H931" s="115"/>
      <c r="I931" s="93"/>
      <c r="J931" s="93"/>
      <c r="K931" s="93"/>
      <c r="L931" s="56"/>
      <c r="M931" s="91"/>
    </row>
    <row r="932">
      <c r="A932" s="133"/>
      <c r="B932" s="111" t="s">
        <v>2970</v>
      </c>
      <c r="C932" s="118" t="s">
        <v>751</v>
      </c>
      <c r="D932" s="52">
        <f t="shared" ref="D932:E932" si="700">D914</f>
        <v>368</v>
      </c>
      <c r="E932" s="52">
        <f t="shared" si="700"/>
        <v>398</v>
      </c>
      <c r="F932" s="132"/>
      <c r="G932" s="248">
        <f t="shared" si="699"/>
        <v>0.08152173913</v>
      </c>
      <c r="H932" s="115"/>
      <c r="I932" s="93">
        <v>54.0</v>
      </c>
      <c r="J932" s="93">
        <v>216.0</v>
      </c>
      <c r="K932" s="93"/>
      <c r="L932" s="56"/>
      <c r="M932" s="91"/>
    </row>
    <row r="933">
      <c r="A933" s="133"/>
      <c r="B933" s="111" t="s">
        <v>2971</v>
      </c>
      <c r="C933" s="118" t="s">
        <v>363</v>
      </c>
      <c r="D933" s="52">
        <f t="shared" ref="D933:E933" si="701">D915</f>
        <v>314.16</v>
      </c>
      <c r="E933" s="52">
        <f t="shared" si="701"/>
        <v>338</v>
      </c>
      <c r="F933" s="132"/>
      <c r="G933" s="248">
        <f t="shared" si="699"/>
        <v>0.07588489941</v>
      </c>
      <c r="H933" s="115"/>
      <c r="I933" s="93">
        <v>66.0</v>
      </c>
      <c r="J933" s="93">
        <v>198.0</v>
      </c>
      <c r="K933" s="93"/>
      <c r="L933" s="56"/>
      <c r="M933" s="91"/>
    </row>
    <row r="934">
      <c r="A934" s="133"/>
      <c r="B934" s="111" t="s">
        <v>2972</v>
      </c>
      <c r="C934" s="118" t="s">
        <v>378</v>
      </c>
      <c r="D934" s="52">
        <f t="shared" ref="D934:E934" si="702">D916</f>
        <v>570</v>
      </c>
      <c r="E934" s="52">
        <f t="shared" si="702"/>
        <v>614</v>
      </c>
      <c r="F934" s="132"/>
      <c r="G934" s="248">
        <f t="shared" si="699"/>
        <v>0.07719298246</v>
      </c>
      <c r="H934" s="115"/>
      <c r="I934" s="93">
        <v>24.0</v>
      </c>
      <c r="J934" s="93">
        <v>96.0</v>
      </c>
      <c r="K934" s="93"/>
      <c r="L934" s="56"/>
      <c r="M934" s="91"/>
    </row>
    <row r="935">
      <c r="A935" s="133"/>
      <c r="B935" s="111" t="s">
        <v>2973</v>
      </c>
      <c r="C935" s="118" t="s">
        <v>416</v>
      </c>
      <c r="D935" s="52">
        <f t="shared" ref="D935:E935" si="703">D917</f>
        <v>366</v>
      </c>
      <c r="E935" s="52">
        <f t="shared" si="703"/>
        <v>394</v>
      </c>
      <c r="F935" s="132"/>
      <c r="G935" s="248">
        <f t="shared" si="699"/>
        <v>0.07650273224</v>
      </c>
      <c r="H935" s="115"/>
      <c r="I935" s="93">
        <v>30.0</v>
      </c>
      <c r="J935" s="93">
        <v>120.0</v>
      </c>
      <c r="K935" s="93"/>
      <c r="L935" s="56"/>
      <c r="M935" s="91"/>
    </row>
    <row r="936">
      <c r="A936" s="133"/>
      <c r="B936" s="111" t="s">
        <v>2975</v>
      </c>
      <c r="C936" s="118" t="s">
        <v>692</v>
      </c>
      <c r="D936" s="52">
        <f t="shared" ref="D936:E936" si="704">D918</f>
        <v>740</v>
      </c>
      <c r="E936" s="52">
        <f t="shared" si="704"/>
        <v>798</v>
      </c>
      <c r="F936" s="132"/>
      <c r="G936" s="248">
        <f t="shared" si="699"/>
        <v>0.07837837838</v>
      </c>
      <c r="H936" s="115"/>
      <c r="I936" s="93">
        <v>13.0</v>
      </c>
      <c r="J936" s="93">
        <v>52.0</v>
      </c>
      <c r="K936" s="93"/>
      <c r="L936" s="56"/>
      <c r="M936" s="91"/>
    </row>
    <row r="937">
      <c r="A937" s="133"/>
      <c r="B937" s="111" t="s">
        <v>2977</v>
      </c>
      <c r="C937" s="118" t="s">
        <v>3488</v>
      </c>
      <c r="D937" s="52">
        <f t="shared" ref="D937:E937" si="705">D919</f>
        <v>674</v>
      </c>
      <c r="E937" s="52">
        <f t="shared" si="705"/>
        <v>728</v>
      </c>
      <c r="F937" s="132"/>
      <c r="G937" s="248">
        <f t="shared" si="699"/>
        <v>0.08011869436</v>
      </c>
      <c r="H937" s="115"/>
      <c r="I937" s="93">
        <v>30.0</v>
      </c>
      <c r="J937" s="93">
        <v>120.0</v>
      </c>
      <c r="K937" s="93"/>
      <c r="L937" s="56"/>
      <c r="M937" s="91"/>
    </row>
    <row r="938">
      <c r="A938" s="133"/>
      <c r="B938" s="111" t="s">
        <v>2978</v>
      </c>
      <c r="C938" s="118" t="s">
        <v>2468</v>
      </c>
      <c r="D938" s="52">
        <f t="shared" ref="D938:E938" si="706">D920</f>
        <v>740</v>
      </c>
      <c r="E938" s="52">
        <f t="shared" si="706"/>
        <v>798</v>
      </c>
      <c r="F938" s="132"/>
      <c r="G938" s="248">
        <f t="shared" si="699"/>
        <v>0.07837837838</v>
      </c>
      <c r="H938" s="115"/>
      <c r="I938" s="93">
        <v>13.0</v>
      </c>
      <c r="J938" s="93">
        <v>52.0</v>
      </c>
      <c r="K938" s="93"/>
      <c r="L938" s="56"/>
      <c r="M938" s="91"/>
    </row>
    <row r="939">
      <c r="A939" s="133"/>
      <c r="B939" s="111" t="s">
        <v>2979</v>
      </c>
      <c r="C939" s="118" t="s">
        <v>913</v>
      </c>
      <c r="D939" s="52">
        <f t="shared" ref="D939:E939" si="707">D921</f>
        <v>1390</v>
      </c>
      <c r="E939" s="52">
        <f t="shared" si="707"/>
        <v>1498</v>
      </c>
      <c r="F939" s="132"/>
      <c r="G939" s="248">
        <f t="shared" si="699"/>
        <v>0.07769784173</v>
      </c>
      <c r="H939" s="115"/>
      <c r="I939" s="93">
        <v>13.0</v>
      </c>
      <c r="J939" s="93">
        <v>52.0</v>
      </c>
      <c r="K939" s="93"/>
      <c r="L939" s="56"/>
      <c r="M939" s="91"/>
    </row>
    <row r="940">
      <c r="A940" s="133"/>
      <c r="B940" s="111" t="s">
        <v>2980</v>
      </c>
      <c r="C940" s="118" t="s">
        <v>1949</v>
      </c>
      <c r="D940" s="52">
        <f t="shared" ref="D940:E940" si="708">D922</f>
        <v>1280.4</v>
      </c>
      <c r="E940" s="52">
        <f t="shared" si="708"/>
        <v>1384</v>
      </c>
      <c r="F940" s="132"/>
      <c r="G940" s="248">
        <f t="shared" si="699"/>
        <v>0.08091221493</v>
      </c>
      <c r="H940" s="115"/>
      <c r="I940" s="93">
        <v>13.0</v>
      </c>
      <c r="J940" s="93">
        <v>52.0</v>
      </c>
      <c r="K940" s="93"/>
      <c r="L940" s="56"/>
      <c r="M940" s="91"/>
    </row>
    <row r="941">
      <c r="A941" s="133"/>
      <c r="B941" s="111" t="s">
        <v>2981</v>
      </c>
      <c r="C941" s="118" t="s">
        <v>1598</v>
      </c>
      <c r="D941" s="52">
        <f t="shared" ref="D941:E941" si="709">D923</f>
        <v>1680.3072</v>
      </c>
      <c r="E941" s="52">
        <f t="shared" si="709"/>
        <v>1814</v>
      </c>
      <c r="F941" s="132"/>
      <c r="G941" s="248">
        <f t="shared" si="699"/>
        <v>0.07956449868</v>
      </c>
      <c r="H941" s="115"/>
      <c r="I941" s="93">
        <v>6.0</v>
      </c>
      <c r="J941" s="93">
        <v>24.0</v>
      </c>
      <c r="K941" s="93"/>
      <c r="L941" s="56"/>
      <c r="M941" s="91"/>
    </row>
    <row r="942">
      <c r="A942" s="133"/>
      <c r="B942" s="111" t="s">
        <v>2984</v>
      </c>
      <c r="C942" s="118" t="s">
        <v>395</v>
      </c>
      <c r="D942" s="52">
        <f t="shared" ref="D942:E942" si="710">D924</f>
        <v>259.6</v>
      </c>
      <c r="E942" s="52">
        <f t="shared" si="710"/>
        <v>282</v>
      </c>
      <c r="F942" s="132"/>
      <c r="G942" s="248">
        <f t="shared" si="699"/>
        <v>0.08628659476</v>
      </c>
      <c r="H942" s="115"/>
      <c r="I942" s="93">
        <v>90.0</v>
      </c>
      <c r="J942" s="93">
        <v>270.0</v>
      </c>
      <c r="K942" s="93"/>
      <c r="L942" s="56"/>
      <c r="M942" s="91"/>
    </row>
    <row r="943">
      <c r="A943" s="133"/>
      <c r="B943" s="111" t="s">
        <v>2985</v>
      </c>
      <c r="C943" s="118" t="s">
        <v>359</v>
      </c>
      <c r="D943" s="52">
        <f t="shared" ref="D943:E943" si="711">D925</f>
        <v>560</v>
      </c>
      <c r="E943" s="52">
        <f t="shared" si="711"/>
        <v>598</v>
      </c>
      <c r="F943" s="109"/>
      <c r="G943" s="248">
        <f t="shared" si="699"/>
        <v>0.06785714286</v>
      </c>
      <c r="H943" s="93"/>
      <c r="I943" s="93">
        <v>30.0</v>
      </c>
      <c r="J943" s="93">
        <v>120.0</v>
      </c>
      <c r="K943" s="93"/>
      <c r="L943" s="56"/>
      <c r="M943" s="91"/>
    </row>
    <row r="944">
      <c r="A944" s="133"/>
      <c r="B944" s="111" t="s">
        <v>2986</v>
      </c>
      <c r="C944" s="118" t="s">
        <v>1137</v>
      </c>
      <c r="D944" s="52">
        <f t="shared" ref="D944:E944" si="712">D926</f>
        <v>670</v>
      </c>
      <c r="E944" s="52">
        <f t="shared" si="712"/>
        <v>724</v>
      </c>
      <c r="F944" s="109"/>
      <c r="G944" s="248">
        <f t="shared" si="699"/>
        <v>0.08059701493</v>
      </c>
      <c r="H944" s="93"/>
      <c r="I944" s="93">
        <v>30.0</v>
      </c>
      <c r="J944" s="93">
        <v>120.0</v>
      </c>
      <c r="K944" s="93"/>
      <c r="L944" s="56"/>
      <c r="M944" s="91"/>
    </row>
    <row r="945">
      <c r="A945" s="133"/>
      <c r="B945" s="111" t="s">
        <v>2987</v>
      </c>
      <c r="C945" s="118" t="s">
        <v>731</v>
      </c>
      <c r="D945" s="52">
        <f t="shared" ref="D945:E945" si="713">D927</f>
        <v>432</v>
      </c>
      <c r="E945" s="52">
        <f t="shared" si="713"/>
        <v>466</v>
      </c>
      <c r="F945" s="109"/>
      <c r="G945" s="248">
        <f t="shared" si="699"/>
        <v>0.0787037037</v>
      </c>
      <c r="H945" s="115"/>
      <c r="I945" s="134">
        <v>66.0</v>
      </c>
      <c r="J945" s="134">
        <v>198.0</v>
      </c>
      <c r="K945" s="93"/>
      <c r="L945" s="56"/>
      <c r="M945" s="91"/>
    </row>
    <row r="946" ht="18.75" customHeight="1">
      <c r="A946" s="256"/>
      <c r="B946" s="149"/>
      <c r="C946" s="92"/>
      <c r="D946" s="56"/>
      <c r="E946" s="109"/>
      <c r="F946" s="109"/>
      <c r="G946" s="248"/>
      <c r="H946" s="115"/>
      <c r="I946" s="93"/>
      <c r="J946" s="93"/>
      <c r="K946" s="93"/>
      <c r="L946" s="56"/>
      <c r="M946" s="91"/>
    </row>
    <row r="947" ht="18.75" customHeight="1">
      <c r="A947" s="133"/>
      <c r="B947" s="107" t="s">
        <v>3492</v>
      </c>
      <c r="C947" s="166"/>
      <c r="D947" s="272"/>
      <c r="E947" s="343"/>
      <c r="F947" s="109"/>
      <c r="G947" s="248"/>
      <c r="H947" s="115"/>
      <c r="I947" s="93"/>
      <c r="J947" s="93"/>
      <c r="K947" s="93"/>
      <c r="L947" s="56"/>
      <c r="M947" s="258"/>
    </row>
    <row r="948">
      <c r="A948" s="133"/>
      <c r="B948" s="111" t="s">
        <v>3005</v>
      </c>
      <c r="C948" s="213" t="s">
        <v>798</v>
      </c>
      <c r="D948" s="137">
        <v>239.56</v>
      </c>
      <c r="E948" s="52">
        <v>258.0</v>
      </c>
      <c r="F948" s="109">
        <f t="shared" ref="F948:F965" si="714">H948*1.06</f>
        <v>258.64</v>
      </c>
      <c r="G948" s="248">
        <f t="shared" ref="G948:G965" si="715">IFERROR(DIVIDE(MINUS(E948,D948),D948),)</f>
        <v>0.07697445316</v>
      </c>
      <c r="H948" s="132">
        <f>VLOOKUP(M948,'NEW PTMT'!$B$4:$E1406,4,0)</f>
        <v>244</v>
      </c>
      <c r="I948" s="93">
        <v>108.0</v>
      </c>
      <c r="J948" s="93">
        <v>324.0</v>
      </c>
      <c r="K948" s="93"/>
      <c r="L948" s="56"/>
      <c r="M948" s="126" t="s">
        <v>1356</v>
      </c>
    </row>
    <row r="949">
      <c r="A949" s="133"/>
      <c r="B949" s="111" t="s">
        <v>1357</v>
      </c>
      <c r="C949" s="118" t="s">
        <v>748</v>
      </c>
      <c r="D949" s="52">
        <v>252.28</v>
      </c>
      <c r="E949" s="52">
        <v>272.0</v>
      </c>
      <c r="F949" s="109">
        <f t="shared" si="714"/>
        <v>271.36</v>
      </c>
      <c r="G949" s="248">
        <f t="shared" si="715"/>
        <v>0.0781671159</v>
      </c>
      <c r="H949" s="132">
        <f>VLOOKUP(M949,'NEW PTMT'!$B$4:$E1406,4,0)</f>
        <v>256</v>
      </c>
      <c r="I949" s="93"/>
      <c r="J949" s="93"/>
      <c r="K949" s="93"/>
      <c r="L949" s="56"/>
      <c r="M949" s="126" t="s">
        <v>1353</v>
      </c>
    </row>
    <row r="950">
      <c r="A950" s="133"/>
      <c r="B950" s="177" t="s">
        <v>3007</v>
      </c>
      <c r="C950" s="213" t="s">
        <v>751</v>
      </c>
      <c r="D950" s="52">
        <v>313.76</v>
      </c>
      <c r="E950" s="52">
        <v>342.0</v>
      </c>
      <c r="F950" s="109">
        <f t="shared" si="714"/>
        <v>341.32</v>
      </c>
      <c r="G950" s="248">
        <f t="shared" si="715"/>
        <v>0.09000509944</v>
      </c>
      <c r="H950" s="132">
        <f>VLOOKUP(M950,'NEW PTMT'!$B$4:$E1406,4,0)</f>
        <v>322</v>
      </c>
      <c r="I950" s="93">
        <v>54.0</v>
      </c>
      <c r="J950" s="93">
        <v>216.0</v>
      </c>
      <c r="K950" s="93"/>
      <c r="L950" s="56"/>
      <c r="M950" s="126" t="s">
        <v>1360</v>
      </c>
    </row>
    <row r="951">
      <c r="A951" s="133"/>
      <c r="B951" s="177" t="s">
        <v>3008</v>
      </c>
      <c r="C951" s="118" t="s">
        <v>339</v>
      </c>
      <c r="D951" s="52">
        <v>332.0</v>
      </c>
      <c r="E951" s="52">
        <v>358.0</v>
      </c>
      <c r="F951" s="109">
        <f t="shared" si="714"/>
        <v>358.28</v>
      </c>
      <c r="G951" s="248">
        <f t="shared" si="715"/>
        <v>0.07831325301</v>
      </c>
      <c r="H951" s="132">
        <f>VLOOKUP(M951,'NEW PTMT'!$B$4:$E1406,4,0)</f>
        <v>338</v>
      </c>
      <c r="I951" s="93">
        <v>46.0</v>
      </c>
      <c r="J951" s="93">
        <v>184.0</v>
      </c>
      <c r="K951" s="93"/>
      <c r="L951" s="56"/>
      <c r="M951" s="126" t="s">
        <v>1362</v>
      </c>
    </row>
    <row r="952">
      <c r="A952" s="133"/>
      <c r="B952" s="177" t="s">
        <v>3009</v>
      </c>
      <c r="C952" s="213" t="s">
        <v>363</v>
      </c>
      <c r="D952" s="52">
        <v>287.85868800000003</v>
      </c>
      <c r="E952" s="52">
        <v>312.0</v>
      </c>
      <c r="F952" s="109">
        <f t="shared" si="714"/>
        <v>311.64</v>
      </c>
      <c r="G952" s="248">
        <f t="shared" si="715"/>
        <v>0.08386514983</v>
      </c>
      <c r="H952" s="132">
        <f>VLOOKUP(M952,'NEW PTMT'!$B$4:$E1406,4,0)</f>
        <v>294</v>
      </c>
      <c r="I952" s="411">
        <v>66.0</v>
      </c>
      <c r="J952" s="411">
        <v>198.0</v>
      </c>
      <c r="K952" s="93"/>
      <c r="L952" s="56"/>
      <c r="M952" s="126" t="s">
        <v>1365</v>
      </c>
    </row>
    <row r="953">
      <c r="A953" s="133"/>
      <c r="B953" s="177" t="s">
        <v>3010</v>
      </c>
      <c r="C953" s="213" t="s">
        <v>3011</v>
      </c>
      <c r="D953" s="52">
        <v>484.0</v>
      </c>
      <c r="E953" s="52">
        <v>522.0</v>
      </c>
      <c r="F953" s="109">
        <f t="shared" si="714"/>
        <v>521.52</v>
      </c>
      <c r="G953" s="248">
        <f t="shared" si="715"/>
        <v>0.07851239669</v>
      </c>
      <c r="H953" s="132">
        <f>VLOOKUP(M953,'NEW PTMT'!$B$4:$E1406,4,0)</f>
        <v>492</v>
      </c>
      <c r="I953" s="93">
        <v>24.0</v>
      </c>
      <c r="J953" s="93">
        <v>96.0</v>
      </c>
      <c r="K953" s="93"/>
      <c r="L953" s="56"/>
      <c r="M953" s="126" t="s">
        <v>1368</v>
      </c>
    </row>
    <row r="954">
      <c r="A954" s="133"/>
      <c r="B954" s="177" t="s">
        <v>3012</v>
      </c>
      <c r="C954" s="213" t="s">
        <v>416</v>
      </c>
      <c r="D954" s="52">
        <v>334.0</v>
      </c>
      <c r="E954" s="52">
        <v>358.0</v>
      </c>
      <c r="F954" s="109">
        <f t="shared" si="714"/>
        <v>358.28</v>
      </c>
      <c r="G954" s="248">
        <f t="shared" si="715"/>
        <v>0.07185628743</v>
      </c>
      <c r="H954" s="132">
        <f>VLOOKUP(M954,'NEW PTMT'!$B$4:$E1406,4,0)</f>
        <v>338</v>
      </c>
      <c r="I954" s="93">
        <v>30.0</v>
      </c>
      <c r="J954" s="93">
        <v>120.0</v>
      </c>
      <c r="K954" s="93"/>
      <c r="L954" s="56"/>
      <c r="M954" s="126" t="s">
        <v>1369</v>
      </c>
    </row>
    <row r="955">
      <c r="A955" s="133"/>
      <c r="B955" s="177" t="s">
        <v>3013</v>
      </c>
      <c r="C955" s="213" t="s">
        <v>2465</v>
      </c>
      <c r="D955" s="52">
        <v>664.0</v>
      </c>
      <c r="E955" s="52">
        <v>716.0</v>
      </c>
      <c r="F955" s="109">
        <f t="shared" si="714"/>
        <v>716.56</v>
      </c>
      <c r="G955" s="248">
        <f t="shared" si="715"/>
        <v>0.07831325301</v>
      </c>
      <c r="H955" s="132">
        <f>VLOOKUP(M955,'NEW PTMT'!$B$4:$E1406,4,0)</f>
        <v>676</v>
      </c>
      <c r="I955" s="93">
        <v>13.0</v>
      </c>
      <c r="J955" s="93">
        <v>52.0</v>
      </c>
      <c r="K955" s="93"/>
      <c r="L955" s="56"/>
      <c r="M955" s="126" t="s">
        <v>1370</v>
      </c>
    </row>
    <row r="956">
      <c r="A956" s="133"/>
      <c r="B956" s="111" t="s">
        <v>3014</v>
      </c>
      <c r="C956" s="118" t="s">
        <v>3488</v>
      </c>
      <c r="D956" s="52">
        <v>608.44</v>
      </c>
      <c r="E956" s="52">
        <v>658.0</v>
      </c>
      <c r="F956" s="109">
        <f t="shared" si="714"/>
        <v>659.32</v>
      </c>
      <c r="G956" s="248">
        <f t="shared" si="715"/>
        <v>0.08145421077</v>
      </c>
      <c r="H956" s="132">
        <f>VLOOKUP(M956,'NEW PTMT'!$B$4:$E1406,4,0)</f>
        <v>622</v>
      </c>
      <c r="I956" s="93">
        <v>30.0</v>
      </c>
      <c r="J956" s="93">
        <v>120.0</v>
      </c>
      <c r="K956" s="93"/>
      <c r="L956" s="56"/>
      <c r="M956" s="126" t="s">
        <v>1372</v>
      </c>
    </row>
    <row r="957">
      <c r="A957" s="133"/>
      <c r="B957" s="177" t="s">
        <v>3015</v>
      </c>
      <c r="C957" s="213" t="s">
        <v>2580</v>
      </c>
      <c r="D957" s="52">
        <v>686.0</v>
      </c>
      <c r="E957" s="52">
        <v>738.0</v>
      </c>
      <c r="F957" s="109">
        <f t="shared" si="714"/>
        <v>739.88</v>
      </c>
      <c r="G957" s="248">
        <f t="shared" si="715"/>
        <v>0.07580174927</v>
      </c>
      <c r="H957" s="132">
        <f>VLOOKUP(M957,'NEW PTMT'!$B$4:$E1406,4,0)</f>
        <v>698</v>
      </c>
      <c r="I957" s="93">
        <v>13.0</v>
      </c>
      <c r="J957" s="93">
        <v>52.0</v>
      </c>
      <c r="K957" s="93"/>
      <c r="L957" s="56"/>
      <c r="M957" s="126" t="s">
        <v>1375</v>
      </c>
    </row>
    <row r="958">
      <c r="A958" s="133"/>
      <c r="B958" s="111" t="s">
        <v>3016</v>
      </c>
      <c r="C958" s="118" t="s">
        <v>913</v>
      </c>
      <c r="D958" s="52">
        <v>1338.09312</v>
      </c>
      <c r="E958" s="52">
        <v>1446.0</v>
      </c>
      <c r="F958" s="109">
        <f t="shared" si="714"/>
        <v>1445.84</v>
      </c>
      <c r="G958" s="248">
        <f t="shared" si="715"/>
        <v>0.08064227996</v>
      </c>
      <c r="H958" s="132">
        <f>VLOOKUP(M958,'NEW PTMT'!$B$4:$E1406,4,0)</f>
        <v>1364</v>
      </c>
      <c r="I958" s="134">
        <v>13.0</v>
      </c>
      <c r="J958" s="134">
        <v>52.0</v>
      </c>
      <c r="K958" s="93"/>
      <c r="L958" s="56"/>
      <c r="M958" s="126" t="s">
        <v>1378</v>
      </c>
    </row>
    <row r="959">
      <c r="A959" s="133"/>
      <c r="B959" s="111" t="s">
        <v>3019</v>
      </c>
      <c r="C959" s="118" t="s">
        <v>1949</v>
      </c>
      <c r="D959" s="52">
        <v>1280.48</v>
      </c>
      <c r="E959" s="52">
        <v>1384.0</v>
      </c>
      <c r="F959" s="109">
        <f t="shared" si="714"/>
        <v>1384.36</v>
      </c>
      <c r="G959" s="248">
        <f t="shared" si="715"/>
        <v>0.08084468324</v>
      </c>
      <c r="H959" s="132">
        <f>VLOOKUP(M959,'NEW PTMT'!$B$4:$E1406,4,0)</f>
        <v>1306</v>
      </c>
      <c r="I959" s="134">
        <v>13.0</v>
      </c>
      <c r="J959" s="134">
        <v>52.0</v>
      </c>
      <c r="K959" s="93"/>
      <c r="L959" s="56"/>
      <c r="M959" s="126" t="s">
        <v>1379</v>
      </c>
    </row>
    <row r="960">
      <c r="A960" s="133"/>
      <c r="B960" s="123" t="s">
        <v>1358</v>
      </c>
      <c r="C960" s="111" t="s">
        <v>523</v>
      </c>
      <c r="D960" s="52">
        <v>1998.0</v>
      </c>
      <c r="E960" s="52">
        <v>2158.0</v>
      </c>
      <c r="F960" s="109">
        <f t="shared" si="714"/>
        <v>2160.28</v>
      </c>
      <c r="G960" s="248">
        <f t="shared" si="715"/>
        <v>0.08008008008</v>
      </c>
      <c r="H960" s="132">
        <f>VLOOKUP(M960,'NEW PTMT'!$B$4:$E1406,4,0)</f>
        <v>2038</v>
      </c>
      <c r="I960" s="134"/>
      <c r="J960" s="134"/>
      <c r="K960" s="93"/>
      <c r="L960" s="56"/>
      <c r="M960" s="126" t="s">
        <v>1280</v>
      </c>
    </row>
    <row r="961">
      <c r="A961" s="133"/>
      <c r="B961" s="123" t="s">
        <v>3020</v>
      </c>
      <c r="C961" s="124" t="s">
        <v>3493</v>
      </c>
      <c r="D961" s="125">
        <v>1678.0</v>
      </c>
      <c r="E961" s="52">
        <v>1808.0</v>
      </c>
      <c r="F961" s="109">
        <f t="shared" si="714"/>
        <v>1810.48</v>
      </c>
      <c r="G961" s="248">
        <f t="shared" si="715"/>
        <v>0.07747318236</v>
      </c>
      <c r="H961" s="132">
        <f>VLOOKUP(M961,'NEW PTMT'!$B$4:$E1406,4,0)</f>
        <v>1708</v>
      </c>
      <c r="I961" s="93">
        <v>6.0</v>
      </c>
      <c r="J961" s="93">
        <v>24.0</v>
      </c>
      <c r="K961" s="93"/>
      <c r="L961" s="56"/>
      <c r="M961" s="126" t="s">
        <v>1384</v>
      </c>
    </row>
    <row r="962">
      <c r="A962" s="133"/>
      <c r="B962" s="111" t="s">
        <v>3021</v>
      </c>
      <c r="C962" s="118" t="s">
        <v>395</v>
      </c>
      <c r="D962" s="52">
        <v>250.16000000000003</v>
      </c>
      <c r="E962" s="52">
        <v>268.0</v>
      </c>
      <c r="F962" s="109">
        <f t="shared" si="714"/>
        <v>271.36</v>
      </c>
      <c r="G962" s="248">
        <f t="shared" si="715"/>
        <v>0.07131435881</v>
      </c>
      <c r="H962" s="132">
        <f>VLOOKUP(M962,'NEW PTMT'!$B$4:$E1406,4,0)</f>
        <v>256</v>
      </c>
      <c r="I962" s="93">
        <v>90.0</v>
      </c>
      <c r="J962" s="93">
        <v>270.0</v>
      </c>
      <c r="K962" s="93"/>
      <c r="L962" s="56"/>
      <c r="M962" s="126" t="s">
        <v>1387</v>
      </c>
    </row>
    <row r="963">
      <c r="A963" s="133"/>
      <c r="B963" s="111" t="s">
        <v>3022</v>
      </c>
      <c r="C963" s="118" t="s">
        <v>829</v>
      </c>
      <c r="D963" s="52">
        <v>447.530304</v>
      </c>
      <c r="E963" s="52">
        <v>482.0</v>
      </c>
      <c r="F963" s="109">
        <f t="shared" si="714"/>
        <v>483.36</v>
      </c>
      <c r="G963" s="248">
        <f t="shared" si="715"/>
        <v>0.07702203782</v>
      </c>
      <c r="H963" s="132">
        <f>VLOOKUP(M963,'NEW PTMT'!$B$4:$E1406,4,0)</f>
        <v>456</v>
      </c>
      <c r="I963" s="93">
        <v>30.0</v>
      </c>
      <c r="J963" s="93">
        <v>120.0</v>
      </c>
      <c r="K963" s="93"/>
      <c r="L963" s="56"/>
      <c r="M963" s="126" t="s">
        <v>1389</v>
      </c>
    </row>
    <row r="964">
      <c r="A964" s="133"/>
      <c r="B964" s="111" t="s">
        <v>3023</v>
      </c>
      <c r="C964" s="118" t="s">
        <v>2596</v>
      </c>
      <c r="D964" s="52">
        <v>629.69088</v>
      </c>
      <c r="E964" s="52">
        <v>678.0</v>
      </c>
      <c r="F964" s="109">
        <f t="shared" si="714"/>
        <v>680.52</v>
      </c>
      <c r="G964" s="248">
        <f t="shared" si="715"/>
        <v>0.07671878621</v>
      </c>
      <c r="H964" s="132">
        <f>VLOOKUP(M964,'NEW PTMT'!$B$4:$E1406,4,0)</f>
        <v>642</v>
      </c>
      <c r="I964" s="93">
        <v>30.0</v>
      </c>
      <c r="J964" s="93">
        <v>120.0</v>
      </c>
      <c r="K964" s="93"/>
      <c r="L964" s="56"/>
      <c r="M964" s="126" t="s">
        <v>1391</v>
      </c>
    </row>
    <row r="965">
      <c r="A965" s="133"/>
      <c r="B965" s="111" t="s">
        <v>3026</v>
      </c>
      <c r="C965" s="118" t="s">
        <v>731</v>
      </c>
      <c r="D965" s="52">
        <v>383.72</v>
      </c>
      <c r="E965" s="52">
        <v>416.0</v>
      </c>
      <c r="F965" s="109">
        <f t="shared" si="714"/>
        <v>415.52</v>
      </c>
      <c r="G965" s="248">
        <f t="shared" si="715"/>
        <v>0.0841238403</v>
      </c>
      <c r="H965" s="132">
        <f>VLOOKUP(M965,'NEW PTMT'!$B$4:$E1406,4,0)</f>
        <v>392</v>
      </c>
      <c r="I965" s="93">
        <v>66.0</v>
      </c>
      <c r="J965" s="134">
        <v>198.0</v>
      </c>
      <c r="K965" s="93"/>
      <c r="L965" s="56"/>
      <c r="M965" s="126" t="s">
        <v>1394</v>
      </c>
    </row>
    <row r="966" ht="18.75" customHeight="1">
      <c r="A966" s="133"/>
      <c r="B966" s="149"/>
      <c r="C966" s="204"/>
      <c r="D966" s="259"/>
      <c r="E966" s="109"/>
      <c r="F966" s="132"/>
      <c r="G966" s="248"/>
      <c r="H966" s="115"/>
      <c r="I966" s="93"/>
      <c r="J966" s="93"/>
      <c r="K966" s="93"/>
      <c r="L966" s="56"/>
      <c r="M966" s="91"/>
    </row>
    <row r="967" ht="18.75" customHeight="1">
      <c r="A967" s="133"/>
      <c r="B967" s="107" t="s">
        <v>3494</v>
      </c>
      <c r="C967" s="166"/>
      <c r="D967" s="272"/>
      <c r="E967" s="343"/>
      <c r="F967" s="132"/>
      <c r="G967" s="248"/>
      <c r="H967" s="115"/>
      <c r="I967" s="93"/>
      <c r="J967" s="93"/>
      <c r="K967" s="93"/>
      <c r="L967" s="56"/>
      <c r="M967" s="91"/>
    </row>
    <row r="968">
      <c r="A968" s="133"/>
      <c r="B968" s="111" t="s">
        <v>3028</v>
      </c>
      <c r="C968" s="213" t="s">
        <v>306</v>
      </c>
      <c r="D968" s="52">
        <f t="shared" ref="D968:E968" si="716">D948</f>
        <v>239.56</v>
      </c>
      <c r="E968" s="52">
        <f t="shared" si="716"/>
        <v>258</v>
      </c>
      <c r="F968" s="132"/>
      <c r="G968" s="248">
        <f t="shared" ref="G968:G985" si="718">IFERROR(DIVIDE(MINUS(E968,D968),D968),)</f>
        <v>0.07697445316</v>
      </c>
      <c r="H968" s="115"/>
      <c r="I968" s="93">
        <v>108.0</v>
      </c>
      <c r="J968" s="93">
        <v>324.0</v>
      </c>
      <c r="K968" s="93"/>
      <c r="L968" s="56"/>
      <c r="M968" s="91"/>
    </row>
    <row r="969">
      <c r="A969" s="133"/>
      <c r="B969" s="111" t="s">
        <v>1361</v>
      </c>
      <c r="C969" s="118" t="s">
        <v>748</v>
      </c>
      <c r="D969" s="52">
        <f t="shared" ref="D969:E969" si="717">D949</f>
        <v>252.28</v>
      </c>
      <c r="E969" s="52">
        <f t="shared" si="717"/>
        <v>272</v>
      </c>
      <c r="F969" s="132"/>
      <c r="G969" s="248">
        <f t="shared" si="718"/>
        <v>0.0781671159</v>
      </c>
      <c r="H969" s="115"/>
      <c r="I969" s="93"/>
      <c r="J969" s="93"/>
      <c r="K969" s="93"/>
      <c r="L969" s="56"/>
      <c r="M969" s="91"/>
    </row>
    <row r="970">
      <c r="A970" s="133"/>
      <c r="B970" s="177" t="s">
        <v>3029</v>
      </c>
      <c r="C970" s="213" t="s">
        <v>751</v>
      </c>
      <c r="D970" s="52">
        <f t="shared" ref="D970:E970" si="719">D950</f>
        <v>313.76</v>
      </c>
      <c r="E970" s="52">
        <f t="shared" si="719"/>
        <v>342</v>
      </c>
      <c r="F970" s="132"/>
      <c r="G970" s="248">
        <f t="shared" si="718"/>
        <v>0.09000509944</v>
      </c>
      <c r="H970" s="115"/>
      <c r="I970" s="93">
        <v>54.0</v>
      </c>
      <c r="J970" s="93">
        <v>216.0</v>
      </c>
      <c r="K970" s="93"/>
      <c r="L970" s="56"/>
      <c r="M970" s="91"/>
    </row>
    <row r="971">
      <c r="A971" s="133"/>
      <c r="B971" s="177" t="s">
        <v>3030</v>
      </c>
      <c r="C971" s="118" t="s">
        <v>339</v>
      </c>
      <c r="D971" s="52">
        <f t="shared" ref="D971:E971" si="720">D951</f>
        <v>332</v>
      </c>
      <c r="E971" s="52">
        <f t="shared" si="720"/>
        <v>358</v>
      </c>
      <c r="F971" s="132"/>
      <c r="G971" s="248">
        <f t="shared" si="718"/>
        <v>0.07831325301</v>
      </c>
      <c r="H971" s="115"/>
      <c r="I971" s="93">
        <v>46.0</v>
      </c>
      <c r="J971" s="93">
        <v>184.0</v>
      </c>
      <c r="K971" s="93"/>
      <c r="L971" s="56"/>
      <c r="M971" s="91"/>
    </row>
    <row r="972">
      <c r="A972" s="133"/>
      <c r="B972" s="177" t="s">
        <v>3033</v>
      </c>
      <c r="C972" s="213" t="s">
        <v>363</v>
      </c>
      <c r="D972" s="52">
        <f t="shared" ref="D972:E972" si="721">D952</f>
        <v>287.858688</v>
      </c>
      <c r="E972" s="52">
        <f t="shared" si="721"/>
        <v>312</v>
      </c>
      <c r="F972" s="132"/>
      <c r="G972" s="248">
        <f t="shared" si="718"/>
        <v>0.08386514983</v>
      </c>
      <c r="H972" s="115"/>
      <c r="I972" s="411">
        <v>66.0</v>
      </c>
      <c r="J972" s="411">
        <v>198.0</v>
      </c>
      <c r="K972" s="93"/>
      <c r="L972" s="56"/>
      <c r="M972" s="91"/>
    </row>
    <row r="973">
      <c r="A973" s="133"/>
      <c r="B973" s="177" t="s">
        <v>3034</v>
      </c>
      <c r="C973" s="213" t="s">
        <v>808</v>
      </c>
      <c r="D973" s="52">
        <f t="shared" ref="D973:E973" si="722">D953</f>
        <v>484</v>
      </c>
      <c r="E973" s="52">
        <f t="shared" si="722"/>
        <v>522</v>
      </c>
      <c r="F973" s="132"/>
      <c r="G973" s="248">
        <f t="shared" si="718"/>
        <v>0.07851239669</v>
      </c>
      <c r="H973" s="115"/>
      <c r="I973" s="93">
        <v>24.0</v>
      </c>
      <c r="J973" s="93">
        <v>96.0</v>
      </c>
      <c r="K973" s="93"/>
      <c r="L973" s="56"/>
      <c r="M973" s="91"/>
    </row>
    <row r="974">
      <c r="A974" s="133"/>
      <c r="B974" s="177" t="s">
        <v>3035</v>
      </c>
      <c r="C974" s="213" t="s">
        <v>416</v>
      </c>
      <c r="D974" s="52">
        <f t="shared" ref="D974:E974" si="723">D954</f>
        <v>334</v>
      </c>
      <c r="E974" s="52">
        <f t="shared" si="723"/>
        <v>358</v>
      </c>
      <c r="F974" s="132"/>
      <c r="G974" s="248">
        <f t="shared" si="718"/>
        <v>0.07185628743</v>
      </c>
      <c r="H974" s="115"/>
      <c r="I974" s="93">
        <v>30.0</v>
      </c>
      <c r="J974" s="93">
        <v>120.0</v>
      </c>
      <c r="K974" s="93"/>
      <c r="L974" s="56"/>
      <c r="M974" s="91"/>
    </row>
    <row r="975">
      <c r="A975" s="133"/>
      <c r="B975" s="177" t="s">
        <v>3036</v>
      </c>
      <c r="C975" s="213" t="s">
        <v>2465</v>
      </c>
      <c r="D975" s="52">
        <f t="shared" ref="D975:E975" si="724">D955</f>
        <v>664</v>
      </c>
      <c r="E975" s="52">
        <f t="shared" si="724"/>
        <v>716</v>
      </c>
      <c r="F975" s="132"/>
      <c r="G975" s="248">
        <f t="shared" si="718"/>
        <v>0.07831325301</v>
      </c>
      <c r="H975" s="115"/>
      <c r="I975" s="93">
        <v>13.0</v>
      </c>
      <c r="J975" s="93">
        <v>52.0</v>
      </c>
      <c r="K975" s="93"/>
      <c r="L975" s="56"/>
      <c r="M975" s="91"/>
    </row>
    <row r="976">
      <c r="A976" s="133"/>
      <c r="B976" s="111" t="s">
        <v>3037</v>
      </c>
      <c r="C976" s="118" t="s">
        <v>3038</v>
      </c>
      <c r="D976" s="52">
        <f t="shared" ref="D976:E976" si="725">D956</f>
        <v>608.44</v>
      </c>
      <c r="E976" s="52">
        <f t="shared" si="725"/>
        <v>658</v>
      </c>
      <c r="F976" s="132"/>
      <c r="G976" s="248">
        <f t="shared" si="718"/>
        <v>0.08145421077</v>
      </c>
      <c r="H976" s="115"/>
      <c r="I976" s="93">
        <v>30.0</v>
      </c>
      <c r="J976" s="93">
        <v>120.0</v>
      </c>
      <c r="K976" s="93"/>
      <c r="L976" s="56"/>
      <c r="M976" s="91"/>
    </row>
    <row r="977">
      <c r="A977" s="133"/>
      <c r="B977" s="111" t="s">
        <v>3039</v>
      </c>
      <c r="C977" s="118" t="s">
        <v>2580</v>
      </c>
      <c r="D977" s="52">
        <f t="shared" ref="D977:E977" si="726">D957</f>
        <v>686</v>
      </c>
      <c r="E977" s="52">
        <f t="shared" si="726"/>
        <v>738</v>
      </c>
      <c r="F977" s="132"/>
      <c r="G977" s="248">
        <f t="shared" si="718"/>
        <v>0.07580174927</v>
      </c>
      <c r="H977" s="115"/>
      <c r="I977" s="93">
        <v>13.0</v>
      </c>
      <c r="J977" s="93">
        <v>52.0</v>
      </c>
      <c r="K977" s="93"/>
      <c r="L977" s="56"/>
      <c r="M977" s="91"/>
    </row>
    <row r="978">
      <c r="A978" s="133"/>
      <c r="B978" s="111" t="s">
        <v>3041</v>
      </c>
      <c r="C978" s="118" t="s">
        <v>913</v>
      </c>
      <c r="D978" s="52">
        <f t="shared" ref="D978:E978" si="727">D958</f>
        <v>1338.09312</v>
      </c>
      <c r="E978" s="52">
        <f t="shared" si="727"/>
        <v>1446</v>
      </c>
      <c r="F978" s="132"/>
      <c r="G978" s="248">
        <f t="shared" si="718"/>
        <v>0.08064227996</v>
      </c>
      <c r="H978" s="115"/>
      <c r="I978" s="134">
        <v>13.0</v>
      </c>
      <c r="J978" s="134">
        <v>52.0</v>
      </c>
      <c r="K978" s="93"/>
      <c r="L978" s="56"/>
      <c r="M978" s="91"/>
    </row>
    <row r="979">
      <c r="A979" s="133"/>
      <c r="B979" s="111" t="s">
        <v>3042</v>
      </c>
      <c r="C979" s="118" t="s">
        <v>1949</v>
      </c>
      <c r="D979" s="52">
        <f t="shared" ref="D979:E979" si="728">D959</f>
        <v>1280.48</v>
      </c>
      <c r="E979" s="52">
        <f t="shared" si="728"/>
        <v>1384</v>
      </c>
      <c r="F979" s="132"/>
      <c r="G979" s="248">
        <f t="shared" si="718"/>
        <v>0.08084468324</v>
      </c>
      <c r="H979" s="115"/>
      <c r="I979" s="134">
        <v>13.0</v>
      </c>
      <c r="J979" s="134">
        <v>52.0</v>
      </c>
      <c r="K979" s="93"/>
      <c r="L979" s="56"/>
      <c r="M979" s="91"/>
    </row>
    <row r="980">
      <c r="A980" s="133"/>
      <c r="B980" s="123" t="s">
        <v>1364</v>
      </c>
      <c r="C980" s="111" t="s">
        <v>523</v>
      </c>
      <c r="D980" s="52">
        <f t="shared" ref="D980:E980" si="729">D960</f>
        <v>1998</v>
      </c>
      <c r="E980" s="52">
        <f t="shared" si="729"/>
        <v>2158</v>
      </c>
      <c r="F980" s="132"/>
      <c r="G980" s="248">
        <f t="shared" si="718"/>
        <v>0.08008008008</v>
      </c>
      <c r="H980" s="115"/>
      <c r="I980" s="134"/>
      <c r="J980" s="134"/>
      <c r="K980" s="93"/>
      <c r="L980" s="56"/>
      <c r="M980" s="91"/>
    </row>
    <row r="981">
      <c r="A981" s="133"/>
      <c r="B981" s="123" t="s">
        <v>3044</v>
      </c>
      <c r="C981" s="124" t="s">
        <v>1598</v>
      </c>
      <c r="D981" s="52">
        <f t="shared" ref="D981:E981" si="730">D961</f>
        <v>1678</v>
      </c>
      <c r="E981" s="52">
        <f t="shared" si="730"/>
        <v>1808</v>
      </c>
      <c r="F981" s="132"/>
      <c r="G981" s="248">
        <f t="shared" si="718"/>
        <v>0.07747318236</v>
      </c>
      <c r="H981" s="115"/>
      <c r="I981" s="93">
        <v>6.0</v>
      </c>
      <c r="J981" s="93">
        <v>24.0</v>
      </c>
      <c r="K981" s="93"/>
      <c r="L981" s="56"/>
      <c r="M981" s="91"/>
    </row>
    <row r="982">
      <c r="A982" s="133"/>
      <c r="B982" s="111" t="s">
        <v>3045</v>
      </c>
      <c r="C982" s="118" t="s">
        <v>395</v>
      </c>
      <c r="D982" s="52">
        <f t="shared" ref="D982:E982" si="731">D962</f>
        <v>250.16</v>
      </c>
      <c r="E982" s="52">
        <f t="shared" si="731"/>
        <v>268</v>
      </c>
      <c r="F982" s="132"/>
      <c r="G982" s="248">
        <f t="shared" si="718"/>
        <v>0.07131435881</v>
      </c>
      <c r="H982" s="115"/>
      <c r="I982" s="93">
        <v>90.0</v>
      </c>
      <c r="J982" s="93">
        <v>270.0</v>
      </c>
      <c r="K982" s="93"/>
      <c r="L982" s="56"/>
      <c r="M982" s="91"/>
    </row>
    <row r="983">
      <c r="A983" s="133"/>
      <c r="B983" s="111" t="s">
        <v>3047</v>
      </c>
      <c r="C983" s="118" t="s">
        <v>829</v>
      </c>
      <c r="D983" s="52">
        <f t="shared" ref="D983:E983" si="732">D963</f>
        <v>447.530304</v>
      </c>
      <c r="E983" s="52">
        <f t="shared" si="732"/>
        <v>482</v>
      </c>
      <c r="F983" s="109"/>
      <c r="G983" s="248">
        <f t="shared" si="718"/>
        <v>0.07702203782</v>
      </c>
      <c r="H983" s="93"/>
      <c r="I983" s="93">
        <v>30.0</v>
      </c>
      <c r="J983" s="93">
        <v>120.0</v>
      </c>
      <c r="K983" s="93"/>
      <c r="L983" s="56"/>
      <c r="M983" s="91"/>
    </row>
    <row r="984">
      <c r="A984" s="133"/>
      <c r="B984" s="111" t="s">
        <v>3050</v>
      </c>
      <c r="C984" s="118" t="s">
        <v>2596</v>
      </c>
      <c r="D984" s="52">
        <f t="shared" ref="D984:E984" si="733">D964</f>
        <v>629.69088</v>
      </c>
      <c r="E984" s="52">
        <f t="shared" si="733"/>
        <v>678</v>
      </c>
      <c r="F984" s="109"/>
      <c r="G984" s="248">
        <f t="shared" si="718"/>
        <v>0.07671878621</v>
      </c>
      <c r="H984" s="93"/>
      <c r="I984" s="93">
        <v>30.0</v>
      </c>
      <c r="J984" s="93">
        <v>120.0</v>
      </c>
      <c r="K984" s="93"/>
      <c r="L984" s="56"/>
      <c r="M984" s="91"/>
    </row>
    <row r="985">
      <c r="A985" s="133"/>
      <c r="B985" s="111" t="s">
        <v>3051</v>
      </c>
      <c r="C985" s="118" t="s">
        <v>731</v>
      </c>
      <c r="D985" s="52">
        <f t="shared" ref="D985:E985" si="734">D965</f>
        <v>383.72</v>
      </c>
      <c r="E985" s="52">
        <f t="shared" si="734"/>
        <v>416</v>
      </c>
      <c r="F985" s="132"/>
      <c r="G985" s="248">
        <f t="shared" si="718"/>
        <v>0.0841238403</v>
      </c>
      <c r="H985" s="115"/>
      <c r="I985" s="93">
        <v>66.0</v>
      </c>
      <c r="J985" s="134">
        <v>198.0</v>
      </c>
      <c r="K985" s="93"/>
      <c r="L985" s="56"/>
      <c r="M985" s="91"/>
    </row>
    <row r="986" ht="18.75" customHeight="1">
      <c r="A986" s="256"/>
      <c r="B986" s="149"/>
      <c r="C986" s="204"/>
      <c r="D986" s="109"/>
      <c r="E986" s="109"/>
      <c r="F986" s="132"/>
      <c r="G986" s="248"/>
      <c r="H986" s="115"/>
      <c r="I986" s="93"/>
      <c r="J986" s="93"/>
      <c r="K986" s="93"/>
      <c r="L986" s="56"/>
      <c r="M986" s="91"/>
    </row>
    <row r="987" ht="18.75" customHeight="1">
      <c r="A987" s="133"/>
      <c r="B987" s="107" t="s">
        <v>3495</v>
      </c>
      <c r="C987" s="166"/>
      <c r="D987" s="343"/>
      <c r="E987" s="343"/>
      <c r="F987" s="132"/>
      <c r="G987" s="248"/>
      <c r="H987" s="115"/>
      <c r="I987" s="93"/>
      <c r="J987" s="93"/>
      <c r="K987" s="93"/>
      <c r="L987" s="56"/>
      <c r="M987" s="91"/>
    </row>
    <row r="988">
      <c r="A988" s="133"/>
      <c r="B988" s="111" t="s">
        <v>3053</v>
      </c>
      <c r="C988" s="112" t="s">
        <v>306</v>
      </c>
      <c r="D988" s="52">
        <f t="shared" ref="D988:E988" si="735">D968</f>
        <v>239.56</v>
      </c>
      <c r="E988" s="52">
        <f t="shared" si="735"/>
        <v>258</v>
      </c>
      <c r="F988" s="132"/>
      <c r="G988" s="248">
        <f t="shared" ref="G988:G1005" si="737">IFERROR(DIVIDE(MINUS(E988,D988),D988),)</f>
        <v>0.07697445316</v>
      </c>
      <c r="H988" s="115"/>
      <c r="I988" s="93">
        <v>108.0</v>
      </c>
      <c r="J988" s="93">
        <v>324.0</v>
      </c>
      <c r="K988" s="93"/>
      <c r="L988" s="56"/>
      <c r="M988" s="91"/>
    </row>
    <row r="989">
      <c r="A989" s="133"/>
      <c r="B989" s="280" t="s">
        <v>1367</v>
      </c>
      <c r="C989" s="412" t="s">
        <v>748</v>
      </c>
      <c r="D989" s="52">
        <f t="shared" ref="D989:E989" si="736">D969</f>
        <v>252.28</v>
      </c>
      <c r="E989" s="52">
        <f t="shared" si="736"/>
        <v>272</v>
      </c>
      <c r="F989" s="132"/>
      <c r="G989" s="248">
        <f t="shared" si="737"/>
        <v>0.0781671159</v>
      </c>
      <c r="H989" s="115"/>
      <c r="I989" s="93"/>
      <c r="J989" s="93"/>
      <c r="K989" s="93"/>
      <c r="L989" s="56"/>
      <c r="M989" s="91"/>
    </row>
    <row r="990">
      <c r="A990" s="133"/>
      <c r="B990" s="111" t="s">
        <v>3056</v>
      </c>
      <c r="C990" s="118" t="s">
        <v>751</v>
      </c>
      <c r="D990" s="52">
        <f t="shared" ref="D990:E990" si="738">D970</f>
        <v>313.76</v>
      </c>
      <c r="E990" s="52">
        <f t="shared" si="738"/>
        <v>342</v>
      </c>
      <c r="F990" s="132"/>
      <c r="G990" s="248">
        <f t="shared" si="737"/>
        <v>0.09000509944</v>
      </c>
      <c r="H990" s="115"/>
      <c r="I990" s="93">
        <v>54.0</v>
      </c>
      <c r="J990" s="93">
        <v>216.0</v>
      </c>
      <c r="K990" s="93"/>
      <c r="L990" s="56"/>
      <c r="M990" s="91"/>
    </row>
    <row r="991">
      <c r="A991" s="133"/>
      <c r="B991" s="177" t="s">
        <v>3057</v>
      </c>
      <c r="C991" s="118" t="s">
        <v>339</v>
      </c>
      <c r="D991" s="52">
        <f t="shared" ref="D991:E991" si="739">D971</f>
        <v>332</v>
      </c>
      <c r="E991" s="52">
        <f t="shared" si="739"/>
        <v>358</v>
      </c>
      <c r="F991" s="132"/>
      <c r="G991" s="248">
        <f t="shared" si="737"/>
        <v>0.07831325301</v>
      </c>
      <c r="H991" s="115"/>
      <c r="I991" s="93">
        <v>46.0</v>
      </c>
      <c r="J991" s="93">
        <v>184.0</v>
      </c>
      <c r="K991" s="93"/>
      <c r="L991" s="56"/>
      <c r="M991" s="91"/>
    </row>
    <row r="992">
      <c r="A992" s="133"/>
      <c r="B992" s="111" t="s">
        <v>3058</v>
      </c>
      <c r="C992" s="118" t="s">
        <v>363</v>
      </c>
      <c r="D992" s="52">
        <f t="shared" ref="D992:E992" si="740">D972</f>
        <v>287.858688</v>
      </c>
      <c r="E992" s="52">
        <f t="shared" si="740"/>
        <v>312</v>
      </c>
      <c r="F992" s="132"/>
      <c r="G992" s="248">
        <f t="shared" si="737"/>
        <v>0.08386514983</v>
      </c>
      <c r="H992" s="115"/>
      <c r="I992" s="115">
        <v>66.0</v>
      </c>
      <c r="J992" s="115">
        <v>198.0</v>
      </c>
      <c r="K992" s="93"/>
      <c r="L992" s="56"/>
      <c r="M992" s="91"/>
    </row>
    <row r="993">
      <c r="A993" s="133"/>
      <c r="B993" s="111" t="s">
        <v>3059</v>
      </c>
      <c r="C993" s="118" t="s">
        <v>808</v>
      </c>
      <c r="D993" s="52">
        <f t="shared" ref="D993:E993" si="741">D973</f>
        <v>484</v>
      </c>
      <c r="E993" s="52">
        <f t="shared" si="741"/>
        <v>522</v>
      </c>
      <c r="F993" s="132"/>
      <c r="G993" s="248">
        <f t="shared" si="737"/>
        <v>0.07851239669</v>
      </c>
      <c r="H993" s="115"/>
      <c r="I993" s="93">
        <v>24.0</v>
      </c>
      <c r="J993" s="93">
        <v>96.0</v>
      </c>
      <c r="K993" s="93"/>
      <c r="L993" s="56"/>
      <c r="M993" s="91"/>
    </row>
    <row r="994">
      <c r="A994" s="133"/>
      <c r="B994" s="111" t="s">
        <v>3060</v>
      </c>
      <c r="C994" s="118" t="s">
        <v>416</v>
      </c>
      <c r="D994" s="52">
        <f t="shared" ref="D994:E994" si="742">D974</f>
        <v>334</v>
      </c>
      <c r="E994" s="52">
        <f t="shared" si="742"/>
        <v>358</v>
      </c>
      <c r="F994" s="132"/>
      <c r="G994" s="248">
        <f t="shared" si="737"/>
        <v>0.07185628743</v>
      </c>
      <c r="H994" s="115"/>
      <c r="I994" s="93">
        <v>30.0</v>
      </c>
      <c r="J994" s="93">
        <v>120.0</v>
      </c>
      <c r="K994" s="93"/>
      <c r="L994" s="56"/>
      <c r="M994" s="91"/>
    </row>
    <row r="995">
      <c r="A995" s="133"/>
      <c r="B995" s="111" t="s">
        <v>3063</v>
      </c>
      <c r="C995" s="118" t="s">
        <v>2465</v>
      </c>
      <c r="D995" s="52">
        <f t="shared" ref="D995:E995" si="743">D975</f>
        <v>664</v>
      </c>
      <c r="E995" s="52">
        <f t="shared" si="743"/>
        <v>716</v>
      </c>
      <c r="F995" s="132"/>
      <c r="G995" s="248">
        <f t="shared" si="737"/>
        <v>0.07831325301</v>
      </c>
      <c r="H995" s="115"/>
      <c r="I995" s="93">
        <v>13.0</v>
      </c>
      <c r="J995" s="93">
        <v>52.0</v>
      </c>
      <c r="K995" s="93"/>
      <c r="L995" s="56"/>
      <c r="M995" s="91"/>
    </row>
    <row r="996">
      <c r="A996" s="133"/>
      <c r="B996" s="111" t="s">
        <v>3065</v>
      </c>
      <c r="C996" s="118" t="s">
        <v>3038</v>
      </c>
      <c r="D996" s="52">
        <f t="shared" ref="D996:E996" si="744">D976</f>
        <v>608.44</v>
      </c>
      <c r="E996" s="52">
        <f t="shared" si="744"/>
        <v>658</v>
      </c>
      <c r="F996" s="132"/>
      <c r="G996" s="248">
        <f t="shared" si="737"/>
        <v>0.08145421077</v>
      </c>
      <c r="H996" s="115"/>
      <c r="I996" s="93">
        <v>30.0</v>
      </c>
      <c r="J996" s="93">
        <v>120.0</v>
      </c>
      <c r="K996" s="93"/>
      <c r="L996" s="56"/>
      <c r="M996" s="91"/>
    </row>
    <row r="997">
      <c r="A997" s="133"/>
      <c r="B997" s="111" t="s">
        <v>3066</v>
      </c>
      <c r="C997" s="118" t="s">
        <v>2580</v>
      </c>
      <c r="D997" s="52">
        <f t="shared" ref="D997:E997" si="745">D977</f>
        <v>686</v>
      </c>
      <c r="E997" s="52">
        <f t="shared" si="745"/>
        <v>738</v>
      </c>
      <c r="F997" s="132"/>
      <c r="G997" s="248">
        <f t="shared" si="737"/>
        <v>0.07580174927</v>
      </c>
      <c r="H997" s="115"/>
      <c r="I997" s="93">
        <v>13.0</v>
      </c>
      <c r="J997" s="93">
        <v>52.0</v>
      </c>
      <c r="K997" s="93"/>
      <c r="L997" s="56"/>
      <c r="M997" s="91"/>
    </row>
    <row r="998">
      <c r="A998" s="133"/>
      <c r="B998" s="111" t="s">
        <v>3067</v>
      </c>
      <c r="C998" s="118" t="s">
        <v>913</v>
      </c>
      <c r="D998" s="52">
        <f t="shared" ref="D998:E998" si="746">D978</f>
        <v>1338.09312</v>
      </c>
      <c r="E998" s="52">
        <f t="shared" si="746"/>
        <v>1446</v>
      </c>
      <c r="F998" s="132"/>
      <c r="G998" s="248">
        <f t="shared" si="737"/>
        <v>0.08064227996</v>
      </c>
      <c r="H998" s="115"/>
      <c r="I998" s="134">
        <v>13.0</v>
      </c>
      <c r="J998" s="134">
        <v>52.0</v>
      </c>
      <c r="K998" s="93"/>
      <c r="L998" s="56"/>
      <c r="M998" s="91"/>
    </row>
    <row r="999">
      <c r="A999" s="133"/>
      <c r="B999" s="111" t="s">
        <v>3069</v>
      </c>
      <c r="C999" s="118" t="s">
        <v>1949</v>
      </c>
      <c r="D999" s="52">
        <f t="shared" ref="D999:E999" si="747">D979</f>
        <v>1280.48</v>
      </c>
      <c r="E999" s="52">
        <f t="shared" si="747"/>
        <v>1384</v>
      </c>
      <c r="F999" s="132"/>
      <c r="G999" s="248">
        <f t="shared" si="737"/>
        <v>0.08084468324</v>
      </c>
      <c r="H999" s="115"/>
      <c r="I999" s="134">
        <v>13.0</v>
      </c>
      <c r="J999" s="134">
        <v>52.0</v>
      </c>
      <c r="K999" s="93"/>
      <c r="L999" s="56"/>
      <c r="M999" s="91"/>
    </row>
    <row r="1000">
      <c r="A1000" s="133"/>
      <c r="B1000" s="123" t="s">
        <v>1371</v>
      </c>
      <c r="C1000" s="111" t="s">
        <v>523</v>
      </c>
      <c r="D1000" s="52">
        <f t="shared" ref="D1000:E1000" si="748">D980</f>
        <v>1998</v>
      </c>
      <c r="E1000" s="52">
        <f t="shared" si="748"/>
        <v>2158</v>
      </c>
      <c r="F1000" s="132"/>
      <c r="G1000" s="248">
        <f t="shared" si="737"/>
        <v>0.08008008008</v>
      </c>
      <c r="H1000" s="115"/>
      <c r="I1000" s="134"/>
      <c r="J1000" s="134"/>
      <c r="K1000" s="93"/>
      <c r="L1000" s="56"/>
      <c r="M1000" s="91"/>
    </row>
    <row r="1001">
      <c r="A1001" s="133"/>
      <c r="B1001" s="123" t="s">
        <v>3070</v>
      </c>
      <c r="C1001" s="124" t="s">
        <v>1598</v>
      </c>
      <c r="D1001" s="52">
        <f t="shared" ref="D1001:E1001" si="749">D981</f>
        <v>1678</v>
      </c>
      <c r="E1001" s="52">
        <f t="shared" si="749"/>
        <v>1808</v>
      </c>
      <c r="F1001" s="132"/>
      <c r="G1001" s="248">
        <f t="shared" si="737"/>
        <v>0.07747318236</v>
      </c>
      <c r="H1001" s="115"/>
      <c r="I1001" s="93">
        <v>6.0</v>
      </c>
      <c r="J1001" s="93">
        <v>24.0</v>
      </c>
      <c r="K1001" s="93"/>
      <c r="L1001" s="56"/>
      <c r="M1001" s="91"/>
    </row>
    <row r="1002">
      <c r="A1002" s="133"/>
      <c r="B1002" s="111" t="s">
        <v>3071</v>
      </c>
      <c r="C1002" s="118" t="s">
        <v>395</v>
      </c>
      <c r="D1002" s="52">
        <f t="shared" ref="D1002:E1002" si="750">D982</f>
        <v>250.16</v>
      </c>
      <c r="E1002" s="52">
        <f t="shared" si="750"/>
        <v>268</v>
      </c>
      <c r="F1002" s="132"/>
      <c r="G1002" s="248">
        <f t="shared" si="737"/>
        <v>0.07131435881</v>
      </c>
      <c r="H1002" s="115"/>
      <c r="I1002" s="93">
        <v>90.0</v>
      </c>
      <c r="J1002" s="93">
        <v>270.0</v>
      </c>
      <c r="K1002" s="93"/>
      <c r="L1002" s="56"/>
      <c r="M1002" s="91"/>
    </row>
    <row r="1003">
      <c r="A1003" s="133"/>
      <c r="B1003" s="111" t="s">
        <v>3073</v>
      </c>
      <c r="C1003" s="118" t="s">
        <v>829</v>
      </c>
      <c r="D1003" s="52">
        <f t="shared" ref="D1003:E1003" si="751">D983</f>
        <v>447.530304</v>
      </c>
      <c r="E1003" s="52">
        <f t="shared" si="751"/>
        <v>482</v>
      </c>
      <c r="F1003" s="109"/>
      <c r="G1003" s="248">
        <f t="shared" si="737"/>
        <v>0.07702203782</v>
      </c>
      <c r="H1003" s="93"/>
      <c r="I1003" s="93">
        <v>30.0</v>
      </c>
      <c r="J1003" s="93">
        <v>120.0</v>
      </c>
      <c r="K1003" s="93"/>
      <c r="L1003" s="56"/>
      <c r="M1003" s="91"/>
    </row>
    <row r="1004">
      <c r="A1004" s="133"/>
      <c r="B1004" s="111" t="s">
        <v>3076</v>
      </c>
      <c r="C1004" s="118" t="s">
        <v>2596</v>
      </c>
      <c r="D1004" s="52">
        <f t="shared" ref="D1004:E1004" si="752">D984</f>
        <v>629.69088</v>
      </c>
      <c r="E1004" s="52">
        <f t="shared" si="752"/>
        <v>678</v>
      </c>
      <c r="F1004" s="109"/>
      <c r="G1004" s="248">
        <f t="shared" si="737"/>
        <v>0.07671878621</v>
      </c>
      <c r="H1004" s="93"/>
      <c r="I1004" s="93">
        <v>30.0</v>
      </c>
      <c r="J1004" s="93">
        <v>120.0</v>
      </c>
      <c r="K1004" s="93"/>
      <c r="L1004" s="56"/>
      <c r="M1004" s="91"/>
    </row>
    <row r="1005">
      <c r="A1005" s="133"/>
      <c r="B1005" s="123" t="s">
        <v>3077</v>
      </c>
      <c r="C1005" s="118" t="s">
        <v>731</v>
      </c>
      <c r="D1005" s="52">
        <f t="shared" ref="D1005:E1005" si="753">D985</f>
        <v>383.72</v>
      </c>
      <c r="E1005" s="52">
        <f t="shared" si="753"/>
        <v>416</v>
      </c>
      <c r="F1005" s="132"/>
      <c r="G1005" s="248">
        <f t="shared" si="737"/>
        <v>0.0841238403</v>
      </c>
      <c r="H1005" s="115"/>
      <c r="I1005" s="93">
        <v>66.0</v>
      </c>
      <c r="J1005" s="134">
        <v>198.0</v>
      </c>
      <c r="K1005" s="93"/>
      <c r="L1005" s="56"/>
      <c r="M1005" s="91"/>
    </row>
    <row r="1006" ht="18.75" customHeight="1">
      <c r="A1006" s="133"/>
      <c r="B1006" s="149"/>
      <c r="C1006" s="204"/>
      <c r="D1006" s="109"/>
      <c r="E1006" s="109"/>
      <c r="F1006" s="132"/>
      <c r="G1006" s="248"/>
      <c r="H1006" s="115"/>
      <c r="I1006" s="93"/>
      <c r="J1006" s="93"/>
      <c r="K1006" s="93"/>
      <c r="L1006" s="56"/>
      <c r="M1006" s="91"/>
    </row>
    <row r="1007" ht="18.75" customHeight="1">
      <c r="A1007" s="133"/>
      <c r="B1007" s="107" t="s">
        <v>3496</v>
      </c>
      <c r="C1007" s="166"/>
      <c r="D1007" s="343"/>
      <c r="E1007" s="343"/>
      <c r="F1007" s="132"/>
      <c r="G1007" s="248"/>
      <c r="H1007" s="115"/>
      <c r="I1007" s="93"/>
      <c r="J1007" s="93"/>
      <c r="K1007" s="93"/>
      <c r="L1007" s="56"/>
      <c r="M1007" s="91"/>
    </row>
    <row r="1008">
      <c r="A1008" s="133"/>
      <c r="B1008" s="111" t="s">
        <v>3079</v>
      </c>
      <c r="C1008" s="112" t="s">
        <v>306</v>
      </c>
      <c r="D1008" s="52">
        <f t="shared" ref="D1008:E1008" si="754">D988</f>
        <v>239.56</v>
      </c>
      <c r="E1008" s="52">
        <f t="shared" si="754"/>
        <v>258</v>
      </c>
      <c r="F1008" s="132"/>
      <c r="G1008" s="248">
        <f t="shared" ref="G1008:G1025" si="756">IFERROR(DIVIDE(MINUS(E1008,D1008),D1008),)</f>
        <v>0.07697445316</v>
      </c>
      <c r="H1008" s="115"/>
      <c r="I1008" s="93">
        <v>108.0</v>
      </c>
      <c r="J1008" s="93">
        <v>324.0</v>
      </c>
      <c r="K1008" s="93"/>
      <c r="L1008" s="56"/>
      <c r="M1008" s="91"/>
    </row>
    <row r="1009">
      <c r="A1009" s="133"/>
      <c r="B1009" s="280" t="s">
        <v>1374</v>
      </c>
      <c r="C1009" s="412" t="s">
        <v>748</v>
      </c>
      <c r="D1009" s="52">
        <f t="shared" ref="D1009:E1009" si="755">D989</f>
        <v>252.28</v>
      </c>
      <c r="E1009" s="52">
        <f t="shared" si="755"/>
        <v>272</v>
      </c>
      <c r="F1009" s="132"/>
      <c r="G1009" s="248">
        <f t="shared" si="756"/>
        <v>0.0781671159</v>
      </c>
      <c r="H1009" s="115"/>
      <c r="I1009" s="93"/>
      <c r="J1009" s="93"/>
      <c r="K1009" s="93"/>
      <c r="L1009" s="56"/>
      <c r="M1009" s="91"/>
    </row>
    <row r="1010">
      <c r="A1010" s="133"/>
      <c r="B1010" s="111" t="s">
        <v>3080</v>
      </c>
      <c r="C1010" s="118" t="s">
        <v>751</v>
      </c>
      <c r="D1010" s="52">
        <f t="shared" ref="D1010:E1010" si="757">D990</f>
        <v>313.76</v>
      </c>
      <c r="E1010" s="52">
        <f t="shared" si="757"/>
        <v>342</v>
      </c>
      <c r="F1010" s="132"/>
      <c r="G1010" s="248">
        <f t="shared" si="756"/>
        <v>0.09000509944</v>
      </c>
      <c r="H1010" s="115"/>
      <c r="I1010" s="93">
        <v>54.0</v>
      </c>
      <c r="J1010" s="93">
        <v>216.0</v>
      </c>
      <c r="K1010" s="93"/>
      <c r="L1010" s="56"/>
      <c r="M1010" s="91"/>
    </row>
    <row r="1011">
      <c r="A1011" s="133"/>
      <c r="B1011" s="177" t="s">
        <v>3082</v>
      </c>
      <c r="C1011" s="118" t="s">
        <v>339</v>
      </c>
      <c r="D1011" s="52">
        <f t="shared" ref="D1011:E1011" si="758">D991</f>
        <v>332</v>
      </c>
      <c r="E1011" s="52">
        <f t="shared" si="758"/>
        <v>358</v>
      </c>
      <c r="F1011" s="132"/>
      <c r="G1011" s="248">
        <f t="shared" si="756"/>
        <v>0.07831325301</v>
      </c>
      <c r="H1011" s="115"/>
      <c r="I1011" s="93">
        <v>46.0</v>
      </c>
      <c r="J1011" s="93">
        <v>184.0</v>
      </c>
      <c r="K1011" s="93"/>
      <c r="L1011" s="56"/>
      <c r="M1011" s="91"/>
    </row>
    <row r="1012">
      <c r="A1012" s="133"/>
      <c r="B1012" s="111" t="s">
        <v>3083</v>
      </c>
      <c r="C1012" s="118" t="s">
        <v>363</v>
      </c>
      <c r="D1012" s="52">
        <f t="shared" ref="D1012:E1012" si="759">D992</f>
        <v>287.858688</v>
      </c>
      <c r="E1012" s="52">
        <f t="shared" si="759"/>
        <v>312</v>
      </c>
      <c r="F1012" s="132"/>
      <c r="G1012" s="248">
        <f t="shared" si="756"/>
        <v>0.08386514983</v>
      </c>
      <c r="H1012" s="115"/>
      <c r="I1012" s="115">
        <v>66.0</v>
      </c>
      <c r="J1012" s="115">
        <v>198.0</v>
      </c>
      <c r="K1012" s="93"/>
      <c r="L1012" s="56"/>
      <c r="M1012" s="91"/>
    </row>
    <row r="1013">
      <c r="A1013" s="133"/>
      <c r="B1013" s="111" t="s">
        <v>3084</v>
      </c>
      <c r="C1013" s="118" t="s">
        <v>808</v>
      </c>
      <c r="D1013" s="52">
        <f t="shared" ref="D1013:E1013" si="760">D993</f>
        <v>484</v>
      </c>
      <c r="E1013" s="52">
        <f t="shared" si="760"/>
        <v>522</v>
      </c>
      <c r="F1013" s="132"/>
      <c r="G1013" s="248">
        <f t="shared" si="756"/>
        <v>0.07851239669</v>
      </c>
      <c r="H1013" s="115"/>
      <c r="I1013" s="93">
        <v>24.0</v>
      </c>
      <c r="J1013" s="93">
        <v>96.0</v>
      </c>
      <c r="K1013" s="93"/>
      <c r="L1013" s="56"/>
      <c r="M1013" s="91"/>
    </row>
    <row r="1014">
      <c r="A1014" s="133"/>
      <c r="B1014" s="111" t="s">
        <v>3085</v>
      </c>
      <c r="C1014" s="118" t="s">
        <v>416</v>
      </c>
      <c r="D1014" s="52">
        <f t="shared" ref="D1014:E1014" si="761">D994</f>
        <v>334</v>
      </c>
      <c r="E1014" s="52">
        <f t="shared" si="761"/>
        <v>358</v>
      </c>
      <c r="F1014" s="132"/>
      <c r="G1014" s="248">
        <f t="shared" si="756"/>
        <v>0.07185628743</v>
      </c>
      <c r="H1014" s="115"/>
      <c r="I1014" s="93">
        <v>30.0</v>
      </c>
      <c r="J1014" s="93">
        <v>120.0</v>
      </c>
      <c r="K1014" s="93"/>
      <c r="L1014" s="56"/>
      <c r="M1014" s="91"/>
    </row>
    <row r="1015">
      <c r="A1015" s="133"/>
      <c r="B1015" s="111" t="s">
        <v>3086</v>
      </c>
      <c r="C1015" s="118" t="s">
        <v>2465</v>
      </c>
      <c r="D1015" s="52">
        <f t="shared" ref="D1015:E1015" si="762">D995</f>
        <v>664</v>
      </c>
      <c r="E1015" s="52">
        <f t="shared" si="762"/>
        <v>716</v>
      </c>
      <c r="F1015" s="132"/>
      <c r="G1015" s="248">
        <f t="shared" si="756"/>
        <v>0.07831325301</v>
      </c>
      <c r="H1015" s="115"/>
      <c r="I1015" s="93">
        <v>13.0</v>
      </c>
      <c r="J1015" s="93">
        <v>52.0</v>
      </c>
      <c r="K1015" s="93"/>
      <c r="L1015" s="56"/>
      <c r="M1015" s="91"/>
    </row>
    <row r="1016">
      <c r="A1016" s="133"/>
      <c r="B1016" s="111" t="s">
        <v>3088</v>
      </c>
      <c r="C1016" s="118" t="s">
        <v>3038</v>
      </c>
      <c r="D1016" s="52">
        <f t="shared" ref="D1016:E1016" si="763">D996</f>
        <v>608.44</v>
      </c>
      <c r="E1016" s="52">
        <f t="shared" si="763"/>
        <v>658</v>
      </c>
      <c r="F1016" s="132"/>
      <c r="G1016" s="248">
        <f t="shared" si="756"/>
        <v>0.08145421077</v>
      </c>
      <c r="H1016" s="115"/>
      <c r="I1016" s="93">
        <v>30.0</v>
      </c>
      <c r="J1016" s="93">
        <v>120.0</v>
      </c>
      <c r="K1016" s="93"/>
      <c r="L1016" s="56"/>
      <c r="M1016" s="91"/>
    </row>
    <row r="1017">
      <c r="A1017" s="133"/>
      <c r="B1017" s="111" t="s">
        <v>3089</v>
      </c>
      <c r="C1017" s="118" t="s">
        <v>2580</v>
      </c>
      <c r="D1017" s="52">
        <f t="shared" ref="D1017:E1017" si="764">D997</f>
        <v>686</v>
      </c>
      <c r="E1017" s="52">
        <f t="shared" si="764"/>
        <v>738</v>
      </c>
      <c r="F1017" s="132"/>
      <c r="G1017" s="248">
        <f t="shared" si="756"/>
        <v>0.07580174927</v>
      </c>
      <c r="H1017" s="115"/>
      <c r="I1017" s="93">
        <v>13.0</v>
      </c>
      <c r="J1017" s="93">
        <v>52.0</v>
      </c>
      <c r="K1017" s="93"/>
      <c r="L1017" s="56"/>
      <c r="M1017" s="91"/>
    </row>
    <row r="1018">
      <c r="A1018" s="133"/>
      <c r="B1018" s="111" t="s">
        <v>3090</v>
      </c>
      <c r="C1018" s="118" t="s">
        <v>913</v>
      </c>
      <c r="D1018" s="52">
        <f t="shared" ref="D1018:E1018" si="765">D998</f>
        <v>1338.09312</v>
      </c>
      <c r="E1018" s="52">
        <f t="shared" si="765"/>
        <v>1446</v>
      </c>
      <c r="F1018" s="132"/>
      <c r="G1018" s="248">
        <f t="shared" si="756"/>
        <v>0.08064227996</v>
      </c>
      <c r="H1018" s="115"/>
      <c r="I1018" s="134">
        <v>13.0</v>
      </c>
      <c r="J1018" s="134">
        <v>52.0</v>
      </c>
      <c r="K1018" s="93"/>
      <c r="L1018" s="56"/>
      <c r="M1018" s="91"/>
    </row>
    <row r="1019">
      <c r="A1019" s="133"/>
      <c r="B1019" s="111" t="s">
        <v>3091</v>
      </c>
      <c r="C1019" s="118" t="s">
        <v>1949</v>
      </c>
      <c r="D1019" s="52">
        <f t="shared" ref="D1019:E1019" si="766">D999</f>
        <v>1280.48</v>
      </c>
      <c r="E1019" s="52">
        <f t="shared" si="766"/>
        <v>1384</v>
      </c>
      <c r="F1019" s="132"/>
      <c r="G1019" s="248">
        <f t="shared" si="756"/>
        <v>0.08084468324</v>
      </c>
      <c r="H1019" s="115"/>
      <c r="I1019" s="134">
        <v>13.0</v>
      </c>
      <c r="J1019" s="134">
        <v>52.0</v>
      </c>
      <c r="K1019" s="93"/>
      <c r="L1019" s="56"/>
      <c r="M1019" s="91"/>
    </row>
    <row r="1020">
      <c r="A1020" s="133"/>
      <c r="B1020" s="123" t="s">
        <v>1377</v>
      </c>
      <c r="C1020" s="111" t="s">
        <v>523</v>
      </c>
      <c r="D1020" s="52">
        <f t="shared" ref="D1020:E1020" si="767">D1000</f>
        <v>1998</v>
      </c>
      <c r="E1020" s="52">
        <f t="shared" si="767"/>
        <v>2158</v>
      </c>
      <c r="F1020" s="132"/>
      <c r="G1020" s="248">
        <f t="shared" si="756"/>
        <v>0.08008008008</v>
      </c>
      <c r="H1020" s="115"/>
      <c r="I1020" s="134"/>
      <c r="J1020" s="134"/>
      <c r="K1020" s="93"/>
      <c r="L1020" s="56"/>
      <c r="M1020" s="91"/>
    </row>
    <row r="1021">
      <c r="A1021" s="133"/>
      <c r="B1021" s="123" t="s">
        <v>3092</v>
      </c>
      <c r="C1021" s="124" t="s">
        <v>1598</v>
      </c>
      <c r="D1021" s="52">
        <f t="shared" ref="D1021:E1021" si="768">D1001</f>
        <v>1678</v>
      </c>
      <c r="E1021" s="52">
        <f t="shared" si="768"/>
        <v>1808</v>
      </c>
      <c r="F1021" s="132"/>
      <c r="G1021" s="248">
        <f t="shared" si="756"/>
        <v>0.07747318236</v>
      </c>
      <c r="H1021" s="115"/>
      <c r="I1021" s="93">
        <v>6.0</v>
      </c>
      <c r="J1021" s="93">
        <v>24.0</v>
      </c>
      <c r="K1021" s="93"/>
      <c r="L1021" s="56"/>
      <c r="M1021" s="91"/>
    </row>
    <row r="1022">
      <c r="A1022" s="133"/>
      <c r="B1022" s="111" t="s">
        <v>3094</v>
      </c>
      <c r="C1022" s="118" t="s">
        <v>395</v>
      </c>
      <c r="D1022" s="52">
        <f t="shared" ref="D1022:E1022" si="769">D1002</f>
        <v>250.16</v>
      </c>
      <c r="E1022" s="52">
        <f t="shared" si="769"/>
        <v>268</v>
      </c>
      <c r="F1022" s="132"/>
      <c r="G1022" s="248">
        <f t="shared" si="756"/>
        <v>0.07131435881</v>
      </c>
      <c r="H1022" s="115"/>
      <c r="I1022" s="93">
        <v>90.0</v>
      </c>
      <c r="J1022" s="93">
        <v>270.0</v>
      </c>
      <c r="K1022" s="93"/>
      <c r="L1022" s="56"/>
      <c r="M1022" s="91"/>
    </row>
    <row r="1023">
      <c r="A1023" s="133"/>
      <c r="B1023" s="111" t="s">
        <v>3095</v>
      </c>
      <c r="C1023" s="118" t="s">
        <v>829</v>
      </c>
      <c r="D1023" s="52">
        <f t="shared" ref="D1023:E1023" si="770">D1003</f>
        <v>447.530304</v>
      </c>
      <c r="E1023" s="52">
        <f t="shared" si="770"/>
        <v>482</v>
      </c>
      <c r="F1023" s="109"/>
      <c r="G1023" s="248">
        <f t="shared" si="756"/>
        <v>0.07702203782</v>
      </c>
      <c r="H1023" s="93"/>
      <c r="I1023" s="93">
        <v>30.0</v>
      </c>
      <c r="J1023" s="93">
        <v>120.0</v>
      </c>
      <c r="K1023" s="93"/>
      <c r="L1023" s="56"/>
      <c r="M1023" s="91"/>
    </row>
    <row r="1024">
      <c r="A1024" s="133"/>
      <c r="B1024" s="111" t="s">
        <v>3096</v>
      </c>
      <c r="C1024" s="118" t="s">
        <v>2596</v>
      </c>
      <c r="D1024" s="52">
        <f t="shared" ref="D1024:E1024" si="771">D1004</f>
        <v>629.69088</v>
      </c>
      <c r="E1024" s="52">
        <f t="shared" si="771"/>
        <v>678</v>
      </c>
      <c r="F1024" s="109"/>
      <c r="G1024" s="248">
        <f t="shared" si="756"/>
        <v>0.07671878621</v>
      </c>
      <c r="H1024" s="93"/>
      <c r="I1024" s="93">
        <v>30.0</v>
      </c>
      <c r="J1024" s="93">
        <v>120.0</v>
      </c>
      <c r="K1024" s="93"/>
      <c r="L1024" s="56"/>
      <c r="M1024" s="91"/>
    </row>
    <row r="1025">
      <c r="A1025" s="133"/>
      <c r="B1025" s="111" t="s">
        <v>3097</v>
      </c>
      <c r="C1025" s="118" t="s">
        <v>731</v>
      </c>
      <c r="D1025" s="52">
        <f t="shared" ref="D1025:E1025" si="772">D1005</f>
        <v>383.72</v>
      </c>
      <c r="E1025" s="52">
        <f t="shared" si="772"/>
        <v>416</v>
      </c>
      <c r="F1025" s="109"/>
      <c r="G1025" s="248">
        <f t="shared" si="756"/>
        <v>0.0841238403</v>
      </c>
      <c r="H1025" s="115"/>
      <c r="I1025" s="134">
        <v>66.0</v>
      </c>
      <c r="J1025" s="134">
        <v>198.0</v>
      </c>
      <c r="K1025" s="93"/>
      <c r="L1025" s="56"/>
      <c r="M1025" s="91"/>
    </row>
    <row r="1026" ht="18.75" customHeight="1">
      <c r="A1026" s="256"/>
      <c r="B1026" s="149"/>
      <c r="C1026" s="204"/>
      <c r="D1026" s="259"/>
      <c r="E1026" s="109"/>
      <c r="F1026" s="109"/>
      <c r="G1026" s="248"/>
      <c r="H1026" s="115"/>
      <c r="I1026" s="93"/>
      <c r="J1026" s="93"/>
      <c r="K1026" s="93"/>
      <c r="L1026" s="56"/>
      <c r="M1026" s="91"/>
    </row>
    <row r="1027" ht="18.75" customHeight="1">
      <c r="A1027" s="133"/>
      <c r="B1027" s="107" t="s">
        <v>3205</v>
      </c>
      <c r="C1027" s="92"/>
      <c r="D1027" s="56"/>
      <c r="E1027" s="109"/>
      <c r="F1027" s="109"/>
      <c r="G1027" s="248"/>
      <c r="H1027" s="115"/>
      <c r="I1027" s="93"/>
      <c r="J1027" s="93"/>
      <c r="K1027" s="93"/>
      <c r="L1027" s="56"/>
      <c r="M1027" s="258"/>
    </row>
    <row r="1028">
      <c r="A1028" s="133"/>
      <c r="B1028" s="111" t="s">
        <v>3206</v>
      </c>
      <c r="C1028" s="413" t="s">
        <v>3207</v>
      </c>
      <c r="D1028" s="52">
        <v>308.0</v>
      </c>
      <c r="E1028" s="52">
        <v>336.0</v>
      </c>
      <c r="F1028" s="109">
        <f t="shared" ref="F1028:F1038" si="773">H1028*$H$2</f>
        <v>334.96</v>
      </c>
      <c r="G1028" s="248">
        <f t="shared" ref="G1028:G1038" si="774">IFERROR(DIVIDE(MINUS(E1028,D1028),D1028),)</f>
        <v>0.09090909091</v>
      </c>
      <c r="H1028" s="132">
        <f>VLOOKUP(M1028,'NEW PTMT'!$B$4:$E1406,4,0)</f>
        <v>316</v>
      </c>
      <c r="I1028" s="93">
        <v>30.0</v>
      </c>
      <c r="J1028" s="93">
        <v>120.0</v>
      </c>
      <c r="K1028" s="93"/>
      <c r="L1028" s="56"/>
      <c r="M1028" s="126">
        <v>1813.0</v>
      </c>
    </row>
    <row r="1029">
      <c r="A1029" s="133"/>
      <c r="B1029" s="111" t="s">
        <v>3210</v>
      </c>
      <c r="C1029" s="159" t="s">
        <v>1708</v>
      </c>
      <c r="D1029" s="52">
        <v>474.0</v>
      </c>
      <c r="E1029" s="52">
        <v>512.0</v>
      </c>
      <c r="F1029" s="109">
        <f t="shared" si="773"/>
        <v>510.92</v>
      </c>
      <c r="G1029" s="248">
        <f t="shared" si="774"/>
        <v>0.08016877637</v>
      </c>
      <c r="H1029" s="132">
        <f>VLOOKUP(M1029,'NEW PTMT'!$B$4:$E1406,4,0)</f>
        <v>482</v>
      </c>
      <c r="I1029" s="93">
        <v>30.0</v>
      </c>
      <c r="J1029" s="93">
        <v>120.0</v>
      </c>
      <c r="K1029" s="93"/>
      <c r="L1029" s="56"/>
      <c r="M1029" s="126" t="s">
        <v>1707</v>
      </c>
    </row>
    <row r="1030">
      <c r="A1030" s="133"/>
      <c r="B1030" s="111" t="s">
        <v>3211</v>
      </c>
      <c r="C1030" s="159" t="s">
        <v>1700</v>
      </c>
      <c r="D1030" s="52">
        <v>496.08000000000004</v>
      </c>
      <c r="E1030" s="52">
        <v>536.0</v>
      </c>
      <c r="F1030" s="109">
        <f t="shared" si="773"/>
        <v>536.36</v>
      </c>
      <c r="G1030" s="248">
        <f t="shared" si="774"/>
        <v>0.08047089179</v>
      </c>
      <c r="H1030" s="132">
        <f>VLOOKUP(M1030,'NEW PTMT'!$B$4:$E1406,4,0)</f>
        <v>506</v>
      </c>
      <c r="I1030" s="93">
        <v>30.0</v>
      </c>
      <c r="J1030" s="93">
        <v>120.0</v>
      </c>
      <c r="K1030" s="93"/>
      <c r="L1030" s="56"/>
      <c r="M1030" s="126" t="s">
        <v>1699</v>
      </c>
    </row>
    <row r="1031">
      <c r="A1031" s="133"/>
      <c r="B1031" s="111" t="s">
        <v>3212</v>
      </c>
      <c r="C1031" s="414" t="s">
        <v>1667</v>
      </c>
      <c r="D1031" s="52">
        <v>322.1976</v>
      </c>
      <c r="E1031" s="52">
        <v>348.0</v>
      </c>
      <c r="F1031" s="109">
        <f t="shared" si="773"/>
        <v>347.68</v>
      </c>
      <c r="G1031" s="248">
        <f t="shared" si="774"/>
        <v>0.0800825332</v>
      </c>
      <c r="H1031" s="132">
        <f>VLOOKUP(M1031,'NEW PTMT'!$B$4:$E1406,4,0)</f>
        <v>328</v>
      </c>
      <c r="I1031" s="93">
        <v>42.0</v>
      </c>
      <c r="J1031" s="93">
        <v>168.0</v>
      </c>
      <c r="K1031" s="93"/>
      <c r="L1031" s="56"/>
      <c r="M1031" s="126">
        <v>1814.0</v>
      </c>
    </row>
    <row r="1032">
      <c r="A1032" s="133"/>
      <c r="B1032" s="111" t="s">
        <v>3213</v>
      </c>
      <c r="C1032" s="159" t="s">
        <v>1710</v>
      </c>
      <c r="D1032" s="52">
        <v>486.0</v>
      </c>
      <c r="E1032" s="52">
        <v>526.0</v>
      </c>
      <c r="F1032" s="109">
        <f t="shared" si="773"/>
        <v>525.76</v>
      </c>
      <c r="G1032" s="248">
        <f t="shared" si="774"/>
        <v>0.08230452675</v>
      </c>
      <c r="H1032" s="132">
        <f>VLOOKUP(M1032,'NEW PTMT'!$B$4:$E1406,4,0)</f>
        <v>496</v>
      </c>
      <c r="I1032" s="93">
        <v>30.0</v>
      </c>
      <c r="J1032" s="93">
        <v>120.0</v>
      </c>
      <c r="K1032" s="93"/>
      <c r="L1032" s="56"/>
      <c r="M1032" s="126" t="s">
        <v>1709</v>
      </c>
    </row>
    <row r="1033">
      <c r="A1033" s="133"/>
      <c r="B1033" s="111" t="s">
        <v>3214</v>
      </c>
      <c r="C1033" s="159" t="s">
        <v>1712</v>
      </c>
      <c r="D1033" s="52">
        <v>510.49939200000006</v>
      </c>
      <c r="E1033" s="52">
        <v>554.0</v>
      </c>
      <c r="F1033" s="109">
        <f t="shared" si="773"/>
        <v>553.32</v>
      </c>
      <c r="G1033" s="248">
        <f t="shared" si="774"/>
        <v>0.08521187034</v>
      </c>
      <c r="H1033" s="132">
        <f>VLOOKUP(M1033,'NEW PTMT'!$B$4:$E1406,4,0)</f>
        <v>522</v>
      </c>
      <c r="I1033" s="93">
        <v>30.0</v>
      </c>
      <c r="J1033" s="93">
        <v>120.0</v>
      </c>
      <c r="K1033" s="93"/>
      <c r="L1033" s="56"/>
      <c r="M1033" s="126" t="s">
        <v>1711</v>
      </c>
    </row>
    <row r="1034">
      <c r="A1034" s="133"/>
      <c r="B1034" s="111" t="s">
        <v>3217</v>
      </c>
      <c r="C1034" s="414" t="s">
        <v>1671</v>
      </c>
      <c r="D1034" s="52">
        <v>538.4376</v>
      </c>
      <c r="E1034" s="52">
        <v>582.0</v>
      </c>
      <c r="F1034" s="109">
        <f t="shared" si="773"/>
        <v>580.88</v>
      </c>
      <c r="G1034" s="248">
        <f t="shared" si="774"/>
        <v>0.08090519681</v>
      </c>
      <c r="H1034" s="132">
        <f>VLOOKUP(M1034,'NEW PTMT'!$B$4:$E1406,4,0)</f>
        <v>548</v>
      </c>
      <c r="I1034" s="93">
        <v>14.0</v>
      </c>
      <c r="J1034" s="93">
        <v>56.0</v>
      </c>
      <c r="K1034" s="93"/>
      <c r="L1034" s="56"/>
      <c r="M1034" s="126">
        <v>183.0</v>
      </c>
    </row>
    <row r="1035">
      <c r="A1035" s="96"/>
      <c r="B1035" s="111" t="s">
        <v>3219</v>
      </c>
      <c r="C1035" s="415" t="s">
        <v>1728</v>
      </c>
      <c r="D1035" s="52">
        <v>618.0</v>
      </c>
      <c r="E1035" s="52">
        <v>666.0</v>
      </c>
      <c r="F1035" s="109">
        <f t="shared" si="773"/>
        <v>665.68</v>
      </c>
      <c r="G1035" s="248">
        <f t="shared" si="774"/>
        <v>0.07766990291</v>
      </c>
      <c r="H1035" s="132">
        <f>VLOOKUP(M1035,'NEW PTMT'!$B$4:$E1406,4,0)</f>
        <v>628</v>
      </c>
      <c r="I1035" s="93">
        <v>22.0</v>
      </c>
      <c r="J1035" s="93">
        <v>88.0</v>
      </c>
      <c r="K1035" s="93"/>
      <c r="L1035" s="56"/>
      <c r="M1035" s="126">
        <v>187.0</v>
      </c>
    </row>
    <row r="1036">
      <c r="A1036" s="96"/>
      <c r="B1036" s="177" t="s">
        <v>3220</v>
      </c>
      <c r="C1036" s="416" t="s">
        <v>1730</v>
      </c>
      <c r="D1036" s="52">
        <v>692.0</v>
      </c>
      <c r="E1036" s="52">
        <v>746.0</v>
      </c>
      <c r="F1036" s="109">
        <f t="shared" si="773"/>
        <v>746.24</v>
      </c>
      <c r="G1036" s="248">
        <f t="shared" si="774"/>
        <v>0.07803468208</v>
      </c>
      <c r="H1036" s="132">
        <f>VLOOKUP(M1036,'NEW PTMT'!$B$4:$E1406,4,0)</f>
        <v>704</v>
      </c>
      <c r="I1036" s="93">
        <v>22.0</v>
      </c>
      <c r="J1036" s="93">
        <v>88.0</v>
      </c>
      <c r="K1036" s="93"/>
      <c r="L1036" s="56"/>
      <c r="M1036" s="126">
        <v>188.0</v>
      </c>
    </row>
    <row r="1037">
      <c r="A1037" s="133"/>
      <c r="B1037" s="177" t="s">
        <v>3221</v>
      </c>
      <c r="C1037" s="416" t="s">
        <v>1731</v>
      </c>
      <c r="D1037" s="52">
        <v>378.0</v>
      </c>
      <c r="E1037" s="52">
        <v>408.0</v>
      </c>
      <c r="F1037" s="109">
        <f t="shared" si="773"/>
        <v>407.04</v>
      </c>
      <c r="G1037" s="248">
        <f t="shared" si="774"/>
        <v>0.07936507937</v>
      </c>
      <c r="H1037" s="132">
        <f>VLOOKUP(M1037,'NEW PTMT'!$B$4:$E1406,4,0)</f>
        <v>384</v>
      </c>
      <c r="I1037" s="93">
        <v>55.0</v>
      </c>
      <c r="J1037" s="93">
        <v>220.0</v>
      </c>
      <c r="K1037" s="93"/>
      <c r="L1037" s="56"/>
      <c r="M1037" s="126">
        <v>189.0</v>
      </c>
    </row>
    <row r="1038">
      <c r="A1038" s="133"/>
      <c r="B1038" s="111" t="s">
        <v>3222</v>
      </c>
      <c r="C1038" s="414" t="s">
        <v>1679</v>
      </c>
      <c r="D1038" s="52">
        <v>326.08992</v>
      </c>
      <c r="E1038" s="52">
        <v>352.0</v>
      </c>
      <c r="F1038" s="109">
        <f t="shared" si="773"/>
        <v>351.92</v>
      </c>
      <c r="G1038" s="248">
        <f t="shared" si="774"/>
        <v>0.07945685656</v>
      </c>
      <c r="H1038" s="132">
        <f>VLOOKUP(M1038,'NEW PTMT'!$B$4:$E1406,4,0)</f>
        <v>332</v>
      </c>
      <c r="I1038" s="134">
        <v>28.0</v>
      </c>
      <c r="J1038" s="134">
        <v>112.0</v>
      </c>
      <c r="K1038" s="93"/>
      <c r="L1038" s="56"/>
      <c r="M1038" s="126">
        <v>194.0</v>
      </c>
    </row>
    <row r="1039" ht="18.75" customHeight="1">
      <c r="A1039" s="133"/>
      <c r="B1039" s="91"/>
      <c r="C1039" s="92"/>
      <c r="D1039" s="56"/>
      <c r="E1039" s="109"/>
      <c r="F1039" s="109"/>
      <c r="G1039" s="248"/>
      <c r="H1039" s="115"/>
      <c r="I1039" s="93"/>
      <c r="J1039" s="93"/>
      <c r="K1039" s="93"/>
      <c r="L1039" s="56"/>
      <c r="M1039" s="91"/>
    </row>
    <row r="1040" ht="18.75" customHeight="1">
      <c r="A1040" s="133"/>
      <c r="B1040" s="107" t="s">
        <v>3223</v>
      </c>
      <c r="C1040" s="92"/>
      <c r="D1040" s="56"/>
      <c r="E1040" s="109"/>
      <c r="F1040" s="109"/>
      <c r="G1040" s="248"/>
      <c r="H1040" s="115"/>
      <c r="I1040" s="93"/>
      <c r="J1040" s="93"/>
      <c r="K1040" s="93"/>
      <c r="L1040" s="56"/>
      <c r="M1040" s="91"/>
    </row>
    <row r="1041">
      <c r="A1041" s="133"/>
      <c r="B1041" s="111" t="s">
        <v>3224</v>
      </c>
      <c r="C1041" s="413" t="s">
        <v>3207</v>
      </c>
      <c r="D1041" s="52">
        <f t="shared" ref="D1041:E1041" si="775">D1028</f>
        <v>308</v>
      </c>
      <c r="E1041" s="52">
        <f t="shared" si="775"/>
        <v>336</v>
      </c>
      <c r="F1041" s="109"/>
      <c r="G1041" s="248">
        <f t="shared" ref="G1041:G1051" si="777">IFERROR(DIVIDE(MINUS(E1041,D1041),D1041),)</f>
        <v>0.09090909091</v>
      </c>
      <c r="H1041" s="115"/>
      <c r="I1041" s="93">
        <v>42.0</v>
      </c>
      <c r="J1041" s="93">
        <v>168.0</v>
      </c>
      <c r="K1041" s="93"/>
      <c r="L1041" s="56"/>
      <c r="M1041" s="91"/>
    </row>
    <row r="1042">
      <c r="A1042" s="133"/>
      <c r="B1042" s="111" t="s">
        <v>3225</v>
      </c>
      <c r="C1042" s="159" t="s">
        <v>1708</v>
      </c>
      <c r="D1042" s="52">
        <f t="shared" ref="D1042:E1042" si="776">D1029</f>
        <v>474</v>
      </c>
      <c r="E1042" s="52">
        <f t="shared" si="776"/>
        <v>512</v>
      </c>
      <c r="F1042" s="109"/>
      <c r="G1042" s="248">
        <f t="shared" si="777"/>
        <v>0.08016877637</v>
      </c>
      <c r="H1042" s="115"/>
      <c r="I1042" s="93">
        <v>30.0</v>
      </c>
      <c r="J1042" s="93">
        <v>120.0</v>
      </c>
      <c r="K1042" s="93"/>
      <c r="L1042" s="56"/>
      <c r="M1042" s="91"/>
    </row>
    <row r="1043">
      <c r="A1043" s="133"/>
      <c r="B1043" s="111" t="s">
        <v>3226</v>
      </c>
      <c r="C1043" s="159" t="s">
        <v>1700</v>
      </c>
      <c r="D1043" s="52">
        <f t="shared" ref="D1043:E1043" si="778">D1030</f>
        <v>496.08</v>
      </c>
      <c r="E1043" s="52">
        <f t="shared" si="778"/>
        <v>536</v>
      </c>
      <c r="F1043" s="109"/>
      <c r="G1043" s="248">
        <f t="shared" si="777"/>
        <v>0.08047089179</v>
      </c>
      <c r="H1043" s="115"/>
      <c r="I1043" s="93">
        <v>30.0</v>
      </c>
      <c r="J1043" s="93">
        <v>120.0</v>
      </c>
      <c r="K1043" s="93"/>
      <c r="L1043" s="56"/>
      <c r="M1043" s="91"/>
    </row>
    <row r="1044">
      <c r="A1044" s="133"/>
      <c r="B1044" s="177" t="s">
        <v>3227</v>
      </c>
      <c r="C1044" s="414" t="s">
        <v>1667</v>
      </c>
      <c r="D1044" s="52">
        <f t="shared" ref="D1044:E1044" si="779">D1031</f>
        <v>322.1976</v>
      </c>
      <c r="E1044" s="52">
        <f t="shared" si="779"/>
        <v>348</v>
      </c>
      <c r="F1044" s="109"/>
      <c r="G1044" s="248">
        <f t="shared" si="777"/>
        <v>0.0800825332</v>
      </c>
      <c r="H1044" s="115"/>
      <c r="I1044" s="93">
        <v>42.0</v>
      </c>
      <c r="J1044" s="93">
        <v>168.0</v>
      </c>
      <c r="K1044" s="93"/>
      <c r="L1044" s="56"/>
      <c r="M1044" s="91"/>
    </row>
    <row r="1045">
      <c r="A1045" s="133"/>
      <c r="B1045" s="111" t="s">
        <v>3230</v>
      </c>
      <c r="C1045" s="159" t="s">
        <v>1710</v>
      </c>
      <c r="D1045" s="52">
        <f t="shared" ref="D1045:E1045" si="780">D1032</f>
        <v>486</v>
      </c>
      <c r="E1045" s="52">
        <f t="shared" si="780"/>
        <v>526</v>
      </c>
      <c r="F1045" s="109"/>
      <c r="G1045" s="248">
        <f t="shared" si="777"/>
        <v>0.08230452675</v>
      </c>
      <c r="H1045" s="115"/>
      <c r="I1045" s="93">
        <v>30.0</v>
      </c>
      <c r="J1045" s="93">
        <v>120.0</v>
      </c>
      <c r="K1045" s="93"/>
      <c r="L1045" s="56"/>
      <c r="M1045" s="91"/>
    </row>
    <row r="1046">
      <c r="A1046" s="133"/>
      <c r="B1046" s="111" t="s">
        <v>3231</v>
      </c>
      <c r="C1046" s="159" t="s">
        <v>1712</v>
      </c>
      <c r="D1046" s="52">
        <f t="shared" ref="D1046:E1046" si="781">D1033</f>
        <v>510.499392</v>
      </c>
      <c r="E1046" s="52">
        <f t="shared" si="781"/>
        <v>554</v>
      </c>
      <c r="F1046" s="109"/>
      <c r="G1046" s="248">
        <f t="shared" si="777"/>
        <v>0.08521187034</v>
      </c>
      <c r="H1046" s="115"/>
      <c r="I1046" s="93">
        <v>30.0</v>
      </c>
      <c r="J1046" s="93">
        <v>120.0</v>
      </c>
      <c r="K1046" s="93"/>
      <c r="L1046" s="56"/>
      <c r="M1046" s="91"/>
    </row>
    <row r="1047">
      <c r="A1047" s="133"/>
      <c r="B1047" s="177" t="s">
        <v>3234</v>
      </c>
      <c r="C1047" s="414" t="s">
        <v>1671</v>
      </c>
      <c r="D1047" s="52">
        <f t="shared" ref="D1047:E1047" si="782">D1034</f>
        <v>538.4376</v>
      </c>
      <c r="E1047" s="52">
        <f t="shared" si="782"/>
        <v>582</v>
      </c>
      <c r="F1047" s="109"/>
      <c r="G1047" s="248">
        <f t="shared" si="777"/>
        <v>0.08090519681</v>
      </c>
      <c r="H1047" s="115"/>
      <c r="I1047" s="93">
        <v>14.0</v>
      </c>
      <c r="J1047" s="93">
        <v>56.0</v>
      </c>
      <c r="K1047" s="93"/>
      <c r="L1047" s="56"/>
      <c r="M1047" s="91"/>
    </row>
    <row r="1048">
      <c r="A1048" s="133"/>
      <c r="B1048" s="111" t="s">
        <v>3235</v>
      </c>
      <c r="C1048" s="415" t="s">
        <v>1728</v>
      </c>
      <c r="D1048" s="52">
        <f t="shared" ref="D1048:E1048" si="783">D1035</f>
        <v>618</v>
      </c>
      <c r="E1048" s="52">
        <f t="shared" si="783"/>
        <v>666</v>
      </c>
      <c r="F1048" s="109"/>
      <c r="G1048" s="248">
        <f t="shared" si="777"/>
        <v>0.07766990291</v>
      </c>
      <c r="H1048" s="115"/>
      <c r="I1048" s="93">
        <v>22.0</v>
      </c>
      <c r="J1048" s="93">
        <v>88.0</v>
      </c>
      <c r="K1048" s="93"/>
      <c r="L1048" s="56"/>
      <c r="M1048" s="91"/>
    </row>
    <row r="1049">
      <c r="A1049" s="133"/>
      <c r="B1049" s="177" t="s">
        <v>3236</v>
      </c>
      <c r="C1049" s="416" t="s">
        <v>1730</v>
      </c>
      <c r="D1049" s="52">
        <f t="shared" ref="D1049:E1049" si="784">D1036</f>
        <v>692</v>
      </c>
      <c r="E1049" s="52">
        <f t="shared" si="784"/>
        <v>746</v>
      </c>
      <c r="F1049" s="109"/>
      <c r="G1049" s="248">
        <f t="shared" si="777"/>
        <v>0.07803468208</v>
      </c>
      <c r="H1049" s="93"/>
      <c r="I1049" s="93">
        <v>22.0</v>
      </c>
      <c r="J1049" s="93">
        <v>88.0</v>
      </c>
      <c r="K1049" s="93"/>
      <c r="L1049" s="56"/>
      <c r="M1049" s="91"/>
    </row>
    <row r="1050">
      <c r="A1050" s="133"/>
      <c r="B1050" s="177" t="s">
        <v>3237</v>
      </c>
      <c r="C1050" s="416" t="s">
        <v>1731</v>
      </c>
      <c r="D1050" s="52">
        <f t="shared" ref="D1050:E1050" si="785">D1037</f>
        <v>378</v>
      </c>
      <c r="E1050" s="52">
        <f t="shared" si="785"/>
        <v>408</v>
      </c>
      <c r="F1050" s="109"/>
      <c r="G1050" s="248">
        <f t="shared" si="777"/>
        <v>0.07936507937</v>
      </c>
      <c r="H1050" s="93"/>
      <c r="I1050" s="93">
        <v>55.0</v>
      </c>
      <c r="J1050" s="93">
        <v>220.0</v>
      </c>
      <c r="K1050" s="93"/>
      <c r="L1050" s="56"/>
      <c r="M1050" s="91"/>
    </row>
    <row r="1051">
      <c r="A1051" s="133"/>
      <c r="B1051" s="177" t="s">
        <v>3240</v>
      </c>
      <c r="C1051" s="414" t="s">
        <v>1679</v>
      </c>
      <c r="D1051" s="52">
        <f t="shared" ref="D1051:E1051" si="786">D1038</f>
        <v>326.08992</v>
      </c>
      <c r="E1051" s="52">
        <f t="shared" si="786"/>
        <v>352</v>
      </c>
      <c r="F1051" s="109"/>
      <c r="G1051" s="248">
        <f t="shared" si="777"/>
        <v>0.07945685656</v>
      </c>
      <c r="H1051" s="115"/>
      <c r="I1051" s="134">
        <v>28.0</v>
      </c>
      <c r="J1051" s="134">
        <v>112.0</v>
      </c>
      <c r="K1051" s="93"/>
      <c r="L1051" s="56"/>
      <c r="M1051" s="91"/>
    </row>
    <row r="1052" ht="18.75" customHeight="1">
      <c r="A1052" s="133"/>
      <c r="B1052" s="126"/>
      <c r="C1052" s="252"/>
      <c r="D1052" s="109"/>
      <c r="E1052" s="109"/>
      <c r="F1052" s="109"/>
      <c r="G1052" s="248"/>
      <c r="H1052" s="115"/>
      <c r="I1052" s="93"/>
      <c r="J1052" s="93"/>
      <c r="K1052" s="93"/>
      <c r="L1052" s="56"/>
      <c r="M1052" s="91"/>
    </row>
    <row r="1053" ht="18.75" customHeight="1">
      <c r="A1053" s="133"/>
      <c r="B1053" s="107" t="s">
        <v>3241</v>
      </c>
      <c r="C1053" s="92"/>
      <c r="D1053" s="109"/>
      <c r="E1053" s="109"/>
      <c r="F1053" s="109"/>
      <c r="G1053" s="248"/>
      <c r="H1053" s="115"/>
      <c r="I1053" s="93"/>
      <c r="J1053" s="93"/>
      <c r="K1053" s="93"/>
      <c r="L1053" s="56"/>
      <c r="M1053" s="91"/>
    </row>
    <row r="1054">
      <c r="A1054" s="133"/>
      <c r="B1054" s="111" t="s">
        <v>3242</v>
      </c>
      <c r="C1054" s="413" t="s">
        <v>3207</v>
      </c>
      <c r="D1054" s="52">
        <f t="shared" ref="D1054:E1054" si="787">D1041</f>
        <v>308</v>
      </c>
      <c r="E1054" s="52">
        <f t="shared" si="787"/>
        <v>336</v>
      </c>
      <c r="F1054" s="109"/>
      <c r="G1054" s="248">
        <f t="shared" ref="G1054:G1064" si="789">IFERROR(DIVIDE(MINUS(E1054,D1054),D1054),)</f>
        <v>0.09090909091</v>
      </c>
      <c r="H1054" s="115"/>
      <c r="I1054" s="93">
        <v>42.0</v>
      </c>
      <c r="J1054" s="93">
        <v>168.0</v>
      </c>
      <c r="K1054" s="93"/>
      <c r="L1054" s="56"/>
      <c r="M1054" s="91"/>
    </row>
    <row r="1055">
      <c r="A1055" s="133"/>
      <c r="B1055" s="111" t="s">
        <v>3243</v>
      </c>
      <c r="C1055" s="159" t="s">
        <v>1708</v>
      </c>
      <c r="D1055" s="52">
        <f t="shared" ref="D1055:E1055" si="788">D1042</f>
        <v>474</v>
      </c>
      <c r="E1055" s="52">
        <f t="shared" si="788"/>
        <v>512</v>
      </c>
      <c r="F1055" s="109"/>
      <c r="G1055" s="248">
        <f t="shared" si="789"/>
        <v>0.08016877637</v>
      </c>
      <c r="H1055" s="115"/>
      <c r="I1055" s="93">
        <v>30.0</v>
      </c>
      <c r="J1055" s="93">
        <v>120.0</v>
      </c>
      <c r="K1055" s="93"/>
      <c r="L1055" s="56"/>
      <c r="M1055" s="91"/>
    </row>
    <row r="1056">
      <c r="A1056" s="133"/>
      <c r="B1056" s="111" t="s">
        <v>3244</v>
      </c>
      <c r="C1056" s="159" t="s">
        <v>1700</v>
      </c>
      <c r="D1056" s="52">
        <f t="shared" ref="D1056:E1056" si="790">D1043</f>
        <v>496.08</v>
      </c>
      <c r="E1056" s="52">
        <f t="shared" si="790"/>
        <v>536</v>
      </c>
      <c r="F1056" s="109"/>
      <c r="G1056" s="248">
        <f t="shared" si="789"/>
        <v>0.08047089179</v>
      </c>
      <c r="H1056" s="115"/>
      <c r="I1056" s="93">
        <v>30.0</v>
      </c>
      <c r="J1056" s="93">
        <v>120.0</v>
      </c>
      <c r="K1056" s="93"/>
      <c r="L1056" s="56"/>
      <c r="M1056" s="91"/>
    </row>
    <row r="1057">
      <c r="A1057" s="133"/>
      <c r="B1057" s="177" t="s">
        <v>3247</v>
      </c>
      <c r="C1057" s="414" t="s">
        <v>1667</v>
      </c>
      <c r="D1057" s="52">
        <f t="shared" ref="D1057:E1057" si="791">D1044</f>
        <v>322.1976</v>
      </c>
      <c r="E1057" s="52">
        <f t="shared" si="791"/>
        <v>348</v>
      </c>
      <c r="F1057" s="109"/>
      <c r="G1057" s="248">
        <f t="shared" si="789"/>
        <v>0.0800825332</v>
      </c>
      <c r="H1057" s="115"/>
      <c r="I1057" s="93">
        <v>42.0</v>
      </c>
      <c r="J1057" s="93">
        <v>168.0</v>
      </c>
      <c r="K1057" s="93"/>
      <c r="L1057" s="56"/>
      <c r="M1057" s="91"/>
    </row>
    <row r="1058">
      <c r="A1058" s="133"/>
      <c r="B1058" s="111" t="s">
        <v>3248</v>
      </c>
      <c r="C1058" s="159" t="s">
        <v>1710</v>
      </c>
      <c r="D1058" s="52">
        <f t="shared" ref="D1058:E1058" si="792">D1045</f>
        <v>486</v>
      </c>
      <c r="E1058" s="52">
        <f t="shared" si="792"/>
        <v>526</v>
      </c>
      <c r="F1058" s="109"/>
      <c r="G1058" s="248">
        <f t="shared" si="789"/>
        <v>0.08230452675</v>
      </c>
      <c r="H1058" s="115"/>
      <c r="I1058" s="93">
        <v>30.0</v>
      </c>
      <c r="J1058" s="93">
        <v>120.0</v>
      </c>
      <c r="K1058" s="93"/>
      <c r="L1058" s="56"/>
      <c r="M1058" s="91"/>
    </row>
    <row r="1059">
      <c r="A1059" s="133"/>
      <c r="B1059" s="111" t="s">
        <v>3249</v>
      </c>
      <c r="C1059" s="159" t="s">
        <v>1712</v>
      </c>
      <c r="D1059" s="52">
        <f t="shared" ref="D1059:E1059" si="793">D1046</f>
        <v>510.499392</v>
      </c>
      <c r="E1059" s="52">
        <f t="shared" si="793"/>
        <v>554</v>
      </c>
      <c r="F1059" s="109"/>
      <c r="G1059" s="248">
        <f t="shared" si="789"/>
        <v>0.08521187034</v>
      </c>
      <c r="H1059" s="115"/>
      <c r="I1059" s="93">
        <v>30.0</v>
      </c>
      <c r="J1059" s="93">
        <v>120.0</v>
      </c>
      <c r="K1059" s="93"/>
      <c r="L1059" s="56"/>
      <c r="M1059" s="91"/>
    </row>
    <row r="1060">
      <c r="A1060" s="133"/>
      <c r="B1060" s="177" t="s">
        <v>3250</v>
      </c>
      <c r="C1060" s="414" t="s">
        <v>1671</v>
      </c>
      <c r="D1060" s="52">
        <f t="shared" ref="D1060:E1060" si="794">D1047</f>
        <v>538.4376</v>
      </c>
      <c r="E1060" s="52">
        <f t="shared" si="794"/>
        <v>582</v>
      </c>
      <c r="F1060" s="109"/>
      <c r="G1060" s="248">
        <f t="shared" si="789"/>
        <v>0.08090519681</v>
      </c>
      <c r="H1060" s="115"/>
      <c r="I1060" s="93">
        <v>14.0</v>
      </c>
      <c r="J1060" s="93">
        <v>56.0</v>
      </c>
      <c r="K1060" s="93"/>
      <c r="L1060" s="56"/>
      <c r="M1060" s="91"/>
    </row>
    <row r="1061">
      <c r="A1061" s="133"/>
      <c r="B1061" s="111" t="s">
        <v>3251</v>
      </c>
      <c r="C1061" s="415" t="s">
        <v>1728</v>
      </c>
      <c r="D1061" s="52">
        <f t="shared" ref="D1061:E1061" si="795">D1048</f>
        <v>618</v>
      </c>
      <c r="E1061" s="52">
        <f t="shared" si="795"/>
        <v>666</v>
      </c>
      <c r="F1061" s="109"/>
      <c r="G1061" s="248">
        <f t="shared" si="789"/>
        <v>0.07766990291</v>
      </c>
      <c r="H1061" s="115"/>
      <c r="I1061" s="93">
        <v>22.0</v>
      </c>
      <c r="J1061" s="93">
        <v>88.0</v>
      </c>
      <c r="K1061" s="93"/>
      <c r="L1061" s="56"/>
      <c r="M1061" s="91"/>
    </row>
    <row r="1062">
      <c r="A1062" s="133"/>
      <c r="B1062" s="177" t="s">
        <v>3252</v>
      </c>
      <c r="C1062" s="416" t="s">
        <v>1730</v>
      </c>
      <c r="D1062" s="52">
        <f t="shared" ref="D1062:E1062" si="796">D1049</f>
        <v>692</v>
      </c>
      <c r="E1062" s="52">
        <f t="shared" si="796"/>
        <v>746</v>
      </c>
      <c r="F1062" s="109"/>
      <c r="G1062" s="248">
        <f t="shared" si="789"/>
        <v>0.07803468208</v>
      </c>
      <c r="H1062" s="115"/>
      <c r="I1062" s="93">
        <v>22.0</v>
      </c>
      <c r="J1062" s="93">
        <v>88.0</v>
      </c>
      <c r="K1062" s="93"/>
      <c r="L1062" s="56"/>
      <c r="M1062" s="91"/>
    </row>
    <row r="1063">
      <c r="A1063" s="133"/>
      <c r="B1063" s="177" t="s">
        <v>3253</v>
      </c>
      <c r="C1063" s="416" t="s">
        <v>1731</v>
      </c>
      <c r="D1063" s="52">
        <f t="shared" ref="D1063:E1063" si="797">D1050</f>
        <v>378</v>
      </c>
      <c r="E1063" s="52">
        <f t="shared" si="797"/>
        <v>408</v>
      </c>
      <c r="F1063" s="109"/>
      <c r="G1063" s="248">
        <f t="shared" si="789"/>
        <v>0.07936507937</v>
      </c>
      <c r="H1063" s="115"/>
      <c r="I1063" s="93">
        <v>55.0</v>
      </c>
      <c r="J1063" s="93">
        <v>220.0</v>
      </c>
      <c r="K1063" s="93"/>
      <c r="L1063" s="56"/>
      <c r="M1063" s="91"/>
    </row>
    <row r="1064">
      <c r="A1064" s="133"/>
      <c r="B1064" s="177" t="s">
        <v>3254</v>
      </c>
      <c r="C1064" s="414" t="s">
        <v>1679</v>
      </c>
      <c r="D1064" s="52">
        <f t="shared" ref="D1064:E1064" si="798">D1051</f>
        <v>326.08992</v>
      </c>
      <c r="E1064" s="52">
        <f t="shared" si="798"/>
        <v>352</v>
      </c>
      <c r="F1064" s="109"/>
      <c r="G1064" s="248">
        <f t="shared" si="789"/>
        <v>0.07945685656</v>
      </c>
      <c r="H1064" s="115"/>
      <c r="I1064" s="134">
        <v>28.0</v>
      </c>
      <c r="J1064" s="134">
        <v>112.0</v>
      </c>
      <c r="K1064" s="93"/>
      <c r="L1064" s="56"/>
      <c r="M1064" s="91"/>
    </row>
    <row r="1065">
      <c r="A1065" s="133"/>
      <c r="B1065" s="126"/>
      <c r="C1065" s="252"/>
      <c r="D1065" s="109"/>
      <c r="E1065" s="109"/>
      <c r="F1065" s="109"/>
      <c r="G1065" s="248"/>
      <c r="H1065" s="115"/>
      <c r="I1065" s="93"/>
      <c r="J1065" s="93"/>
      <c r="K1065" s="93"/>
      <c r="L1065" s="56"/>
      <c r="M1065" s="91"/>
    </row>
    <row r="1066">
      <c r="A1066" s="133"/>
      <c r="B1066" s="107" t="s">
        <v>3256</v>
      </c>
      <c r="C1066" s="92"/>
      <c r="D1066" s="109"/>
      <c r="E1066" s="109"/>
      <c r="F1066" s="109"/>
      <c r="G1066" s="248"/>
      <c r="H1066" s="115"/>
      <c r="I1066" s="93"/>
      <c r="J1066" s="93"/>
      <c r="K1066" s="93"/>
      <c r="L1066" s="56"/>
      <c r="M1066" s="91"/>
    </row>
    <row r="1067">
      <c r="A1067" s="133"/>
      <c r="B1067" s="111" t="s">
        <v>3257</v>
      </c>
      <c r="C1067" s="413" t="s">
        <v>3207</v>
      </c>
      <c r="D1067" s="52">
        <f t="shared" ref="D1067:E1067" si="799">D1054</f>
        <v>308</v>
      </c>
      <c r="E1067" s="52">
        <f t="shared" si="799"/>
        <v>336</v>
      </c>
      <c r="F1067" s="109"/>
      <c r="G1067" s="248">
        <f t="shared" ref="G1067:G1077" si="801">IFERROR(DIVIDE(MINUS(E1067,D1067),D1067),)</f>
        <v>0.09090909091</v>
      </c>
      <c r="H1067" s="115"/>
      <c r="I1067" s="93">
        <v>42.0</v>
      </c>
      <c r="J1067" s="93">
        <v>168.0</v>
      </c>
      <c r="K1067" s="93"/>
      <c r="L1067" s="56"/>
      <c r="M1067" s="91"/>
    </row>
    <row r="1068">
      <c r="A1068" s="133"/>
      <c r="B1068" s="111" t="s">
        <v>3260</v>
      </c>
      <c r="C1068" s="159" t="s">
        <v>1708</v>
      </c>
      <c r="D1068" s="52">
        <f t="shared" ref="D1068:E1068" si="800">D1055</f>
        <v>474</v>
      </c>
      <c r="E1068" s="52">
        <f t="shared" si="800"/>
        <v>512</v>
      </c>
      <c r="F1068" s="109"/>
      <c r="G1068" s="248">
        <f t="shared" si="801"/>
        <v>0.08016877637</v>
      </c>
      <c r="H1068" s="115"/>
      <c r="I1068" s="93">
        <v>30.0</v>
      </c>
      <c r="J1068" s="93">
        <v>120.0</v>
      </c>
      <c r="K1068" s="93"/>
      <c r="L1068" s="56"/>
      <c r="M1068" s="91"/>
    </row>
    <row r="1069">
      <c r="A1069" s="133"/>
      <c r="B1069" s="111" t="s">
        <v>3261</v>
      </c>
      <c r="C1069" s="159" t="s">
        <v>1700</v>
      </c>
      <c r="D1069" s="52">
        <f t="shared" ref="D1069:E1069" si="802">D1056</f>
        <v>496.08</v>
      </c>
      <c r="E1069" s="52">
        <f t="shared" si="802"/>
        <v>536</v>
      </c>
      <c r="F1069" s="109"/>
      <c r="G1069" s="248">
        <f t="shared" si="801"/>
        <v>0.08047089179</v>
      </c>
      <c r="H1069" s="115"/>
      <c r="I1069" s="93">
        <v>30.0</v>
      </c>
      <c r="J1069" s="93">
        <v>120.0</v>
      </c>
      <c r="K1069" s="93"/>
      <c r="L1069" s="56"/>
      <c r="M1069" s="91"/>
    </row>
    <row r="1070">
      <c r="A1070" s="133"/>
      <c r="B1070" s="177" t="s">
        <v>3262</v>
      </c>
      <c r="C1070" s="414" t="s">
        <v>1667</v>
      </c>
      <c r="D1070" s="52">
        <f t="shared" ref="D1070:E1070" si="803">D1057</f>
        <v>322.1976</v>
      </c>
      <c r="E1070" s="52">
        <f t="shared" si="803"/>
        <v>348</v>
      </c>
      <c r="F1070" s="109"/>
      <c r="G1070" s="248">
        <f t="shared" si="801"/>
        <v>0.0800825332</v>
      </c>
      <c r="H1070" s="115"/>
      <c r="I1070" s="93">
        <v>42.0</v>
      </c>
      <c r="J1070" s="93">
        <v>168.0</v>
      </c>
      <c r="K1070" s="93"/>
      <c r="L1070" s="56"/>
      <c r="M1070" s="91"/>
    </row>
    <row r="1071">
      <c r="A1071" s="133"/>
      <c r="B1071" s="111" t="s">
        <v>3263</v>
      </c>
      <c r="C1071" s="159" t="s">
        <v>1710</v>
      </c>
      <c r="D1071" s="52">
        <f t="shared" ref="D1071:E1071" si="804">D1058</f>
        <v>486</v>
      </c>
      <c r="E1071" s="52">
        <f t="shared" si="804"/>
        <v>526</v>
      </c>
      <c r="F1071" s="109"/>
      <c r="G1071" s="248">
        <f t="shared" si="801"/>
        <v>0.08230452675</v>
      </c>
      <c r="H1071" s="115"/>
      <c r="I1071" s="134">
        <v>30.0</v>
      </c>
      <c r="J1071" s="134">
        <v>120.0</v>
      </c>
      <c r="K1071" s="93"/>
      <c r="L1071" s="56"/>
      <c r="M1071" s="91"/>
    </row>
    <row r="1072">
      <c r="A1072" s="133"/>
      <c r="B1072" s="111" t="s">
        <v>3264</v>
      </c>
      <c r="C1072" s="159" t="s">
        <v>1712</v>
      </c>
      <c r="D1072" s="52">
        <f t="shared" ref="D1072:E1072" si="805">D1059</f>
        <v>510.499392</v>
      </c>
      <c r="E1072" s="52">
        <f t="shared" si="805"/>
        <v>554</v>
      </c>
      <c r="F1072" s="109"/>
      <c r="G1072" s="248">
        <f t="shared" si="801"/>
        <v>0.08521187034</v>
      </c>
      <c r="H1072" s="115"/>
      <c r="I1072" s="134">
        <v>30.0</v>
      </c>
      <c r="J1072" s="134">
        <v>120.0</v>
      </c>
      <c r="K1072" s="93"/>
      <c r="L1072" s="56"/>
      <c r="M1072" s="91"/>
    </row>
    <row r="1073">
      <c r="A1073" s="133"/>
      <c r="B1073" s="177" t="s">
        <v>3265</v>
      </c>
      <c r="C1073" s="414" t="s">
        <v>1671</v>
      </c>
      <c r="D1073" s="52">
        <f t="shared" ref="D1073:E1073" si="806">D1060</f>
        <v>538.4376</v>
      </c>
      <c r="E1073" s="52">
        <f t="shared" si="806"/>
        <v>582</v>
      </c>
      <c r="F1073" s="109"/>
      <c r="G1073" s="248">
        <f t="shared" si="801"/>
        <v>0.08090519681</v>
      </c>
      <c r="H1073" s="115"/>
      <c r="I1073" s="93">
        <v>14.0</v>
      </c>
      <c r="J1073" s="93">
        <v>56.0</v>
      </c>
      <c r="K1073" s="93"/>
      <c r="L1073" s="56"/>
      <c r="M1073" s="91"/>
    </row>
    <row r="1074">
      <c r="A1074" s="96"/>
      <c r="B1074" s="111" t="s">
        <v>3266</v>
      </c>
      <c r="C1074" s="415" t="s">
        <v>1728</v>
      </c>
      <c r="D1074" s="52">
        <f t="shared" ref="D1074:E1074" si="807">D1061</f>
        <v>618</v>
      </c>
      <c r="E1074" s="52">
        <f t="shared" si="807"/>
        <v>666</v>
      </c>
      <c r="F1074" s="109"/>
      <c r="G1074" s="248">
        <f t="shared" si="801"/>
        <v>0.07766990291</v>
      </c>
      <c r="H1074" s="115"/>
      <c r="I1074" s="93">
        <v>22.0</v>
      </c>
      <c r="J1074" s="93">
        <v>88.0</v>
      </c>
      <c r="K1074" s="93"/>
      <c r="L1074" s="56"/>
      <c r="M1074" s="91"/>
    </row>
    <row r="1075">
      <c r="A1075" s="96"/>
      <c r="B1075" s="177" t="s">
        <v>3267</v>
      </c>
      <c r="C1075" s="416" t="s">
        <v>1730</v>
      </c>
      <c r="D1075" s="52">
        <f t="shared" ref="D1075:E1075" si="808">D1062</f>
        <v>692</v>
      </c>
      <c r="E1075" s="52">
        <f t="shared" si="808"/>
        <v>746</v>
      </c>
      <c r="F1075" s="56"/>
      <c r="G1075" s="248">
        <f t="shared" si="801"/>
        <v>0.07803468208</v>
      </c>
      <c r="H1075" s="93"/>
      <c r="I1075" s="93">
        <v>22.0</v>
      </c>
      <c r="J1075" s="93">
        <v>88.0</v>
      </c>
      <c r="K1075" s="93"/>
      <c r="L1075" s="56"/>
      <c r="M1075" s="91"/>
    </row>
    <row r="1076">
      <c r="A1076" s="96"/>
      <c r="B1076" s="177" t="s">
        <v>3268</v>
      </c>
      <c r="C1076" s="416" t="s">
        <v>1731</v>
      </c>
      <c r="D1076" s="52">
        <f t="shared" ref="D1076:E1076" si="809">D1063</f>
        <v>378</v>
      </c>
      <c r="E1076" s="52">
        <f t="shared" si="809"/>
        <v>408</v>
      </c>
      <c r="F1076" s="56"/>
      <c r="G1076" s="248">
        <f t="shared" si="801"/>
        <v>0.07936507937</v>
      </c>
      <c r="H1076" s="93"/>
      <c r="I1076" s="134">
        <v>55.0</v>
      </c>
      <c r="J1076" s="134">
        <v>220.0</v>
      </c>
      <c r="K1076" s="93"/>
      <c r="L1076" s="56"/>
      <c r="M1076" s="91"/>
    </row>
    <row r="1077">
      <c r="A1077" s="96"/>
      <c r="B1077" s="177" t="s">
        <v>3270</v>
      </c>
      <c r="C1077" s="414" t="s">
        <v>1679</v>
      </c>
      <c r="D1077" s="52">
        <f t="shared" ref="D1077:E1077" si="810">D1064</f>
        <v>326.08992</v>
      </c>
      <c r="E1077" s="52">
        <f t="shared" si="810"/>
        <v>352</v>
      </c>
      <c r="F1077" s="56"/>
      <c r="G1077" s="248">
        <f t="shared" si="801"/>
        <v>0.07945685656</v>
      </c>
      <c r="H1077" s="93"/>
      <c r="I1077" s="134">
        <v>28.0</v>
      </c>
      <c r="J1077" s="134">
        <v>112.0</v>
      </c>
      <c r="K1077" s="93"/>
      <c r="L1077" s="56"/>
      <c r="M1077" s="91"/>
    </row>
    <row r="1078">
      <c r="A1078" s="96"/>
      <c r="B1078" s="91"/>
      <c r="C1078" s="92"/>
      <c r="D1078" s="56"/>
      <c r="E1078" s="56"/>
      <c r="F1078" s="56"/>
      <c r="G1078" s="93"/>
      <c r="H1078" s="93"/>
      <c r="I1078" s="93"/>
      <c r="J1078" s="93"/>
      <c r="K1078" s="93"/>
      <c r="L1078" s="56"/>
      <c r="M1078" s="91"/>
    </row>
    <row r="1079">
      <c r="A1079" s="96"/>
      <c r="B1079" s="107" t="s">
        <v>3497</v>
      </c>
      <c r="C1079" s="92"/>
      <c r="D1079" s="56"/>
      <c r="E1079" s="56"/>
      <c r="F1079" s="56"/>
      <c r="G1079" s="93"/>
      <c r="H1079" s="93"/>
      <c r="I1079" s="93"/>
      <c r="J1079" s="93"/>
      <c r="K1079" s="93"/>
      <c r="L1079" s="56"/>
      <c r="M1079" s="91"/>
    </row>
    <row r="1080">
      <c r="A1080" s="96"/>
      <c r="B1080" s="111" t="s">
        <v>3498</v>
      </c>
      <c r="C1080" s="118" t="s">
        <v>1706</v>
      </c>
      <c r="D1080" s="52">
        <v>756.0</v>
      </c>
      <c r="E1080" s="52">
        <v>814.0</v>
      </c>
      <c r="F1080" s="109">
        <f>H1080*$H$2</f>
        <v>814.08</v>
      </c>
      <c r="G1080" s="248">
        <f>IFERROR(DIVIDE(MINUS(E1080,D1080),D1080),)</f>
        <v>0.07671957672</v>
      </c>
      <c r="H1080" s="132">
        <f>VLOOKUP(M1080,'NEW PTMT'!$B$4:$E1406,4,0)</f>
        <v>768</v>
      </c>
      <c r="I1080" s="93"/>
      <c r="J1080" s="93"/>
      <c r="K1080" s="93"/>
      <c r="L1080" s="56"/>
      <c r="M1080" s="126" t="s">
        <v>1705</v>
      </c>
    </row>
    <row r="1081">
      <c r="A1081" s="96"/>
      <c r="B1081" s="126"/>
      <c r="C1081" s="252"/>
      <c r="D1081" s="56"/>
      <c r="E1081" s="417"/>
      <c r="F1081" s="56"/>
      <c r="G1081" s="93"/>
      <c r="H1081" s="93"/>
      <c r="I1081" s="93"/>
      <c r="J1081" s="93"/>
      <c r="K1081" s="93"/>
      <c r="L1081" s="56"/>
      <c r="M1081" s="91"/>
    </row>
    <row r="1082">
      <c r="A1082" s="96"/>
      <c r="B1082" s="107" t="s">
        <v>3499</v>
      </c>
      <c r="C1082" s="252"/>
      <c r="D1082" s="56"/>
      <c r="E1082" s="56"/>
      <c r="F1082" s="56"/>
      <c r="G1082" s="93"/>
      <c r="H1082" s="93"/>
      <c r="I1082" s="93"/>
      <c r="J1082" s="93"/>
      <c r="K1082" s="93"/>
      <c r="L1082" s="56"/>
      <c r="M1082" s="91"/>
    </row>
    <row r="1083">
      <c r="A1083" s="96"/>
      <c r="B1083" s="111" t="s">
        <v>3500</v>
      </c>
      <c r="C1083" s="118" t="s">
        <v>1706</v>
      </c>
      <c r="D1083" s="52">
        <f t="shared" ref="D1083:E1083" si="811">D1080</f>
        <v>756</v>
      </c>
      <c r="E1083" s="52">
        <f t="shared" si="811"/>
        <v>814</v>
      </c>
      <c r="F1083" s="56"/>
      <c r="G1083" s="248">
        <f>IFERROR(DIVIDE(MINUS(E1083,D1083),D1083),)</f>
        <v>0.07671957672</v>
      </c>
      <c r="H1083" s="93"/>
      <c r="I1083" s="93"/>
      <c r="J1083" s="93"/>
      <c r="K1083" s="93"/>
      <c r="L1083" s="56"/>
      <c r="M1083" s="91"/>
    </row>
    <row r="1084">
      <c r="A1084" s="96"/>
      <c r="B1084" s="126"/>
      <c r="C1084" s="252"/>
      <c r="D1084" s="56"/>
      <c r="E1084" s="56"/>
      <c r="F1084" s="56"/>
      <c r="G1084" s="93"/>
      <c r="H1084" s="93"/>
      <c r="I1084" s="93"/>
      <c r="J1084" s="93"/>
      <c r="K1084" s="93"/>
      <c r="L1084" s="56"/>
      <c r="M1084" s="91"/>
    </row>
    <row r="1085">
      <c r="A1085" s="96"/>
      <c r="B1085" s="107" t="s">
        <v>3501</v>
      </c>
      <c r="C1085" s="252"/>
      <c r="D1085" s="56"/>
      <c r="E1085" s="56"/>
      <c r="F1085" s="56"/>
      <c r="G1085" s="93"/>
      <c r="H1085" s="93"/>
      <c r="I1085" s="93"/>
      <c r="J1085" s="93"/>
      <c r="K1085" s="93"/>
      <c r="L1085" s="56"/>
      <c r="M1085" s="91"/>
    </row>
    <row r="1086">
      <c r="A1086" s="96"/>
      <c r="B1086" s="111" t="s">
        <v>3502</v>
      </c>
      <c r="C1086" s="118" t="s">
        <v>1706</v>
      </c>
      <c r="D1086" s="52">
        <f t="shared" ref="D1086:E1086" si="812">D1080</f>
        <v>756</v>
      </c>
      <c r="E1086" s="52">
        <f t="shared" si="812"/>
        <v>814</v>
      </c>
      <c r="F1086" s="56"/>
      <c r="G1086" s="248">
        <f>IFERROR(DIVIDE(MINUS(E1086,D1086),D1086),)</f>
        <v>0.07671957672</v>
      </c>
      <c r="H1086" s="93"/>
      <c r="I1086" s="93"/>
      <c r="J1086" s="93"/>
      <c r="K1086" s="93"/>
      <c r="L1086" s="56"/>
      <c r="M1086" s="91"/>
    </row>
    <row r="1087">
      <c r="A1087" s="96"/>
      <c r="B1087" s="126"/>
      <c r="C1087" s="252"/>
      <c r="D1087" s="56"/>
      <c r="E1087" s="56"/>
      <c r="F1087" s="56"/>
      <c r="G1087" s="93"/>
      <c r="H1087" s="93"/>
      <c r="I1087" s="93"/>
      <c r="J1087" s="93"/>
      <c r="K1087" s="93"/>
      <c r="L1087" s="56"/>
      <c r="M1087" s="91"/>
    </row>
    <row r="1088">
      <c r="A1088" s="96"/>
      <c r="B1088" s="107" t="s">
        <v>3503</v>
      </c>
      <c r="C1088" s="252"/>
      <c r="D1088" s="56"/>
      <c r="E1088" s="56"/>
      <c r="F1088" s="56"/>
      <c r="G1088" s="93"/>
      <c r="H1088" s="93"/>
      <c r="I1088" s="93"/>
      <c r="J1088" s="93"/>
      <c r="K1088" s="93"/>
      <c r="L1088" s="56"/>
      <c r="M1088" s="91"/>
    </row>
    <row r="1089">
      <c r="A1089" s="96"/>
      <c r="B1089" s="111" t="s">
        <v>3504</v>
      </c>
      <c r="C1089" s="118" t="s">
        <v>1706</v>
      </c>
      <c r="D1089" s="52">
        <f t="shared" ref="D1089:E1089" si="813">D1080</f>
        <v>756</v>
      </c>
      <c r="E1089" s="52">
        <f t="shared" si="813"/>
        <v>814</v>
      </c>
      <c r="F1089" s="56"/>
      <c r="G1089" s="248">
        <f>IFERROR(DIVIDE(MINUS(E1089,D1089),D1089),)</f>
        <v>0.07671957672</v>
      </c>
      <c r="H1089" s="93"/>
      <c r="I1089" s="93"/>
      <c r="J1089" s="93"/>
      <c r="K1089" s="93"/>
      <c r="L1089" s="56"/>
      <c r="M1089" s="91"/>
    </row>
    <row r="1090">
      <c r="A1090" s="96"/>
      <c r="B1090" s="91"/>
      <c r="C1090" s="92"/>
      <c r="D1090" s="56"/>
      <c r="E1090" s="56"/>
      <c r="F1090" s="56"/>
      <c r="G1090" s="93"/>
      <c r="H1090" s="93"/>
      <c r="I1090" s="93"/>
      <c r="J1090" s="93"/>
      <c r="K1090" s="93"/>
      <c r="L1090" s="56"/>
      <c r="M1090" s="91"/>
    </row>
    <row r="1091">
      <c r="A1091" s="96"/>
      <c r="B1091" s="91"/>
      <c r="C1091" s="92"/>
      <c r="D1091" s="56"/>
      <c r="E1091" s="56"/>
      <c r="F1091" s="56"/>
      <c r="G1091" s="93"/>
      <c r="H1091" s="93"/>
      <c r="I1091" s="93"/>
      <c r="J1091" s="93"/>
      <c r="K1091" s="93"/>
      <c r="L1091" s="56"/>
      <c r="M1091" s="91"/>
    </row>
    <row r="1092">
      <c r="A1092" s="96"/>
      <c r="B1092" s="91"/>
      <c r="C1092" s="92"/>
      <c r="D1092" s="56"/>
      <c r="E1092" s="56"/>
      <c r="F1092" s="56"/>
      <c r="G1092" s="93"/>
      <c r="H1092" s="93"/>
      <c r="I1092" s="93"/>
      <c r="J1092" s="93"/>
      <c r="K1092" s="93"/>
      <c r="L1092" s="56"/>
      <c r="M1092" s="91"/>
    </row>
    <row r="1093">
      <c r="A1093" s="96"/>
      <c r="B1093" s="91"/>
      <c r="C1093" s="92"/>
      <c r="D1093" s="56"/>
      <c r="E1093" s="56"/>
      <c r="F1093" s="56"/>
      <c r="G1093" s="93"/>
      <c r="H1093" s="93"/>
      <c r="I1093" s="93"/>
      <c r="J1093" s="93"/>
      <c r="K1093" s="93"/>
      <c r="L1093" s="56"/>
      <c r="M1093" s="91"/>
    </row>
    <row r="1094">
      <c r="A1094" s="96"/>
      <c r="B1094" s="91"/>
      <c r="C1094" s="92"/>
      <c r="D1094" s="56"/>
      <c r="E1094" s="56"/>
      <c r="F1094" s="56"/>
      <c r="G1094" s="93"/>
      <c r="H1094" s="93"/>
      <c r="I1094" s="93"/>
      <c r="J1094" s="93"/>
      <c r="K1094" s="93"/>
      <c r="L1094" s="56"/>
      <c r="M1094" s="91"/>
    </row>
    <row r="1095">
      <c r="A1095" s="96"/>
      <c r="B1095" s="91"/>
      <c r="C1095" s="92"/>
      <c r="D1095" s="56"/>
      <c r="E1095" s="56"/>
      <c r="F1095" s="56"/>
      <c r="G1095" s="93"/>
      <c r="H1095" s="93"/>
      <c r="I1095" s="93"/>
      <c r="J1095" s="93"/>
      <c r="K1095" s="93"/>
      <c r="L1095" s="56"/>
      <c r="M1095" s="91"/>
    </row>
    <row r="1096">
      <c r="A1096" s="96"/>
      <c r="B1096" s="91"/>
      <c r="C1096" s="92"/>
      <c r="D1096" s="56"/>
      <c r="E1096" s="56"/>
      <c r="F1096" s="56"/>
      <c r="G1096" s="93"/>
      <c r="H1096" s="93"/>
      <c r="I1096" s="93"/>
      <c r="J1096" s="93"/>
      <c r="K1096" s="93"/>
      <c r="L1096" s="56"/>
      <c r="M1096" s="91"/>
    </row>
    <row r="1097">
      <c r="A1097" s="96"/>
      <c r="B1097" s="91"/>
      <c r="C1097" s="92"/>
      <c r="D1097" s="56"/>
      <c r="E1097" s="56"/>
      <c r="F1097" s="56"/>
      <c r="G1097" s="93"/>
      <c r="H1097" s="93"/>
      <c r="I1097" s="93"/>
      <c r="J1097" s="93"/>
      <c r="K1097" s="93"/>
      <c r="L1097" s="56"/>
      <c r="M1097" s="91"/>
    </row>
    <row r="1098">
      <c r="A1098" s="96"/>
      <c r="B1098" s="91"/>
      <c r="C1098" s="92"/>
      <c r="D1098" s="56"/>
      <c r="E1098" s="56"/>
      <c r="F1098" s="56"/>
      <c r="G1098" s="93"/>
      <c r="H1098" s="93"/>
      <c r="I1098" s="93"/>
      <c r="J1098" s="93"/>
      <c r="K1098" s="93"/>
      <c r="L1098" s="56"/>
      <c r="M1098" s="91"/>
    </row>
    <row r="1099">
      <c r="A1099" s="96"/>
      <c r="B1099" s="91"/>
      <c r="C1099" s="92"/>
      <c r="D1099" s="56"/>
      <c r="E1099" s="56"/>
      <c r="F1099" s="56"/>
      <c r="G1099" s="93"/>
      <c r="H1099" s="93"/>
      <c r="I1099" s="93"/>
      <c r="J1099" s="93"/>
      <c r="K1099" s="93"/>
      <c r="L1099" s="56"/>
      <c r="M1099" s="91"/>
    </row>
    <row r="1100">
      <c r="A1100" s="96"/>
      <c r="B1100" s="91"/>
      <c r="C1100" s="92"/>
      <c r="D1100" s="56"/>
      <c r="E1100" s="56"/>
      <c r="F1100" s="56"/>
      <c r="G1100" s="93"/>
      <c r="H1100" s="93"/>
      <c r="I1100" s="93"/>
      <c r="J1100" s="93"/>
      <c r="K1100" s="93"/>
      <c r="L1100" s="56"/>
      <c r="M1100" s="91"/>
    </row>
    <row r="1101">
      <c r="A1101" s="96"/>
      <c r="B1101" s="91"/>
      <c r="C1101" s="92"/>
      <c r="D1101" s="56"/>
      <c r="E1101" s="56"/>
      <c r="F1101" s="56"/>
      <c r="G1101" s="93"/>
      <c r="H1101" s="93"/>
      <c r="I1101" s="93"/>
      <c r="J1101" s="93"/>
      <c r="K1101" s="93"/>
      <c r="L1101" s="56"/>
      <c r="M1101" s="91"/>
    </row>
    <row r="1102">
      <c r="A1102" s="96"/>
      <c r="B1102" s="91"/>
      <c r="C1102" s="92"/>
      <c r="D1102" s="56"/>
      <c r="E1102" s="56"/>
      <c r="F1102" s="56"/>
      <c r="G1102" s="93"/>
      <c r="H1102" s="93"/>
      <c r="I1102" s="93"/>
      <c r="J1102" s="93"/>
      <c r="K1102" s="93"/>
      <c r="L1102" s="56"/>
      <c r="M1102" s="91"/>
    </row>
    <row r="1103">
      <c r="A1103" s="96"/>
      <c r="B1103" s="91"/>
      <c r="C1103" s="92"/>
      <c r="D1103" s="56"/>
      <c r="E1103" s="56"/>
      <c r="F1103" s="56"/>
      <c r="G1103" s="93"/>
      <c r="H1103" s="93"/>
      <c r="I1103" s="93"/>
      <c r="J1103" s="93"/>
      <c r="K1103" s="93"/>
      <c r="L1103" s="56"/>
      <c r="M1103" s="91"/>
    </row>
    <row r="1104">
      <c r="A1104" s="96"/>
      <c r="B1104" s="91"/>
      <c r="C1104" s="92"/>
      <c r="D1104" s="56"/>
      <c r="E1104" s="56"/>
      <c r="F1104" s="56"/>
      <c r="G1104" s="93"/>
      <c r="H1104" s="93"/>
      <c r="I1104" s="93"/>
      <c r="J1104" s="93"/>
      <c r="K1104" s="93"/>
      <c r="L1104" s="56"/>
      <c r="M1104" s="91"/>
    </row>
    <row r="1105">
      <c r="A1105" s="96"/>
      <c r="B1105" s="91"/>
      <c r="C1105" s="92"/>
      <c r="D1105" s="56"/>
      <c r="E1105" s="56"/>
      <c r="F1105" s="56"/>
      <c r="G1105" s="93"/>
      <c r="H1105" s="93"/>
      <c r="I1105" s="93"/>
      <c r="J1105" s="93"/>
      <c r="K1105" s="93"/>
      <c r="L1105" s="56"/>
      <c r="M1105" s="91"/>
    </row>
    <row r="1106">
      <c r="A1106" s="96"/>
      <c r="B1106" s="91"/>
      <c r="C1106" s="92"/>
      <c r="D1106" s="56"/>
      <c r="E1106" s="56"/>
      <c r="F1106" s="56"/>
      <c r="G1106" s="93"/>
      <c r="H1106" s="93"/>
      <c r="I1106" s="93"/>
      <c r="J1106" s="93"/>
      <c r="K1106" s="93"/>
      <c r="L1106" s="56"/>
      <c r="M1106" s="91"/>
    </row>
    <row r="1107">
      <c r="A1107" s="96"/>
      <c r="B1107" s="91"/>
      <c r="C1107" s="92"/>
      <c r="D1107" s="56"/>
      <c r="E1107" s="56"/>
      <c r="F1107" s="56"/>
      <c r="G1107" s="93"/>
      <c r="H1107" s="93"/>
      <c r="I1107" s="93"/>
      <c r="J1107" s="93"/>
      <c r="K1107" s="93"/>
      <c r="L1107" s="56"/>
      <c r="M1107" s="91"/>
    </row>
    <row r="1108">
      <c r="A1108" s="96"/>
      <c r="B1108" s="91"/>
      <c r="C1108" s="92"/>
      <c r="D1108" s="56"/>
      <c r="E1108" s="56"/>
      <c r="F1108" s="56"/>
      <c r="G1108" s="93"/>
      <c r="H1108" s="93"/>
      <c r="I1108" s="93"/>
      <c r="J1108" s="93"/>
      <c r="K1108" s="93"/>
      <c r="L1108" s="56"/>
      <c r="M1108" s="91"/>
    </row>
    <row r="1109">
      <c r="A1109" s="96"/>
      <c r="B1109" s="91"/>
      <c r="C1109" s="92"/>
      <c r="D1109" s="56"/>
      <c r="E1109" s="56"/>
      <c r="F1109" s="56"/>
      <c r="G1109" s="93"/>
      <c r="H1109" s="93"/>
      <c r="I1109" s="93"/>
      <c r="J1109" s="93"/>
      <c r="K1109" s="93"/>
      <c r="L1109" s="56"/>
      <c r="M1109" s="91"/>
    </row>
    <row r="1110">
      <c r="A1110" s="96"/>
      <c r="B1110" s="91"/>
      <c r="C1110" s="92"/>
      <c r="D1110" s="56"/>
      <c r="E1110" s="56"/>
      <c r="F1110" s="56"/>
      <c r="G1110" s="93"/>
      <c r="H1110" s="93"/>
      <c r="I1110" s="93"/>
      <c r="J1110" s="93"/>
      <c r="K1110" s="93"/>
      <c r="L1110" s="56"/>
      <c r="M1110" s="91"/>
    </row>
    <row r="1111">
      <c r="A1111" s="96"/>
      <c r="B1111" s="91"/>
      <c r="C1111" s="92"/>
      <c r="D1111" s="56"/>
      <c r="E1111" s="56"/>
      <c r="F1111" s="56"/>
      <c r="G1111" s="93"/>
      <c r="H1111" s="93"/>
      <c r="I1111" s="93"/>
      <c r="J1111" s="93"/>
      <c r="K1111" s="93"/>
      <c r="L1111" s="56"/>
      <c r="M1111" s="91"/>
    </row>
    <row r="1112">
      <c r="A1112" s="96"/>
      <c r="B1112" s="91"/>
      <c r="C1112" s="92"/>
      <c r="D1112" s="56"/>
      <c r="E1112" s="56"/>
      <c r="F1112" s="56"/>
      <c r="G1112" s="93"/>
      <c r="H1112" s="93"/>
      <c r="I1112" s="93"/>
      <c r="J1112" s="93"/>
      <c r="K1112" s="93"/>
      <c r="L1112" s="56"/>
      <c r="M1112" s="91"/>
    </row>
    <row r="1113">
      <c r="A1113" s="96"/>
      <c r="B1113" s="91"/>
      <c r="C1113" s="92"/>
      <c r="D1113" s="56"/>
      <c r="E1113" s="56"/>
      <c r="F1113" s="56"/>
      <c r="G1113" s="93"/>
      <c r="H1113" s="93"/>
      <c r="I1113" s="93"/>
      <c r="J1113" s="93"/>
      <c r="K1113" s="93"/>
      <c r="L1113" s="56"/>
      <c r="M1113" s="91"/>
    </row>
    <row r="1114">
      <c r="A1114" s="96"/>
      <c r="B1114" s="91"/>
      <c r="C1114" s="92"/>
      <c r="D1114" s="56"/>
      <c r="E1114" s="56"/>
      <c r="F1114" s="56"/>
      <c r="G1114" s="93"/>
      <c r="H1114" s="93"/>
      <c r="I1114" s="93"/>
      <c r="J1114" s="93"/>
      <c r="K1114" s="93"/>
      <c r="L1114" s="56"/>
      <c r="M1114" s="91"/>
    </row>
    <row r="1115">
      <c r="A1115" s="96"/>
      <c r="B1115" s="91"/>
      <c r="C1115" s="92"/>
      <c r="D1115" s="56"/>
      <c r="E1115" s="56"/>
      <c r="F1115" s="56"/>
      <c r="G1115" s="93"/>
      <c r="H1115" s="93"/>
      <c r="I1115" s="93"/>
      <c r="J1115" s="93"/>
      <c r="K1115" s="93"/>
      <c r="L1115" s="56"/>
      <c r="M1115" s="91"/>
    </row>
    <row r="1116">
      <c r="A1116" s="96"/>
      <c r="B1116" s="91"/>
      <c r="C1116" s="92"/>
      <c r="D1116" s="56"/>
      <c r="E1116" s="56"/>
      <c r="F1116" s="56"/>
      <c r="G1116" s="93"/>
      <c r="H1116" s="93"/>
      <c r="I1116" s="93"/>
      <c r="J1116" s="93"/>
      <c r="K1116" s="93"/>
      <c r="L1116" s="56"/>
      <c r="M1116" s="91"/>
    </row>
    <row r="1117">
      <c r="A1117" s="96"/>
      <c r="B1117" s="91"/>
      <c r="C1117" s="92"/>
      <c r="D1117" s="56"/>
      <c r="E1117" s="56"/>
      <c r="F1117" s="56"/>
      <c r="G1117" s="93"/>
      <c r="H1117" s="93"/>
      <c r="I1117" s="93"/>
      <c r="J1117" s="93"/>
      <c r="K1117" s="93"/>
      <c r="L1117" s="56"/>
      <c r="M1117" s="91"/>
    </row>
    <row r="1118">
      <c r="A1118" s="96"/>
      <c r="B1118" s="91"/>
      <c r="C1118" s="92"/>
      <c r="D1118" s="56"/>
      <c r="E1118" s="56"/>
      <c r="F1118" s="56"/>
      <c r="G1118" s="93"/>
      <c r="H1118" s="93"/>
      <c r="I1118" s="93"/>
      <c r="J1118" s="93"/>
      <c r="K1118" s="93"/>
      <c r="L1118" s="56"/>
      <c r="M1118" s="91"/>
    </row>
    <row r="1119">
      <c r="A1119" s="96"/>
      <c r="B1119" s="91"/>
      <c r="C1119" s="92"/>
      <c r="D1119" s="56"/>
      <c r="E1119" s="56"/>
      <c r="F1119" s="56"/>
      <c r="G1119" s="93"/>
      <c r="H1119" s="93"/>
      <c r="I1119" s="93"/>
      <c r="J1119" s="93"/>
      <c r="K1119" s="93"/>
      <c r="L1119" s="56"/>
      <c r="M1119" s="91"/>
    </row>
    <row r="1120">
      <c r="A1120" s="96"/>
      <c r="B1120" s="91"/>
      <c r="C1120" s="92"/>
      <c r="D1120" s="56"/>
      <c r="E1120" s="56"/>
      <c r="F1120" s="56"/>
      <c r="G1120" s="93"/>
      <c r="H1120" s="93"/>
      <c r="I1120" s="93"/>
      <c r="J1120" s="93"/>
      <c r="K1120" s="93"/>
      <c r="L1120" s="56"/>
      <c r="M1120" s="91"/>
    </row>
    <row r="1121">
      <c r="A1121" s="96"/>
      <c r="B1121" s="91"/>
      <c r="C1121" s="92"/>
      <c r="D1121" s="56"/>
      <c r="E1121" s="56"/>
      <c r="F1121" s="56"/>
      <c r="G1121" s="93"/>
      <c r="H1121" s="93"/>
      <c r="I1121" s="93"/>
      <c r="J1121" s="93"/>
      <c r="K1121" s="93"/>
      <c r="L1121" s="56"/>
      <c r="M1121" s="91"/>
    </row>
    <row r="1122">
      <c r="A1122" s="96"/>
      <c r="B1122" s="91"/>
      <c r="C1122" s="92"/>
      <c r="D1122" s="56"/>
      <c r="E1122" s="56"/>
      <c r="F1122" s="56"/>
      <c r="G1122" s="93"/>
      <c r="H1122" s="93"/>
      <c r="I1122" s="93"/>
      <c r="J1122" s="93"/>
      <c r="K1122" s="93"/>
      <c r="L1122" s="56"/>
      <c r="M1122" s="91"/>
    </row>
    <row r="1123">
      <c r="A1123" s="96"/>
      <c r="B1123" s="91"/>
      <c r="C1123" s="92"/>
      <c r="D1123" s="56"/>
      <c r="E1123" s="56"/>
      <c r="F1123" s="56"/>
      <c r="G1123" s="93"/>
      <c r="H1123" s="93"/>
      <c r="I1123" s="93"/>
      <c r="J1123" s="93"/>
      <c r="K1123" s="93"/>
      <c r="L1123" s="56"/>
      <c r="M1123" s="91"/>
    </row>
    <row r="1124">
      <c r="A1124" s="96"/>
      <c r="B1124" s="91"/>
      <c r="C1124" s="92"/>
      <c r="D1124" s="56"/>
      <c r="E1124" s="56"/>
      <c r="F1124" s="56"/>
      <c r="G1124" s="93"/>
      <c r="H1124" s="93"/>
      <c r="I1124" s="93"/>
      <c r="J1124" s="93"/>
      <c r="K1124" s="93"/>
      <c r="L1124" s="56"/>
      <c r="M1124" s="91"/>
    </row>
    <row r="1125">
      <c r="A1125" s="96"/>
      <c r="B1125" s="91"/>
      <c r="C1125" s="92"/>
      <c r="D1125" s="56"/>
      <c r="E1125" s="56"/>
      <c r="F1125" s="56"/>
      <c r="G1125" s="93"/>
      <c r="H1125" s="93"/>
      <c r="I1125" s="93"/>
      <c r="J1125" s="93"/>
      <c r="K1125" s="93"/>
      <c r="L1125" s="56"/>
      <c r="M1125" s="91"/>
    </row>
    <row r="1126">
      <c r="A1126" s="96"/>
      <c r="B1126" s="91"/>
      <c r="C1126" s="92"/>
      <c r="D1126" s="56"/>
      <c r="E1126" s="56"/>
      <c r="F1126" s="56"/>
      <c r="G1126" s="93"/>
      <c r="H1126" s="93"/>
      <c r="I1126" s="93"/>
      <c r="J1126" s="93"/>
      <c r="K1126" s="93"/>
      <c r="L1126" s="56"/>
      <c r="M1126" s="91"/>
    </row>
    <row r="1127">
      <c r="A1127" s="96"/>
      <c r="B1127" s="91"/>
      <c r="C1127" s="92"/>
      <c r="D1127" s="56"/>
      <c r="E1127" s="56"/>
      <c r="F1127" s="56"/>
      <c r="G1127" s="93"/>
      <c r="H1127" s="93"/>
      <c r="I1127" s="93"/>
      <c r="J1127" s="93"/>
      <c r="K1127" s="93"/>
      <c r="L1127" s="56"/>
      <c r="M1127" s="91"/>
    </row>
    <row r="1128">
      <c r="A1128" s="96"/>
      <c r="B1128" s="91"/>
      <c r="C1128" s="92"/>
      <c r="D1128" s="56"/>
      <c r="E1128" s="56"/>
      <c r="F1128" s="56"/>
      <c r="G1128" s="93"/>
      <c r="H1128" s="93"/>
      <c r="I1128" s="93"/>
      <c r="J1128" s="93"/>
      <c r="K1128" s="93"/>
      <c r="L1128" s="56"/>
      <c r="M1128" s="91"/>
    </row>
    <row r="1129">
      <c r="A1129" s="96"/>
      <c r="B1129" s="91"/>
      <c r="C1129" s="92"/>
      <c r="D1129" s="56"/>
      <c r="E1129" s="56"/>
      <c r="F1129" s="56"/>
      <c r="G1129" s="93"/>
      <c r="H1129" s="93"/>
      <c r="I1129" s="93"/>
      <c r="J1129" s="93"/>
      <c r="K1129" s="93"/>
      <c r="L1129" s="56"/>
      <c r="M1129" s="91"/>
    </row>
    <row r="1130">
      <c r="A1130" s="96"/>
      <c r="B1130" s="91"/>
      <c r="C1130" s="92"/>
      <c r="D1130" s="56"/>
      <c r="E1130" s="56"/>
      <c r="F1130" s="56"/>
      <c r="G1130" s="93"/>
      <c r="H1130" s="93"/>
      <c r="I1130" s="93"/>
      <c r="J1130" s="93"/>
      <c r="K1130" s="93"/>
      <c r="L1130" s="56"/>
      <c r="M1130" s="91"/>
    </row>
    <row r="1131">
      <c r="A1131" s="96"/>
      <c r="B1131" s="91"/>
      <c r="C1131" s="92"/>
      <c r="D1131" s="56"/>
      <c r="E1131" s="56"/>
      <c r="F1131" s="56"/>
      <c r="G1131" s="93"/>
      <c r="H1131" s="93"/>
      <c r="I1131" s="93"/>
      <c r="J1131" s="93"/>
      <c r="K1131" s="93"/>
      <c r="L1131" s="56"/>
      <c r="M1131" s="91"/>
    </row>
    <row r="1132">
      <c r="A1132" s="96"/>
      <c r="B1132" s="91"/>
      <c r="C1132" s="92"/>
      <c r="D1132" s="56"/>
      <c r="E1132" s="56"/>
      <c r="F1132" s="56"/>
      <c r="G1132" s="93"/>
      <c r="H1132" s="93"/>
      <c r="I1132" s="93"/>
      <c r="J1132" s="93"/>
      <c r="K1132" s="93"/>
      <c r="L1132" s="56"/>
      <c r="M1132" s="91"/>
    </row>
    <row r="1133">
      <c r="A1133" s="96"/>
      <c r="B1133" s="91"/>
      <c r="C1133" s="92"/>
      <c r="D1133" s="56"/>
      <c r="E1133" s="56"/>
      <c r="F1133" s="56"/>
      <c r="G1133" s="93"/>
      <c r="H1133" s="93"/>
      <c r="I1133" s="93"/>
      <c r="J1133" s="93"/>
      <c r="K1133" s="93"/>
      <c r="L1133" s="56"/>
      <c r="M1133" s="91"/>
    </row>
    <row r="1134">
      <c r="A1134" s="96"/>
      <c r="B1134" s="91"/>
      <c r="C1134" s="92"/>
      <c r="D1134" s="56"/>
      <c r="E1134" s="56"/>
      <c r="F1134" s="56"/>
      <c r="G1134" s="93"/>
      <c r="H1134" s="93"/>
      <c r="I1134" s="93"/>
      <c r="J1134" s="93"/>
      <c r="K1134" s="93"/>
      <c r="L1134" s="56"/>
      <c r="M1134" s="91"/>
    </row>
    <row r="1135">
      <c r="A1135" s="96"/>
      <c r="B1135" s="91"/>
      <c r="C1135" s="92"/>
      <c r="D1135" s="56"/>
      <c r="E1135" s="56"/>
      <c r="F1135" s="56"/>
      <c r="G1135" s="93"/>
      <c r="H1135" s="93"/>
      <c r="I1135" s="93"/>
      <c r="J1135" s="93"/>
      <c r="K1135" s="93"/>
      <c r="L1135" s="56"/>
      <c r="M1135" s="91"/>
    </row>
    <row r="1136">
      <c r="A1136" s="96"/>
      <c r="B1136" s="91"/>
      <c r="C1136" s="92"/>
      <c r="D1136" s="56"/>
      <c r="E1136" s="56"/>
      <c r="F1136" s="56"/>
      <c r="G1136" s="93"/>
      <c r="H1136" s="93"/>
      <c r="I1136" s="93"/>
      <c r="J1136" s="93"/>
      <c r="K1136" s="93"/>
      <c r="L1136" s="56"/>
      <c r="M1136" s="91"/>
    </row>
    <row r="1137">
      <c r="A1137" s="96"/>
      <c r="B1137" s="91"/>
      <c r="C1137" s="92"/>
      <c r="D1137" s="56"/>
      <c r="E1137" s="56"/>
      <c r="F1137" s="56"/>
      <c r="G1137" s="93"/>
      <c r="H1137" s="93"/>
      <c r="I1137" s="93"/>
      <c r="J1137" s="93"/>
      <c r="K1137" s="93"/>
      <c r="L1137" s="56"/>
      <c r="M1137" s="91"/>
    </row>
    <row r="1138">
      <c r="A1138" s="96"/>
      <c r="B1138" s="91"/>
      <c r="C1138" s="92"/>
      <c r="D1138" s="56"/>
      <c r="E1138" s="56"/>
      <c r="F1138" s="56"/>
      <c r="G1138" s="93"/>
      <c r="H1138" s="93"/>
      <c r="I1138" s="93"/>
      <c r="J1138" s="93"/>
      <c r="K1138" s="93"/>
      <c r="L1138" s="56"/>
      <c r="M1138" s="91"/>
    </row>
    <row r="1139">
      <c r="A1139" s="96"/>
      <c r="B1139" s="91"/>
      <c r="C1139" s="92"/>
      <c r="D1139" s="56"/>
      <c r="E1139" s="56"/>
      <c r="F1139" s="56"/>
      <c r="G1139" s="93"/>
      <c r="H1139" s="93"/>
      <c r="I1139" s="93"/>
      <c r="J1139" s="93"/>
      <c r="K1139" s="93"/>
      <c r="L1139" s="56"/>
      <c r="M1139" s="91"/>
    </row>
    <row r="1140">
      <c r="A1140" s="96"/>
      <c r="B1140" s="91"/>
      <c r="C1140" s="92"/>
      <c r="D1140" s="56"/>
      <c r="E1140" s="56"/>
      <c r="F1140" s="56"/>
      <c r="G1140" s="93"/>
      <c r="H1140" s="93"/>
      <c r="I1140" s="93"/>
      <c r="J1140" s="93"/>
      <c r="K1140" s="93"/>
      <c r="L1140" s="56"/>
      <c r="M1140" s="91"/>
    </row>
    <row r="1141">
      <c r="A1141" s="96"/>
      <c r="B1141" s="91"/>
      <c r="C1141" s="92"/>
      <c r="D1141" s="56"/>
      <c r="E1141" s="56"/>
      <c r="F1141" s="56"/>
      <c r="G1141" s="93"/>
      <c r="H1141" s="93"/>
      <c r="I1141" s="93"/>
      <c r="J1141" s="93"/>
      <c r="K1141" s="93"/>
      <c r="L1141" s="56"/>
      <c r="M1141" s="91"/>
    </row>
    <row r="1142">
      <c r="A1142" s="96"/>
      <c r="B1142" s="91"/>
      <c r="C1142" s="92"/>
      <c r="D1142" s="56"/>
      <c r="E1142" s="56"/>
      <c r="F1142" s="56"/>
      <c r="G1142" s="93"/>
      <c r="H1142" s="93"/>
      <c r="I1142" s="93"/>
      <c r="J1142" s="93"/>
      <c r="K1142" s="93"/>
      <c r="L1142" s="56"/>
      <c r="M1142" s="91"/>
    </row>
    <row r="1143">
      <c r="A1143" s="96"/>
      <c r="B1143" s="91"/>
      <c r="C1143" s="92"/>
      <c r="D1143" s="56"/>
      <c r="E1143" s="56"/>
      <c r="F1143" s="56"/>
      <c r="G1143" s="93"/>
      <c r="H1143" s="93"/>
      <c r="I1143" s="93"/>
      <c r="J1143" s="93"/>
      <c r="K1143" s="93"/>
      <c r="L1143" s="56"/>
      <c r="M1143" s="91"/>
    </row>
    <row r="1144">
      <c r="A1144" s="96"/>
      <c r="B1144" s="91"/>
      <c r="C1144" s="92"/>
      <c r="D1144" s="56"/>
      <c r="E1144" s="56"/>
      <c r="F1144" s="56"/>
      <c r="G1144" s="93"/>
      <c r="H1144" s="93"/>
      <c r="I1144" s="93"/>
      <c r="J1144" s="93"/>
      <c r="K1144" s="93"/>
      <c r="L1144" s="56"/>
      <c r="M1144" s="91"/>
    </row>
    <row r="1145">
      <c r="A1145" s="96"/>
      <c r="B1145" s="91"/>
      <c r="C1145" s="92"/>
      <c r="D1145" s="56"/>
      <c r="E1145" s="56"/>
      <c r="F1145" s="56"/>
      <c r="G1145" s="93"/>
      <c r="H1145" s="93"/>
      <c r="I1145" s="93"/>
      <c r="J1145" s="93"/>
      <c r="K1145" s="93"/>
      <c r="L1145" s="56"/>
      <c r="M1145" s="91"/>
    </row>
    <row r="1146">
      <c r="A1146" s="96"/>
      <c r="B1146" s="91"/>
      <c r="C1146" s="92"/>
      <c r="D1146" s="56"/>
      <c r="E1146" s="56"/>
      <c r="F1146" s="56"/>
      <c r="G1146" s="93"/>
      <c r="H1146" s="93"/>
      <c r="I1146" s="93"/>
      <c r="J1146" s="93"/>
      <c r="K1146" s="93"/>
      <c r="L1146" s="56"/>
      <c r="M1146" s="91"/>
    </row>
    <row r="1147">
      <c r="A1147" s="96"/>
      <c r="B1147" s="91"/>
      <c r="C1147" s="92"/>
      <c r="D1147" s="56"/>
      <c r="E1147" s="56"/>
      <c r="F1147" s="56"/>
      <c r="G1147" s="93"/>
      <c r="H1147" s="93"/>
      <c r="I1147" s="93"/>
      <c r="J1147" s="93"/>
      <c r="K1147" s="93"/>
      <c r="L1147" s="56"/>
      <c r="M1147" s="91"/>
    </row>
    <row r="1148">
      <c r="A1148" s="96"/>
      <c r="B1148" s="91"/>
      <c r="C1148" s="92"/>
      <c r="D1148" s="56"/>
      <c r="E1148" s="56"/>
      <c r="F1148" s="56"/>
      <c r="G1148" s="93"/>
      <c r="H1148" s="93"/>
      <c r="I1148" s="93"/>
      <c r="J1148" s="93"/>
      <c r="K1148" s="93"/>
      <c r="L1148" s="56"/>
      <c r="M1148" s="91"/>
    </row>
    <row r="1149">
      <c r="A1149" s="96"/>
      <c r="B1149" s="91"/>
      <c r="C1149" s="92"/>
      <c r="D1149" s="56"/>
      <c r="E1149" s="56"/>
      <c r="F1149" s="56"/>
      <c r="G1149" s="93"/>
      <c r="H1149" s="93"/>
      <c r="I1149" s="93"/>
      <c r="J1149" s="93"/>
      <c r="K1149" s="93"/>
      <c r="L1149" s="56"/>
      <c r="M1149" s="91"/>
    </row>
    <row r="1150">
      <c r="A1150" s="96"/>
      <c r="B1150" s="91"/>
      <c r="C1150" s="92"/>
      <c r="D1150" s="56"/>
      <c r="E1150" s="56"/>
      <c r="F1150" s="56"/>
      <c r="G1150" s="93"/>
      <c r="H1150" s="93"/>
      <c r="I1150" s="93"/>
      <c r="J1150" s="93"/>
      <c r="K1150" s="93"/>
      <c r="L1150" s="56"/>
      <c r="M1150" s="91"/>
    </row>
    <row r="1151">
      <c r="A1151" s="96"/>
      <c r="B1151" s="91"/>
      <c r="C1151" s="92"/>
      <c r="D1151" s="56"/>
      <c r="E1151" s="56"/>
      <c r="F1151" s="56"/>
      <c r="G1151" s="93"/>
      <c r="H1151" s="93"/>
      <c r="I1151" s="93"/>
      <c r="J1151" s="93"/>
      <c r="K1151" s="93"/>
      <c r="L1151" s="56"/>
      <c r="M1151" s="91"/>
    </row>
    <row r="1152">
      <c r="A1152" s="96"/>
      <c r="B1152" s="91"/>
      <c r="C1152" s="92"/>
      <c r="D1152" s="56"/>
      <c r="E1152" s="56"/>
      <c r="F1152" s="56"/>
      <c r="G1152" s="93"/>
      <c r="H1152" s="93"/>
      <c r="I1152" s="93"/>
      <c r="J1152" s="93"/>
      <c r="K1152" s="93"/>
      <c r="L1152" s="56"/>
      <c r="M1152" s="91"/>
    </row>
    <row r="1153">
      <c r="A1153" s="96"/>
      <c r="B1153" s="91"/>
      <c r="C1153" s="92"/>
      <c r="D1153" s="56"/>
      <c r="E1153" s="56"/>
      <c r="F1153" s="56"/>
      <c r="G1153" s="93"/>
      <c r="H1153" s="93"/>
      <c r="I1153" s="93"/>
      <c r="J1153" s="93"/>
      <c r="K1153" s="93"/>
      <c r="L1153" s="56"/>
      <c r="M1153" s="91"/>
    </row>
    <row r="1154">
      <c r="A1154" s="96"/>
      <c r="B1154" s="91"/>
      <c r="C1154" s="92"/>
      <c r="D1154" s="56"/>
      <c r="E1154" s="56"/>
      <c r="F1154" s="56"/>
      <c r="G1154" s="93"/>
      <c r="H1154" s="93"/>
      <c r="I1154" s="93"/>
      <c r="J1154" s="93"/>
      <c r="K1154" s="93"/>
      <c r="L1154" s="56"/>
      <c r="M1154" s="91"/>
    </row>
    <row r="1155">
      <c r="A1155" s="96"/>
      <c r="B1155" s="91"/>
      <c r="C1155" s="92"/>
      <c r="D1155" s="56"/>
      <c r="E1155" s="56"/>
      <c r="F1155" s="56"/>
      <c r="G1155" s="93"/>
      <c r="H1155" s="93"/>
      <c r="I1155" s="93"/>
      <c r="J1155" s="93"/>
      <c r="K1155" s="93"/>
      <c r="L1155" s="56"/>
      <c r="M1155" s="91"/>
    </row>
    <row r="1156">
      <c r="A1156" s="96"/>
      <c r="B1156" s="91"/>
      <c r="C1156" s="92"/>
      <c r="D1156" s="56"/>
      <c r="E1156" s="56"/>
      <c r="F1156" s="56"/>
      <c r="G1156" s="93"/>
      <c r="H1156" s="93"/>
      <c r="I1156" s="93"/>
      <c r="J1156" s="93"/>
      <c r="K1156" s="93"/>
      <c r="L1156" s="56"/>
      <c r="M1156" s="91"/>
    </row>
    <row r="1157">
      <c r="A1157" s="96"/>
      <c r="B1157" s="91"/>
      <c r="C1157" s="92"/>
      <c r="D1157" s="56"/>
      <c r="E1157" s="56"/>
      <c r="F1157" s="56"/>
      <c r="G1157" s="93"/>
      <c r="H1157" s="93"/>
      <c r="I1157" s="93"/>
      <c r="J1157" s="93"/>
      <c r="K1157" s="93"/>
      <c r="L1157" s="56"/>
      <c r="M1157" s="91"/>
    </row>
    <row r="1158">
      <c r="A1158" s="96"/>
      <c r="B1158" s="91"/>
      <c r="C1158" s="92"/>
      <c r="D1158" s="56"/>
      <c r="E1158" s="56"/>
      <c r="F1158" s="56"/>
      <c r="G1158" s="93"/>
      <c r="H1158" s="93"/>
      <c r="I1158" s="93"/>
      <c r="J1158" s="93"/>
      <c r="K1158" s="93"/>
      <c r="L1158" s="56"/>
      <c r="M1158" s="91"/>
    </row>
    <row r="1159">
      <c r="A1159" s="96"/>
      <c r="B1159" s="91"/>
      <c r="C1159" s="92"/>
      <c r="D1159" s="56"/>
      <c r="E1159" s="56"/>
      <c r="F1159" s="56"/>
      <c r="G1159" s="93"/>
      <c r="H1159" s="93"/>
      <c r="I1159" s="93"/>
      <c r="J1159" s="93"/>
      <c r="K1159" s="93"/>
      <c r="L1159" s="56"/>
      <c r="M1159" s="91"/>
    </row>
    <row r="1160">
      <c r="A1160" s="96"/>
      <c r="B1160" s="91"/>
      <c r="C1160" s="92"/>
      <c r="D1160" s="56"/>
      <c r="E1160" s="56"/>
      <c r="F1160" s="56"/>
      <c r="G1160" s="93"/>
      <c r="H1160" s="93"/>
      <c r="I1160" s="93"/>
      <c r="J1160" s="93"/>
      <c r="K1160" s="93"/>
      <c r="L1160" s="56"/>
      <c r="M1160" s="91"/>
    </row>
    <row r="1161">
      <c r="A1161" s="96"/>
      <c r="B1161" s="91"/>
      <c r="C1161" s="92"/>
      <c r="D1161" s="56"/>
      <c r="E1161" s="56"/>
      <c r="F1161" s="56"/>
      <c r="G1161" s="93"/>
      <c r="H1161" s="93"/>
      <c r="I1161" s="93"/>
      <c r="J1161" s="93"/>
      <c r="K1161" s="93"/>
      <c r="L1161" s="56"/>
      <c r="M1161" s="91"/>
    </row>
    <row r="1162">
      <c r="A1162" s="96"/>
      <c r="B1162" s="91"/>
      <c r="C1162" s="92"/>
      <c r="D1162" s="56"/>
      <c r="E1162" s="56"/>
      <c r="F1162" s="56"/>
      <c r="G1162" s="93"/>
      <c r="H1162" s="93"/>
      <c r="I1162" s="93"/>
      <c r="J1162" s="93"/>
      <c r="K1162" s="93"/>
      <c r="L1162" s="56"/>
      <c r="M1162" s="91"/>
    </row>
    <row r="1163">
      <c r="A1163" s="96"/>
      <c r="B1163" s="91"/>
      <c r="C1163" s="92"/>
      <c r="D1163" s="56"/>
      <c r="E1163" s="56"/>
      <c r="F1163" s="56"/>
      <c r="G1163" s="93"/>
      <c r="H1163" s="93"/>
      <c r="I1163" s="93"/>
      <c r="J1163" s="93"/>
      <c r="K1163" s="93"/>
      <c r="L1163" s="56"/>
      <c r="M1163" s="91"/>
    </row>
    <row r="1164">
      <c r="A1164" s="96"/>
      <c r="B1164" s="91"/>
      <c r="C1164" s="92"/>
      <c r="D1164" s="56"/>
      <c r="E1164" s="56"/>
      <c r="F1164" s="56"/>
      <c r="G1164" s="93"/>
      <c r="H1164" s="93"/>
      <c r="I1164" s="93"/>
      <c r="J1164" s="93"/>
      <c r="K1164" s="93"/>
      <c r="L1164" s="56"/>
      <c r="M1164" s="91"/>
    </row>
    <row r="1165">
      <c r="A1165" s="96"/>
      <c r="B1165" s="91"/>
      <c r="C1165" s="92"/>
      <c r="D1165" s="56"/>
      <c r="E1165" s="56"/>
      <c r="F1165" s="56"/>
      <c r="G1165" s="93"/>
      <c r="H1165" s="93"/>
      <c r="I1165" s="93"/>
      <c r="J1165" s="93"/>
      <c r="K1165" s="93"/>
      <c r="L1165" s="56"/>
      <c r="M1165" s="91"/>
    </row>
    <row r="1166">
      <c r="A1166" s="96"/>
      <c r="B1166" s="91"/>
      <c r="C1166" s="92"/>
      <c r="D1166" s="56"/>
      <c r="E1166" s="56"/>
      <c r="F1166" s="56"/>
      <c r="G1166" s="93"/>
      <c r="H1166" s="93"/>
      <c r="I1166" s="93"/>
      <c r="J1166" s="93"/>
      <c r="K1166" s="93"/>
      <c r="L1166" s="56"/>
      <c r="M1166" s="91"/>
    </row>
    <row r="1167">
      <c r="A1167" s="96"/>
      <c r="B1167" s="91"/>
      <c r="C1167" s="92"/>
      <c r="D1167" s="56"/>
      <c r="E1167" s="56"/>
      <c r="F1167" s="56"/>
      <c r="G1167" s="93"/>
      <c r="H1167" s="93"/>
      <c r="I1167" s="93"/>
      <c r="J1167" s="93"/>
      <c r="K1167" s="93"/>
      <c r="L1167" s="56"/>
      <c r="M1167" s="91"/>
    </row>
    <row r="1168">
      <c r="A1168" s="96"/>
      <c r="B1168" s="91"/>
      <c r="C1168" s="92"/>
      <c r="D1168" s="56"/>
      <c r="E1168" s="56"/>
      <c r="F1168" s="56"/>
      <c r="G1168" s="93"/>
      <c r="H1168" s="93"/>
      <c r="I1168" s="93"/>
      <c r="J1168" s="93"/>
      <c r="K1168" s="93"/>
      <c r="L1168" s="56"/>
      <c r="M1168" s="91"/>
    </row>
    <row r="1169">
      <c r="A1169" s="96"/>
      <c r="B1169" s="91"/>
      <c r="C1169" s="92"/>
      <c r="D1169" s="56"/>
      <c r="E1169" s="56"/>
      <c r="F1169" s="56"/>
      <c r="G1169" s="93"/>
      <c r="H1169" s="93"/>
      <c r="I1169" s="93"/>
      <c r="J1169" s="93"/>
      <c r="K1169" s="93"/>
      <c r="L1169" s="56"/>
      <c r="M1169" s="91"/>
    </row>
    <row r="1170">
      <c r="A1170" s="96"/>
      <c r="B1170" s="91"/>
      <c r="C1170" s="92"/>
      <c r="D1170" s="56"/>
      <c r="E1170" s="56"/>
      <c r="F1170" s="56"/>
      <c r="G1170" s="93"/>
      <c r="H1170" s="93"/>
      <c r="I1170" s="93"/>
      <c r="J1170" s="93"/>
      <c r="K1170" s="93"/>
      <c r="L1170" s="56"/>
      <c r="M1170" s="91"/>
    </row>
    <row r="1171">
      <c r="A1171" s="96"/>
      <c r="B1171" s="91"/>
      <c r="C1171" s="92"/>
      <c r="D1171" s="56"/>
      <c r="E1171" s="56"/>
      <c r="F1171" s="56"/>
      <c r="G1171" s="93"/>
      <c r="H1171" s="93"/>
      <c r="I1171" s="93"/>
      <c r="J1171" s="93"/>
      <c r="K1171" s="93"/>
      <c r="L1171" s="56"/>
      <c r="M1171" s="91"/>
    </row>
    <row r="1172">
      <c r="A1172" s="96"/>
      <c r="B1172" s="91"/>
      <c r="C1172" s="92"/>
      <c r="D1172" s="56"/>
      <c r="E1172" s="56"/>
      <c r="F1172" s="56"/>
      <c r="G1172" s="93"/>
      <c r="H1172" s="93"/>
      <c r="I1172" s="93"/>
      <c r="J1172" s="93"/>
      <c r="K1172" s="93"/>
      <c r="L1172" s="56"/>
      <c r="M1172" s="91"/>
    </row>
    <row r="1173">
      <c r="A1173" s="96"/>
      <c r="B1173" s="91"/>
      <c r="C1173" s="92"/>
      <c r="D1173" s="56"/>
      <c r="E1173" s="56"/>
      <c r="F1173" s="56"/>
      <c r="G1173" s="93"/>
      <c r="H1173" s="93"/>
      <c r="I1173" s="93"/>
      <c r="J1173" s="93"/>
      <c r="K1173" s="93"/>
      <c r="L1173" s="56"/>
      <c r="M1173" s="91"/>
    </row>
    <row r="1174">
      <c r="A1174" s="96"/>
      <c r="B1174" s="91"/>
      <c r="C1174" s="92"/>
      <c r="D1174" s="56"/>
      <c r="E1174" s="56"/>
      <c r="F1174" s="56"/>
      <c r="G1174" s="93"/>
      <c r="H1174" s="93"/>
      <c r="I1174" s="93"/>
      <c r="J1174" s="93"/>
      <c r="K1174" s="93"/>
      <c r="L1174" s="56"/>
      <c r="M1174" s="91"/>
    </row>
    <row r="1175">
      <c r="A1175" s="96"/>
      <c r="B1175" s="91"/>
      <c r="C1175" s="92"/>
      <c r="D1175" s="56"/>
      <c r="E1175" s="56"/>
      <c r="F1175" s="56"/>
      <c r="G1175" s="93"/>
      <c r="H1175" s="93"/>
      <c r="I1175" s="93"/>
      <c r="J1175" s="93"/>
      <c r="K1175" s="93"/>
      <c r="L1175" s="56"/>
      <c r="M1175" s="91"/>
    </row>
    <row r="1176">
      <c r="A1176" s="96"/>
      <c r="B1176" s="91"/>
      <c r="C1176" s="92"/>
      <c r="D1176" s="56"/>
      <c r="E1176" s="56"/>
      <c r="F1176" s="56"/>
      <c r="G1176" s="93"/>
      <c r="H1176" s="93"/>
      <c r="I1176" s="93"/>
      <c r="J1176" s="93"/>
      <c r="K1176" s="93"/>
      <c r="L1176" s="56"/>
      <c r="M1176" s="91"/>
    </row>
    <row r="1177">
      <c r="A1177" s="96"/>
      <c r="B1177" s="91"/>
      <c r="C1177" s="92"/>
      <c r="D1177" s="56"/>
      <c r="E1177" s="56"/>
      <c r="F1177" s="56"/>
      <c r="G1177" s="93"/>
      <c r="H1177" s="93"/>
      <c r="I1177" s="93"/>
      <c r="J1177" s="93"/>
      <c r="K1177" s="93"/>
      <c r="L1177" s="56"/>
      <c r="M1177" s="91"/>
    </row>
    <row r="1178">
      <c r="A1178" s="96"/>
      <c r="B1178" s="91"/>
      <c r="C1178" s="92"/>
      <c r="D1178" s="56"/>
      <c r="E1178" s="56"/>
      <c r="F1178" s="56"/>
      <c r="G1178" s="93"/>
      <c r="H1178" s="93"/>
      <c r="I1178" s="93"/>
      <c r="J1178" s="93"/>
      <c r="K1178" s="93"/>
      <c r="L1178" s="56"/>
      <c r="M1178" s="91"/>
    </row>
    <row r="1179">
      <c r="A1179" s="96"/>
      <c r="B1179" s="91"/>
      <c r="C1179" s="92"/>
      <c r="D1179" s="56"/>
      <c r="E1179" s="56"/>
      <c r="F1179" s="56"/>
      <c r="G1179" s="93"/>
      <c r="H1179" s="93"/>
      <c r="I1179" s="93"/>
      <c r="J1179" s="93"/>
      <c r="K1179" s="93"/>
      <c r="L1179" s="56"/>
      <c r="M1179" s="91"/>
    </row>
    <row r="1180">
      <c r="A1180" s="96"/>
      <c r="B1180" s="91"/>
      <c r="C1180" s="92"/>
      <c r="D1180" s="56"/>
      <c r="E1180" s="56"/>
      <c r="F1180" s="56"/>
      <c r="G1180" s="93"/>
      <c r="H1180" s="93"/>
      <c r="I1180" s="93"/>
      <c r="J1180" s="93"/>
      <c r="K1180" s="93"/>
      <c r="L1180" s="56"/>
      <c r="M1180" s="91"/>
    </row>
    <row r="1181">
      <c r="A1181" s="96"/>
      <c r="B1181" s="91"/>
      <c r="C1181" s="92"/>
      <c r="D1181" s="56"/>
      <c r="E1181" s="56"/>
      <c r="F1181" s="56"/>
      <c r="G1181" s="93"/>
      <c r="H1181" s="93"/>
      <c r="I1181" s="93"/>
      <c r="J1181" s="93"/>
      <c r="K1181" s="93"/>
      <c r="L1181" s="56"/>
      <c r="M1181" s="91"/>
    </row>
    <row r="1182">
      <c r="A1182" s="96"/>
      <c r="B1182" s="91"/>
      <c r="C1182" s="92"/>
      <c r="D1182" s="56"/>
      <c r="E1182" s="56"/>
      <c r="F1182" s="56"/>
      <c r="G1182" s="93"/>
      <c r="H1182" s="93"/>
      <c r="I1182" s="93"/>
      <c r="J1182" s="93"/>
      <c r="K1182" s="93"/>
      <c r="L1182" s="56"/>
      <c r="M1182" s="91"/>
    </row>
    <row r="1183">
      <c r="A1183" s="96"/>
      <c r="B1183" s="91"/>
      <c r="C1183" s="92"/>
      <c r="D1183" s="56"/>
      <c r="E1183" s="56"/>
      <c r="F1183" s="56"/>
      <c r="G1183" s="93"/>
      <c r="H1183" s="93"/>
      <c r="I1183" s="93"/>
      <c r="J1183" s="93"/>
      <c r="K1183" s="93"/>
      <c r="L1183" s="56"/>
      <c r="M1183" s="91"/>
    </row>
    <row r="1184">
      <c r="A1184" s="96"/>
      <c r="B1184" s="91"/>
      <c r="C1184" s="92"/>
      <c r="D1184" s="56"/>
      <c r="E1184" s="56"/>
      <c r="F1184" s="56"/>
      <c r="G1184" s="93"/>
      <c r="H1184" s="93"/>
      <c r="I1184" s="93"/>
      <c r="J1184" s="93"/>
      <c r="K1184" s="93"/>
      <c r="L1184" s="56"/>
      <c r="M1184" s="91"/>
    </row>
    <row r="1185">
      <c r="A1185" s="96"/>
      <c r="B1185" s="91"/>
      <c r="C1185" s="92"/>
      <c r="D1185" s="56"/>
      <c r="E1185" s="56"/>
      <c r="F1185" s="56"/>
      <c r="G1185" s="93"/>
      <c r="H1185" s="93"/>
      <c r="I1185" s="93"/>
      <c r="J1185" s="93"/>
      <c r="K1185" s="93"/>
      <c r="L1185" s="56"/>
      <c r="M1185" s="91"/>
    </row>
    <row r="1186">
      <c r="A1186" s="96"/>
      <c r="B1186" s="91"/>
      <c r="C1186" s="92"/>
      <c r="D1186" s="56"/>
      <c r="E1186" s="56"/>
      <c r="F1186" s="56"/>
      <c r="G1186" s="93"/>
      <c r="H1186" s="93"/>
      <c r="I1186" s="93"/>
      <c r="J1186" s="93"/>
      <c r="K1186" s="93"/>
      <c r="L1186" s="56"/>
      <c r="M1186" s="91"/>
    </row>
    <row r="1187">
      <c r="A1187" s="96"/>
      <c r="B1187" s="91"/>
      <c r="C1187" s="92"/>
      <c r="D1187" s="56"/>
      <c r="E1187" s="56"/>
      <c r="F1187" s="56"/>
      <c r="G1187" s="93"/>
      <c r="H1187" s="93"/>
      <c r="I1187" s="93"/>
      <c r="J1187" s="93"/>
      <c r="K1187" s="93"/>
      <c r="L1187" s="56"/>
      <c r="M1187" s="91"/>
    </row>
    <row r="1188">
      <c r="A1188" s="96"/>
      <c r="B1188" s="91"/>
      <c r="C1188" s="92"/>
      <c r="D1188" s="56"/>
      <c r="E1188" s="56"/>
      <c r="F1188" s="56"/>
      <c r="G1188" s="93"/>
      <c r="H1188" s="93"/>
      <c r="I1188" s="93"/>
      <c r="J1188" s="93"/>
      <c r="K1188" s="93"/>
      <c r="L1188" s="56"/>
      <c r="M1188" s="91"/>
    </row>
    <row r="1189">
      <c r="A1189" s="96"/>
      <c r="B1189" s="91"/>
      <c r="C1189" s="92"/>
      <c r="D1189" s="56"/>
      <c r="E1189" s="56"/>
      <c r="F1189" s="56"/>
      <c r="G1189" s="93"/>
      <c r="H1189" s="93"/>
      <c r="I1189" s="93"/>
      <c r="J1189" s="93"/>
      <c r="K1189" s="93"/>
      <c r="L1189" s="56"/>
      <c r="M1189" s="91"/>
    </row>
    <row r="1190">
      <c r="A1190" s="96"/>
      <c r="B1190" s="91"/>
      <c r="C1190" s="92"/>
      <c r="D1190" s="56"/>
      <c r="E1190" s="56"/>
      <c r="F1190" s="56"/>
      <c r="G1190" s="93"/>
      <c r="H1190" s="93"/>
      <c r="I1190" s="93"/>
      <c r="J1190" s="93"/>
      <c r="K1190" s="93"/>
      <c r="L1190" s="56"/>
      <c r="M1190" s="91"/>
    </row>
    <row r="1191">
      <c r="A1191" s="96"/>
      <c r="B1191" s="91"/>
      <c r="C1191" s="92"/>
      <c r="D1191" s="56"/>
      <c r="E1191" s="56"/>
      <c r="F1191" s="56"/>
      <c r="G1191" s="93"/>
      <c r="H1191" s="93"/>
      <c r="I1191" s="93"/>
      <c r="J1191" s="93"/>
      <c r="K1191" s="93"/>
      <c r="L1191" s="56"/>
      <c r="M1191" s="91"/>
    </row>
    <row r="1192">
      <c r="A1192" s="96"/>
      <c r="B1192" s="91"/>
      <c r="C1192" s="92"/>
      <c r="D1192" s="56"/>
      <c r="E1192" s="56"/>
      <c r="F1192" s="56"/>
      <c r="G1192" s="93"/>
      <c r="H1192" s="93"/>
      <c r="I1192" s="93"/>
      <c r="J1192" s="93"/>
      <c r="K1192" s="93"/>
      <c r="L1192" s="56"/>
      <c r="M1192" s="91"/>
    </row>
    <row r="1193">
      <c r="A1193" s="96"/>
      <c r="B1193" s="91"/>
      <c r="C1193" s="92"/>
      <c r="D1193" s="56"/>
      <c r="E1193" s="56"/>
      <c r="F1193" s="56"/>
      <c r="G1193" s="93"/>
      <c r="H1193" s="93"/>
      <c r="I1193" s="93"/>
      <c r="J1193" s="93"/>
      <c r="K1193" s="93"/>
      <c r="L1193" s="56"/>
      <c r="M1193" s="91"/>
    </row>
    <row r="1194">
      <c r="A1194" s="96"/>
      <c r="B1194" s="91"/>
      <c r="C1194" s="92"/>
      <c r="D1194" s="56"/>
      <c r="E1194" s="56"/>
      <c r="F1194" s="56"/>
      <c r="G1194" s="93"/>
      <c r="H1194" s="93"/>
      <c r="I1194" s="93"/>
      <c r="J1194" s="93"/>
      <c r="K1194" s="93"/>
      <c r="L1194" s="56"/>
      <c r="M1194" s="91"/>
    </row>
    <row r="1195">
      <c r="A1195" s="96"/>
      <c r="B1195" s="91"/>
      <c r="C1195" s="92"/>
      <c r="D1195" s="56"/>
      <c r="E1195" s="56"/>
      <c r="F1195" s="56"/>
      <c r="G1195" s="93"/>
      <c r="H1195" s="93"/>
      <c r="I1195" s="93"/>
      <c r="J1195" s="93"/>
      <c r="K1195" s="93"/>
      <c r="L1195" s="56"/>
      <c r="M1195" s="91"/>
    </row>
    <row r="1196">
      <c r="A1196" s="96"/>
      <c r="B1196" s="91"/>
      <c r="C1196" s="92"/>
      <c r="D1196" s="56"/>
      <c r="E1196" s="56"/>
      <c r="F1196" s="56"/>
      <c r="G1196" s="93"/>
      <c r="H1196" s="93"/>
      <c r="I1196" s="93"/>
      <c r="J1196" s="93"/>
      <c r="K1196" s="93"/>
      <c r="L1196" s="56"/>
      <c r="M1196" s="91"/>
    </row>
    <row r="1197">
      <c r="A1197" s="96"/>
      <c r="B1197" s="91"/>
      <c r="C1197" s="92"/>
      <c r="D1197" s="56"/>
      <c r="E1197" s="56"/>
      <c r="F1197" s="56"/>
      <c r="G1197" s="93"/>
      <c r="H1197" s="93"/>
      <c r="I1197" s="93"/>
      <c r="J1197" s="93"/>
      <c r="K1197" s="93"/>
      <c r="L1197" s="56"/>
      <c r="M1197" s="91"/>
    </row>
    <row r="1198">
      <c r="A1198" s="96"/>
      <c r="B1198" s="91"/>
      <c r="C1198" s="92"/>
      <c r="D1198" s="56"/>
      <c r="E1198" s="56"/>
      <c r="F1198" s="56"/>
      <c r="G1198" s="93"/>
      <c r="H1198" s="93"/>
      <c r="I1198" s="93"/>
      <c r="J1198" s="93"/>
      <c r="K1198" s="93"/>
      <c r="L1198" s="56"/>
      <c r="M1198" s="91"/>
    </row>
    <row r="1199">
      <c r="A1199" s="96"/>
      <c r="B1199" s="91"/>
      <c r="C1199" s="92"/>
      <c r="D1199" s="56"/>
      <c r="E1199" s="56"/>
      <c r="F1199" s="56"/>
      <c r="G1199" s="93"/>
      <c r="H1199" s="93"/>
      <c r="I1199" s="93"/>
      <c r="J1199" s="93"/>
      <c r="K1199" s="93"/>
      <c r="L1199" s="56"/>
      <c r="M1199" s="91"/>
    </row>
    <row r="1200">
      <c r="A1200" s="96"/>
      <c r="B1200" s="91"/>
      <c r="C1200" s="92"/>
      <c r="D1200" s="56"/>
      <c r="E1200" s="56"/>
      <c r="F1200" s="56"/>
      <c r="G1200" s="93"/>
      <c r="H1200" s="93"/>
      <c r="I1200" s="93"/>
      <c r="J1200" s="93"/>
      <c r="K1200" s="93"/>
      <c r="L1200" s="56"/>
      <c r="M1200" s="91"/>
    </row>
    <row r="1201">
      <c r="A1201" s="96"/>
      <c r="B1201" s="91"/>
      <c r="C1201" s="92"/>
      <c r="D1201" s="56"/>
      <c r="E1201" s="56"/>
      <c r="F1201" s="56"/>
      <c r="G1201" s="93"/>
      <c r="H1201" s="93"/>
      <c r="I1201" s="93"/>
      <c r="J1201" s="93"/>
      <c r="K1201" s="93"/>
      <c r="L1201" s="56"/>
      <c r="M1201" s="91"/>
    </row>
    <row r="1202">
      <c r="A1202" s="96"/>
      <c r="B1202" s="91"/>
      <c r="C1202" s="92"/>
      <c r="D1202" s="56"/>
      <c r="E1202" s="56"/>
      <c r="F1202" s="56"/>
      <c r="G1202" s="93"/>
      <c r="H1202" s="93"/>
      <c r="I1202" s="93"/>
      <c r="J1202" s="93"/>
      <c r="K1202" s="93"/>
      <c r="L1202" s="56"/>
      <c r="M1202" s="91"/>
    </row>
    <row r="1203">
      <c r="A1203" s="96"/>
      <c r="B1203" s="91"/>
      <c r="C1203" s="92"/>
      <c r="D1203" s="56"/>
      <c r="E1203" s="56"/>
      <c r="F1203" s="56"/>
      <c r="G1203" s="93"/>
      <c r="H1203" s="93"/>
      <c r="I1203" s="93"/>
      <c r="J1203" s="93"/>
      <c r="K1203" s="93"/>
      <c r="L1203" s="56"/>
      <c r="M1203" s="91"/>
    </row>
    <row r="1204">
      <c r="A1204" s="96"/>
      <c r="B1204" s="91"/>
      <c r="C1204" s="92"/>
      <c r="D1204" s="56"/>
      <c r="E1204" s="56"/>
      <c r="F1204" s="56"/>
      <c r="G1204" s="93"/>
      <c r="H1204" s="93"/>
      <c r="I1204" s="93"/>
      <c r="J1204" s="93"/>
      <c r="K1204" s="93"/>
      <c r="L1204" s="56"/>
      <c r="M1204" s="91"/>
    </row>
    <row r="1205">
      <c r="A1205" s="96"/>
      <c r="B1205" s="91"/>
      <c r="C1205" s="92"/>
      <c r="D1205" s="56"/>
      <c r="E1205" s="56"/>
      <c r="F1205" s="56"/>
      <c r="G1205" s="93"/>
      <c r="H1205" s="93"/>
      <c r="I1205" s="93"/>
      <c r="J1205" s="93"/>
      <c r="K1205" s="93"/>
      <c r="L1205" s="56"/>
      <c r="M1205" s="91"/>
    </row>
    <row r="1206">
      <c r="A1206" s="96"/>
      <c r="B1206" s="91"/>
      <c r="C1206" s="92"/>
      <c r="D1206" s="56"/>
      <c r="E1206" s="56"/>
      <c r="F1206" s="56"/>
      <c r="G1206" s="93"/>
      <c r="H1206" s="93"/>
      <c r="I1206" s="93"/>
      <c r="J1206" s="93"/>
      <c r="K1206" s="93"/>
      <c r="L1206" s="56"/>
      <c r="M1206" s="91"/>
    </row>
    <row r="1207">
      <c r="A1207" s="96"/>
      <c r="B1207" s="91"/>
      <c r="C1207" s="92"/>
      <c r="D1207" s="56"/>
      <c r="E1207" s="56"/>
      <c r="F1207" s="56"/>
      <c r="G1207" s="93"/>
      <c r="H1207" s="93"/>
      <c r="I1207" s="93"/>
      <c r="J1207" s="93"/>
      <c r="K1207" s="93"/>
      <c r="L1207" s="56"/>
      <c r="M1207" s="91"/>
    </row>
    <row r="1208">
      <c r="A1208" s="96"/>
      <c r="B1208" s="91"/>
      <c r="C1208" s="92"/>
      <c r="D1208" s="56"/>
      <c r="E1208" s="56"/>
      <c r="F1208" s="56"/>
      <c r="G1208" s="93"/>
      <c r="H1208" s="93"/>
      <c r="I1208" s="93"/>
      <c r="J1208" s="93"/>
      <c r="K1208" s="93"/>
      <c r="L1208" s="56"/>
      <c r="M1208" s="91"/>
    </row>
    <row r="1209">
      <c r="A1209" s="96"/>
      <c r="B1209" s="91"/>
      <c r="C1209" s="92"/>
      <c r="D1209" s="56"/>
      <c r="E1209" s="56"/>
      <c r="F1209" s="56"/>
      <c r="G1209" s="93"/>
      <c r="H1209" s="93"/>
      <c r="I1209" s="93"/>
      <c r="J1209" s="93"/>
      <c r="K1209" s="93"/>
      <c r="L1209" s="56"/>
      <c r="M1209" s="91"/>
    </row>
    <row r="1210">
      <c r="A1210" s="96"/>
      <c r="B1210" s="91"/>
      <c r="C1210" s="92"/>
      <c r="D1210" s="56"/>
      <c r="E1210" s="56"/>
      <c r="F1210" s="56"/>
      <c r="G1210" s="93"/>
      <c r="H1210" s="93"/>
      <c r="I1210" s="93"/>
      <c r="J1210" s="93"/>
      <c r="K1210" s="93"/>
      <c r="L1210" s="56"/>
      <c r="M1210" s="91"/>
    </row>
    <row r="1211">
      <c r="A1211" s="96"/>
      <c r="B1211" s="91"/>
      <c r="C1211" s="92"/>
      <c r="D1211" s="56"/>
      <c r="E1211" s="56"/>
      <c r="F1211" s="56"/>
      <c r="G1211" s="93"/>
      <c r="H1211" s="93"/>
      <c r="I1211" s="93"/>
      <c r="J1211" s="93"/>
      <c r="K1211" s="93"/>
      <c r="L1211" s="56"/>
      <c r="M1211" s="91"/>
    </row>
    <row r="1212">
      <c r="A1212" s="96"/>
      <c r="B1212" s="91"/>
      <c r="C1212" s="92"/>
      <c r="D1212" s="56"/>
      <c r="E1212" s="56"/>
      <c r="F1212" s="56"/>
      <c r="G1212" s="93"/>
      <c r="H1212" s="93"/>
      <c r="I1212" s="93"/>
      <c r="J1212" s="93"/>
      <c r="K1212" s="93"/>
      <c r="L1212" s="56"/>
      <c r="M1212" s="91"/>
    </row>
    <row r="1213">
      <c r="A1213" s="96"/>
      <c r="B1213" s="91"/>
      <c r="C1213" s="92"/>
      <c r="D1213" s="56"/>
      <c r="E1213" s="56"/>
      <c r="F1213" s="56"/>
      <c r="G1213" s="93"/>
      <c r="H1213" s="93"/>
      <c r="I1213" s="93"/>
      <c r="J1213" s="93"/>
      <c r="K1213" s="93"/>
      <c r="L1213" s="56"/>
      <c r="M1213" s="91"/>
    </row>
    <row r="1214">
      <c r="A1214" s="96"/>
      <c r="B1214" s="91"/>
      <c r="C1214" s="92"/>
      <c r="D1214" s="56"/>
      <c r="E1214" s="56"/>
      <c r="F1214" s="56"/>
      <c r="G1214" s="93"/>
      <c r="H1214" s="93"/>
      <c r="I1214" s="93"/>
      <c r="J1214" s="93"/>
      <c r="K1214" s="93"/>
      <c r="L1214" s="56"/>
      <c r="M1214" s="91"/>
    </row>
    <row r="1215">
      <c r="A1215" s="96"/>
      <c r="B1215" s="91"/>
      <c r="C1215" s="92"/>
      <c r="D1215" s="56"/>
      <c r="E1215" s="56"/>
      <c r="F1215" s="56"/>
      <c r="G1215" s="93"/>
      <c r="H1215" s="93"/>
      <c r="I1215" s="93"/>
      <c r="J1215" s="93"/>
      <c r="K1215" s="93"/>
      <c r="L1215" s="56"/>
      <c r="M1215" s="91"/>
    </row>
    <row r="1216">
      <c r="A1216" s="96"/>
      <c r="B1216" s="91"/>
      <c r="C1216" s="92"/>
      <c r="D1216" s="56"/>
      <c r="E1216" s="56"/>
      <c r="F1216" s="56"/>
      <c r="G1216" s="93"/>
      <c r="H1216" s="93"/>
      <c r="I1216" s="93"/>
      <c r="J1216" s="93"/>
      <c r="K1216" s="93"/>
      <c r="L1216" s="56"/>
      <c r="M1216" s="91"/>
    </row>
    <row r="1217">
      <c r="A1217" s="96"/>
      <c r="B1217" s="91"/>
      <c r="C1217" s="92"/>
      <c r="D1217" s="56"/>
      <c r="E1217" s="56"/>
      <c r="F1217" s="56"/>
      <c r="G1217" s="93"/>
      <c r="H1217" s="93"/>
      <c r="I1217" s="93"/>
      <c r="J1217" s="93"/>
      <c r="K1217" s="93"/>
      <c r="L1217" s="56"/>
      <c r="M1217" s="91"/>
    </row>
    <row r="1218">
      <c r="A1218" s="96"/>
      <c r="B1218" s="91"/>
      <c r="C1218" s="92"/>
      <c r="D1218" s="56"/>
      <c r="E1218" s="56"/>
      <c r="F1218" s="56"/>
      <c r="G1218" s="93"/>
      <c r="H1218" s="93"/>
      <c r="I1218" s="93"/>
      <c r="J1218" s="93"/>
      <c r="K1218" s="93"/>
      <c r="L1218" s="56"/>
      <c r="M1218" s="91"/>
    </row>
    <row r="1219">
      <c r="A1219" s="96"/>
      <c r="B1219" s="91"/>
      <c r="C1219" s="92"/>
      <c r="D1219" s="56"/>
      <c r="E1219" s="56"/>
      <c r="F1219" s="56"/>
      <c r="G1219" s="93"/>
      <c r="H1219" s="93"/>
      <c r="I1219" s="93"/>
      <c r="J1219" s="93"/>
      <c r="K1219" s="93"/>
      <c r="L1219" s="56"/>
      <c r="M1219" s="91"/>
    </row>
    <row r="1220">
      <c r="A1220" s="96"/>
      <c r="B1220" s="91"/>
      <c r="C1220" s="92"/>
      <c r="D1220" s="56"/>
      <c r="E1220" s="56"/>
      <c r="F1220" s="56"/>
      <c r="G1220" s="93"/>
      <c r="H1220" s="93"/>
      <c r="I1220" s="93"/>
      <c r="J1220" s="93"/>
      <c r="K1220" s="93"/>
      <c r="L1220" s="56"/>
      <c r="M1220" s="91"/>
    </row>
    <row r="1221">
      <c r="A1221" s="96"/>
      <c r="B1221" s="91"/>
      <c r="C1221" s="92"/>
      <c r="D1221" s="56"/>
      <c r="E1221" s="56"/>
      <c r="F1221" s="56"/>
      <c r="G1221" s="93"/>
      <c r="H1221" s="93"/>
      <c r="I1221" s="93"/>
      <c r="J1221" s="93"/>
      <c r="K1221" s="93"/>
      <c r="L1221" s="56"/>
      <c r="M1221" s="91"/>
    </row>
    <row r="1222">
      <c r="A1222" s="96"/>
      <c r="B1222" s="91"/>
      <c r="C1222" s="92"/>
      <c r="D1222" s="56"/>
      <c r="E1222" s="56"/>
      <c r="F1222" s="56"/>
      <c r="G1222" s="93"/>
      <c r="H1222" s="93"/>
      <c r="I1222" s="93"/>
      <c r="J1222" s="93"/>
      <c r="K1222" s="93"/>
      <c r="L1222" s="56"/>
      <c r="M1222" s="91"/>
    </row>
    <row r="1223">
      <c r="A1223" s="96"/>
      <c r="B1223" s="91"/>
      <c r="C1223" s="92"/>
      <c r="D1223" s="56"/>
      <c r="E1223" s="56"/>
      <c r="F1223" s="56"/>
      <c r="G1223" s="93"/>
      <c r="H1223" s="93"/>
      <c r="I1223" s="93"/>
      <c r="J1223" s="93"/>
      <c r="K1223" s="93"/>
      <c r="L1223" s="56"/>
      <c r="M1223" s="91"/>
    </row>
    <row r="1224">
      <c r="A1224" s="96"/>
      <c r="B1224" s="91"/>
      <c r="C1224" s="92"/>
      <c r="D1224" s="56"/>
      <c r="E1224" s="56"/>
      <c r="F1224" s="56"/>
      <c r="G1224" s="93"/>
      <c r="H1224" s="93"/>
      <c r="I1224" s="93"/>
      <c r="J1224" s="93"/>
      <c r="K1224" s="93"/>
      <c r="L1224" s="56"/>
      <c r="M1224" s="91"/>
    </row>
    <row r="1225">
      <c r="A1225" s="96"/>
      <c r="B1225" s="91"/>
      <c r="C1225" s="92"/>
      <c r="D1225" s="56"/>
      <c r="E1225" s="56"/>
      <c r="F1225" s="56"/>
      <c r="G1225" s="93"/>
      <c r="H1225" s="93"/>
      <c r="I1225" s="93"/>
      <c r="J1225" s="93"/>
      <c r="K1225" s="93"/>
      <c r="L1225" s="56"/>
      <c r="M1225" s="91"/>
    </row>
    <row r="1226">
      <c r="A1226" s="96"/>
      <c r="B1226" s="91"/>
      <c r="C1226" s="92"/>
      <c r="D1226" s="56"/>
      <c r="E1226" s="56"/>
      <c r="F1226" s="56"/>
      <c r="G1226" s="93"/>
      <c r="H1226" s="93"/>
      <c r="I1226" s="93"/>
      <c r="J1226" s="93"/>
      <c r="K1226" s="93"/>
      <c r="L1226" s="56"/>
      <c r="M1226" s="91"/>
    </row>
    <row r="1227">
      <c r="A1227" s="96"/>
      <c r="B1227" s="91"/>
      <c r="C1227" s="92"/>
      <c r="D1227" s="56"/>
      <c r="E1227" s="56"/>
      <c r="F1227" s="56"/>
      <c r="G1227" s="93"/>
      <c r="H1227" s="93"/>
      <c r="I1227" s="93"/>
      <c r="J1227" s="93"/>
      <c r="K1227" s="93"/>
      <c r="L1227" s="56"/>
      <c r="M1227" s="91"/>
    </row>
    <row r="1228">
      <c r="A1228" s="96"/>
      <c r="B1228" s="91"/>
      <c r="C1228" s="92"/>
      <c r="D1228" s="56"/>
      <c r="E1228" s="56"/>
      <c r="F1228" s="56"/>
      <c r="G1228" s="93"/>
      <c r="H1228" s="93"/>
      <c r="I1228" s="93"/>
      <c r="J1228" s="93"/>
      <c r="K1228" s="93"/>
      <c r="L1228" s="56"/>
      <c r="M1228" s="91"/>
    </row>
    <row r="1229">
      <c r="A1229" s="96"/>
      <c r="B1229" s="91"/>
      <c r="C1229" s="92"/>
      <c r="D1229" s="56"/>
      <c r="E1229" s="56"/>
      <c r="F1229" s="56"/>
      <c r="G1229" s="93"/>
      <c r="H1229" s="93"/>
      <c r="I1229" s="93"/>
      <c r="J1229" s="93"/>
      <c r="K1229" s="93"/>
      <c r="L1229" s="56"/>
      <c r="M1229" s="91"/>
    </row>
    <row r="1230">
      <c r="A1230" s="96"/>
      <c r="B1230" s="91"/>
      <c r="C1230" s="92"/>
      <c r="D1230" s="56"/>
      <c r="E1230" s="56"/>
      <c r="F1230" s="56"/>
      <c r="G1230" s="93"/>
      <c r="H1230" s="93"/>
      <c r="I1230" s="93"/>
      <c r="J1230" s="93"/>
      <c r="K1230" s="93"/>
      <c r="L1230" s="56"/>
      <c r="M1230" s="91"/>
    </row>
    <row r="1231">
      <c r="A1231" s="96"/>
      <c r="B1231" s="91"/>
      <c r="C1231" s="92"/>
      <c r="D1231" s="56"/>
      <c r="E1231" s="56"/>
      <c r="F1231" s="56"/>
      <c r="G1231" s="93"/>
      <c r="H1231" s="93"/>
      <c r="I1231" s="93"/>
      <c r="J1231" s="93"/>
      <c r="K1231" s="93"/>
      <c r="L1231" s="56"/>
      <c r="M1231" s="91"/>
    </row>
    <row r="1232">
      <c r="A1232" s="96"/>
      <c r="B1232" s="91"/>
      <c r="C1232" s="92"/>
      <c r="D1232" s="56"/>
      <c r="E1232" s="56"/>
      <c r="F1232" s="56"/>
      <c r="G1232" s="93"/>
      <c r="H1232" s="93"/>
      <c r="I1232" s="93"/>
      <c r="J1232" s="93"/>
      <c r="K1232" s="93"/>
      <c r="L1232" s="56"/>
      <c r="M1232" s="91"/>
    </row>
    <row r="1233">
      <c r="A1233" s="96"/>
      <c r="B1233" s="91"/>
      <c r="C1233" s="92"/>
      <c r="D1233" s="56"/>
      <c r="E1233" s="56"/>
      <c r="F1233" s="56"/>
      <c r="G1233" s="93"/>
      <c r="H1233" s="93"/>
      <c r="I1233" s="93"/>
      <c r="J1233" s="93"/>
      <c r="K1233" s="93"/>
      <c r="L1233" s="56"/>
      <c r="M1233" s="91"/>
    </row>
    <row r="1234">
      <c r="A1234" s="96"/>
      <c r="B1234" s="91"/>
      <c r="C1234" s="92"/>
      <c r="D1234" s="56"/>
      <c r="E1234" s="56"/>
      <c r="F1234" s="56"/>
      <c r="G1234" s="93"/>
      <c r="H1234" s="93"/>
      <c r="I1234" s="93"/>
      <c r="J1234" s="93"/>
      <c r="K1234" s="93"/>
      <c r="L1234" s="56"/>
      <c r="M1234" s="91"/>
    </row>
    <row r="1235">
      <c r="A1235" s="96"/>
      <c r="B1235" s="91"/>
      <c r="C1235" s="92"/>
      <c r="D1235" s="56"/>
      <c r="E1235" s="56"/>
      <c r="F1235" s="56"/>
      <c r="G1235" s="93"/>
      <c r="H1235" s="93"/>
      <c r="I1235" s="93"/>
      <c r="J1235" s="93"/>
      <c r="K1235" s="93"/>
      <c r="L1235" s="56"/>
      <c r="M1235" s="91"/>
    </row>
    <row r="1236">
      <c r="A1236" s="96"/>
      <c r="B1236" s="91"/>
      <c r="C1236" s="92"/>
      <c r="D1236" s="56"/>
      <c r="E1236" s="56"/>
      <c r="F1236" s="56"/>
      <c r="G1236" s="93"/>
      <c r="H1236" s="93"/>
      <c r="I1236" s="93"/>
      <c r="J1236" s="93"/>
      <c r="K1236" s="93"/>
      <c r="L1236" s="56"/>
      <c r="M1236" s="91"/>
    </row>
    <row r="1237">
      <c r="A1237" s="96"/>
      <c r="B1237" s="91"/>
      <c r="C1237" s="92"/>
      <c r="D1237" s="56"/>
      <c r="E1237" s="56"/>
      <c r="F1237" s="56"/>
      <c r="G1237" s="93"/>
      <c r="H1237" s="93"/>
      <c r="I1237" s="93"/>
      <c r="J1237" s="93"/>
      <c r="K1237" s="93"/>
      <c r="L1237" s="56"/>
      <c r="M1237" s="91"/>
    </row>
    <row r="1238">
      <c r="A1238" s="96"/>
      <c r="B1238" s="91"/>
      <c r="C1238" s="92"/>
      <c r="D1238" s="56"/>
      <c r="E1238" s="56"/>
      <c r="F1238" s="56"/>
      <c r="G1238" s="93"/>
      <c r="H1238" s="93"/>
      <c r="I1238" s="93"/>
      <c r="J1238" s="93"/>
      <c r="K1238" s="93"/>
      <c r="L1238" s="56"/>
      <c r="M1238" s="91"/>
    </row>
    <row r="1239">
      <c r="A1239" s="96"/>
      <c r="B1239" s="91"/>
      <c r="C1239" s="92"/>
      <c r="D1239" s="56"/>
      <c r="E1239" s="56"/>
      <c r="F1239" s="56"/>
      <c r="G1239" s="93"/>
      <c r="H1239" s="93"/>
      <c r="I1239" s="93"/>
      <c r="J1239" s="93"/>
      <c r="K1239" s="93"/>
      <c r="L1239" s="56"/>
      <c r="M1239" s="91"/>
    </row>
    <row r="1240">
      <c r="A1240" s="96"/>
      <c r="B1240" s="91"/>
      <c r="C1240" s="92"/>
      <c r="D1240" s="56"/>
      <c r="E1240" s="56"/>
      <c r="F1240" s="56"/>
      <c r="G1240" s="93"/>
      <c r="H1240" s="93"/>
      <c r="I1240" s="93"/>
      <c r="J1240" s="93"/>
      <c r="K1240" s="93"/>
      <c r="L1240" s="56"/>
      <c r="M1240" s="91"/>
    </row>
    <row r="1241">
      <c r="A1241" s="96"/>
      <c r="B1241" s="91"/>
      <c r="C1241" s="92"/>
      <c r="D1241" s="56"/>
      <c r="E1241" s="56"/>
      <c r="F1241" s="56"/>
      <c r="G1241" s="93"/>
      <c r="H1241" s="93"/>
      <c r="I1241" s="93"/>
      <c r="J1241" s="93"/>
      <c r="K1241" s="93"/>
      <c r="L1241" s="56"/>
      <c r="M1241" s="91"/>
    </row>
    <row r="1242">
      <c r="A1242" s="96"/>
      <c r="B1242" s="91"/>
      <c r="C1242" s="92"/>
      <c r="D1242" s="56"/>
      <c r="E1242" s="56"/>
      <c r="F1242" s="56"/>
      <c r="G1242" s="93"/>
      <c r="H1242" s="93"/>
      <c r="I1242" s="93"/>
      <c r="J1242" s="93"/>
      <c r="K1242" s="93"/>
      <c r="L1242" s="56"/>
      <c r="M1242" s="91"/>
    </row>
    <row r="1243">
      <c r="A1243" s="96"/>
      <c r="B1243" s="91"/>
      <c r="C1243" s="92"/>
      <c r="D1243" s="56"/>
      <c r="E1243" s="56"/>
      <c r="F1243" s="56"/>
      <c r="G1243" s="93"/>
      <c r="H1243" s="93"/>
      <c r="I1243" s="93"/>
      <c r="J1243" s="93"/>
      <c r="K1243" s="93"/>
      <c r="L1243" s="56"/>
      <c r="M1243" s="91"/>
    </row>
    <row r="1244">
      <c r="A1244" s="96"/>
      <c r="B1244" s="91"/>
      <c r="C1244" s="92"/>
      <c r="D1244" s="56"/>
      <c r="E1244" s="56"/>
      <c r="F1244" s="56"/>
      <c r="G1244" s="93"/>
      <c r="H1244" s="93"/>
      <c r="I1244" s="93"/>
      <c r="J1244" s="93"/>
      <c r="K1244" s="93"/>
      <c r="L1244" s="56"/>
      <c r="M1244" s="91"/>
    </row>
    <row r="1245">
      <c r="A1245" s="96"/>
      <c r="B1245" s="91"/>
      <c r="C1245" s="92"/>
      <c r="D1245" s="56"/>
      <c r="E1245" s="56"/>
      <c r="F1245" s="56"/>
      <c r="G1245" s="93"/>
      <c r="H1245" s="93"/>
      <c r="I1245" s="93"/>
      <c r="J1245" s="93"/>
      <c r="K1245" s="93"/>
      <c r="L1245" s="56"/>
      <c r="M1245" s="91"/>
    </row>
    <row r="1246">
      <c r="A1246" s="96"/>
      <c r="B1246" s="91"/>
      <c r="C1246" s="92"/>
      <c r="D1246" s="56"/>
      <c r="E1246" s="56"/>
      <c r="F1246" s="56"/>
      <c r="G1246" s="93"/>
      <c r="H1246" s="93"/>
      <c r="I1246" s="93"/>
      <c r="J1246" s="93"/>
      <c r="K1246" s="93"/>
      <c r="L1246" s="56"/>
      <c r="M1246" s="91"/>
    </row>
    <row r="1247">
      <c r="A1247" s="96"/>
      <c r="B1247" s="91"/>
      <c r="C1247" s="92"/>
      <c r="D1247" s="56"/>
      <c r="E1247" s="56"/>
      <c r="F1247" s="56"/>
      <c r="G1247" s="93"/>
      <c r="H1247" s="93"/>
      <c r="I1247" s="93"/>
      <c r="J1247" s="93"/>
      <c r="K1247" s="93"/>
      <c r="L1247" s="56"/>
      <c r="M1247" s="91"/>
    </row>
    <row r="1248">
      <c r="A1248" s="96"/>
      <c r="B1248" s="91"/>
      <c r="C1248" s="92"/>
      <c r="D1248" s="56"/>
      <c r="E1248" s="56"/>
      <c r="F1248" s="56"/>
      <c r="G1248" s="93"/>
      <c r="H1248" s="93"/>
      <c r="I1248" s="93"/>
      <c r="J1248" s="93"/>
      <c r="K1248" s="93"/>
      <c r="L1248" s="56"/>
      <c r="M1248" s="91"/>
    </row>
    <row r="1249">
      <c r="A1249" s="96"/>
      <c r="B1249" s="91"/>
      <c r="C1249" s="92"/>
      <c r="D1249" s="56"/>
      <c r="E1249" s="56"/>
      <c r="F1249" s="56"/>
      <c r="G1249" s="93"/>
      <c r="H1249" s="93"/>
      <c r="I1249" s="93"/>
      <c r="J1249" s="93"/>
      <c r="K1249" s="93"/>
      <c r="L1249" s="56"/>
      <c r="M1249" s="91"/>
    </row>
    <row r="1250">
      <c r="A1250" s="96"/>
      <c r="B1250" s="91"/>
      <c r="C1250" s="92"/>
      <c r="D1250" s="56"/>
      <c r="E1250" s="56"/>
      <c r="F1250" s="56"/>
      <c r="G1250" s="93"/>
      <c r="H1250" s="93"/>
      <c r="I1250" s="93"/>
      <c r="J1250" s="93"/>
      <c r="K1250" s="93"/>
      <c r="L1250" s="56"/>
      <c r="M1250" s="91"/>
    </row>
    <row r="1251">
      <c r="A1251" s="96"/>
      <c r="B1251" s="91"/>
      <c r="C1251" s="92"/>
      <c r="D1251" s="56"/>
      <c r="E1251" s="56"/>
      <c r="F1251" s="56"/>
      <c r="G1251" s="93"/>
      <c r="H1251" s="93"/>
      <c r="I1251" s="93"/>
      <c r="J1251" s="93"/>
      <c r="K1251" s="93"/>
      <c r="L1251" s="56"/>
      <c r="M1251" s="91"/>
    </row>
    <row r="1252">
      <c r="A1252" s="96"/>
      <c r="B1252" s="91"/>
      <c r="C1252" s="92"/>
      <c r="D1252" s="56"/>
      <c r="E1252" s="56"/>
      <c r="F1252" s="56"/>
      <c r="G1252" s="93"/>
      <c r="H1252" s="93"/>
      <c r="I1252" s="93"/>
      <c r="J1252" s="93"/>
      <c r="K1252" s="93"/>
      <c r="L1252" s="56"/>
      <c r="M1252" s="91"/>
    </row>
    <row r="1253">
      <c r="A1253" s="96"/>
      <c r="B1253" s="91"/>
      <c r="C1253" s="92"/>
      <c r="D1253" s="56"/>
      <c r="E1253" s="56"/>
      <c r="F1253" s="56"/>
      <c r="G1253" s="93"/>
      <c r="H1253" s="93"/>
      <c r="I1253" s="93"/>
      <c r="J1253" s="93"/>
      <c r="K1253" s="93"/>
      <c r="L1253" s="56"/>
      <c r="M1253" s="91"/>
    </row>
    <row r="1254">
      <c r="A1254" s="96"/>
      <c r="B1254" s="91"/>
      <c r="C1254" s="92"/>
      <c r="D1254" s="56"/>
      <c r="E1254" s="56"/>
      <c r="F1254" s="56"/>
      <c r="G1254" s="93"/>
      <c r="H1254" s="93"/>
      <c r="I1254" s="93"/>
      <c r="J1254" s="93"/>
      <c r="K1254" s="93"/>
      <c r="L1254" s="56"/>
      <c r="M1254" s="91"/>
    </row>
    <row r="1255">
      <c r="A1255" s="96"/>
      <c r="B1255" s="91"/>
      <c r="C1255" s="92"/>
      <c r="D1255" s="56"/>
      <c r="E1255" s="56"/>
      <c r="F1255" s="56"/>
      <c r="G1255" s="93"/>
      <c r="H1255" s="93"/>
      <c r="I1255" s="93"/>
      <c r="J1255" s="93"/>
      <c r="K1255" s="93"/>
      <c r="L1255" s="56"/>
      <c r="M1255" s="91"/>
    </row>
    <row r="1256">
      <c r="A1256" s="96"/>
      <c r="B1256" s="91"/>
      <c r="C1256" s="92"/>
      <c r="D1256" s="56"/>
      <c r="E1256" s="56"/>
      <c r="F1256" s="56"/>
      <c r="G1256" s="93"/>
      <c r="H1256" s="93"/>
      <c r="I1256" s="93"/>
      <c r="J1256" s="93"/>
      <c r="K1256" s="93"/>
      <c r="L1256" s="56"/>
      <c r="M1256" s="91"/>
    </row>
    <row r="1257">
      <c r="A1257" s="96"/>
      <c r="B1257" s="91"/>
      <c r="C1257" s="92"/>
      <c r="D1257" s="56"/>
      <c r="E1257" s="56"/>
      <c r="F1257" s="56"/>
      <c r="G1257" s="93"/>
      <c r="H1257" s="93"/>
      <c r="I1257" s="93"/>
      <c r="J1257" s="93"/>
      <c r="K1257" s="93"/>
      <c r="L1257" s="56"/>
      <c r="M1257" s="91"/>
    </row>
    <row r="1258">
      <c r="A1258" s="96"/>
      <c r="B1258" s="91"/>
      <c r="C1258" s="92"/>
      <c r="D1258" s="56"/>
      <c r="E1258" s="56"/>
      <c r="F1258" s="56"/>
      <c r="G1258" s="93"/>
      <c r="H1258" s="93"/>
      <c r="I1258" s="93"/>
      <c r="J1258" s="93"/>
      <c r="K1258" s="93"/>
      <c r="L1258" s="56"/>
      <c r="M1258" s="91"/>
    </row>
    <row r="1259">
      <c r="A1259" s="96"/>
      <c r="B1259" s="91"/>
      <c r="C1259" s="92"/>
      <c r="D1259" s="56"/>
      <c r="E1259" s="56"/>
      <c r="F1259" s="56"/>
      <c r="G1259" s="93"/>
      <c r="H1259" s="93"/>
      <c r="I1259" s="93"/>
      <c r="J1259" s="93"/>
      <c r="K1259" s="93"/>
      <c r="L1259" s="56"/>
      <c r="M1259" s="91"/>
    </row>
    <row r="1260">
      <c r="A1260" s="96"/>
      <c r="B1260" s="91"/>
      <c r="C1260" s="92"/>
      <c r="D1260" s="56"/>
      <c r="E1260" s="56"/>
      <c r="F1260" s="56"/>
      <c r="G1260" s="93"/>
      <c r="H1260" s="93"/>
      <c r="I1260" s="93"/>
      <c r="J1260" s="93"/>
      <c r="K1260" s="93"/>
      <c r="L1260" s="56"/>
      <c r="M1260" s="91"/>
    </row>
    <row r="1261">
      <c r="A1261" s="96"/>
      <c r="B1261" s="91"/>
      <c r="C1261" s="92"/>
      <c r="D1261" s="56"/>
      <c r="E1261" s="56"/>
      <c r="F1261" s="56"/>
      <c r="G1261" s="93"/>
      <c r="H1261" s="93"/>
      <c r="I1261" s="93"/>
      <c r="J1261" s="93"/>
      <c r="K1261" s="93"/>
      <c r="L1261" s="56"/>
      <c r="M1261" s="91"/>
    </row>
    <row r="1262">
      <c r="A1262" s="96"/>
      <c r="B1262" s="91"/>
      <c r="C1262" s="92"/>
      <c r="D1262" s="56"/>
      <c r="E1262" s="56"/>
      <c r="F1262" s="56"/>
      <c r="G1262" s="93"/>
      <c r="H1262" s="93"/>
      <c r="I1262" s="93"/>
      <c r="J1262" s="93"/>
      <c r="K1262" s="93"/>
      <c r="L1262" s="56"/>
      <c r="M1262" s="91"/>
    </row>
    <row r="1263">
      <c r="A1263" s="96"/>
      <c r="B1263" s="91"/>
      <c r="C1263" s="92"/>
      <c r="D1263" s="56"/>
      <c r="E1263" s="56"/>
      <c r="F1263" s="56"/>
      <c r="G1263" s="93"/>
      <c r="H1263" s="93"/>
      <c r="I1263" s="93"/>
      <c r="J1263" s="93"/>
      <c r="K1263" s="93"/>
      <c r="L1263" s="56"/>
      <c r="M1263" s="91"/>
    </row>
    <row r="1264">
      <c r="A1264" s="96"/>
      <c r="B1264" s="91"/>
      <c r="C1264" s="92"/>
      <c r="D1264" s="56"/>
      <c r="E1264" s="56"/>
      <c r="F1264" s="56"/>
      <c r="G1264" s="93"/>
      <c r="H1264" s="93"/>
      <c r="I1264" s="93"/>
      <c r="J1264" s="93"/>
      <c r="K1264" s="93"/>
      <c r="L1264" s="56"/>
      <c r="M1264" s="91"/>
    </row>
    <row r="1265">
      <c r="A1265" s="96"/>
      <c r="B1265" s="91"/>
      <c r="C1265" s="92"/>
      <c r="D1265" s="56"/>
      <c r="E1265" s="56"/>
      <c r="F1265" s="56"/>
      <c r="G1265" s="93"/>
      <c r="H1265" s="93"/>
      <c r="I1265" s="93"/>
      <c r="J1265" s="93"/>
      <c r="K1265" s="93"/>
      <c r="L1265" s="56"/>
      <c r="M1265" s="91"/>
    </row>
    <row r="1266">
      <c r="A1266" s="96"/>
      <c r="B1266" s="91"/>
      <c r="C1266" s="92"/>
      <c r="D1266" s="56"/>
      <c r="E1266" s="56"/>
      <c r="F1266" s="56"/>
      <c r="G1266" s="93"/>
      <c r="H1266" s="93"/>
      <c r="I1266" s="93"/>
      <c r="J1266" s="93"/>
      <c r="K1266" s="93"/>
      <c r="L1266" s="56"/>
      <c r="M1266" s="91"/>
    </row>
    <row r="1267">
      <c r="A1267" s="96"/>
      <c r="B1267" s="91"/>
      <c r="C1267" s="92"/>
      <c r="D1267" s="56"/>
      <c r="E1267" s="56"/>
      <c r="F1267" s="56"/>
      <c r="G1267" s="93"/>
      <c r="H1267" s="93"/>
      <c r="I1267" s="93"/>
      <c r="J1267" s="93"/>
      <c r="K1267" s="93"/>
      <c r="L1267" s="56"/>
      <c r="M1267" s="91"/>
    </row>
    <row r="1268">
      <c r="A1268" s="96"/>
      <c r="B1268" s="91"/>
      <c r="C1268" s="92"/>
      <c r="D1268" s="56"/>
      <c r="E1268" s="56"/>
      <c r="F1268" s="56"/>
      <c r="G1268" s="93"/>
      <c r="H1268" s="93"/>
      <c r="I1268" s="93"/>
      <c r="J1268" s="93"/>
      <c r="K1268" s="93"/>
      <c r="L1268" s="56"/>
      <c r="M1268" s="91"/>
    </row>
    <row r="1269">
      <c r="A1269" s="96"/>
      <c r="B1269" s="91"/>
      <c r="C1269" s="92"/>
      <c r="D1269" s="56"/>
      <c r="E1269" s="56"/>
      <c r="F1269" s="56"/>
      <c r="G1269" s="93"/>
      <c r="H1269" s="93"/>
      <c r="I1269" s="93"/>
      <c r="J1269" s="93"/>
      <c r="K1269" s="93"/>
      <c r="L1269" s="56"/>
      <c r="M1269" s="91"/>
    </row>
    <row r="1270">
      <c r="A1270" s="96"/>
      <c r="B1270" s="91"/>
      <c r="C1270" s="92"/>
      <c r="D1270" s="56"/>
      <c r="E1270" s="56"/>
      <c r="F1270" s="56"/>
      <c r="G1270" s="93"/>
      <c r="H1270" s="93"/>
      <c r="I1270" s="93"/>
      <c r="J1270" s="93"/>
      <c r="K1270" s="93"/>
      <c r="L1270" s="56"/>
      <c r="M1270" s="91"/>
    </row>
    <row r="1271">
      <c r="A1271" s="96"/>
      <c r="B1271" s="91"/>
      <c r="C1271" s="92"/>
      <c r="D1271" s="56"/>
      <c r="E1271" s="56"/>
      <c r="F1271" s="56"/>
      <c r="G1271" s="93"/>
      <c r="H1271" s="93"/>
      <c r="I1271" s="93"/>
      <c r="J1271" s="93"/>
      <c r="K1271" s="93"/>
      <c r="L1271" s="56"/>
      <c r="M1271" s="91"/>
    </row>
    <row r="1272">
      <c r="A1272" s="96"/>
      <c r="B1272" s="91"/>
      <c r="C1272" s="92"/>
      <c r="D1272" s="56"/>
      <c r="E1272" s="56"/>
      <c r="F1272" s="56"/>
      <c r="G1272" s="93"/>
      <c r="H1272" s="93"/>
      <c r="I1272" s="93"/>
      <c r="J1272" s="93"/>
      <c r="K1272" s="93"/>
      <c r="L1272" s="56"/>
      <c r="M1272" s="91"/>
    </row>
    <row r="1273">
      <c r="A1273" s="96"/>
      <c r="B1273" s="91"/>
      <c r="C1273" s="92"/>
      <c r="D1273" s="56"/>
      <c r="E1273" s="56"/>
      <c r="F1273" s="56"/>
      <c r="G1273" s="93"/>
      <c r="H1273" s="93"/>
      <c r="I1273" s="93"/>
      <c r="J1273" s="93"/>
      <c r="K1273" s="93"/>
      <c r="L1273" s="56"/>
      <c r="M1273" s="91"/>
    </row>
    <row r="1274">
      <c r="A1274" s="96"/>
      <c r="B1274" s="91"/>
      <c r="C1274" s="92"/>
      <c r="D1274" s="56"/>
      <c r="E1274" s="56"/>
      <c r="F1274" s="56"/>
      <c r="G1274" s="93"/>
      <c r="H1274" s="93"/>
      <c r="I1274" s="93"/>
      <c r="J1274" s="93"/>
      <c r="K1274" s="93"/>
      <c r="L1274" s="56"/>
      <c r="M1274" s="91"/>
    </row>
    <row r="1275">
      <c r="A1275" s="96"/>
      <c r="B1275" s="91"/>
      <c r="C1275" s="92"/>
      <c r="D1275" s="56"/>
      <c r="E1275" s="56"/>
      <c r="F1275" s="56"/>
      <c r="G1275" s="93"/>
      <c r="H1275" s="93"/>
      <c r="I1275" s="93"/>
      <c r="J1275" s="93"/>
      <c r="K1275" s="93"/>
      <c r="L1275" s="56"/>
      <c r="M1275" s="91"/>
    </row>
    <row r="1276">
      <c r="A1276" s="96"/>
      <c r="B1276" s="91"/>
      <c r="C1276" s="92"/>
      <c r="D1276" s="56"/>
      <c r="E1276" s="56"/>
      <c r="F1276" s="56"/>
      <c r="G1276" s="93"/>
      <c r="H1276" s="93"/>
      <c r="I1276" s="93"/>
      <c r="J1276" s="93"/>
      <c r="K1276" s="93"/>
      <c r="L1276" s="56"/>
      <c r="M1276" s="91"/>
    </row>
    <row r="1277">
      <c r="A1277" s="96"/>
      <c r="B1277" s="91"/>
      <c r="C1277" s="92"/>
      <c r="D1277" s="56"/>
      <c r="E1277" s="56"/>
      <c r="F1277" s="56"/>
      <c r="G1277" s="93"/>
      <c r="H1277" s="93"/>
      <c r="I1277" s="93"/>
      <c r="J1277" s="93"/>
      <c r="K1277" s="93"/>
      <c r="L1277" s="56"/>
      <c r="M1277" s="91"/>
    </row>
    <row r="1278">
      <c r="A1278" s="96"/>
      <c r="B1278" s="91"/>
      <c r="C1278" s="92"/>
      <c r="D1278" s="56"/>
      <c r="E1278" s="56"/>
      <c r="F1278" s="56"/>
      <c r="G1278" s="93"/>
      <c r="H1278" s="93"/>
      <c r="I1278" s="93"/>
      <c r="J1278" s="93"/>
      <c r="K1278" s="93"/>
      <c r="L1278" s="56"/>
      <c r="M1278" s="91"/>
    </row>
    <row r="1279">
      <c r="A1279" s="96"/>
      <c r="B1279" s="91"/>
      <c r="C1279" s="92"/>
      <c r="D1279" s="56"/>
      <c r="E1279" s="56"/>
      <c r="F1279" s="56"/>
      <c r="G1279" s="93"/>
      <c r="H1279" s="93"/>
      <c r="I1279" s="93"/>
      <c r="J1279" s="93"/>
      <c r="K1279" s="93"/>
      <c r="L1279" s="56"/>
      <c r="M1279" s="91"/>
    </row>
    <row r="1280">
      <c r="A1280" s="96"/>
      <c r="B1280" s="91"/>
      <c r="C1280" s="92"/>
      <c r="D1280" s="56"/>
      <c r="E1280" s="56"/>
      <c r="F1280" s="56"/>
      <c r="G1280" s="93"/>
      <c r="H1280" s="93"/>
      <c r="I1280" s="93"/>
      <c r="J1280" s="93"/>
      <c r="K1280" s="93"/>
      <c r="L1280" s="56"/>
      <c r="M1280" s="91"/>
    </row>
    <row r="1281">
      <c r="A1281" s="96"/>
      <c r="B1281" s="91"/>
      <c r="C1281" s="92"/>
      <c r="D1281" s="56"/>
      <c r="E1281" s="56"/>
      <c r="F1281" s="56"/>
      <c r="G1281" s="93"/>
      <c r="H1281" s="93"/>
      <c r="I1281" s="93"/>
      <c r="J1281" s="93"/>
      <c r="K1281" s="93"/>
      <c r="L1281" s="56"/>
      <c r="M1281" s="91"/>
    </row>
    <row r="1282">
      <c r="A1282" s="96"/>
      <c r="B1282" s="91"/>
      <c r="C1282" s="92"/>
      <c r="D1282" s="56"/>
      <c r="E1282" s="56"/>
      <c r="F1282" s="56"/>
      <c r="G1282" s="93"/>
      <c r="H1282" s="93"/>
      <c r="I1282" s="93"/>
      <c r="J1282" s="93"/>
      <c r="K1282" s="93"/>
      <c r="L1282" s="56"/>
      <c r="M1282" s="91"/>
    </row>
    <row r="1283">
      <c r="A1283" s="96"/>
      <c r="B1283" s="91"/>
      <c r="C1283" s="92"/>
      <c r="D1283" s="56"/>
      <c r="E1283" s="56"/>
      <c r="F1283" s="56"/>
      <c r="G1283" s="93"/>
      <c r="H1283" s="93"/>
      <c r="I1283" s="93"/>
      <c r="J1283" s="93"/>
      <c r="K1283" s="93"/>
      <c r="L1283" s="56"/>
      <c r="M1283" s="91"/>
    </row>
    <row r="1284">
      <c r="A1284" s="96"/>
      <c r="B1284" s="91"/>
      <c r="C1284" s="92"/>
      <c r="D1284" s="56"/>
      <c r="E1284" s="56"/>
      <c r="F1284" s="56"/>
      <c r="G1284" s="93"/>
      <c r="H1284" s="93"/>
      <c r="I1284" s="93"/>
      <c r="J1284" s="93"/>
      <c r="K1284" s="93"/>
      <c r="L1284" s="56"/>
      <c r="M1284" s="91"/>
    </row>
    <row r="1285">
      <c r="A1285" s="96"/>
      <c r="B1285" s="91"/>
      <c r="C1285" s="92"/>
      <c r="D1285" s="56"/>
      <c r="E1285" s="56"/>
      <c r="F1285" s="56"/>
      <c r="G1285" s="93"/>
      <c r="H1285" s="93"/>
      <c r="I1285" s="93"/>
      <c r="J1285" s="93"/>
      <c r="K1285" s="93"/>
      <c r="L1285" s="56"/>
      <c r="M1285" s="91"/>
    </row>
    <row r="1286">
      <c r="A1286" s="96"/>
      <c r="B1286" s="91"/>
      <c r="C1286" s="92"/>
      <c r="D1286" s="56"/>
      <c r="E1286" s="56"/>
      <c r="F1286" s="56"/>
      <c r="G1286" s="93"/>
      <c r="H1286" s="93"/>
      <c r="I1286" s="93"/>
      <c r="J1286" s="93"/>
      <c r="K1286" s="93"/>
      <c r="L1286" s="56"/>
      <c r="M1286" s="91"/>
    </row>
    <row r="1287">
      <c r="A1287" s="96"/>
      <c r="B1287" s="91"/>
      <c r="C1287" s="92"/>
      <c r="D1287" s="56"/>
      <c r="E1287" s="56"/>
      <c r="F1287" s="56"/>
      <c r="G1287" s="93"/>
      <c r="H1287" s="93"/>
      <c r="I1287" s="93"/>
      <c r="J1287" s="93"/>
      <c r="K1287" s="93"/>
      <c r="L1287" s="56"/>
      <c r="M1287" s="91"/>
    </row>
    <row r="1288">
      <c r="A1288" s="96"/>
      <c r="B1288" s="91"/>
      <c r="C1288" s="92"/>
      <c r="D1288" s="56"/>
      <c r="E1288" s="56"/>
      <c r="F1288" s="56"/>
      <c r="G1288" s="93"/>
      <c r="H1288" s="93"/>
      <c r="I1288" s="93"/>
      <c r="J1288" s="93"/>
      <c r="K1288" s="93"/>
      <c r="L1288" s="56"/>
      <c r="M1288" s="91"/>
    </row>
    <row r="1289">
      <c r="A1289" s="96"/>
      <c r="B1289" s="91"/>
      <c r="C1289" s="92"/>
      <c r="D1289" s="56"/>
      <c r="E1289" s="56"/>
      <c r="F1289" s="56"/>
      <c r="G1289" s="93"/>
      <c r="H1289" s="93"/>
      <c r="I1289" s="93"/>
      <c r="J1289" s="93"/>
      <c r="K1289" s="93"/>
      <c r="L1289" s="56"/>
      <c r="M1289" s="91"/>
    </row>
    <row r="1290">
      <c r="A1290" s="96"/>
      <c r="B1290" s="91"/>
      <c r="C1290" s="92"/>
      <c r="D1290" s="56"/>
      <c r="E1290" s="56"/>
      <c r="F1290" s="56"/>
      <c r="G1290" s="93"/>
      <c r="H1290" s="93"/>
      <c r="I1290" s="93"/>
      <c r="J1290" s="93"/>
      <c r="K1290" s="93"/>
      <c r="L1290" s="56"/>
      <c r="M1290" s="91"/>
    </row>
    <row r="1291">
      <c r="A1291" s="96"/>
      <c r="B1291" s="91"/>
      <c r="C1291" s="92"/>
      <c r="D1291" s="56"/>
      <c r="E1291" s="56"/>
      <c r="F1291" s="56"/>
      <c r="G1291" s="93"/>
      <c r="H1291" s="93"/>
      <c r="I1291" s="93"/>
      <c r="J1291" s="93"/>
      <c r="K1291" s="93"/>
      <c r="L1291" s="56"/>
      <c r="M1291" s="91"/>
    </row>
    <row r="1292">
      <c r="A1292" s="96"/>
      <c r="B1292" s="91"/>
      <c r="C1292" s="92"/>
      <c r="D1292" s="56"/>
      <c r="E1292" s="56"/>
      <c r="F1292" s="56"/>
      <c r="G1292" s="93"/>
      <c r="H1292" s="93"/>
      <c r="I1292" s="93"/>
      <c r="J1292" s="93"/>
      <c r="K1292" s="93"/>
      <c r="L1292" s="56"/>
      <c r="M1292" s="91"/>
    </row>
    <row r="1293">
      <c r="A1293" s="96"/>
      <c r="B1293" s="91"/>
      <c r="C1293" s="92"/>
      <c r="D1293" s="56"/>
      <c r="E1293" s="56"/>
      <c r="F1293" s="56"/>
      <c r="G1293" s="93"/>
      <c r="H1293" s="93"/>
      <c r="I1293" s="93"/>
      <c r="J1293" s="93"/>
      <c r="K1293" s="93"/>
      <c r="L1293" s="56"/>
      <c r="M1293" s="91"/>
    </row>
    <row r="1294">
      <c r="A1294" s="96"/>
      <c r="B1294" s="91"/>
      <c r="C1294" s="92"/>
      <c r="D1294" s="56"/>
      <c r="E1294" s="56"/>
      <c r="F1294" s="56"/>
      <c r="G1294" s="93"/>
      <c r="H1294" s="93"/>
      <c r="I1294" s="93"/>
      <c r="J1294" s="93"/>
      <c r="K1294" s="93"/>
      <c r="L1294" s="56"/>
      <c r="M1294" s="91"/>
    </row>
    <row r="1295">
      <c r="A1295" s="96"/>
      <c r="B1295" s="91"/>
      <c r="C1295" s="92"/>
      <c r="D1295" s="56"/>
      <c r="E1295" s="56"/>
      <c r="F1295" s="56"/>
      <c r="G1295" s="93"/>
      <c r="H1295" s="93"/>
      <c r="I1295" s="93"/>
      <c r="J1295" s="93"/>
      <c r="K1295" s="93"/>
      <c r="L1295" s="56"/>
      <c r="M1295" s="91"/>
    </row>
    <row r="1296">
      <c r="A1296" s="96"/>
      <c r="B1296" s="91"/>
      <c r="C1296" s="92"/>
      <c r="D1296" s="56"/>
      <c r="E1296" s="56"/>
      <c r="F1296" s="56"/>
      <c r="G1296" s="93"/>
      <c r="H1296" s="93"/>
      <c r="I1296" s="93"/>
      <c r="J1296" s="93"/>
      <c r="K1296" s="93"/>
      <c r="L1296" s="56"/>
      <c r="M1296" s="91"/>
    </row>
    <row r="1297">
      <c r="A1297" s="96"/>
      <c r="B1297" s="91"/>
      <c r="C1297" s="92"/>
      <c r="D1297" s="56"/>
      <c r="E1297" s="56"/>
      <c r="F1297" s="56"/>
      <c r="G1297" s="93"/>
      <c r="H1297" s="93"/>
      <c r="I1297" s="93"/>
      <c r="J1297" s="93"/>
      <c r="K1297" s="93"/>
      <c r="L1297" s="56"/>
      <c r="M1297" s="91"/>
    </row>
    <row r="1298">
      <c r="A1298" s="96"/>
      <c r="B1298" s="91"/>
      <c r="C1298" s="92"/>
      <c r="D1298" s="56"/>
      <c r="E1298" s="56"/>
      <c r="F1298" s="56"/>
      <c r="G1298" s="93"/>
      <c r="H1298" s="93"/>
      <c r="I1298" s="93"/>
      <c r="J1298" s="93"/>
      <c r="K1298" s="93"/>
      <c r="L1298" s="56"/>
      <c r="M1298" s="91"/>
    </row>
    <row r="1299">
      <c r="A1299" s="96"/>
      <c r="B1299" s="91"/>
      <c r="C1299" s="92"/>
      <c r="D1299" s="56"/>
      <c r="E1299" s="56"/>
      <c r="F1299" s="56"/>
      <c r="G1299" s="93"/>
      <c r="H1299" s="93"/>
      <c r="I1299" s="93"/>
      <c r="J1299" s="93"/>
      <c r="K1299" s="93"/>
      <c r="L1299" s="56"/>
      <c r="M1299" s="91"/>
    </row>
    <row r="1300">
      <c r="A1300" s="96"/>
      <c r="B1300" s="91"/>
      <c r="C1300" s="92"/>
      <c r="D1300" s="56"/>
      <c r="E1300" s="56"/>
      <c r="F1300" s="56"/>
      <c r="G1300" s="93"/>
      <c r="H1300" s="93"/>
      <c r="I1300" s="93"/>
      <c r="J1300" s="93"/>
      <c r="K1300" s="93"/>
      <c r="L1300" s="56"/>
      <c r="M1300" s="91"/>
    </row>
    <row r="1301">
      <c r="A1301" s="96"/>
      <c r="B1301" s="91"/>
      <c r="C1301" s="92"/>
      <c r="D1301" s="56"/>
      <c r="E1301" s="56"/>
      <c r="F1301" s="56"/>
      <c r="G1301" s="93"/>
      <c r="H1301" s="93"/>
      <c r="I1301" s="93"/>
      <c r="J1301" s="93"/>
      <c r="K1301" s="93"/>
      <c r="L1301" s="56"/>
      <c r="M1301" s="91"/>
    </row>
    <row r="1302">
      <c r="A1302" s="96"/>
      <c r="B1302" s="91"/>
      <c r="C1302" s="92"/>
      <c r="D1302" s="56"/>
      <c r="E1302" s="56"/>
      <c r="F1302" s="56"/>
      <c r="G1302" s="93"/>
      <c r="H1302" s="93"/>
      <c r="I1302" s="93"/>
      <c r="J1302" s="93"/>
      <c r="K1302" s="93"/>
      <c r="L1302" s="56"/>
      <c r="M1302" s="91"/>
    </row>
    <row r="1303">
      <c r="A1303" s="96"/>
      <c r="B1303" s="91"/>
      <c r="C1303" s="92"/>
      <c r="D1303" s="56"/>
      <c r="E1303" s="56"/>
      <c r="F1303" s="56"/>
      <c r="G1303" s="93"/>
      <c r="H1303" s="93"/>
      <c r="I1303" s="93"/>
      <c r="J1303" s="93"/>
      <c r="K1303" s="93"/>
      <c r="L1303" s="56"/>
      <c r="M1303" s="91"/>
    </row>
    <row r="1304">
      <c r="A1304" s="96"/>
      <c r="B1304" s="91"/>
      <c r="C1304" s="92"/>
      <c r="D1304" s="56"/>
      <c r="E1304" s="56"/>
      <c r="F1304" s="56"/>
      <c r="G1304" s="93"/>
      <c r="H1304" s="93"/>
      <c r="I1304" s="93"/>
      <c r="J1304" s="93"/>
      <c r="K1304" s="93"/>
      <c r="L1304" s="56"/>
      <c r="M1304" s="91"/>
    </row>
    <row r="1305">
      <c r="A1305" s="96"/>
      <c r="B1305" s="91"/>
      <c r="C1305" s="92"/>
      <c r="D1305" s="56"/>
      <c r="E1305" s="56"/>
      <c r="F1305" s="56"/>
      <c r="G1305" s="93"/>
      <c r="H1305" s="93"/>
      <c r="I1305" s="93"/>
      <c r="J1305" s="93"/>
      <c r="K1305" s="93"/>
      <c r="L1305" s="56"/>
      <c r="M1305" s="91"/>
    </row>
    <row r="1306">
      <c r="A1306" s="96"/>
      <c r="B1306" s="91"/>
      <c r="C1306" s="92"/>
      <c r="D1306" s="56"/>
      <c r="E1306" s="56"/>
      <c r="F1306" s="56"/>
      <c r="G1306" s="93"/>
      <c r="H1306" s="93"/>
      <c r="I1306" s="93"/>
      <c r="J1306" s="93"/>
      <c r="K1306" s="93"/>
      <c r="L1306" s="56"/>
      <c r="M1306" s="91"/>
    </row>
    <row r="1307">
      <c r="A1307" s="96"/>
      <c r="B1307" s="91"/>
      <c r="C1307" s="92"/>
      <c r="D1307" s="56"/>
      <c r="E1307" s="56"/>
      <c r="F1307" s="56"/>
      <c r="G1307" s="93"/>
      <c r="H1307" s="93"/>
      <c r="I1307" s="93"/>
      <c r="J1307" s="93"/>
      <c r="K1307" s="93"/>
      <c r="L1307" s="56"/>
      <c r="M1307" s="91"/>
    </row>
    <row r="1308">
      <c r="A1308" s="96"/>
      <c r="B1308" s="91"/>
      <c r="C1308" s="92"/>
      <c r="D1308" s="56"/>
      <c r="E1308" s="56"/>
      <c r="F1308" s="56"/>
      <c r="G1308" s="93"/>
      <c r="H1308" s="93"/>
      <c r="I1308" s="93"/>
      <c r="J1308" s="93"/>
      <c r="K1308" s="93"/>
      <c r="L1308" s="56"/>
      <c r="M1308" s="91"/>
    </row>
    <row r="1309">
      <c r="A1309" s="96"/>
      <c r="B1309" s="91"/>
      <c r="C1309" s="92"/>
      <c r="D1309" s="56"/>
      <c r="E1309" s="56"/>
      <c r="F1309" s="56"/>
      <c r="G1309" s="93"/>
      <c r="H1309" s="93"/>
      <c r="I1309" s="93"/>
      <c r="J1309" s="93"/>
      <c r="K1309" s="93"/>
      <c r="L1309" s="56"/>
      <c r="M1309" s="91"/>
    </row>
    <row r="1310">
      <c r="A1310" s="96"/>
      <c r="B1310" s="91"/>
      <c r="C1310" s="92"/>
      <c r="D1310" s="56"/>
      <c r="E1310" s="56"/>
      <c r="F1310" s="56"/>
      <c r="G1310" s="93"/>
      <c r="H1310" s="93"/>
      <c r="I1310" s="93"/>
      <c r="J1310" s="93"/>
      <c r="K1310" s="93"/>
      <c r="L1310" s="56"/>
      <c r="M1310" s="91"/>
    </row>
    <row r="1311">
      <c r="A1311" s="96"/>
      <c r="B1311" s="91"/>
      <c r="C1311" s="92"/>
      <c r="D1311" s="56"/>
      <c r="E1311" s="56"/>
      <c r="F1311" s="56"/>
      <c r="G1311" s="93"/>
      <c r="H1311" s="93"/>
      <c r="I1311" s="93"/>
      <c r="J1311" s="93"/>
      <c r="K1311" s="93"/>
      <c r="L1311" s="56"/>
      <c r="M1311" s="91"/>
    </row>
    <row r="1312">
      <c r="A1312" s="96"/>
      <c r="B1312" s="91"/>
      <c r="C1312" s="92"/>
      <c r="D1312" s="56"/>
      <c r="E1312" s="56"/>
      <c r="F1312" s="56"/>
      <c r="G1312" s="93"/>
      <c r="H1312" s="93"/>
      <c r="I1312" s="93"/>
      <c r="J1312" s="93"/>
      <c r="K1312" s="93"/>
      <c r="L1312" s="56"/>
      <c r="M1312" s="91"/>
    </row>
    <row r="1313">
      <c r="A1313" s="96"/>
      <c r="B1313" s="91"/>
      <c r="C1313" s="92"/>
      <c r="D1313" s="56"/>
      <c r="E1313" s="56"/>
      <c r="F1313" s="56"/>
      <c r="G1313" s="93"/>
      <c r="H1313" s="93"/>
      <c r="I1313" s="93"/>
      <c r="J1313" s="93"/>
      <c r="K1313" s="93"/>
      <c r="L1313" s="56"/>
      <c r="M1313" s="91"/>
    </row>
    <row r="1314">
      <c r="A1314" s="96"/>
      <c r="B1314" s="91"/>
      <c r="C1314" s="92"/>
      <c r="D1314" s="56"/>
      <c r="E1314" s="56"/>
      <c r="F1314" s="56"/>
      <c r="G1314" s="93"/>
      <c r="H1314" s="93"/>
      <c r="I1314" s="93"/>
      <c r="J1314" s="93"/>
      <c r="K1314" s="93"/>
      <c r="L1314" s="56"/>
      <c r="M1314" s="91"/>
    </row>
    <row r="1315">
      <c r="A1315" s="96"/>
      <c r="B1315" s="91"/>
      <c r="C1315" s="92"/>
      <c r="D1315" s="56"/>
      <c r="E1315" s="56"/>
      <c r="F1315" s="56"/>
      <c r="G1315" s="93"/>
      <c r="H1315" s="93"/>
      <c r="I1315" s="93"/>
      <c r="J1315" s="93"/>
      <c r="K1315" s="93"/>
      <c r="L1315" s="56"/>
      <c r="M1315" s="91"/>
    </row>
    <row r="1316">
      <c r="A1316" s="96"/>
      <c r="B1316" s="91"/>
      <c r="C1316" s="92"/>
      <c r="D1316" s="56"/>
      <c r="E1316" s="56"/>
      <c r="F1316" s="56"/>
      <c r="G1316" s="93"/>
      <c r="H1316" s="93"/>
      <c r="I1316" s="93"/>
      <c r="J1316" s="93"/>
      <c r="K1316" s="93"/>
      <c r="L1316" s="56"/>
      <c r="M1316" s="91"/>
    </row>
    <row r="1317">
      <c r="A1317" s="96"/>
      <c r="B1317" s="91"/>
      <c r="C1317" s="92"/>
      <c r="D1317" s="56"/>
      <c r="E1317" s="56"/>
      <c r="F1317" s="56"/>
      <c r="G1317" s="93"/>
      <c r="H1317" s="93"/>
      <c r="I1317" s="93"/>
      <c r="J1317" s="93"/>
      <c r="K1317" s="93"/>
      <c r="L1317" s="56"/>
      <c r="M1317" s="91"/>
    </row>
    <row r="1318">
      <c r="A1318" s="96"/>
      <c r="B1318" s="91"/>
      <c r="C1318" s="92"/>
      <c r="D1318" s="56"/>
      <c r="E1318" s="56"/>
      <c r="F1318" s="56"/>
      <c r="G1318" s="93"/>
      <c r="H1318" s="93"/>
      <c r="I1318" s="93"/>
      <c r="J1318" s="93"/>
      <c r="K1318" s="93"/>
      <c r="L1318" s="56"/>
      <c r="M1318" s="91"/>
    </row>
    <row r="1319">
      <c r="A1319" s="96"/>
      <c r="B1319" s="91"/>
      <c r="C1319" s="92"/>
      <c r="D1319" s="56"/>
      <c r="E1319" s="56"/>
      <c r="F1319" s="56"/>
      <c r="G1319" s="93"/>
      <c r="H1319" s="93"/>
      <c r="I1319" s="93"/>
      <c r="J1319" s="93"/>
      <c r="K1319" s="93"/>
      <c r="L1319" s="56"/>
      <c r="M1319" s="91"/>
    </row>
    <row r="1320">
      <c r="A1320" s="96"/>
      <c r="B1320" s="91"/>
      <c r="C1320" s="92"/>
      <c r="D1320" s="56"/>
      <c r="E1320" s="56"/>
      <c r="F1320" s="56"/>
      <c r="G1320" s="93"/>
      <c r="H1320" s="93"/>
      <c r="I1320" s="93"/>
      <c r="J1320" s="93"/>
      <c r="K1320" s="93"/>
      <c r="L1320" s="56"/>
      <c r="M1320" s="91"/>
    </row>
    <row r="1321">
      <c r="A1321" s="96"/>
      <c r="B1321" s="91"/>
      <c r="C1321" s="92"/>
      <c r="D1321" s="56"/>
      <c r="E1321" s="56"/>
      <c r="F1321" s="56"/>
      <c r="G1321" s="93"/>
      <c r="H1321" s="93"/>
      <c r="I1321" s="93"/>
      <c r="J1321" s="93"/>
      <c r="K1321" s="93"/>
      <c r="L1321" s="56"/>
      <c r="M1321" s="91"/>
    </row>
    <row r="1322">
      <c r="A1322" s="96"/>
      <c r="B1322" s="91"/>
      <c r="C1322" s="92"/>
      <c r="D1322" s="56"/>
      <c r="E1322" s="56"/>
      <c r="F1322" s="56"/>
      <c r="G1322" s="93"/>
      <c r="H1322" s="93"/>
      <c r="I1322" s="93"/>
      <c r="J1322" s="93"/>
      <c r="K1322" s="93"/>
      <c r="L1322" s="56"/>
      <c r="M1322" s="91"/>
    </row>
    <row r="1323">
      <c r="A1323" s="96"/>
      <c r="B1323" s="91"/>
      <c r="C1323" s="92"/>
      <c r="D1323" s="56"/>
      <c r="E1323" s="56"/>
      <c r="F1323" s="56"/>
      <c r="G1323" s="93"/>
      <c r="H1323" s="93"/>
      <c r="I1323" s="93"/>
      <c r="J1323" s="93"/>
      <c r="K1323" s="93"/>
      <c r="L1323" s="56"/>
      <c r="M1323" s="91"/>
    </row>
    <row r="1324">
      <c r="A1324" s="96"/>
      <c r="B1324" s="91"/>
      <c r="C1324" s="92"/>
      <c r="D1324" s="56"/>
      <c r="E1324" s="56"/>
      <c r="F1324" s="56"/>
      <c r="G1324" s="93"/>
      <c r="H1324" s="93"/>
      <c r="I1324" s="93"/>
      <c r="J1324" s="93"/>
      <c r="K1324" s="93"/>
      <c r="L1324" s="56"/>
      <c r="M1324" s="91"/>
    </row>
    <row r="1325">
      <c r="A1325" s="96"/>
      <c r="B1325" s="91"/>
      <c r="C1325" s="92"/>
      <c r="D1325" s="56"/>
      <c r="E1325" s="56"/>
      <c r="F1325" s="56"/>
      <c r="G1325" s="93"/>
      <c r="H1325" s="93"/>
      <c r="I1325" s="93"/>
      <c r="J1325" s="93"/>
      <c r="K1325" s="93"/>
      <c r="L1325" s="56"/>
      <c r="M1325" s="91"/>
    </row>
    <row r="1326">
      <c r="A1326" s="96"/>
      <c r="B1326" s="91"/>
      <c r="C1326" s="92"/>
      <c r="D1326" s="56"/>
      <c r="E1326" s="56"/>
      <c r="F1326" s="56"/>
      <c r="G1326" s="93"/>
      <c r="H1326" s="93"/>
      <c r="I1326" s="93"/>
      <c r="J1326" s="93"/>
      <c r="K1326" s="93"/>
      <c r="L1326" s="56"/>
      <c r="M1326" s="91"/>
    </row>
    <row r="1327">
      <c r="A1327" s="96"/>
      <c r="B1327" s="91"/>
      <c r="C1327" s="92"/>
      <c r="D1327" s="56"/>
      <c r="E1327" s="56"/>
      <c r="F1327" s="56"/>
      <c r="G1327" s="93"/>
      <c r="H1327" s="93"/>
      <c r="I1327" s="93"/>
      <c r="J1327" s="93"/>
      <c r="K1327" s="93"/>
      <c r="L1327" s="56"/>
      <c r="M1327" s="91"/>
    </row>
    <row r="1328">
      <c r="A1328" s="96"/>
      <c r="B1328" s="91"/>
      <c r="C1328" s="92"/>
      <c r="D1328" s="56"/>
      <c r="E1328" s="56"/>
      <c r="F1328" s="56"/>
      <c r="G1328" s="93"/>
      <c r="H1328" s="93"/>
      <c r="I1328" s="93"/>
      <c r="J1328" s="93"/>
      <c r="K1328" s="93"/>
      <c r="L1328" s="56"/>
      <c r="M1328" s="91"/>
    </row>
    <row r="1329">
      <c r="A1329" s="96"/>
      <c r="B1329" s="91"/>
      <c r="C1329" s="92"/>
      <c r="D1329" s="56"/>
      <c r="E1329" s="56"/>
      <c r="F1329" s="56"/>
      <c r="G1329" s="93"/>
      <c r="H1329" s="93"/>
      <c r="I1329" s="93"/>
      <c r="J1329" s="93"/>
      <c r="K1329" s="93"/>
      <c r="L1329" s="56"/>
      <c r="M1329" s="91"/>
    </row>
    <row r="1330">
      <c r="A1330" s="96"/>
      <c r="B1330" s="91"/>
      <c r="C1330" s="92"/>
      <c r="D1330" s="56"/>
      <c r="E1330" s="56"/>
      <c r="F1330" s="56"/>
      <c r="G1330" s="93"/>
      <c r="H1330" s="93"/>
      <c r="I1330" s="93"/>
      <c r="J1330" s="93"/>
      <c r="K1330" s="93"/>
      <c r="L1330" s="56"/>
      <c r="M1330" s="91"/>
    </row>
    <row r="1331">
      <c r="A1331" s="96"/>
      <c r="B1331" s="91"/>
      <c r="C1331" s="92"/>
      <c r="D1331" s="56"/>
      <c r="E1331" s="56"/>
      <c r="F1331" s="56"/>
      <c r="G1331" s="93"/>
      <c r="H1331" s="93"/>
      <c r="I1331" s="93"/>
      <c r="J1331" s="93"/>
      <c r="K1331" s="93"/>
      <c r="L1331" s="56"/>
      <c r="M1331" s="91"/>
    </row>
    <row r="1332">
      <c r="A1332" s="96"/>
      <c r="B1332" s="91"/>
      <c r="C1332" s="92"/>
      <c r="D1332" s="56"/>
      <c r="E1332" s="56"/>
      <c r="F1332" s="56"/>
      <c r="G1332" s="93"/>
      <c r="H1332" s="93"/>
      <c r="I1332" s="93"/>
      <c r="J1332" s="93"/>
      <c r="K1332" s="93"/>
      <c r="L1332" s="56"/>
      <c r="M1332" s="91"/>
    </row>
    <row r="1333">
      <c r="A1333" s="96"/>
      <c r="B1333" s="91"/>
      <c r="C1333" s="92"/>
      <c r="D1333" s="56"/>
      <c r="E1333" s="56"/>
      <c r="F1333" s="56"/>
      <c r="G1333" s="93"/>
      <c r="H1333" s="93"/>
      <c r="I1333" s="93"/>
      <c r="J1333" s="93"/>
      <c r="K1333" s="93"/>
      <c r="L1333" s="56"/>
      <c r="M1333" s="91"/>
    </row>
    <row r="1334">
      <c r="A1334" s="96"/>
      <c r="B1334" s="91"/>
      <c r="C1334" s="92"/>
      <c r="D1334" s="56"/>
      <c r="E1334" s="56"/>
      <c r="F1334" s="56"/>
      <c r="G1334" s="93"/>
      <c r="H1334" s="93"/>
      <c r="I1334" s="93"/>
      <c r="J1334" s="93"/>
      <c r="K1334" s="93"/>
      <c r="L1334" s="56"/>
      <c r="M1334" s="91"/>
    </row>
    <row r="1335">
      <c r="A1335" s="96"/>
      <c r="B1335" s="91"/>
      <c r="C1335" s="92"/>
      <c r="D1335" s="56"/>
      <c r="E1335" s="56"/>
      <c r="F1335" s="56"/>
      <c r="G1335" s="93"/>
      <c r="H1335" s="93"/>
      <c r="I1335" s="93"/>
      <c r="J1335" s="93"/>
      <c r="K1335" s="93"/>
      <c r="L1335" s="56"/>
      <c r="M1335" s="91"/>
    </row>
    <row r="1336">
      <c r="A1336" s="96"/>
      <c r="B1336" s="91"/>
      <c r="C1336" s="92"/>
      <c r="D1336" s="56"/>
      <c r="E1336" s="56"/>
      <c r="F1336" s="56"/>
      <c r="G1336" s="93"/>
      <c r="H1336" s="93"/>
      <c r="I1336" s="93"/>
      <c r="J1336" s="93"/>
      <c r="K1336" s="93"/>
      <c r="L1336" s="56"/>
      <c r="M1336" s="91"/>
    </row>
    <row r="1337">
      <c r="A1337" s="96"/>
      <c r="B1337" s="91"/>
      <c r="C1337" s="92"/>
      <c r="D1337" s="56"/>
      <c r="E1337" s="56"/>
      <c r="F1337" s="56"/>
      <c r="G1337" s="93"/>
      <c r="H1337" s="93"/>
      <c r="I1337" s="93"/>
      <c r="J1337" s="93"/>
      <c r="K1337" s="93"/>
      <c r="L1337" s="56"/>
      <c r="M1337" s="91"/>
    </row>
    <row r="1338">
      <c r="A1338" s="96"/>
      <c r="B1338" s="91"/>
      <c r="C1338" s="92"/>
      <c r="D1338" s="56"/>
      <c r="E1338" s="56"/>
      <c r="F1338" s="56"/>
      <c r="G1338" s="93"/>
      <c r="H1338" s="93"/>
      <c r="I1338" s="93"/>
      <c r="J1338" s="93"/>
      <c r="K1338" s="93"/>
      <c r="L1338" s="56"/>
      <c r="M1338" s="91"/>
    </row>
    <row r="1339">
      <c r="A1339" s="96"/>
      <c r="B1339" s="91"/>
      <c r="C1339" s="92"/>
      <c r="D1339" s="56"/>
      <c r="E1339" s="56"/>
      <c r="F1339" s="56"/>
      <c r="G1339" s="93"/>
      <c r="H1339" s="93"/>
      <c r="I1339" s="93"/>
      <c r="J1339" s="93"/>
      <c r="K1339" s="93"/>
      <c r="L1339" s="56"/>
      <c r="M1339" s="91"/>
    </row>
    <row r="1340">
      <c r="A1340" s="96"/>
      <c r="B1340" s="91"/>
      <c r="C1340" s="92"/>
      <c r="D1340" s="56"/>
      <c r="E1340" s="56"/>
      <c r="F1340" s="56"/>
      <c r="G1340" s="93"/>
      <c r="H1340" s="93"/>
      <c r="I1340" s="93"/>
      <c r="J1340" s="93"/>
      <c r="K1340" s="93"/>
      <c r="L1340" s="56"/>
      <c r="M1340" s="91"/>
    </row>
    <row r="1341">
      <c r="A1341" s="96"/>
      <c r="B1341" s="91"/>
      <c r="C1341" s="92"/>
      <c r="D1341" s="56"/>
      <c r="E1341" s="56"/>
      <c r="F1341" s="56"/>
      <c r="G1341" s="93"/>
      <c r="H1341" s="93"/>
      <c r="I1341" s="93"/>
      <c r="J1341" s="93"/>
      <c r="K1341" s="93"/>
      <c r="L1341" s="56"/>
      <c r="M1341" s="91"/>
    </row>
    <row r="1342">
      <c r="A1342" s="96"/>
      <c r="B1342" s="91"/>
      <c r="C1342" s="92"/>
      <c r="D1342" s="56"/>
      <c r="E1342" s="56"/>
      <c r="F1342" s="56"/>
      <c r="G1342" s="93"/>
      <c r="H1342" s="93"/>
      <c r="I1342" s="93"/>
      <c r="J1342" s="93"/>
      <c r="K1342" s="93"/>
      <c r="L1342" s="56"/>
      <c r="M1342" s="91"/>
    </row>
    <row r="1343">
      <c r="A1343" s="96"/>
      <c r="B1343" s="91"/>
      <c r="C1343" s="92"/>
      <c r="D1343" s="56"/>
      <c r="E1343" s="56"/>
      <c r="F1343" s="56"/>
      <c r="G1343" s="93"/>
      <c r="H1343" s="93"/>
      <c r="I1343" s="93"/>
      <c r="J1343" s="93"/>
      <c r="K1343" s="93"/>
      <c r="L1343" s="56"/>
      <c r="M1343" s="91"/>
    </row>
    <row r="1344">
      <c r="A1344" s="96"/>
      <c r="B1344" s="91"/>
      <c r="C1344" s="92"/>
      <c r="D1344" s="56"/>
      <c r="E1344" s="56"/>
      <c r="F1344" s="56"/>
      <c r="G1344" s="93"/>
      <c r="H1344" s="93"/>
      <c r="I1344" s="93"/>
      <c r="J1344" s="93"/>
      <c r="K1344" s="93"/>
      <c r="L1344" s="56"/>
      <c r="M1344" s="91"/>
    </row>
    <row r="1345">
      <c r="A1345" s="96"/>
      <c r="B1345" s="91"/>
      <c r="C1345" s="92"/>
      <c r="D1345" s="56"/>
      <c r="E1345" s="56"/>
      <c r="F1345" s="56"/>
      <c r="G1345" s="93"/>
      <c r="H1345" s="93"/>
      <c r="I1345" s="93"/>
      <c r="J1345" s="93"/>
      <c r="K1345" s="93"/>
      <c r="L1345" s="56"/>
      <c r="M1345" s="91"/>
    </row>
    <row r="1346">
      <c r="A1346" s="96"/>
      <c r="B1346" s="91"/>
      <c r="C1346" s="92"/>
      <c r="D1346" s="56"/>
      <c r="E1346" s="56"/>
      <c r="F1346" s="56"/>
      <c r="G1346" s="93"/>
      <c r="H1346" s="93"/>
      <c r="I1346" s="93"/>
      <c r="J1346" s="93"/>
      <c r="K1346" s="93"/>
      <c r="L1346" s="56"/>
      <c r="M1346" s="91"/>
    </row>
    <row r="1347">
      <c r="A1347" s="96"/>
      <c r="B1347" s="91"/>
      <c r="C1347" s="92"/>
      <c r="D1347" s="56"/>
      <c r="E1347" s="56"/>
      <c r="F1347" s="56"/>
      <c r="G1347" s="93"/>
      <c r="H1347" s="93"/>
      <c r="I1347" s="93"/>
      <c r="J1347" s="93"/>
      <c r="K1347" s="93"/>
      <c r="L1347" s="56"/>
      <c r="M1347" s="91"/>
    </row>
    <row r="1348">
      <c r="A1348" s="96"/>
      <c r="B1348" s="91"/>
      <c r="C1348" s="92"/>
      <c r="D1348" s="56"/>
      <c r="E1348" s="56"/>
      <c r="F1348" s="56"/>
      <c r="G1348" s="93"/>
      <c r="H1348" s="93"/>
      <c r="I1348" s="93"/>
      <c r="J1348" s="93"/>
      <c r="K1348" s="93"/>
      <c r="L1348" s="56"/>
      <c r="M1348" s="91"/>
    </row>
    <row r="1349">
      <c r="A1349" s="96"/>
      <c r="B1349" s="91"/>
      <c r="C1349" s="92"/>
      <c r="D1349" s="56"/>
      <c r="E1349" s="56"/>
      <c r="F1349" s="56"/>
      <c r="G1349" s="93"/>
      <c r="H1349" s="93"/>
      <c r="I1349" s="93"/>
      <c r="J1349" s="93"/>
      <c r="K1349" s="93"/>
      <c r="L1349" s="56"/>
      <c r="M1349" s="91"/>
    </row>
    <row r="1350">
      <c r="A1350" s="96"/>
      <c r="B1350" s="91"/>
      <c r="C1350" s="92"/>
      <c r="D1350" s="56"/>
      <c r="E1350" s="56"/>
      <c r="F1350" s="56"/>
      <c r="G1350" s="93"/>
      <c r="H1350" s="93"/>
      <c r="I1350" s="93"/>
      <c r="J1350" s="93"/>
      <c r="K1350" s="93"/>
      <c r="L1350" s="56"/>
      <c r="M1350" s="91"/>
    </row>
    <row r="1351">
      <c r="A1351" s="96"/>
      <c r="B1351" s="91"/>
      <c r="C1351" s="92"/>
      <c r="D1351" s="56"/>
      <c r="E1351" s="56"/>
      <c r="F1351" s="56"/>
      <c r="G1351" s="93"/>
      <c r="H1351" s="93"/>
      <c r="I1351" s="93"/>
      <c r="J1351" s="93"/>
      <c r="K1351" s="93"/>
      <c r="L1351" s="56"/>
      <c r="M1351" s="91"/>
    </row>
    <row r="1352">
      <c r="A1352" s="96"/>
      <c r="B1352" s="91"/>
      <c r="C1352" s="92"/>
      <c r="D1352" s="56"/>
      <c r="E1352" s="56"/>
      <c r="F1352" s="56"/>
      <c r="G1352" s="93"/>
      <c r="H1352" s="93"/>
      <c r="I1352" s="93"/>
      <c r="J1352" s="93"/>
      <c r="K1352" s="93"/>
      <c r="L1352" s="56"/>
      <c r="M1352" s="91"/>
    </row>
    <row r="1353">
      <c r="A1353" s="96"/>
      <c r="B1353" s="91"/>
      <c r="C1353" s="92"/>
      <c r="D1353" s="56"/>
      <c r="E1353" s="56"/>
      <c r="F1353" s="56"/>
      <c r="G1353" s="93"/>
      <c r="H1353" s="93"/>
      <c r="I1353" s="93"/>
      <c r="J1353" s="93"/>
      <c r="K1353" s="93"/>
      <c r="L1353" s="56"/>
      <c r="M1353" s="91"/>
    </row>
    <row r="1354">
      <c r="A1354" s="96"/>
      <c r="B1354" s="91"/>
      <c r="C1354" s="92"/>
      <c r="D1354" s="56"/>
      <c r="E1354" s="56"/>
      <c r="F1354" s="56"/>
      <c r="G1354" s="93"/>
      <c r="H1354" s="93"/>
      <c r="I1354" s="93"/>
      <c r="J1354" s="93"/>
      <c r="K1354" s="93"/>
      <c r="L1354" s="56"/>
      <c r="M1354" s="91"/>
    </row>
    <row r="1355">
      <c r="A1355" s="96"/>
      <c r="B1355" s="91"/>
      <c r="C1355" s="92"/>
      <c r="D1355" s="56"/>
      <c r="E1355" s="56"/>
      <c r="F1355" s="56"/>
      <c r="G1355" s="93"/>
      <c r="H1355" s="93"/>
      <c r="I1355" s="93"/>
      <c r="J1355" s="93"/>
      <c r="K1355" s="93"/>
      <c r="L1355" s="56"/>
      <c r="M1355" s="91"/>
    </row>
    <row r="1356">
      <c r="A1356" s="96"/>
      <c r="B1356" s="91"/>
      <c r="C1356" s="92"/>
      <c r="D1356" s="56"/>
      <c r="E1356" s="56"/>
      <c r="F1356" s="56"/>
      <c r="G1356" s="93"/>
      <c r="H1356" s="93"/>
      <c r="I1356" s="93"/>
      <c r="J1356" s="93"/>
      <c r="K1356" s="93"/>
      <c r="L1356" s="56"/>
      <c r="M1356" s="91"/>
    </row>
    <row r="1357">
      <c r="A1357" s="96"/>
      <c r="B1357" s="91"/>
      <c r="C1357" s="92"/>
      <c r="D1357" s="56"/>
      <c r="E1357" s="56"/>
      <c r="F1357" s="56"/>
      <c r="G1357" s="93"/>
      <c r="H1357" s="93"/>
      <c r="I1357" s="93"/>
      <c r="J1357" s="93"/>
      <c r="K1357" s="93"/>
      <c r="L1357" s="56"/>
      <c r="M1357" s="91"/>
    </row>
    <row r="1358">
      <c r="A1358" s="96"/>
      <c r="B1358" s="91"/>
      <c r="C1358" s="92"/>
      <c r="D1358" s="56"/>
      <c r="E1358" s="56"/>
      <c r="F1358" s="56"/>
      <c r="G1358" s="93"/>
      <c r="H1358" s="93"/>
      <c r="I1358" s="93"/>
      <c r="J1358" s="93"/>
      <c r="K1358" s="93"/>
      <c r="L1358" s="56"/>
      <c r="M1358" s="91"/>
    </row>
    <row r="1359">
      <c r="A1359" s="96"/>
      <c r="B1359" s="91"/>
      <c r="C1359" s="92"/>
      <c r="D1359" s="56"/>
      <c r="E1359" s="56"/>
      <c r="F1359" s="56"/>
      <c r="G1359" s="93"/>
      <c r="H1359" s="93"/>
      <c r="I1359" s="93"/>
      <c r="J1359" s="93"/>
      <c r="K1359" s="93"/>
      <c r="L1359" s="56"/>
      <c r="M1359" s="91"/>
    </row>
    <row r="1360">
      <c r="A1360" s="96"/>
      <c r="B1360" s="91"/>
      <c r="C1360" s="92"/>
      <c r="D1360" s="56"/>
      <c r="E1360" s="56"/>
      <c r="F1360" s="56"/>
      <c r="G1360" s="93"/>
      <c r="H1360" s="93"/>
      <c r="I1360" s="93"/>
      <c r="J1360" s="93"/>
      <c r="K1360" s="93"/>
      <c r="L1360" s="56"/>
      <c r="M1360" s="91"/>
    </row>
    <row r="1361">
      <c r="A1361" s="96"/>
      <c r="B1361" s="91"/>
      <c r="C1361" s="92"/>
      <c r="D1361" s="56"/>
      <c r="E1361" s="56"/>
      <c r="F1361" s="56"/>
      <c r="G1361" s="93"/>
      <c r="H1361" s="93"/>
      <c r="I1361" s="93"/>
      <c r="J1361" s="93"/>
      <c r="K1361" s="93"/>
      <c r="L1361" s="56"/>
      <c r="M1361" s="91"/>
    </row>
    <row r="1362">
      <c r="A1362" s="96"/>
      <c r="B1362" s="91"/>
      <c r="C1362" s="92"/>
      <c r="D1362" s="56"/>
      <c r="E1362" s="56"/>
      <c r="F1362" s="56"/>
      <c r="G1362" s="93"/>
      <c r="H1362" s="93"/>
      <c r="I1362" s="93"/>
      <c r="J1362" s="93"/>
      <c r="K1362" s="93"/>
      <c r="L1362" s="56"/>
      <c r="M1362" s="91"/>
    </row>
    <row r="1363">
      <c r="A1363" s="96"/>
      <c r="B1363" s="91"/>
      <c r="C1363" s="92"/>
      <c r="D1363" s="56"/>
      <c r="E1363" s="56"/>
      <c r="F1363" s="56"/>
      <c r="G1363" s="93"/>
      <c r="H1363" s="93"/>
      <c r="I1363" s="93"/>
      <c r="J1363" s="93"/>
      <c r="K1363" s="93"/>
      <c r="L1363" s="56"/>
      <c r="M1363" s="91"/>
    </row>
    <row r="1364">
      <c r="A1364" s="96"/>
      <c r="B1364" s="91"/>
      <c r="C1364" s="92"/>
      <c r="D1364" s="56"/>
      <c r="E1364" s="56"/>
      <c r="F1364" s="56"/>
      <c r="G1364" s="93"/>
      <c r="H1364" s="93"/>
      <c r="I1364" s="93"/>
      <c r="J1364" s="93"/>
      <c r="K1364" s="93"/>
      <c r="L1364" s="56"/>
      <c r="M1364" s="91"/>
    </row>
    <row r="1365">
      <c r="A1365" s="96"/>
      <c r="B1365" s="91"/>
      <c r="C1365" s="92"/>
      <c r="D1365" s="56"/>
      <c r="E1365" s="56"/>
      <c r="F1365" s="56"/>
      <c r="G1365" s="93"/>
      <c r="H1365" s="93"/>
      <c r="I1365" s="93"/>
      <c r="J1365" s="93"/>
      <c r="K1365" s="93"/>
      <c r="L1365" s="56"/>
      <c r="M1365" s="91"/>
    </row>
    <row r="1366">
      <c r="A1366" s="96"/>
      <c r="B1366" s="91"/>
      <c r="C1366" s="92"/>
      <c r="D1366" s="56"/>
      <c r="E1366" s="56"/>
      <c r="F1366" s="56"/>
      <c r="G1366" s="93"/>
      <c r="H1366" s="93"/>
      <c r="I1366" s="93"/>
      <c r="J1366" s="93"/>
      <c r="K1366" s="93"/>
      <c r="L1366" s="56"/>
      <c r="M1366" s="91"/>
    </row>
    <row r="1367">
      <c r="A1367" s="96"/>
      <c r="B1367" s="91"/>
      <c r="C1367" s="92"/>
      <c r="D1367" s="56"/>
      <c r="E1367" s="56"/>
      <c r="F1367" s="56"/>
      <c r="G1367" s="93"/>
      <c r="H1367" s="93"/>
      <c r="I1367" s="93"/>
      <c r="J1367" s="93"/>
      <c r="K1367" s="93"/>
      <c r="L1367" s="56"/>
      <c r="M1367" s="91"/>
    </row>
    <row r="1368">
      <c r="A1368" s="96"/>
      <c r="B1368" s="91"/>
      <c r="C1368" s="92"/>
      <c r="D1368" s="56"/>
      <c r="E1368" s="56"/>
      <c r="F1368" s="56"/>
      <c r="G1368" s="93"/>
      <c r="H1368" s="93"/>
      <c r="I1368" s="93"/>
      <c r="J1368" s="93"/>
      <c r="K1368" s="93"/>
      <c r="L1368" s="56"/>
      <c r="M1368" s="91"/>
    </row>
    <row r="1369">
      <c r="A1369" s="96"/>
      <c r="B1369" s="91"/>
      <c r="C1369" s="92"/>
      <c r="D1369" s="56"/>
      <c r="E1369" s="56"/>
      <c r="F1369" s="56"/>
      <c r="G1369" s="93"/>
      <c r="H1369" s="93"/>
      <c r="I1369" s="93"/>
      <c r="J1369" s="93"/>
      <c r="K1369" s="93"/>
      <c r="L1369" s="56"/>
      <c r="M1369" s="91"/>
    </row>
    <row r="1370">
      <c r="A1370" s="96"/>
      <c r="B1370" s="91"/>
      <c r="C1370" s="92"/>
      <c r="D1370" s="56"/>
      <c r="E1370" s="56"/>
      <c r="F1370" s="56"/>
      <c r="G1370" s="93"/>
      <c r="H1370" s="93"/>
      <c r="I1370" s="93"/>
      <c r="J1370" s="93"/>
      <c r="K1370" s="93"/>
      <c r="L1370" s="56"/>
      <c r="M1370" s="91"/>
    </row>
    <row r="1371">
      <c r="A1371" s="96"/>
      <c r="B1371" s="91"/>
      <c r="C1371" s="92"/>
      <c r="D1371" s="56"/>
      <c r="E1371" s="56"/>
      <c r="F1371" s="56"/>
      <c r="G1371" s="93"/>
      <c r="H1371" s="93"/>
      <c r="I1371" s="93"/>
      <c r="J1371" s="93"/>
      <c r="K1371" s="93"/>
      <c r="L1371" s="56"/>
      <c r="M1371" s="91"/>
    </row>
    <row r="1372">
      <c r="A1372" s="96"/>
      <c r="B1372" s="91"/>
      <c r="C1372" s="92"/>
      <c r="D1372" s="56"/>
      <c r="E1372" s="56"/>
      <c r="F1372" s="56"/>
      <c r="G1372" s="93"/>
      <c r="H1372" s="93"/>
      <c r="I1372" s="93"/>
      <c r="J1372" s="93"/>
      <c r="K1372" s="93"/>
      <c r="L1372" s="56"/>
      <c r="M1372" s="91"/>
    </row>
    <row r="1373">
      <c r="A1373" s="96"/>
      <c r="B1373" s="91"/>
      <c r="C1373" s="92"/>
      <c r="D1373" s="56"/>
      <c r="E1373" s="56"/>
      <c r="F1373" s="56"/>
      <c r="G1373" s="93"/>
      <c r="H1373" s="93"/>
      <c r="I1373" s="93"/>
      <c r="J1373" s="93"/>
      <c r="K1373" s="93"/>
      <c r="L1373" s="56"/>
      <c r="M1373" s="91"/>
    </row>
    <row r="1374">
      <c r="A1374" s="96"/>
      <c r="B1374" s="91"/>
      <c r="C1374" s="92"/>
      <c r="D1374" s="56"/>
      <c r="E1374" s="56"/>
      <c r="F1374" s="56"/>
      <c r="G1374" s="93"/>
      <c r="H1374" s="93"/>
      <c r="I1374" s="93"/>
      <c r="J1374" s="93"/>
      <c r="K1374" s="93"/>
      <c r="L1374" s="56"/>
      <c r="M1374" s="91"/>
    </row>
    <row r="1375">
      <c r="A1375" s="96"/>
      <c r="B1375" s="91"/>
      <c r="C1375" s="92"/>
      <c r="D1375" s="56"/>
      <c r="E1375" s="56"/>
      <c r="F1375" s="56"/>
      <c r="G1375" s="93"/>
      <c r="H1375" s="93"/>
      <c r="I1375" s="93"/>
      <c r="J1375" s="93"/>
      <c r="K1375" s="93"/>
      <c r="L1375" s="56"/>
      <c r="M1375" s="91"/>
    </row>
    <row r="1376">
      <c r="A1376" s="96"/>
      <c r="B1376" s="91"/>
      <c r="C1376" s="92"/>
      <c r="D1376" s="56"/>
      <c r="E1376" s="56"/>
      <c r="F1376" s="56"/>
      <c r="G1376" s="93"/>
      <c r="H1376" s="93"/>
      <c r="I1376" s="93"/>
      <c r="J1376" s="93"/>
      <c r="K1376" s="93"/>
      <c r="L1376" s="56"/>
      <c r="M1376" s="91"/>
    </row>
    <row r="1377">
      <c r="A1377" s="96"/>
      <c r="B1377" s="91"/>
      <c r="C1377" s="92"/>
      <c r="D1377" s="56"/>
      <c r="E1377" s="56"/>
      <c r="F1377" s="56"/>
      <c r="G1377" s="93"/>
      <c r="H1377" s="93"/>
      <c r="I1377" s="93"/>
      <c r="J1377" s="93"/>
      <c r="K1377" s="93"/>
      <c r="L1377" s="56"/>
      <c r="M1377" s="91"/>
    </row>
    <row r="1378">
      <c r="A1378" s="96"/>
      <c r="B1378" s="91"/>
      <c r="C1378" s="92"/>
      <c r="D1378" s="56"/>
      <c r="E1378" s="56"/>
      <c r="F1378" s="56"/>
      <c r="G1378" s="93"/>
      <c r="H1378" s="93"/>
      <c r="I1378" s="93"/>
      <c r="J1378" s="93"/>
      <c r="K1378" s="93"/>
      <c r="L1378" s="56"/>
      <c r="M1378" s="91"/>
    </row>
    <row r="1379">
      <c r="A1379" s="96"/>
      <c r="B1379" s="91"/>
      <c r="C1379" s="92"/>
      <c r="D1379" s="56"/>
      <c r="E1379" s="56"/>
      <c r="F1379" s="56"/>
      <c r="G1379" s="93"/>
      <c r="H1379" s="93"/>
      <c r="I1379" s="93"/>
      <c r="J1379" s="93"/>
      <c r="K1379" s="93"/>
      <c r="L1379" s="56"/>
      <c r="M1379" s="91"/>
    </row>
    <row r="1380">
      <c r="A1380" s="96"/>
      <c r="B1380" s="91"/>
      <c r="C1380" s="92"/>
      <c r="D1380" s="56"/>
      <c r="E1380" s="56"/>
      <c r="F1380" s="56"/>
      <c r="G1380" s="93"/>
      <c r="H1380" s="93"/>
      <c r="I1380" s="93"/>
      <c r="J1380" s="93"/>
      <c r="K1380" s="93"/>
      <c r="L1380" s="56"/>
      <c r="M1380" s="91"/>
    </row>
    <row r="1381">
      <c r="A1381" s="96"/>
      <c r="B1381" s="91"/>
      <c r="C1381" s="92"/>
      <c r="D1381" s="56"/>
      <c r="E1381" s="56"/>
      <c r="F1381" s="56"/>
      <c r="G1381" s="93"/>
      <c r="H1381" s="93"/>
      <c r="I1381" s="93"/>
      <c r="J1381" s="93"/>
      <c r="K1381" s="93"/>
      <c r="L1381" s="56"/>
      <c r="M1381" s="91"/>
    </row>
    <row r="1382">
      <c r="A1382" s="96"/>
      <c r="B1382" s="91"/>
      <c r="C1382" s="92"/>
      <c r="D1382" s="56"/>
      <c r="E1382" s="56"/>
      <c r="F1382" s="56"/>
      <c r="G1382" s="93"/>
      <c r="H1382" s="93"/>
      <c r="I1382" s="93"/>
      <c r="J1382" s="93"/>
      <c r="K1382" s="93"/>
      <c r="L1382" s="56"/>
      <c r="M1382" s="91"/>
    </row>
    <row r="1383">
      <c r="A1383" s="96"/>
      <c r="B1383" s="91"/>
      <c r="C1383" s="92"/>
      <c r="D1383" s="56"/>
      <c r="E1383" s="56"/>
      <c r="F1383" s="56"/>
      <c r="G1383" s="93"/>
      <c r="H1383" s="93"/>
      <c r="I1383" s="93"/>
      <c r="J1383" s="93"/>
      <c r="K1383" s="93"/>
      <c r="L1383" s="56"/>
      <c r="M1383" s="91"/>
    </row>
    <row r="1384">
      <c r="A1384" s="96"/>
      <c r="B1384" s="91"/>
      <c r="C1384" s="92"/>
      <c r="D1384" s="56"/>
      <c r="E1384" s="56"/>
      <c r="F1384" s="56"/>
      <c r="G1384" s="93"/>
      <c r="H1384" s="93"/>
      <c r="I1384" s="93"/>
      <c r="J1384" s="93"/>
      <c r="K1384" s="93"/>
      <c r="L1384" s="56"/>
      <c r="M1384" s="91"/>
    </row>
    <row r="1385">
      <c r="A1385" s="96"/>
      <c r="B1385" s="91"/>
      <c r="C1385" s="92"/>
      <c r="D1385" s="56"/>
      <c r="E1385" s="56"/>
      <c r="F1385" s="56"/>
      <c r="G1385" s="93"/>
      <c r="H1385" s="93"/>
      <c r="I1385" s="93"/>
      <c r="J1385" s="93"/>
      <c r="K1385" s="93"/>
      <c r="L1385" s="56"/>
      <c r="M1385" s="91"/>
    </row>
    <row r="1386">
      <c r="A1386" s="96"/>
      <c r="B1386" s="91"/>
      <c r="C1386" s="92"/>
      <c r="D1386" s="56"/>
      <c r="E1386" s="56"/>
      <c r="F1386" s="56"/>
      <c r="G1386" s="93"/>
      <c r="H1386" s="93"/>
      <c r="I1386" s="93"/>
      <c r="J1386" s="93"/>
      <c r="K1386" s="93"/>
      <c r="L1386" s="56"/>
      <c r="M1386" s="91"/>
    </row>
    <row r="1387">
      <c r="A1387" s="96"/>
      <c r="B1387" s="91"/>
      <c r="C1387" s="92"/>
      <c r="D1387" s="56"/>
      <c r="E1387" s="56"/>
      <c r="F1387" s="56"/>
      <c r="G1387" s="93"/>
      <c r="H1387" s="93"/>
      <c r="I1387" s="93"/>
      <c r="J1387" s="93"/>
      <c r="K1387" s="93"/>
      <c r="L1387" s="56"/>
      <c r="M1387" s="91"/>
    </row>
    <row r="1388">
      <c r="A1388" s="96"/>
      <c r="B1388" s="91"/>
      <c r="C1388" s="92"/>
      <c r="D1388" s="56"/>
      <c r="E1388" s="56"/>
      <c r="F1388" s="56"/>
      <c r="G1388" s="93"/>
      <c r="H1388" s="93"/>
      <c r="I1388" s="93"/>
      <c r="J1388" s="93"/>
      <c r="K1388" s="93"/>
      <c r="L1388" s="56"/>
      <c r="M1388" s="91"/>
    </row>
    <row r="1389">
      <c r="A1389" s="96"/>
      <c r="B1389" s="91"/>
      <c r="C1389" s="92"/>
      <c r="D1389" s="56"/>
      <c r="E1389" s="56"/>
      <c r="F1389" s="56"/>
      <c r="G1389" s="93"/>
      <c r="H1389" s="93"/>
      <c r="I1389" s="93"/>
      <c r="J1389" s="93"/>
      <c r="K1389" s="93"/>
      <c r="L1389" s="56"/>
      <c r="M1389" s="91"/>
    </row>
    <row r="1390">
      <c r="A1390" s="96"/>
      <c r="B1390" s="91"/>
      <c r="C1390" s="92"/>
      <c r="D1390" s="56"/>
      <c r="E1390" s="56"/>
      <c r="F1390" s="56"/>
      <c r="G1390" s="93"/>
      <c r="H1390" s="93"/>
      <c r="I1390" s="93"/>
      <c r="J1390" s="93"/>
      <c r="K1390" s="93"/>
      <c r="L1390" s="56"/>
      <c r="M1390" s="91"/>
    </row>
    <row r="1391">
      <c r="A1391" s="96"/>
      <c r="B1391" s="91"/>
      <c r="C1391" s="92"/>
      <c r="D1391" s="56"/>
      <c r="E1391" s="56"/>
      <c r="F1391" s="56"/>
      <c r="G1391" s="93"/>
      <c r="H1391" s="93"/>
      <c r="I1391" s="93"/>
      <c r="J1391" s="93"/>
      <c r="K1391" s="93"/>
      <c r="L1391" s="56"/>
      <c r="M1391" s="91"/>
    </row>
    <row r="1392">
      <c r="A1392" s="96"/>
      <c r="B1392" s="91"/>
      <c r="C1392" s="92"/>
      <c r="D1392" s="56"/>
      <c r="E1392" s="56"/>
      <c r="F1392" s="56"/>
      <c r="G1392" s="93"/>
      <c r="H1392" s="93"/>
      <c r="I1392" s="93"/>
      <c r="J1392" s="93"/>
      <c r="K1392" s="93"/>
      <c r="L1392" s="56"/>
      <c r="M1392" s="91"/>
    </row>
    <row r="1393">
      <c r="A1393" s="96"/>
      <c r="B1393" s="91"/>
      <c r="C1393" s="92"/>
      <c r="D1393" s="56"/>
      <c r="E1393" s="56"/>
      <c r="F1393" s="56"/>
      <c r="G1393" s="93"/>
      <c r="H1393" s="93"/>
      <c r="I1393" s="93"/>
      <c r="J1393" s="93"/>
      <c r="K1393" s="93"/>
      <c r="L1393" s="56"/>
      <c r="M1393" s="91"/>
    </row>
    <row r="1394">
      <c r="A1394" s="96"/>
      <c r="B1394" s="91"/>
      <c r="C1394" s="92"/>
      <c r="D1394" s="56"/>
      <c r="E1394" s="56"/>
      <c r="F1394" s="56"/>
      <c r="G1394" s="93"/>
      <c r="H1394" s="93"/>
      <c r="I1394" s="93"/>
      <c r="J1394" s="93"/>
      <c r="K1394" s="93"/>
      <c r="L1394" s="56"/>
      <c r="M1394" s="91"/>
    </row>
    <row r="1395">
      <c r="A1395" s="96"/>
      <c r="B1395" s="91"/>
      <c r="C1395" s="92"/>
      <c r="D1395" s="56"/>
      <c r="E1395" s="56"/>
      <c r="F1395" s="56"/>
      <c r="G1395" s="93"/>
      <c r="H1395" s="93"/>
      <c r="I1395" s="93"/>
      <c r="J1395" s="93"/>
      <c r="K1395" s="93"/>
      <c r="L1395" s="56"/>
      <c r="M1395" s="91"/>
    </row>
    <row r="1396">
      <c r="A1396" s="96"/>
      <c r="B1396" s="91"/>
      <c r="C1396" s="92"/>
      <c r="D1396" s="56"/>
      <c r="E1396" s="56"/>
      <c r="F1396" s="56"/>
      <c r="G1396" s="93"/>
      <c r="H1396" s="93"/>
      <c r="I1396" s="93"/>
      <c r="J1396" s="93"/>
      <c r="K1396" s="93"/>
      <c r="L1396" s="56"/>
      <c r="M1396" s="91"/>
    </row>
    <row r="1397">
      <c r="A1397" s="96"/>
      <c r="B1397" s="91"/>
      <c r="C1397" s="92"/>
      <c r="D1397" s="56"/>
      <c r="E1397" s="56"/>
      <c r="F1397" s="56"/>
      <c r="G1397" s="93"/>
      <c r="H1397" s="93"/>
      <c r="I1397" s="93"/>
      <c r="J1397" s="93"/>
      <c r="K1397" s="93"/>
      <c r="L1397" s="56"/>
      <c r="M1397" s="91"/>
    </row>
    <row r="1398">
      <c r="A1398" s="96"/>
      <c r="B1398" s="91"/>
      <c r="C1398" s="92"/>
      <c r="D1398" s="56"/>
      <c r="E1398" s="56"/>
      <c r="F1398" s="56"/>
      <c r="G1398" s="93"/>
      <c r="H1398" s="93"/>
      <c r="I1398" s="93"/>
      <c r="J1398" s="93"/>
      <c r="K1398" s="93"/>
      <c r="L1398" s="56"/>
      <c r="M1398" s="91"/>
    </row>
    <row r="1399">
      <c r="A1399" s="96"/>
      <c r="B1399" s="91"/>
      <c r="C1399" s="92"/>
      <c r="D1399" s="56"/>
      <c r="E1399" s="56"/>
      <c r="F1399" s="56"/>
      <c r="G1399" s="93"/>
      <c r="H1399" s="93"/>
      <c r="I1399" s="93"/>
      <c r="J1399" s="93"/>
      <c r="K1399" s="93"/>
      <c r="L1399" s="56"/>
      <c r="M1399" s="91"/>
    </row>
    <row r="1400">
      <c r="A1400" s="96"/>
      <c r="B1400" s="91"/>
      <c r="C1400" s="92"/>
      <c r="D1400" s="56"/>
      <c r="E1400" s="56"/>
      <c r="F1400" s="56"/>
      <c r="G1400" s="93"/>
      <c r="H1400" s="93"/>
      <c r="I1400" s="93"/>
      <c r="J1400" s="93"/>
      <c r="K1400" s="93"/>
      <c r="L1400" s="56"/>
      <c r="M1400" s="91"/>
    </row>
    <row r="1401">
      <c r="A1401" s="96"/>
      <c r="B1401" s="91"/>
      <c r="C1401" s="92"/>
      <c r="D1401" s="56"/>
      <c r="E1401" s="56"/>
      <c r="F1401" s="56"/>
      <c r="G1401" s="93"/>
      <c r="H1401" s="93"/>
      <c r="I1401" s="93"/>
      <c r="J1401" s="93"/>
      <c r="K1401" s="93"/>
      <c r="L1401" s="56"/>
      <c r="M1401" s="91"/>
    </row>
    <row r="1402">
      <c r="A1402" s="96"/>
      <c r="B1402" s="91"/>
      <c r="C1402" s="92"/>
      <c r="D1402" s="56"/>
      <c r="E1402" s="56"/>
      <c r="F1402" s="56"/>
      <c r="G1402" s="93"/>
      <c r="H1402" s="93"/>
      <c r="I1402" s="93"/>
      <c r="J1402" s="93"/>
      <c r="K1402" s="93"/>
      <c r="L1402" s="56"/>
      <c r="M1402" s="91"/>
    </row>
    <row r="1403">
      <c r="A1403" s="96"/>
      <c r="B1403" s="91"/>
      <c r="C1403" s="92"/>
      <c r="D1403" s="56"/>
      <c r="E1403" s="56"/>
      <c r="F1403" s="56"/>
      <c r="G1403" s="93"/>
      <c r="H1403" s="93"/>
      <c r="I1403" s="93"/>
      <c r="J1403" s="93"/>
      <c r="K1403" s="93"/>
      <c r="L1403" s="56"/>
      <c r="M1403" s="91"/>
    </row>
    <row r="1404">
      <c r="A1404" s="96"/>
      <c r="B1404" s="91"/>
      <c r="C1404" s="92"/>
      <c r="D1404" s="56"/>
      <c r="E1404" s="56"/>
      <c r="F1404" s="56"/>
      <c r="G1404" s="93"/>
      <c r="H1404" s="93"/>
      <c r="I1404" s="93"/>
      <c r="J1404" s="93"/>
      <c r="K1404" s="93"/>
      <c r="L1404" s="56"/>
      <c r="M1404" s="91"/>
    </row>
    <row r="1405">
      <c r="A1405" s="96"/>
      <c r="B1405" s="91"/>
      <c r="C1405" s="92"/>
      <c r="D1405" s="56"/>
      <c r="E1405" s="56"/>
      <c r="F1405" s="56"/>
      <c r="G1405" s="93"/>
      <c r="H1405" s="93"/>
      <c r="I1405" s="93"/>
      <c r="J1405" s="93"/>
      <c r="K1405" s="93"/>
      <c r="L1405" s="56"/>
      <c r="M1405" s="91"/>
    </row>
    <row r="1406">
      <c r="A1406" s="96"/>
      <c r="B1406" s="91"/>
      <c r="C1406" s="92"/>
      <c r="D1406" s="56"/>
      <c r="E1406" s="56"/>
      <c r="F1406" s="56"/>
      <c r="G1406" s="93"/>
      <c r="H1406" s="93"/>
      <c r="I1406" s="93"/>
      <c r="J1406" s="93"/>
      <c r="K1406" s="93"/>
      <c r="L1406" s="56"/>
      <c r="M1406" s="91"/>
    </row>
  </sheetData>
  <autoFilter ref="$B$2:$L$1406"/>
  <printOptions horizontalCentered="1"/>
  <pageMargins bottom="0.75" footer="0.0" header="0.0" left="0.25" right="0.25" top="0.75"/>
  <pageSetup fitToHeight="0" paperSize="8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 outlineLevelCol="1"/>
  <cols>
    <col customWidth="1" min="1" max="1" width="6.29"/>
    <col customWidth="1" min="3" max="3" width="90.86"/>
    <col customWidth="1" min="4" max="4" width="22.57"/>
    <col customWidth="1" min="5" max="5" width="22.0"/>
    <col customWidth="1" min="6" max="6" width="12.29"/>
    <col customWidth="1" min="7" max="7" width="15.14"/>
    <col customWidth="1" min="8" max="8" width="15.57"/>
    <col customWidth="1" min="9" max="9" width="13.29"/>
    <col customWidth="1" min="10" max="10" width="15.86"/>
    <col customWidth="1" min="11" max="11" width="36.43"/>
  </cols>
  <sheetData>
    <row r="1" ht="12.0" customHeight="1">
      <c r="A1" s="260"/>
      <c r="B1" s="88"/>
      <c r="C1" s="20"/>
      <c r="D1" s="14"/>
      <c r="E1" s="20"/>
      <c r="F1" s="20"/>
      <c r="G1" s="14"/>
      <c r="H1" s="14"/>
      <c r="I1" s="3"/>
      <c r="J1" s="3"/>
      <c r="K1" s="3"/>
      <c r="L1" s="1"/>
      <c r="M1" s="1"/>
      <c r="N1" s="1"/>
      <c r="O1" s="1"/>
    </row>
    <row r="2" ht="64.5" customHeight="1">
      <c r="A2" s="260"/>
      <c r="B2" s="98" t="s">
        <v>878</v>
      </c>
      <c r="C2" s="98" t="s">
        <v>879</v>
      </c>
      <c r="D2" s="261" t="s">
        <v>836</v>
      </c>
      <c r="E2" s="100" t="s">
        <v>837</v>
      </c>
      <c r="F2" s="105" t="s">
        <v>838</v>
      </c>
      <c r="G2" s="104" t="s">
        <v>880</v>
      </c>
      <c r="I2" s="105" t="s">
        <v>881</v>
      </c>
      <c r="J2" s="105" t="s">
        <v>882</v>
      </c>
      <c r="K2" s="3"/>
      <c r="L2" s="1"/>
      <c r="M2" s="1"/>
      <c r="N2" s="1"/>
      <c r="O2" s="1"/>
    </row>
    <row r="3" ht="18.75" customHeight="1">
      <c r="A3" s="157"/>
      <c r="B3" s="107" t="s">
        <v>1958</v>
      </c>
      <c r="C3" s="92"/>
      <c r="D3" s="93"/>
      <c r="E3" s="262">
        <v>0.04</v>
      </c>
      <c r="F3" s="263"/>
      <c r="G3" s="93"/>
      <c r="H3" s="93"/>
      <c r="I3" s="157"/>
      <c r="J3" s="157"/>
      <c r="K3" s="157"/>
      <c r="L3" s="264"/>
      <c r="M3" s="264"/>
      <c r="N3" s="264"/>
      <c r="O3" s="264"/>
    </row>
    <row r="4" ht="18.75" customHeight="1">
      <c r="A4" s="265"/>
      <c r="B4" s="111">
        <v>501.0</v>
      </c>
      <c r="C4" s="118" t="s">
        <v>1960</v>
      </c>
      <c r="D4" s="52">
        <v>1650.0</v>
      </c>
      <c r="E4" s="52">
        <v>1780.0</v>
      </c>
      <c r="F4" s="248">
        <f t="shared" ref="F4:F21" si="1">IFERROR(DIVIDE(MINUS(E4,D4),D4),)</f>
        <v>0.07878787879</v>
      </c>
      <c r="G4" s="134">
        <v>5.0</v>
      </c>
      <c r="H4" s="134"/>
      <c r="I4" s="266">
        <f t="array" ref="I4:J971">IFERROR(VLOOKUP(B4:B971,PACKING!$A$3:$D971,{3,4},0),"")</f>
        <v>10</v>
      </c>
      <c r="J4" s="265">
        <v>10.0</v>
      </c>
      <c r="K4" s="265"/>
      <c r="L4" s="264"/>
      <c r="M4" s="264"/>
      <c r="N4" s="264"/>
      <c r="O4" s="264"/>
    </row>
    <row r="5" ht="18.75" customHeight="1">
      <c r="A5" s="265"/>
      <c r="B5" s="111" t="s">
        <v>1968</v>
      </c>
      <c r="C5" s="118" t="s">
        <v>1969</v>
      </c>
      <c r="D5" s="52">
        <v>1670.0</v>
      </c>
      <c r="E5" s="52">
        <v>1790.0</v>
      </c>
      <c r="F5" s="248">
        <f t="shared" si="1"/>
        <v>0.07185628743</v>
      </c>
      <c r="G5" s="134">
        <v>5.0</v>
      </c>
      <c r="H5" s="93"/>
      <c r="I5" s="266">
        <v>10.0</v>
      </c>
      <c r="J5" s="265">
        <v>10.0</v>
      </c>
      <c r="K5" s="157"/>
      <c r="L5" s="264"/>
      <c r="M5" s="264"/>
      <c r="N5" s="264"/>
      <c r="O5" s="264"/>
    </row>
    <row r="6" ht="18.75" customHeight="1">
      <c r="A6" s="265"/>
      <c r="B6" s="111">
        <v>502.0</v>
      </c>
      <c r="C6" s="118" t="s">
        <v>1970</v>
      </c>
      <c r="D6" s="52">
        <v>1920.0</v>
      </c>
      <c r="E6" s="52">
        <v>2070.0</v>
      </c>
      <c r="F6" s="248">
        <f t="shared" si="1"/>
        <v>0.078125</v>
      </c>
      <c r="G6" s="134">
        <v>10.0</v>
      </c>
      <c r="H6" s="134"/>
      <c r="I6" s="266">
        <v>10.0</v>
      </c>
      <c r="J6" s="265">
        <v>10.0</v>
      </c>
      <c r="K6" s="157"/>
      <c r="L6" s="264"/>
      <c r="M6" s="264"/>
      <c r="N6" s="264"/>
      <c r="O6" s="264"/>
    </row>
    <row r="7" ht="18.75" customHeight="1">
      <c r="A7" s="265"/>
      <c r="B7" s="111">
        <v>503.0</v>
      </c>
      <c r="C7" s="118" t="s">
        <v>1971</v>
      </c>
      <c r="D7" s="52">
        <v>1610.0</v>
      </c>
      <c r="E7" s="52">
        <v>1740.0</v>
      </c>
      <c r="F7" s="248">
        <f t="shared" si="1"/>
        <v>0.08074534161</v>
      </c>
      <c r="G7" s="134">
        <v>5.0</v>
      </c>
      <c r="H7" s="134"/>
      <c r="I7" s="266">
        <v>10.0</v>
      </c>
      <c r="J7" s="265">
        <v>10.0</v>
      </c>
      <c r="K7" s="265"/>
      <c r="L7" s="264"/>
      <c r="M7" s="264"/>
      <c r="N7" s="264"/>
      <c r="O7" s="264"/>
    </row>
    <row r="8" ht="18.75" customHeight="1">
      <c r="A8" s="265"/>
      <c r="B8" s="111">
        <v>504.0</v>
      </c>
      <c r="C8" s="118" t="s">
        <v>1973</v>
      </c>
      <c r="D8" s="52">
        <v>1870.0</v>
      </c>
      <c r="E8" s="52">
        <v>2020.0</v>
      </c>
      <c r="F8" s="248">
        <f t="shared" si="1"/>
        <v>0.08021390374</v>
      </c>
      <c r="G8" s="134">
        <v>10.0</v>
      </c>
      <c r="H8" s="134"/>
      <c r="I8" s="266">
        <v>10.0</v>
      </c>
      <c r="J8" s="265">
        <v>10.0</v>
      </c>
      <c r="K8" s="265"/>
      <c r="L8" s="264"/>
      <c r="M8" s="264"/>
      <c r="N8" s="264"/>
      <c r="O8" s="264"/>
    </row>
    <row r="9" ht="18.75" customHeight="1">
      <c r="A9" s="265"/>
      <c r="B9" s="111">
        <v>506.0</v>
      </c>
      <c r="C9" s="135" t="s">
        <v>1975</v>
      </c>
      <c r="D9" s="52">
        <v>1930.0</v>
      </c>
      <c r="E9" s="52">
        <v>2090.0</v>
      </c>
      <c r="F9" s="248">
        <f t="shared" si="1"/>
        <v>0.0829015544</v>
      </c>
      <c r="G9" s="134">
        <v>10.0</v>
      </c>
      <c r="H9" s="134"/>
      <c r="I9" s="266">
        <v>10.0</v>
      </c>
      <c r="J9" s="265">
        <v>10.0</v>
      </c>
      <c r="K9" s="157"/>
      <c r="L9" s="264"/>
      <c r="M9" s="264"/>
      <c r="N9" s="264"/>
      <c r="O9" s="264"/>
    </row>
    <row r="10" ht="18.75" customHeight="1">
      <c r="A10" s="265"/>
      <c r="B10" s="111">
        <v>507.0</v>
      </c>
      <c r="C10" s="135" t="s">
        <v>1976</v>
      </c>
      <c r="D10" s="52">
        <v>1509.6</v>
      </c>
      <c r="E10" s="52">
        <v>1630.0</v>
      </c>
      <c r="F10" s="248">
        <f t="shared" si="1"/>
        <v>0.07975622682</v>
      </c>
      <c r="G10" s="134">
        <v>5.0</v>
      </c>
      <c r="H10" s="134"/>
      <c r="I10" s="266">
        <v>10.0</v>
      </c>
      <c r="J10" s="265">
        <v>10.0</v>
      </c>
      <c r="K10" s="157"/>
      <c r="L10" s="264"/>
      <c r="M10" s="264"/>
      <c r="N10" s="264"/>
      <c r="O10" s="264"/>
    </row>
    <row r="11" ht="18.75" customHeight="1">
      <c r="A11" s="265"/>
      <c r="B11" s="111">
        <v>508.0</v>
      </c>
      <c r="C11" s="135" t="s">
        <v>1978</v>
      </c>
      <c r="D11" s="52">
        <v>1880.0</v>
      </c>
      <c r="E11" s="52">
        <v>2030.0</v>
      </c>
      <c r="F11" s="248">
        <f t="shared" si="1"/>
        <v>0.07978723404</v>
      </c>
      <c r="G11" s="134">
        <v>10.0</v>
      </c>
      <c r="H11" s="134"/>
      <c r="I11" s="266">
        <v>10.0</v>
      </c>
      <c r="J11" s="265">
        <v>10.0</v>
      </c>
      <c r="K11" s="265"/>
      <c r="L11" s="264"/>
      <c r="M11" s="264"/>
      <c r="N11" s="264"/>
      <c r="O11" s="264"/>
    </row>
    <row r="12" ht="18.75" customHeight="1">
      <c r="A12" s="265"/>
      <c r="B12" s="111">
        <v>701.0</v>
      </c>
      <c r="C12" s="135" t="s">
        <v>1980</v>
      </c>
      <c r="D12" s="52">
        <v>1450.0</v>
      </c>
      <c r="E12" s="52">
        <v>1570.0</v>
      </c>
      <c r="F12" s="248">
        <f t="shared" si="1"/>
        <v>0.08275862069</v>
      </c>
      <c r="G12" s="134">
        <v>5.0</v>
      </c>
      <c r="H12" s="134"/>
      <c r="I12" s="266">
        <v>10.0</v>
      </c>
      <c r="J12" s="265">
        <v>10.0</v>
      </c>
      <c r="K12" s="265"/>
      <c r="L12" s="264"/>
      <c r="M12" s="264"/>
      <c r="N12" s="264"/>
      <c r="O12" s="264"/>
    </row>
    <row r="13" ht="18.75" customHeight="1">
      <c r="A13" s="265"/>
      <c r="B13" s="111">
        <v>702.0</v>
      </c>
      <c r="C13" s="135" t="s">
        <v>1981</v>
      </c>
      <c r="D13" s="52">
        <v>1420.0</v>
      </c>
      <c r="E13" s="52">
        <v>1540.0</v>
      </c>
      <c r="F13" s="248">
        <f t="shared" si="1"/>
        <v>0.08450704225</v>
      </c>
      <c r="G13" s="134">
        <v>5.0</v>
      </c>
      <c r="H13" s="93"/>
      <c r="I13" s="266">
        <v>10.0</v>
      </c>
      <c r="J13" s="265">
        <v>10.0</v>
      </c>
      <c r="K13" s="265"/>
      <c r="L13" s="264"/>
      <c r="M13" s="264"/>
      <c r="N13" s="264"/>
      <c r="O13" s="264"/>
    </row>
    <row r="14" ht="18.75" customHeight="1">
      <c r="A14" s="265"/>
      <c r="B14" s="111">
        <v>703.0</v>
      </c>
      <c r="C14" s="135" t="s">
        <v>1982</v>
      </c>
      <c r="D14" s="52">
        <v>1870.0</v>
      </c>
      <c r="E14" s="52">
        <v>2020.0</v>
      </c>
      <c r="F14" s="248">
        <f t="shared" si="1"/>
        <v>0.08021390374</v>
      </c>
      <c r="G14" s="134">
        <v>10.0</v>
      </c>
      <c r="H14" s="134"/>
      <c r="I14" s="266">
        <v>10.0</v>
      </c>
      <c r="J14" s="265">
        <v>10.0</v>
      </c>
      <c r="K14" s="265"/>
      <c r="L14" s="264"/>
      <c r="M14" s="264"/>
      <c r="N14" s="264"/>
      <c r="O14" s="264"/>
    </row>
    <row r="15" ht="18.75" customHeight="1">
      <c r="A15" s="265"/>
      <c r="B15" s="111">
        <v>704.0</v>
      </c>
      <c r="C15" s="135" t="s">
        <v>1985</v>
      </c>
      <c r="D15" s="52">
        <v>1390.0</v>
      </c>
      <c r="E15" s="52">
        <v>1490.0</v>
      </c>
      <c r="F15" s="248">
        <f t="shared" si="1"/>
        <v>0.07194244604</v>
      </c>
      <c r="G15" s="134">
        <v>5.0</v>
      </c>
      <c r="H15" s="134"/>
      <c r="I15" s="266">
        <v>10.0</v>
      </c>
      <c r="J15" s="265">
        <v>10.0</v>
      </c>
      <c r="K15" s="265"/>
      <c r="L15" s="264"/>
      <c r="M15" s="264"/>
      <c r="N15" s="264"/>
      <c r="O15" s="264"/>
    </row>
    <row r="16" ht="18.75" customHeight="1">
      <c r="A16" s="265"/>
      <c r="B16" s="111">
        <v>705.0</v>
      </c>
      <c r="C16" s="135" t="s">
        <v>1986</v>
      </c>
      <c r="D16" s="52">
        <v>1930.0</v>
      </c>
      <c r="E16" s="52">
        <v>2090.0</v>
      </c>
      <c r="F16" s="248">
        <f t="shared" si="1"/>
        <v>0.0829015544</v>
      </c>
      <c r="G16" s="134">
        <v>10.0</v>
      </c>
      <c r="H16" s="134"/>
      <c r="I16" s="266">
        <v>10.0</v>
      </c>
      <c r="J16" s="265">
        <v>10.0</v>
      </c>
      <c r="K16" s="265"/>
      <c r="L16" s="264"/>
      <c r="M16" s="264"/>
      <c r="N16" s="264"/>
      <c r="O16" s="264"/>
    </row>
    <row r="17" ht="18.75" customHeight="1">
      <c r="A17" s="265"/>
      <c r="B17" s="111">
        <v>706.0</v>
      </c>
      <c r="C17" s="135" t="s">
        <v>1987</v>
      </c>
      <c r="D17" s="52">
        <v>1590.0</v>
      </c>
      <c r="E17" s="52">
        <v>1720.0</v>
      </c>
      <c r="F17" s="248">
        <f t="shared" si="1"/>
        <v>0.08176100629</v>
      </c>
      <c r="G17" s="134">
        <v>5.0</v>
      </c>
      <c r="H17" s="134"/>
      <c r="I17" s="266">
        <v>10.0</v>
      </c>
      <c r="J17" s="265">
        <v>10.0</v>
      </c>
      <c r="K17" s="265"/>
      <c r="L17" s="264"/>
      <c r="M17" s="264"/>
      <c r="N17" s="264"/>
      <c r="O17" s="264"/>
    </row>
    <row r="18" ht="18.75" customHeight="1">
      <c r="A18" s="265"/>
      <c r="B18" s="111">
        <v>708.0</v>
      </c>
      <c r="C18" s="135" t="s">
        <v>1989</v>
      </c>
      <c r="D18" s="52">
        <v>1590.0</v>
      </c>
      <c r="E18" s="52">
        <v>1720.0</v>
      </c>
      <c r="F18" s="248">
        <f t="shared" si="1"/>
        <v>0.08176100629</v>
      </c>
      <c r="G18" s="134">
        <v>5.0</v>
      </c>
      <c r="H18" s="134"/>
      <c r="I18" s="266">
        <v>10.0</v>
      </c>
      <c r="J18" s="265">
        <v>10.0</v>
      </c>
      <c r="K18" s="265"/>
      <c r="L18" s="264"/>
      <c r="M18" s="264"/>
      <c r="N18" s="264"/>
      <c r="O18" s="264"/>
    </row>
    <row r="19" ht="18.75" customHeight="1">
      <c r="A19" s="265"/>
      <c r="B19" s="111" t="s">
        <v>1990</v>
      </c>
      <c r="C19" s="135" t="s">
        <v>1991</v>
      </c>
      <c r="D19" s="52">
        <v>1710.0</v>
      </c>
      <c r="E19" s="52">
        <v>1850.0</v>
      </c>
      <c r="F19" s="248">
        <f t="shared" si="1"/>
        <v>0.08187134503</v>
      </c>
      <c r="G19" s="134">
        <v>5.0</v>
      </c>
      <c r="H19" s="93"/>
      <c r="I19" s="266">
        <v>10.0</v>
      </c>
      <c r="J19" s="265">
        <v>10.0</v>
      </c>
      <c r="K19" s="265"/>
      <c r="L19" s="264"/>
      <c r="M19" s="264"/>
      <c r="N19" s="264"/>
      <c r="O19" s="264"/>
    </row>
    <row r="20" ht="18.75" customHeight="1">
      <c r="A20" s="265"/>
      <c r="B20" s="111" t="s">
        <v>1993</v>
      </c>
      <c r="C20" s="135" t="s">
        <v>1994</v>
      </c>
      <c r="D20" s="52">
        <v>1710.0</v>
      </c>
      <c r="E20" s="52">
        <v>1850.0</v>
      </c>
      <c r="F20" s="248">
        <f t="shared" si="1"/>
        <v>0.08187134503</v>
      </c>
      <c r="G20" s="134">
        <v>5.0</v>
      </c>
      <c r="H20" s="93"/>
      <c r="I20" s="266">
        <v>10.0</v>
      </c>
      <c r="J20" s="265">
        <v>10.0</v>
      </c>
      <c r="K20" s="265"/>
      <c r="L20" s="264"/>
      <c r="M20" s="264"/>
      <c r="N20" s="264"/>
      <c r="O20" s="264"/>
    </row>
    <row r="21" ht="18.75" customHeight="1">
      <c r="A21" s="265"/>
      <c r="B21" s="111" t="s">
        <v>1996</v>
      </c>
      <c r="C21" s="135" t="s">
        <v>1997</v>
      </c>
      <c r="D21" s="52">
        <v>1490.0</v>
      </c>
      <c r="E21" s="52">
        <v>1590.0</v>
      </c>
      <c r="F21" s="248">
        <f t="shared" si="1"/>
        <v>0.06711409396</v>
      </c>
      <c r="G21" s="134">
        <v>5.0</v>
      </c>
      <c r="H21" s="93"/>
      <c r="I21" s="266">
        <v>10.0</v>
      </c>
      <c r="J21" s="265">
        <v>10.0</v>
      </c>
      <c r="K21" s="265"/>
      <c r="L21" s="264"/>
      <c r="M21" s="264"/>
      <c r="N21" s="264"/>
      <c r="O21" s="264"/>
    </row>
    <row r="22" ht="18.75" customHeight="1">
      <c r="A22" s="157"/>
      <c r="B22" s="91"/>
      <c r="C22" s="56"/>
      <c r="D22" s="93"/>
      <c r="E22" s="109"/>
      <c r="F22" s="248" t="str">
        <f t="shared" ref="F22:F23" si="2">IFERROR(DIVIDE(MINUS(E22,D22),E22),)</f>
        <v/>
      </c>
      <c r="G22" s="93"/>
      <c r="H22" s="93"/>
      <c r="I22" s="266"/>
      <c r="J22" s="265"/>
      <c r="K22" s="265"/>
      <c r="L22" s="264"/>
      <c r="M22" s="264"/>
      <c r="N22" s="264"/>
      <c r="O22" s="264"/>
    </row>
    <row r="23" ht="18.75" customHeight="1">
      <c r="A23" s="265"/>
      <c r="B23" s="107" t="s">
        <v>2000</v>
      </c>
      <c r="C23" s="56"/>
      <c r="D23" s="93"/>
      <c r="E23" s="109"/>
      <c r="F23" s="248" t="str">
        <f t="shared" si="2"/>
        <v/>
      </c>
      <c r="G23" s="93"/>
      <c r="H23" s="93"/>
      <c r="I23" s="266"/>
      <c r="J23" s="265"/>
      <c r="K23" s="265"/>
      <c r="L23" s="264"/>
      <c r="M23" s="264"/>
      <c r="N23" s="264"/>
      <c r="O23" s="264"/>
    </row>
    <row r="24" ht="18.75" customHeight="1">
      <c r="A24" s="265"/>
      <c r="B24" s="111">
        <v>723.0</v>
      </c>
      <c r="C24" s="135" t="s">
        <v>2002</v>
      </c>
      <c r="D24" s="52">
        <v>960.0</v>
      </c>
      <c r="E24" s="52">
        <v>1040.0</v>
      </c>
      <c r="F24" s="248">
        <f t="shared" ref="F24:F27" si="3">IFERROR(DIVIDE(MINUS(E24,D24),D24),)</f>
        <v>0.08333333333</v>
      </c>
      <c r="G24" s="93"/>
      <c r="H24" s="134"/>
      <c r="I24" s="266">
        <v>20.0</v>
      </c>
      <c r="J24" s="265">
        <v>20.0</v>
      </c>
      <c r="K24" s="265"/>
      <c r="L24" s="264"/>
      <c r="M24" s="264"/>
      <c r="N24" s="264"/>
      <c r="O24" s="264"/>
    </row>
    <row r="25" ht="18.75" customHeight="1">
      <c r="A25" s="265"/>
      <c r="B25" s="111">
        <v>724.0</v>
      </c>
      <c r="C25" s="135" t="s">
        <v>2004</v>
      </c>
      <c r="D25" s="52">
        <v>960.0</v>
      </c>
      <c r="E25" s="52">
        <v>1040.0</v>
      </c>
      <c r="F25" s="248">
        <f t="shared" si="3"/>
        <v>0.08333333333</v>
      </c>
      <c r="G25" s="93"/>
      <c r="H25" s="134"/>
      <c r="I25" s="266">
        <v>20.0</v>
      </c>
      <c r="J25" s="265">
        <v>20.0</v>
      </c>
      <c r="K25" s="265"/>
      <c r="L25" s="264"/>
      <c r="M25" s="264"/>
      <c r="N25" s="264"/>
      <c r="O25" s="264"/>
    </row>
    <row r="26" ht="18.75" customHeight="1">
      <c r="A26" s="265"/>
      <c r="B26" s="111">
        <v>725.0</v>
      </c>
      <c r="C26" s="135" t="s">
        <v>2006</v>
      </c>
      <c r="D26" s="52">
        <v>960.0</v>
      </c>
      <c r="E26" s="52">
        <v>1040.0</v>
      </c>
      <c r="F26" s="248">
        <f t="shared" si="3"/>
        <v>0.08333333333</v>
      </c>
      <c r="G26" s="93"/>
      <c r="H26" s="134"/>
      <c r="I26" s="266">
        <v>20.0</v>
      </c>
      <c r="J26" s="265">
        <v>20.0</v>
      </c>
      <c r="K26" s="265"/>
      <c r="L26" s="264"/>
      <c r="M26" s="264"/>
      <c r="N26" s="264"/>
      <c r="O26" s="264"/>
    </row>
    <row r="27" ht="18.75" customHeight="1">
      <c r="A27" s="265"/>
      <c r="B27" s="111">
        <v>722.0</v>
      </c>
      <c r="C27" s="135" t="s">
        <v>2007</v>
      </c>
      <c r="D27" s="52">
        <v>960.0</v>
      </c>
      <c r="E27" s="52">
        <v>1040.0</v>
      </c>
      <c r="F27" s="248">
        <f t="shared" si="3"/>
        <v>0.08333333333</v>
      </c>
      <c r="G27" s="93"/>
      <c r="H27" s="134"/>
      <c r="I27" s="266">
        <v>20.0</v>
      </c>
      <c r="J27" s="265">
        <v>20.0</v>
      </c>
      <c r="K27" s="265"/>
      <c r="L27" s="264"/>
      <c r="M27" s="264"/>
      <c r="N27" s="264"/>
      <c r="O27" s="264"/>
    </row>
    <row r="28" ht="18.75" customHeight="1">
      <c r="A28" s="157"/>
      <c r="B28" s="91"/>
      <c r="C28" s="56"/>
      <c r="D28" s="109"/>
      <c r="E28" s="109"/>
      <c r="F28" s="248" t="str">
        <f t="shared" ref="F28:F29" si="4">IFERROR(DIVIDE(MINUS(E28,D28),E28),)</f>
        <v/>
      </c>
      <c r="G28" s="93"/>
      <c r="H28" s="93"/>
      <c r="I28" s="266"/>
      <c r="J28" s="265"/>
      <c r="K28" s="265"/>
      <c r="L28" s="264"/>
      <c r="M28" s="264"/>
      <c r="N28" s="264"/>
      <c r="O28" s="264"/>
    </row>
    <row r="29" ht="18.75" customHeight="1">
      <c r="A29" s="265"/>
      <c r="B29" s="107" t="s">
        <v>2009</v>
      </c>
      <c r="C29" s="56"/>
      <c r="D29" s="109"/>
      <c r="E29" s="109"/>
      <c r="F29" s="248" t="str">
        <f t="shared" si="4"/>
        <v/>
      </c>
      <c r="G29" s="93"/>
      <c r="H29" s="93"/>
      <c r="I29" s="266"/>
      <c r="J29" s="265"/>
      <c r="K29" s="157"/>
      <c r="L29" s="264"/>
      <c r="M29" s="264"/>
      <c r="N29" s="264"/>
      <c r="O29" s="264"/>
    </row>
    <row r="30" ht="18.75" customHeight="1">
      <c r="A30" s="265"/>
      <c r="B30" s="111">
        <v>511.0</v>
      </c>
      <c r="C30" s="135" t="s">
        <v>2011</v>
      </c>
      <c r="D30" s="52">
        <v>674.0</v>
      </c>
      <c r="E30" s="52">
        <v>728.0</v>
      </c>
      <c r="F30" s="248">
        <f t="shared" ref="F30:F40" si="5">IFERROR(DIVIDE(MINUS(E30,D30),D30),)</f>
        <v>0.08011869436</v>
      </c>
      <c r="G30" s="93"/>
      <c r="H30" s="134"/>
      <c r="I30" s="266">
        <v>15.0</v>
      </c>
      <c r="J30" s="265">
        <v>15.0</v>
      </c>
      <c r="K30" s="157"/>
      <c r="L30" s="264"/>
      <c r="M30" s="264"/>
      <c r="N30" s="264"/>
      <c r="O30" s="264"/>
    </row>
    <row r="31" ht="18.75" customHeight="1">
      <c r="A31" s="265"/>
      <c r="B31" s="111">
        <v>512.0</v>
      </c>
      <c r="C31" s="135" t="s">
        <v>2013</v>
      </c>
      <c r="D31" s="52">
        <v>832.32</v>
      </c>
      <c r="E31" s="52">
        <v>898.0</v>
      </c>
      <c r="F31" s="248">
        <f t="shared" si="5"/>
        <v>0.07891195694</v>
      </c>
      <c r="G31" s="93"/>
      <c r="H31" s="134"/>
      <c r="I31" s="266">
        <v>12.0</v>
      </c>
      <c r="J31" s="265">
        <v>12.0</v>
      </c>
      <c r="K31" s="157"/>
      <c r="L31" s="264"/>
      <c r="M31" s="264"/>
      <c r="N31" s="264"/>
      <c r="O31" s="264"/>
    </row>
    <row r="32" ht="18.75" customHeight="1">
      <c r="A32" s="265"/>
      <c r="B32" s="111">
        <v>513.0</v>
      </c>
      <c r="C32" s="135" t="s">
        <v>14</v>
      </c>
      <c r="D32" s="52">
        <v>731.952</v>
      </c>
      <c r="E32" s="52">
        <v>792.0</v>
      </c>
      <c r="F32" s="248">
        <f t="shared" si="5"/>
        <v>0.08203816644</v>
      </c>
      <c r="G32" s="93"/>
      <c r="H32" s="134"/>
      <c r="I32" s="266">
        <v>20.0</v>
      </c>
      <c r="J32" s="265">
        <v>20.0</v>
      </c>
      <c r="K32" s="265"/>
      <c r="L32" s="264"/>
      <c r="M32" s="264"/>
      <c r="N32" s="264"/>
      <c r="O32" s="264"/>
    </row>
    <row r="33" ht="18.75" customHeight="1">
      <c r="A33" s="265"/>
      <c r="B33" s="111">
        <v>514.0</v>
      </c>
      <c r="C33" s="135" t="s">
        <v>2015</v>
      </c>
      <c r="D33" s="52">
        <v>860.0</v>
      </c>
      <c r="E33" s="52">
        <v>930.0</v>
      </c>
      <c r="F33" s="248">
        <f t="shared" si="5"/>
        <v>0.08139534884</v>
      </c>
      <c r="G33" s="93"/>
      <c r="H33" s="134"/>
      <c r="I33" s="266">
        <v>12.0</v>
      </c>
      <c r="J33" s="265">
        <v>12.0</v>
      </c>
      <c r="K33" s="265"/>
      <c r="L33" s="264"/>
      <c r="M33" s="264"/>
      <c r="N33" s="264"/>
      <c r="O33" s="264"/>
    </row>
    <row r="34" ht="18.75" customHeight="1">
      <c r="A34" s="265"/>
      <c r="B34" s="111" t="s">
        <v>2017</v>
      </c>
      <c r="C34" s="135" t="s">
        <v>2018</v>
      </c>
      <c r="D34" s="52">
        <v>907.8</v>
      </c>
      <c r="E34" s="52">
        <v>980.0</v>
      </c>
      <c r="F34" s="248">
        <f t="shared" si="5"/>
        <v>0.07953293677</v>
      </c>
      <c r="G34" s="93"/>
      <c r="H34" s="93"/>
      <c r="I34" s="266">
        <v>12.0</v>
      </c>
      <c r="J34" s="265">
        <v>12.0</v>
      </c>
      <c r="K34" s="265"/>
      <c r="L34" s="264"/>
      <c r="M34" s="264"/>
      <c r="N34" s="264"/>
      <c r="O34" s="264"/>
    </row>
    <row r="35" ht="18.75" customHeight="1">
      <c r="A35" s="265"/>
      <c r="B35" s="111">
        <v>515.0</v>
      </c>
      <c r="C35" s="135" t="s">
        <v>2019</v>
      </c>
      <c r="D35" s="52">
        <v>868.0</v>
      </c>
      <c r="E35" s="52">
        <v>938.0</v>
      </c>
      <c r="F35" s="248">
        <f t="shared" si="5"/>
        <v>0.08064516129</v>
      </c>
      <c r="G35" s="93"/>
      <c r="H35" s="134"/>
      <c r="I35" s="266">
        <v>15.0</v>
      </c>
      <c r="J35" s="265">
        <v>15.0</v>
      </c>
      <c r="K35" s="265"/>
      <c r="L35" s="264"/>
      <c r="M35" s="264"/>
      <c r="N35" s="264"/>
      <c r="O35" s="264"/>
    </row>
    <row r="36" ht="18.75" customHeight="1">
      <c r="A36" s="265"/>
      <c r="B36" s="111">
        <v>516.0</v>
      </c>
      <c r="C36" s="135" t="s">
        <v>2021</v>
      </c>
      <c r="D36" s="52">
        <v>786.0</v>
      </c>
      <c r="E36" s="52">
        <v>848.0</v>
      </c>
      <c r="F36" s="248">
        <f t="shared" si="5"/>
        <v>0.07888040712</v>
      </c>
      <c r="G36" s="93"/>
      <c r="H36" s="134"/>
      <c r="I36" s="266">
        <v>20.0</v>
      </c>
      <c r="J36" s="265">
        <v>20.0</v>
      </c>
      <c r="K36" s="157"/>
      <c r="L36" s="264"/>
      <c r="M36" s="264"/>
      <c r="N36" s="264"/>
      <c r="O36" s="264"/>
    </row>
    <row r="37" ht="18.75" customHeight="1">
      <c r="A37" s="265"/>
      <c r="B37" s="111" t="s">
        <v>2023</v>
      </c>
      <c r="C37" s="135" t="s">
        <v>2024</v>
      </c>
      <c r="D37" s="52">
        <v>786.0</v>
      </c>
      <c r="E37" s="52">
        <v>848.0</v>
      </c>
      <c r="F37" s="248">
        <f t="shared" si="5"/>
        <v>0.07888040712</v>
      </c>
      <c r="G37" s="93"/>
      <c r="H37" s="269"/>
      <c r="I37" s="266">
        <v>20.0</v>
      </c>
      <c r="J37" s="265">
        <v>20.0</v>
      </c>
      <c r="K37" s="157"/>
      <c r="L37" s="264"/>
      <c r="M37" s="264"/>
      <c r="N37" s="264"/>
      <c r="O37" s="264"/>
    </row>
    <row r="38" ht="18.75" customHeight="1">
      <c r="A38" s="265"/>
      <c r="B38" s="111">
        <v>517.0</v>
      </c>
      <c r="C38" s="135" t="s">
        <v>2025</v>
      </c>
      <c r="D38" s="52">
        <v>933.504</v>
      </c>
      <c r="E38" s="52">
        <v>998.0</v>
      </c>
      <c r="F38" s="248">
        <f t="shared" si="5"/>
        <v>0.0690902235</v>
      </c>
      <c r="G38" s="93"/>
      <c r="H38" s="134"/>
      <c r="I38" s="266">
        <v>15.0</v>
      </c>
      <c r="J38" s="265">
        <v>15.0</v>
      </c>
      <c r="K38" s="157"/>
      <c r="L38" s="264"/>
      <c r="M38" s="264"/>
      <c r="N38" s="264"/>
      <c r="O38" s="264"/>
    </row>
    <row r="39" ht="18.75" customHeight="1">
      <c r="A39" s="265"/>
      <c r="B39" s="111">
        <v>721.0</v>
      </c>
      <c r="C39" s="135" t="s">
        <v>2027</v>
      </c>
      <c r="D39" s="52">
        <v>622.2</v>
      </c>
      <c r="E39" s="52">
        <v>672.0</v>
      </c>
      <c r="F39" s="248">
        <f t="shared" si="5"/>
        <v>0.08003857281</v>
      </c>
      <c r="G39" s="93"/>
      <c r="H39" s="134"/>
      <c r="I39" s="266">
        <v>20.0</v>
      </c>
      <c r="J39" s="265">
        <v>20.0</v>
      </c>
      <c r="K39" s="265"/>
      <c r="L39" s="264"/>
      <c r="M39" s="264"/>
      <c r="N39" s="264"/>
      <c r="O39" s="264"/>
    </row>
    <row r="40" ht="18.75" customHeight="1">
      <c r="A40" s="265"/>
      <c r="B40" s="111">
        <v>518.0</v>
      </c>
      <c r="C40" s="135" t="s">
        <v>2029</v>
      </c>
      <c r="D40" s="52">
        <v>990.0</v>
      </c>
      <c r="E40" s="52">
        <v>1068.0</v>
      </c>
      <c r="F40" s="248">
        <f t="shared" si="5"/>
        <v>0.07878787879</v>
      </c>
      <c r="G40" s="93"/>
      <c r="H40" s="93"/>
      <c r="I40" s="266">
        <v>20.0</v>
      </c>
      <c r="J40" s="265">
        <v>20.0</v>
      </c>
      <c r="K40" s="265"/>
      <c r="L40" s="264"/>
      <c r="M40" s="264"/>
      <c r="N40" s="264"/>
      <c r="O40" s="264"/>
    </row>
    <row r="41" ht="18.75" customHeight="1">
      <c r="A41" s="157"/>
      <c r="B41" s="91"/>
      <c r="C41" s="56"/>
      <c r="D41" s="109"/>
      <c r="E41" s="109"/>
      <c r="F41" s="248" t="str">
        <f t="shared" ref="F41:F42" si="6">IFERROR(DIVIDE(MINUS(E41,D41),E41),)</f>
        <v/>
      </c>
      <c r="G41" s="93"/>
      <c r="H41" s="93"/>
      <c r="I41" s="266"/>
      <c r="J41" s="265"/>
      <c r="K41" s="265"/>
      <c r="L41" s="264"/>
      <c r="M41" s="264"/>
      <c r="N41" s="264"/>
      <c r="O41" s="264"/>
    </row>
    <row r="42" ht="18.75" customHeight="1">
      <c r="A42" s="265"/>
      <c r="B42" s="107" t="s">
        <v>2031</v>
      </c>
      <c r="C42" s="56"/>
      <c r="D42" s="109"/>
      <c r="E42" s="109"/>
      <c r="F42" s="248" t="str">
        <f t="shared" si="6"/>
        <v/>
      </c>
      <c r="G42" s="93"/>
      <c r="H42" s="93"/>
      <c r="I42" s="266"/>
      <c r="J42" s="265"/>
      <c r="K42" s="265"/>
      <c r="L42" s="264"/>
      <c r="M42" s="264"/>
      <c r="N42" s="264"/>
      <c r="O42" s="264"/>
    </row>
    <row r="43" ht="18.75" customHeight="1">
      <c r="A43" s="265"/>
      <c r="B43" s="111">
        <v>4043.0</v>
      </c>
      <c r="C43" s="135" t="s">
        <v>2033</v>
      </c>
      <c r="D43" s="52">
        <v>4290.0</v>
      </c>
      <c r="E43" s="52">
        <v>4630.0</v>
      </c>
      <c r="F43" s="248">
        <f t="shared" ref="F43:F45" si="7">IFERROR(DIVIDE(MINUS(E43,D43),D43),)</f>
        <v>0.07925407925</v>
      </c>
      <c r="G43" s="93"/>
      <c r="H43" s="134"/>
      <c r="I43" s="120"/>
      <c r="J43" s="134"/>
      <c r="K43" s="265"/>
      <c r="L43" s="264"/>
      <c r="M43" s="264"/>
      <c r="N43" s="264"/>
      <c r="O43" s="264"/>
    </row>
    <row r="44" ht="18.75" customHeight="1">
      <c r="A44" s="265"/>
      <c r="B44" s="111">
        <v>4044.0</v>
      </c>
      <c r="C44" s="135" t="s">
        <v>2035</v>
      </c>
      <c r="D44" s="52">
        <v>1730.0</v>
      </c>
      <c r="E44" s="52">
        <v>1870.0</v>
      </c>
      <c r="F44" s="248">
        <f t="shared" si="7"/>
        <v>0.08092485549</v>
      </c>
      <c r="G44" s="134"/>
      <c r="H44" s="134"/>
      <c r="I44" s="120"/>
      <c r="J44" s="134"/>
      <c r="K44" s="265"/>
      <c r="L44" s="264"/>
      <c r="M44" s="264"/>
      <c r="N44" s="264"/>
      <c r="O44" s="264"/>
    </row>
    <row r="45" ht="18.75" customHeight="1">
      <c r="A45" s="265"/>
      <c r="B45" s="123">
        <v>4045.0</v>
      </c>
      <c r="C45" s="270" t="s">
        <v>2037</v>
      </c>
      <c r="D45" s="125">
        <v>1730.0</v>
      </c>
      <c r="E45" s="52">
        <v>1870.0</v>
      </c>
      <c r="F45" s="248">
        <f t="shared" si="7"/>
        <v>0.08092485549</v>
      </c>
      <c r="G45" s="93"/>
      <c r="H45" s="134"/>
      <c r="I45" s="120"/>
      <c r="J45" s="134"/>
      <c r="K45" s="265"/>
      <c r="L45" s="264"/>
      <c r="M45" s="264"/>
      <c r="N45" s="264"/>
      <c r="O45" s="264"/>
    </row>
    <row r="46" ht="18.75" customHeight="1">
      <c r="A46" s="157"/>
      <c r="B46" s="149"/>
      <c r="C46" s="259"/>
      <c r="D46" s="271"/>
      <c r="E46" s="259"/>
      <c r="F46" s="263"/>
      <c r="G46" s="93"/>
      <c r="H46" s="93"/>
      <c r="I46" s="266"/>
      <c r="J46" s="265"/>
      <c r="K46" s="265"/>
      <c r="L46" s="264"/>
      <c r="M46" s="264"/>
      <c r="N46" s="264"/>
      <c r="O46" s="264"/>
    </row>
    <row r="47" ht="18.75" customHeight="1">
      <c r="A47" s="265"/>
      <c r="B47" s="107" t="s">
        <v>2040</v>
      </c>
      <c r="C47" s="272"/>
      <c r="D47" s="130"/>
      <c r="E47" s="130"/>
      <c r="F47" s="248" t="str">
        <f>IFERROR(DIVIDE(MINUS(E47,D47),E47),)</f>
        <v/>
      </c>
      <c r="G47" s="93"/>
      <c r="H47" s="134"/>
      <c r="I47" s="266"/>
      <c r="J47" s="265"/>
      <c r="K47" s="265"/>
      <c r="L47" s="264"/>
      <c r="M47" s="264"/>
      <c r="N47" s="264"/>
      <c r="O47" s="264"/>
    </row>
    <row r="48" ht="18.75" customHeight="1">
      <c r="A48" s="265"/>
      <c r="B48" s="111" t="s">
        <v>2042</v>
      </c>
      <c r="C48" s="209" t="s">
        <v>2043</v>
      </c>
      <c r="D48" s="137">
        <v>348.0</v>
      </c>
      <c r="E48" s="52">
        <v>376.0</v>
      </c>
      <c r="F48" s="248">
        <f t="shared" ref="F48:F62" si="8">IFERROR(DIVIDE(MINUS(E48,D48),D48),)</f>
        <v>0.08045977011</v>
      </c>
      <c r="G48" s="93"/>
      <c r="H48" s="93"/>
      <c r="I48" s="266">
        <v>50.0</v>
      </c>
      <c r="J48" s="265">
        <v>50.0</v>
      </c>
      <c r="K48" s="265"/>
      <c r="L48" s="264"/>
      <c r="M48" s="264"/>
      <c r="N48" s="264"/>
      <c r="O48" s="264"/>
    </row>
    <row r="49" ht="18.75" customHeight="1">
      <c r="A49" s="265"/>
      <c r="B49" s="111" t="s">
        <v>2045</v>
      </c>
      <c r="C49" s="135" t="s">
        <v>2046</v>
      </c>
      <c r="D49" s="52">
        <v>236.0</v>
      </c>
      <c r="E49" s="52">
        <v>256.0</v>
      </c>
      <c r="F49" s="248">
        <f t="shared" si="8"/>
        <v>0.08474576271</v>
      </c>
      <c r="G49" s="93"/>
      <c r="H49" s="134"/>
      <c r="I49" s="266">
        <v>100.0</v>
      </c>
      <c r="J49" s="265">
        <v>100.0</v>
      </c>
      <c r="K49" s="265"/>
      <c r="L49" s="264"/>
      <c r="M49" s="264"/>
      <c r="N49" s="264"/>
      <c r="O49" s="264"/>
    </row>
    <row r="50" ht="18.75" customHeight="1">
      <c r="A50" s="265"/>
      <c r="B50" s="111" t="s">
        <v>2047</v>
      </c>
      <c r="C50" s="135" t="s">
        <v>2049</v>
      </c>
      <c r="D50" s="52">
        <v>193.8</v>
      </c>
      <c r="E50" s="52">
        <v>208.0</v>
      </c>
      <c r="F50" s="248">
        <f t="shared" si="8"/>
        <v>0.07327141383</v>
      </c>
      <c r="G50" s="93"/>
      <c r="H50" s="93"/>
      <c r="I50" s="266">
        <v>100.0</v>
      </c>
      <c r="J50" s="265">
        <v>200.0</v>
      </c>
      <c r="K50" s="265"/>
      <c r="L50" s="264"/>
      <c r="M50" s="264"/>
      <c r="N50" s="264"/>
      <c r="O50" s="264"/>
    </row>
    <row r="51" ht="18.75" customHeight="1">
      <c r="A51" s="265"/>
      <c r="B51" s="111" t="s">
        <v>2050</v>
      </c>
      <c r="C51" s="135" t="s">
        <v>2051</v>
      </c>
      <c r="D51" s="52">
        <v>246.0</v>
      </c>
      <c r="E51" s="52">
        <v>266.0</v>
      </c>
      <c r="F51" s="248">
        <f t="shared" si="8"/>
        <v>0.08130081301</v>
      </c>
      <c r="G51" s="93"/>
      <c r="H51" s="93"/>
      <c r="I51" s="266">
        <v>100.0</v>
      </c>
      <c r="J51" s="265">
        <v>100.0</v>
      </c>
      <c r="K51" s="265"/>
      <c r="L51" s="264"/>
      <c r="M51" s="264"/>
      <c r="N51" s="264"/>
      <c r="O51" s="264"/>
    </row>
    <row r="52" ht="18.75" customHeight="1">
      <c r="A52" s="265"/>
      <c r="B52" s="111" t="s">
        <v>2053</v>
      </c>
      <c r="C52" s="135" t="s">
        <v>2054</v>
      </c>
      <c r="D52" s="52">
        <v>81.6</v>
      </c>
      <c r="E52" s="52">
        <v>88.0</v>
      </c>
      <c r="F52" s="248">
        <f t="shared" si="8"/>
        <v>0.07843137255</v>
      </c>
      <c r="G52" s="93"/>
      <c r="H52" s="134"/>
      <c r="I52" s="266">
        <v>1000.0</v>
      </c>
      <c r="J52" s="265">
        <v>1000.0</v>
      </c>
      <c r="K52" s="265"/>
      <c r="L52" s="264"/>
      <c r="M52" s="264"/>
      <c r="N52" s="264"/>
      <c r="O52" s="264"/>
    </row>
    <row r="53" ht="18.75" customHeight="1">
      <c r="A53" s="265"/>
      <c r="B53" s="111" t="s">
        <v>2055</v>
      </c>
      <c r="C53" s="135" t="s">
        <v>2056</v>
      </c>
      <c r="D53" s="52">
        <v>81.6</v>
      </c>
      <c r="E53" s="52">
        <v>88.0</v>
      </c>
      <c r="F53" s="248">
        <f t="shared" si="8"/>
        <v>0.07843137255</v>
      </c>
      <c r="G53" s="134"/>
      <c r="H53" s="134"/>
      <c r="I53" s="266">
        <v>1000.0</v>
      </c>
      <c r="J53" s="265">
        <v>1000.0</v>
      </c>
      <c r="K53" s="265"/>
      <c r="L53" s="264"/>
      <c r="M53" s="264"/>
      <c r="N53" s="264"/>
      <c r="O53" s="264"/>
    </row>
    <row r="54" ht="18.75" customHeight="1">
      <c r="A54" s="265"/>
      <c r="B54" s="111" t="s">
        <v>2058</v>
      </c>
      <c r="C54" s="135" t="s">
        <v>2059</v>
      </c>
      <c r="D54" s="52">
        <v>256.0</v>
      </c>
      <c r="E54" s="52">
        <v>276.0</v>
      </c>
      <c r="F54" s="248">
        <f t="shared" si="8"/>
        <v>0.078125</v>
      </c>
      <c r="G54" s="93"/>
      <c r="H54" s="134"/>
      <c r="I54" s="266">
        <v>50.0</v>
      </c>
      <c r="J54" s="265">
        <v>50.0</v>
      </c>
      <c r="K54" s="265"/>
      <c r="L54" s="264"/>
      <c r="M54" s="264"/>
      <c r="N54" s="264"/>
      <c r="O54" s="264"/>
    </row>
    <row r="55" ht="18.75" customHeight="1">
      <c r="A55" s="265"/>
      <c r="B55" s="111" t="s">
        <v>2060</v>
      </c>
      <c r="C55" s="135" t="s">
        <v>2059</v>
      </c>
      <c r="D55" s="52">
        <v>256.0</v>
      </c>
      <c r="E55" s="52">
        <v>276.0</v>
      </c>
      <c r="F55" s="248">
        <f t="shared" si="8"/>
        <v>0.078125</v>
      </c>
      <c r="G55" s="93"/>
      <c r="H55" s="93"/>
      <c r="I55" s="266">
        <v>50.0</v>
      </c>
      <c r="J55" s="265">
        <v>50.0</v>
      </c>
      <c r="K55" s="265"/>
      <c r="L55" s="264"/>
      <c r="M55" s="264"/>
      <c r="N55" s="264"/>
      <c r="O55" s="264"/>
    </row>
    <row r="56" ht="18.75" customHeight="1">
      <c r="A56" s="265"/>
      <c r="B56" s="111" t="s">
        <v>2063</v>
      </c>
      <c r="C56" s="135" t="s">
        <v>2064</v>
      </c>
      <c r="D56" s="52">
        <v>74.0</v>
      </c>
      <c r="E56" s="52">
        <v>80.0</v>
      </c>
      <c r="F56" s="248">
        <f t="shared" si="8"/>
        <v>0.08108108108</v>
      </c>
      <c r="G56" s="93"/>
      <c r="H56" s="93"/>
      <c r="I56" s="266">
        <v>50.0</v>
      </c>
      <c r="J56" s="265">
        <v>50.0</v>
      </c>
      <c r="K56" s="265"/>
      <c r="L56" s="264"/>
      <c r="M56" s="264"/>
      <c r="N56" s="264"/>
      <c r="O56" s="264"/>
    </row>
    <row r="57" ht="18.75" customHeight="1">
      <c r="A57" s="265"/>
      <c r="B57" s="111" t="s">
        <v>2065</v>
      </c>
      <c r="C57" s="135" t="s">
        <v>2066</v>
      </c>
      <c r="D57" s="52">
        <v>183.6</v>
      </c>
      <c r="E57" s="52">
        <v>198.0</v>
      </c>
      <c r="F57" s="248">
        <f t="shared" si="8"/>
        <v>0.07843137255</v>
      </c>
      <c r="G57" s="93"/>
      <c r="H57" s="93"/>
      <c r="I57" s="266">
        <v>100.0</v>
      </c>
      <c r="J57" s="265">
        <v>100.0</v>
      </c>
      <c r="K57" s="265"/>
      <c r="L57" s="264"/>
      <c r="M57" s="264"/>
      <c r="N57" s="264"/>
      <c r="O57" s="264"/>
    </row>
    <row r="58" ht="18.75" customHeight="1">
      <c r="A58" s="265"/>
      <c r="B58" s="111" t="s">
        <v>2067</v>
      </c>
      <c r="C58" s="135" t="s">
        <v>2068</v>
      </c>
      <c r="D58" s="52">
        <v>756.0</v>
      </c>
      <c r="E58" s="52">
        <v>816.0</v>
      </c>
      <c r="F58" s="248">
        <f t="shared" si="8"/>
        <v>0.07936507937</v>
      </c>
      <c r="G58" s="93"/>
      <c r="H58" s="93"/>
      <c r="I58" s="266">
        <v>50.0</v>
      </c>
      <c r="J58" s="265">
        <v>50.0</v>
      </c>
      <c r="K58" s="265"/>
      <c r="L58" s="264"/>
      <c r="M58" s="264"/>
      <c r="N58" s="264"/>
      <c r="O58" s="264"/>
    </row>
    <row r="59" ht="18.75" customHeight="1">
      <c r="A59" s="265"/>
      <c r="B59" s="111" t="s">
        <v>2069</v>
      </c>
      <c r="C59" s="135" t="s">
        <v>2070</v>
      </c>
      <c r="D59" s="52">
        <v>1101.6</v>
      </c>
      <c r="E59" s="52">
        <v>1188.0</v>
      </c>
      <c r="F59" s="248">
        <f t="shared" si="8"/>
        <v>0.07843137255</v>
      </c>
      <c r="G59" s="93"/>
      <c r="H59" s="93"/>
      <c r="I59" s="266">
        <v>50.0</v>
      </c>
      <c r="J59" s="265">
        <v>50.0</v>
      </c>
      <c r="K59" s="265"/>
      <c r="L59" s="264"/>
      <c r="M59" s="264"/>
      <c r="N59" s="264"/>
      <c r="O59" s="264"/>
    </row>
    <row r="60" ht="18.75" customHeight="1">
      <c r="A60" s="265"/>
      <c r="B60" s="111" t="s">
        <v>2072</v>
      </c>
      <c r="C60" s="135" t="s">
        <v>2073</v>
      </c>
      <c r="D60" s="52">
        <v>836.4</v>
      </c>
      <c r="E60" s="52">
        <v>902.0</v>
      </c>
      <c r="F60" s="248">
        <f t="shared" si="8"/>
        <v>0.07843137255</v>
      </c>
      <c r="G60" s="93"/>
      <c r="H60" s="93"/>
      <c r="I60" s="266">
        <v>50.0</v>
      </c>
      <c r="J60" s="265">
        <v>50.0</v>
      </c>
      <c r="K60" s="265"/>
      <c r="L60" s="264"/>
      <c r="M60" s="264"/>
      <c r="N60" s="264"/>
      <c r="O60" s="264"/>
    </row>
    <row r="61" ht="18.75" customHeight="1">
      <c r="A61" s="265"/>
      <c r="B61" s="111" t="s">
        <v>2075</v>
      </c>
      <c r="C61" s="135" t="s">
        <v>2076</v>
      </c>
      <c r="D61" s="52">
        <v>1388.0</v>
      </c>
      <c r="E61" s="52">
        <v>1498.0</v>
      </c>
      <c r="F61" s="248">
        <f t="shared" si="8"/>
        <v>0.07925072046</v>
      </c>
      <c r="G61" s="93"/>
      <c r="H61" s="93"/>
      <c r="I61" s="266">
        <v>50.0</v>
      </c>
      <c r="J61" s="265">
        <v>50.0</v>
      </c>
      <c r="K61" s="265"/>
      <c r="L61" s="264"/>
      <c r="M61" s="264"/>
      <c r="N61" s="264"/>
      <c r="O61" s="264"/>
    </row>
    <row r="62" ht="18.75" customHeight="1">
      <c r="A62" s="265"/>
      <c r="B62" s="123" t="s">
        <v>2077</v>
      </c>
      <c r="C62" s="270" t="s">
        <v>2078</v>
      </c>
      <c r="D62" s="125">
        <v>980.0</v>
      </c>
      <c r="E62" s="52">
        <v>1058.0</v>
      </c>
      <c r="F62" s="248">
        <f t="shared" si="8"/>
        <v>0.07959183673</v>
      </c>
      <c r="G62" s="93"/>
      <c r="H62" s="93"/>
      <c r="I62" s="266">
        <v>50.0</v>
      </c>
      <c r="J62" s="265">
        <v>50.0</v>
      </c>
      <c r="K62" s="265"/>
      <c r="L62" s="264"/>
      <c r="M62" s="264"/>
      <c r="N62" s="264"/>
      <c r="O62" s="264"/>
    </row>
    <row r="63" ht="18.75" customHeight="1">
      <c r="A63" s="157"/>
      <c r="B63" s="149"/>
      <c r="C63" s="259"/>
      <c r="D63" s="139"/>
      <c r="E63" s="139"/>
      <c r="F63" s="248" t="str">
        <f t="shared" ref="F63:F64" si="9">IFERROR(DIVIDE(MINUS(E63,D63),E63),)</f>
        <v/>
      </c>
      <c r="G63" s="93"/>
      <c r="H63" s="93"/>
      <c r="I63" s="266"/>
      <c r="J63" s="265"/>
      <c r="K63" s="265"/>
      <c r="L63" s="264"/>
      <c r="M63" s="264"/>
      <c r="N63" s="264"/>
      <c r="O63" s="264"/>
    </row>
    <row r="64" ht="18.75" customHeight="1">
      <c r="A64" s="265"/>
      <c r="B64" s="107" t="s">
        <v>2081</v>
      </c>
      <c r="C64" s="272"/>
      <c r="D64" s="130"/>
      <c r="E64" s="130"/>
      <c r="F64" s="248" t="str">
        <f t="shared" si="9"/>
        <v/>
      </c>
      <c r="G64" s="93"/>
      <c r="H64" s="93"/>
      <c r="I64" s="266"/>
      <c r="J64" s="265"/>
      <c r="K64" s="265"/>
      <c r="L64" s="264"/>
      <c r="M64" s="264"/>
      <c r="N64" s="264"/>
      <c r="O64" s="264"/>
    </row>
    <row r="65" ht="18.75" customHeight="1">
      <c r="A65" s="265"/>
      <c r="B65" s="111" t="s">
        <v>2083</v>
      </c>
      <c r="C65" s="209" t="s">
        <v>2084</v>
      </c>
      <c r="D65" s="137">
        <v>61.5264</v>
      </c>
      <c r="E65" s="52">
        <v>66.0</v>
      </c>
      <c r="F65" s="248">
        <f t="shared" ref="F65:F78" si="10">IFERROR(DIVIDE(MINUS(E65,D65),D65),)</f>
        <v>0.07271025121</v>
      </c>
      <c r="G65" s="93"/>
      <c r="H65" s="93"/>
      <c r="I65" s="266">
        <v>1000.0</v>
      </c>
      <c r="J65" s="265"/>
      <c r="K65" s="157"/>
      <c r="L65" s="264"/>
      <c r="M65" s="264"/>
      <c r="N65" s="264"/>
      <c r="O65" s="264"/>
    </row>
    <row r="66" ht="18.75" customHeight="1">
      <c r="A66" s="265"/>
      <c r="B66" s="111" t="s">
        <v>2086</v>
      </c>
      <c r="C66" s="135" t="s">
        <v>2087</v>
      </c>
      <c r="D66" s="52">
        <v>77.52</v>
      </c>
      <c r="E66" s="52">
        <v>84.0</v>
      </c>
      <c r="F66" s="248">
        <f t="shared" si="10"/>
        <v>0.08359133127</v>
      </c>
      <c r="G66" s="93"/>
      <c r="H66" s="93"/>
      <c r="I66" s="266">
        <v>1000.0</v>
      </c>
      <c r="J66" s="265"/>
      <c r="K66" s="157"/>
      <c r="L66" s="264"/>
      <c r="M66" s="264"/>
      <c r="N66" s="264"/>
      <c r="O66" s="264"/>
    </row>
    <row r="67" ht="18.75" customHeight="1">
      <c r="A67" s="265"/>
      <c r="B67" s="111" t="s">
        <v>2088</v>
      </c>
      <c r="C67" s="135" t="s">
        <v>2089</v>
      </c>
      <c r="D67" s="52">
        <v>79.56</v>
      </c>
      <c r="E67" s="52">
        <v>86.0</v>
      </c>
      <c r="F67" s="248">
        <f t="shared" si="10"/>
        <v>0.08094519859</v>
      </c>
      <c r="G67" s="93"/>
      <c r="H67" s="93"/>
      <c r="I67" s="266">
        <v>1000.0</v>
      </c>
      <c r="J67" s="265"/>
      <c r="K67" s="157"/>
      <c r="L67" s="264"/>
      <c r="M67" s="264"/>
      <c r="N67" s="264"/>
      <c r="O67" s="264"/>
    </row>
    <row r="68" ht="18.75" customHeight="1">
      <c r="A68" s="265"/>
      <c r="B68" s="111" t="s">
        <v>2091</v>
      </c>
      <c r="C68" s="135" t="s">
        <v>2092</v>
      </c>
      <c r="D68" s="52">
        <v>72.0</v>
      </c>
      <c r="E68" s="52">
        <v>78.0</v>
      </c>
      <c r="F68" s="248">
        <f t="shared" si="10"/>
        <v>0.08333333333</v>
      </c>
      <c r="G68" s="93"/>
      <c r="H68" s="93"/>
      <c r="I68" s="266">
        <v>1000.0</v>
      </c>
      <c r="J68" s="265"/>
      <c r="K68" s="157"/>
      <c r="L68" s="264"/>
      <c r="M68" s="264"/>
      <c r="N68" s="264"/>
      <c r="O68" s="264"/>
    </row>
    <row r="69" ht="18.75" customHeight="1">
      <c r="A69" s="265"/>
      <c r="B69" s="111" t="s">
        <v>2094</v>
      </c>
      <c r="C69" s="135" t="s">
        <v>2095</v>
      </c>
      <c r="D69" s="52">
        <v>77.52</v>
      </c>
      <c r="E69" s="52">
        <v>84.0</v>
      </c>
      <c r="F69" s="248">
        <f t="shared" si="10"/>
        <v>0.08359133127</v>
      </c>
      <c r="G69" s="93"/>
      <c r="H69" s="93"/>
      <c r="I69" s="266">
        <v>1000.0</v>
      </c>
      <c r="J69" s="265"/>
      <c r="K69" s="157"/>
      <c r="L69" s="264"/>
      <c r="M69" s="264"/>
      <c r="N69" s="264"/>
      <c r="O69" s="264"/>
    </row>
    <row r="70" ht="18.75" customHeight="1">
      <c r="A70" s="265"/>
      <c r="B70" s="111">
        <v>300.0</v>
      </c>
      <c r="C70" s="135" t="s">
        <v>2096</v>
      </c>
      <c r="D70" s="52">
        <v>101.8368</v>
      </c>
      <c r="E70" s="52">
        <v>110.0</v>
      </c>
      <c r="F70" s="248">
        <f t="shared" si="10"/>
        <v>0.08015962795</v>
      </c>
      <c r="G70" s="93"/>
      <c r="H70" s="93"/>
      <c r="I70" s="266">
        <v>1000.0</v>
      </c>
      <c r="J70" s="265"/>
      <c r="K70" s="157"/>
      <c r="L70" s="264"/>
      <c r="M70" s="264"/>
      <c r="N70" s="264"/>
      <c r="O70" s="264"/>
    </row>
    <row r="71" ht="18.75" customHeight="1">
      <c r="A71" s="265"/>
      <c r="B71" s="111">
        <v>301.0</v>
      </c>
      <c r="C71" s="135" t="s">
        <v>2098</v>
      </c>
      <c r="D71" s="52">
        <v>48.0</v>
      </c>
      <c r="E71" s="52">
        <v>52.0</v>
      </c>
      <c r="F71" s="248">
        <f t="shared" si="10"/>
        <v>0.08333333333</v>
      </c>
      <c r="G71" s="93"/>
      <c r="H71" s="93"/>
      <c r="I71" s="266">
        <v>1000.0</v>
      </c>
      <c r="J71" s="265"/>
      <c r="K71" s="157"/>
      <c r="L71" s="264"/>
      <c r="M71" s="264"/>
      <c r="N71" s="264"/>
      <c r="O71" s="264"/>
    </row>
    <row r="72" ht="18.75" customHeight="1">
      <c r="A72" s="265"/>
      <c r="B72" s="111">
        <v>302.0</v>
      </c>
      <c r="C72" s="135" t="s">
        <v>2099</v>
      </c>
      <c r="D72" s="52">
        <v>42.0</v>
      </c>
      <c r="E72" s="52">
        <v>46.0</v>
      </c>
      <c r="F72" s="248">
        <f t="shared" si="10"/>
        <v>0.09523809524</v>
      </c>
      <c r="G72" s="93"/>
      <c r="H72" s="93"/>
      <c r="I72" s="266">
        <v>1000.0</v>
      </c>
      <c r="J72" s="265"/>
      <c r="K72" s="157"/>
      <c r="L72" s="264"/>
      <c r="M72" s="264"/>
      <c r="N72" s="264"/>
      <c r="O72" s="264"/>
    </row>
    <row r="73" ht="18.75" customHeight="1">
      <c r="A73" s="265"/>
      <c r="B73" s="111">
        <v>311.0</v>
      </c>
      <c r="C73" s="135" t="s">
        <v>2101</v>
      </c>
      <c r="D73" s="52">
        <v>40.3104</v>
      </c>
      <c r="E73" s="52">
        <v>44.0</v>
      </c>
      <c r="F73" s="248">
        <f t="shared" si="10"/>
        <v>0.0915297293</v>
      </c>
      <c r="G73" s="93"/>
      <c r="H73" s="93"/>
      <c r="I73" s="266">
        <v>1000.0</v>
      </c>
      <c r="J73" s="265"/>
      <c r="K73" s="157"/>
      <c r="L73" s="264"/>
      <c r="M73" s="264"/>
      <c r="N73" s="264"/>
      <c r="O73" s="264"/>
    </row>
    <row r="74" ht="18.75" customHeight="1">
      <c r="A74" s="265"/>
      <c r="B74" s="111">
        <v>312.0</v>
      </c>
      <c r="C74" s="135" t="s">
        <v>2103</v>
      </c>
      <c r="D74" s="52">
        <v>58.0</v>
      </c>
      <c r="E74" s="52">
        <v>62.0</v>
      </c>
      <c r="F74" s="248">
        <f t="shared" si="10"/>
        <v>0.06896551724</v>
      </c>
      <c r="G74" s="93"/>
      <c r="H74" s="93"/>
      <c r="I74" s="266">
        <v>1000.0</v>
      </c>
      <c r="J74" s="265"/>
      <c r="K74" s="157"/>
      <c r="L74" s="264"/>
      <c r="M74" s="264"/>
      <c r="N74" s="264"/>
      <c r="O74" s="264"/>
    </row>
    <row r="75" ht="18.75" customHeight="1">
      <c r="A75" s="265"/>
      <c r="B75" s="111">
        <v>313.0</v>
      </c>
      <c r="C75" s="135" t="s">
        <v>2104</v>
      </c>
      <c r="D75" s="52">
        <v>112.4448</v>
      </c>
      <c r="E75" s="52">
        <v>122.0</v>
      </c>
      <c r="F75" s="248">
        <f t="shared" si="10"/>
        <v>0.0849768064</v>
      </c>
      <c r="G75" s="93"/>
      <c r="H75" s="93"/>
      <c r="I75" s="266">
        <v>1000.0</v>
      </c>
      <c r="J75" s="265"/>
      <c r="K75" s="157"/>
      <c r="L75" s="264"/>
      <c r="M75" s="264"/>
      <c r="N75" s="264"/>
      <c r="O75" s="264"/>
    </row>
    <row r="76" ht="18.75" customHeight="1">
      <c r="A76" s="265"/>
      <c r="B76" s="111">
        <v>314.0</v>
      </c>
      <c r="C76" s="135" t="s">
        <v>2106</v>
      </c>
      <c r="D76" s="52">
        <v>142.0</v>
      </c>
      <c r="E76" s="52">
        <v>154.0</v>
      </c>
      <c r="F76" s="248">
        <f t="shared" si="10"/>
        <v>0.08450704225</v>
      </c>
      <c r="G76" s="93"/>
      <c r="H76" s="93"/>
      <c r="I76" s="266">
        <v>1000.0</v>
      </c>
      <c r="J76" s="265"/>
      <c r="K76" s="157"/>
      <c r="L76" s="264"/>
      <c r="M76" s="264"/>
      <c r="N76" s="264"/>
      <c r="O76" s="264"/>
    </row>
    <row r="77" ht="18.75" customHeight="1">
      <c r="A77" s="265"/>
      <c r="B77" s="111">
        <v>315.0</v>
      </c>
      <c r="C77" s="135" t="s">
        <v>2107</v>
      </c>
      <c r="D77" s="52">
        <v>169.728</v>
      </c>
      <c r="E77" s="52">
        <v>184.0</v>
      </c>
      <c r="F77" s="248">
        <f t="shared" si="10"/>
        <v>0.08408748115</v>
      </c>
      <c r="G77" s="93"/>
      <c r="H77" s="93"/>
      <c r="I77" s="266">
        <v>500.0</v>
      </c>
      <c r="J77" s="265"/>
      <c r="K77" s="157"/>
      <c r="L77" s="264"/>
      <c r="M77" s="264"/>
      <c r="N77" s="264"/>
      <c r="O77" s="264"/>
    </row>
    <row r="78" ht="18.75" customHeight="1">
      <c r="A78" s="265"/>
      <c r="B78" s="111">
        <v>316.0</v>
      </c>
      <c r="C78" s="135" t="s">
        <v>2109</v>
      </c>
      <c r="D78" s="52">
        <v>185.64</v>
      </c>
      <c r="E78" s="52">
        <v>198.0</v>
      </c>
      <c r="F78" s="248">
        <f t="shared" si="10"/>
        <v>0.06658047835</v>
      </c>
      <c r="G78" s="93"/>
      <c r="H78" s="93"/>
      <c r="I78" s="266">
        <v>500.0</v>
      </c>
      <c r="J78" s="265"/>
      <c r="K78" s="157"/>
      <c r="L78" s="264"/>
      <c r="M78" s="264"/>
      <c r="N78" s="264"/>
      <c r="O78" s="264"/>
    </row>
    <row r="79" ht="18.75" customHeight="1">
      <c r="A79" s="157"/>
      <c r="B79" s="91"/>
      <c r="C79" s="56"/>
      <c r="D79" s="93"/>
      <c r="E79" s="109"/>
      <c r="F79" s="248" t="str">
        <f>IFERROR(DIVIDE(MINUS(E79,D79),E79),)</f>
        <v/>
      </c>
      <c r="G79" s="93"/>
      <c r="H79" s="93"/>
      <c r="I79" s="266"/>
      <c r="J79" s="265"/>
      <c r="K79" s="157"/>
      <c r="L79" s="264"/>
      <c r="M79" s="264"/>
      <c r="N79" s="264"/>
      <c r="O79" s="264"/>
    </row>
    <row r="80">
      <c r="A80" s="273"/>
      <c r="B80" s="274"/>
      <c r="C80" s="200"/>
      <c r="D80" s="275"/>
      <c r="E80" s="200"/>
      <c r="F80" s="276"/>
      <c r="G80" s="275"/>
      <c r="H80" s="275"/>
      <c r="I80" s="275"/>
      <c r="J80" s="275"/>
      <c r="K80" s="273"/>
      <c r="L80" s="188"/>
      <c r="M80" s="188"/>
      <c r="N80" s="188"/>
      <c r="O80" s="188"/>
    </row>
    <row r="81">
      <c r="A81" s="273"/>
      <c r="B81" s="274"/>
      <c r="C81" s="200"/>
      <c r="D81" s="275"/>
      <c r="E81" s="200"/>
      <c r="F81" s="276"/>
      <c r="G81" s="275"/>
      <c r="H81" s="275"/>
      <c r="I81" s="273"/>
      <c r="J81" s="273"/>
      <c r="K81" s="273"/>
      <c r="L81" s="188"/>
      <c r="M81" s="188"/>
      <c r="N81" s="188"/>
      <c r="O81" s="188"/>
    </row>
    <row r="82">
      <c r="A82" s="273"/>
      <c r="B82" s="274"/>
      <c r="C82" s="200"/>
      <c r="D82" s="275"/>
      <c r="E82" s="200"/>
      <c r="F82" s="276"/>
      <c r="G82" s="275"/>
      <c r="H82" s="275"/>
      <c r="I82" s="273"/>
      <c r="J82" s="273"/>
      <c r="K82" s="273"/>
      <c r="L82" s="188"/>
      <c r="M82" s="188"/>
      <c r="N82" s="188"/>
      <c r="O82" s="188"/>
    </row>
    <row r="83">
      <c r="A83" s="273"/>
      <c r="B83" s="274"/>
      <c r="C83" s="200"/>
      <c r="D83" s="275"/>
      <c r="E83" s="200"/>
      <c r="F83" s="276"/>
      <c r="G83" s="275"/>
      <c r="H83" s="275"/>
      <c r="I83" s="273"/>
      <c r="J83" s="273"/>
      <c r="K83" s="273"/>
      <c r="L83" s="188"/>
      <c r="M83" s="188"/>
      <c r="N83" s="188"/>
      <c r="O83" s="188"/>
    </row>
    <row r="84">
      <c r="A84" s="273"/>
      <c r="B84" s="274"/>
      <c r="C84" s="200"/>
      <c r="D84" s="275"/>
      <c r="E84" s="200"/>
      <c r="F84" s="276"/>
      <c r="G84" s="275"/>
      <c r="H84" s="275"/>
      <c r="I84" s="273"/>
      <c r="J84" s="273"/>
      <c r="K84" s="273"/>
      <c r="L84" s="188"/>
      <c r="M84" s="188"/>
      <c r="N84" s="188"/>
      <c r="O84" s="188"/>
    </row>
    <row r="85">
      <c r="A85" s="273"/>
      <c r="B85" s="274"/>
      <c r="C85" s="200"/>
      <c r="D85" s="275"/>
      <c r="E85" s="200"/>
      <c r="F85" s="276"/>
      <c r="G85" s="275"/>
      <c r="H85" s="275"/>
      <c r="I85" s="273"/>
      <c r="J85" s="273"/>
      <c r="K85" s="273"/>
      <c r="L85" s="188"/>
      <c r="M85" s="188"/>
      <c r="N85" s="188"/>
      <c r="O85" s="188"/>
    </row>
    <row r="86">
      <c r="A86" s="273"/>
      <c r="B86" s="274"/>
      <c r="C86" s="200"/>
      <c r="D86" s="275"/>
      <c r="E86" s="200"/>
      <c r="F86" s="276"/>
      <c r="G86" s="275"/>
      <c r="H86" s="275"/>
      <c r="I86" s="273"/>
      <c r="J86" s="273"/>
      <c r="K86" s="273"/>
      <c r="L86" s="188"/>
      <c r="M86" s="188"/>
      <c r="N86" s="188"/>
      <c r="O86" s="188"/>
    </row>
    <row r="87">
      <c r="A87" s="273"/>
      <c r="B87" s="274"/>
      <c r="C87" s="200"/>
      <c r="D87" s="275"/>
      <c r="E87" s="200"/>
      <c r="F87" s="276"/>
      <c r="G87" s="275"/>
      <c r="H87" s="275"/>
      <c r="I87" s="273"/>
      <c r="J87" s="273"/>
      <c r="K87" s="273"/>
      <c r="L87" s="188"/>
      <c r="M87" s="188"/>
      <c r="N87" s="188"/>
      <c r="O87" s="188"/>
    </row>
    <row r="88">
      <c r="A88" s="273"/>
      <c r="B88" s="274"/>
      <c r="C88" s="200"/>
      <c r="D88" s="275"/>
      <c r="E88" s="200"/>
      <c r="F88" s="276"/>
      <c r="G88" s="275"/>
      <c r="H88" s="275"/>
      <c r="I88" s="273"/>
      <c r="J88" s="273"/>
      <c r="K88" s="273"/>
      <c r="L88" s="188"/>
      <c r="M88" s="188"/>
      <c r="N88" s="188"/>
      <c r="O88" s="188"/>
    </row>
    <row r="89">
      <c r="A89" s="273"/>
      <c r="B89" s="274"/>
      <c r="C89" s="200"/>
      <c r="D89" s="275"/>
      <c r="E89" s="200"/>
      <c r="F89" s="276"/>
      <c r="G89" s="275"/>
      <c r="H89" s="275"/>
      <c r="I89" s="273"/>
      <c r="J89" s="273"/>
      <c r="K89" s="273"/>
      <c r="L89" s="188"/>
      <c r="M89" s="188"/>
      <c r="N89" s="188"/>
      <c r="O89" s="188"/>
    </row>
    <row r="90">
      <c r="A90" s="273"/>
      <c r="B90" s="274"/>
      <c r="C90" s="200"/>
      <c r="D90" s="275"/>
      <c r="E90" s="200"/>
      <c r="F90" s="276"/>
      <c r="G90" s="275"/>
      <c r="H90" s="275"/>
      <c r="I90" s="273"/>
      <c r="J90" s="273"/>
      <c r="K90" s="273"/>
      <c r="L90" s="188"/>
      <c r="M90" s="188"/>
      <c r="N90" s="188"/>
      <c r="O90" s="188"/>
    </row>
    <row r="91">
      <c r="A91" s="273"/>
      <c r="B91" s="274"/>
      <c r="C91" s="200"/>
      <c r="D91" s="275"/>
      <c r="E91" s="200"/>
      <c r="F91" s="276"/>
      <c r="G91" s="275"/>
      <c r="H91" s="275"/>
      <c r="I91" s="273"/>
      <c r="J91" s="273"/>
      <c r="K91" s="273"/>
      <c r="L91" s="188"/>
      <c r="M91" s="188"/>
      <c r="N91" s="188"/>
      <c r="O91" s="188"/>
    </row>
    <row r="92">
      <c r="A92" s="273"/>
      <c r="B92" s="274"/>
      <c r="C92" s="200"/>
      <c r="D92" s="275"/>
      <c r="E92" s="200"/>
      <c r="F92" s="276"/>
      <c r="G92" s="275"/>
      <c r="H92" s="275"/>
      <c r="I92" s="273"/>
      <c r="J92" s="273"/>
      <c r="K92" s="273"/>
      <c r="L92" s="188"/>
      <c r="M92" s="188"/>
      <c r="N92" s="188"/>
      <c r="O92" s="188"/>
    </row>
    <row r="93">
      <c r="A93" s="273"/>
      <c r="B93" s="274"/>
      <c r="C93" s="200"/>
      <c r="D93" s="275"/>
      <c r="E93" s="200"/>
      <c r="F93" s="276"/>
      <c r="G93" s="275"/>
      <c r="H93" s="275"/>
      <c r="I93" s="273"/>
      <c r="J93" s="273"/>
      <c r="K93" s="273"/>
      <c r="L93" s="188"/>
      <c r="M93" s="188"/>
      <c r="N93" s="188"/>
      <c r="O93" s="188"/>
    </row>
    <row r="94">
      <c r="A94" s="273"/>
      <c r="B94" s="274"/>
      <c r="C94" s="200"/>
      <c r="D94" s="275"/>
      <c r="E94" s="200"/>
      <c r="F94" s="276"/>
      <c r="G94" s="275"/>
      <c r="H94" s="275"/>
      <c r="I94" s="273"/>
      <c r="J94" s="273"/>
      <c r="K94" s="273"/>
      <c r="L94" s="188"/>
      <c r="M94" s="188"/>
      <c r="N94" s="188"/>
      <c r="O94" s="188"/>
    </row>
    <row r="95">
      <c r="A95" s="273"/>
      <c r="B95" s="274"/>
      <c r="C95" s="200"/>
      <c r="D95" s="275"/>
      <c r="E95" s="200"/>
      <c r="F95" s="276"/>
      <c r="G95" s="275"/>
      <c r="H95" s="275"/>
      <c r="I95" s="273"/>
      <c r="J95" s="273"/>
      <c r="K95" s="273"/>
      <c r="L95" s="188"/>
      <c r="M95" s="188"/>
      <c r="N95" s="188"/>
      <c r="O95" s="188"/>
    </row>
    <row r="96">
      <c r="A96" s="273"/>
      <c r="B96" s="274"/>
      <c r="C96" s="200"/>
      <c r="D96" s="275"/>
      <c r="E96" s="200"/>
      <c r="F96" s="276"/>
      <c r="G96" s="275"/>
      <c r="H96" s="275"/>
      <c r="I96" s="273"/>
      <c r="J96" s="273"/>
      <c r="K96" s="273"/>
      <c r="L96" s="188"/>
      <c r="M96" s="188"/>
      <c r="N96" s="188"/>
      <c r="O96" s="188"/>
    </row>
    <row r="97">
      <c r="A97" s="273"/>
      <c r="B97" s="274"/>
      <c r="C97" s="200"/>
      <c r="D97" s="275"/>
      <c r="E97" s="200"/>
      <c r="F97" s="276"/>
      <c r="G97" s="275"/>
      <c r="H97" s="275"/>
      <c r="I97" s="273"/>
      <c r="J97" s="273"/>
      <c r="K97" s="273"/>
      <c r="L97" s="188"/>
      <c r="M97" s="188"/>
      <c r="N97" s="188"/>
      <c r="O97" s="188"/>
    </row>
    <row r="98">
      <c r="A98" s="273"/>
      <c r="B98" s="274"/>
      <c r="C98" s="200"/>
      <c r="D98" s="275"/>
      <c r="E98" s="200"/>
      <c r="F98" s="276"/>
      <c r="G98" s="275"/>
      <c r="H98" s="275"/>
      <c r="I98" s="273"/>
      <c r="J98" s="273"/>
      <c r="K98" s="273"/>
      <c r="L98" s="188"/>
      <c r="M98" s="188"/>
      <c r="N98" s="188"/>
      <c r="O98" s="188"/>
    </row>
    <row r="99">
      <c r="A99" s="273"/>
      <c r="B99" s="274"/>
      <c r="C99" s="200"/>
      <c r="D99" s="275"/>
      <c r="E99" s="200"/>
      <c r="F99" s="276"/>
      <c r="G99" s="275"/>
      <c r="H99" s="275"/>
      <c r="I99" s="273"/>
      <c r="J99" s="273"/>
      <c r="K99" s="273"/>
      <c r="L99" s="188"/>
      <c r="M99" s="188"/>
      <c r="N99" s="188"/>
      <c r="O99" s="188"/>
    </row>
    <row r="100">
      <c r="A100" s="273"/>
      <c r="B100" s="274"/>
      <c r="C100" s="200"/>
      <c r="D100" s="275"/>
      <c r="E100" s="200"/>
      <c r="F100" s="276"/>
      <c r="G100" s="275"/>
      <c r="H100" s="275"/>
      <c r="I100" s="273"/>
      <c r="J100" s="273"/>
      <c r="K100" s="273"/>
      <c r="L100" s="188"/>
      <c r="M100" s="188"/>
      <c r="N100" s="188"/>
      <c r="O100" s="188"/>
    </row>
    <row r="101">
      <c r="A101" s="273"/>
      <c r="B101" s="274"/>
      <c r="C101" s="200"/>
      <c r="D101" s="275"/>
      <c r="E101" s="200"/>
      <c r="F101" s="276"/>
      <c r="G101" s="275"/>
      <c r="H101" s="275"/>
      <c r="I101" s="273"/>
      <c r="J101" s="273"/>
      <c r="K101" s="273"/>
      <c r="L101" s="188"/>
      <c r="M101" s="188"/>
      <c r="N101" s="188"/>
      <c r="O101" s="188"/>
    </row>
    <row r="102">
      <c r="A102" s="273"/>
      <c r="B102" s="274"/>
      <c r="C102" s="200"/>
      <c r="D102" s="275"/>
      <c r="E102" s="200"/>
      <c r="F102" s="276"/>
      <c r="G102" s="275"/>
      <c r="H102" s="275"/>
      <c r="I102" s="273"/>
      <c r="J102" s="273"/>
      <c r="K102" s="273"/>
      <c r="L102" s="188"/>
      <c r="M102" s="188"/>
      <c r="N102" s="188"/>
      <c r="O102" s="188"/>
    </row>
    <row r="103">
      <c r="A103" s="273"/>
      <c r="B103" s="274"/>
      <c r="C103" s="200"/>
      <c r="D103" s="275"/>
      <c r="E103" s="200"/>
      <c r="F103" s="276"/>
      <c r="G103" s="275"/>
      <c r="H103" s="275"/>
      <c r="I103" s="273"/>
      <c r="J103" s="273"/>
      <c r="K103" s="273"/>
      <c r="L103" s="188"/>
      <c r="M103" s="188"/>
      <c r="N103" s="188"/>
      <c r="O103" s="188"/>
    </row>
    <row r="104">
      <c r="A104" s="273"/>
      <c r="B104" s="274"/>
      <c r="C104" s="200"/>
      <c r="D104" s="275"/>
      <c r="E104" s="200"/>
      <c r="F104" s="276"/>
      <c r="G104" s="275"/>
      <c r="H104" s="275"/>
      <c r="I104" s="273"/>
      <c r="J104" s="273"/>
      <c r="K104" s="273"/>
      <c r="L104" s="188"/>
      <c r="M104" s="188"/>
      <c r="N104" s="188"/>
      <c r="O104" s="188"/>
    </row>
    <row r="105">
      <c r="A105" s="273"/>
      <c r="B105" s="274"/>
      <c r="C105" s="200"/>
      <c r="D105" s="275"/>
      <c r="E105" s="200"/>
      <c r="F105" s="276"/>
      <c r="G105" s="275"/>
      <c r="H105" s="275"/>
      <c r="I105" s="273"/>
      <c r="J105" s="273"/>
      <c r="K105" s="273"/>
      <c r="L105" s="188"/>
      <c r="M105" s="188"/>
      <c r="N105" s="188"/>
      <c r="O105" s="188"/>
    </row>
    <row r="106">
      <c r="A106" s="273"/>
      <c r="B106" s="274"/>
      <c r="C106" s="200"/>
      <c r="D106" s="275"/>
      <c r="E106" s="200"/>
      <c r="F106" s="276"/>
      <c r="G106" s="275"/>
      <c r="H106" s="275"/>
      <c r="I106" s="273"/>
      <c r="J106" s="273"/>
      <c r="K106" s="273"/>
      <c r="L106" s="188"/>
      <c r="M106" s="188"/>
      <c r="N106" s="188"/>
      <c r="O106" s="188"/>
    </row>
    <row r="107">
      <c r="A107" s="273"/>
      <c r="B107" s="274"/>
      <c r="C107" s="200"/>
      <c r="D107" s="275"/>
      <c r="E107" s="200"/>
      <c r="F107" s="276"/>
      <c r="G107" s="275"/>
      <c r="H107" s="275"/>
      <c r="I107" s="273"/>
      <c r="J107" s="273"/>
      <c r="K107" s="273"/>
      <c r="L107" s="188"/>
      <c r="M107" s="188"/>
      <c r="N107" s="188"/>
      <c r="O107" s="188"/>
    </row>
    <row r="108">
      <c r="A108" s="273"/>
      <c r="B108" s="274"/>
      <c r="C108" s="200"/>
      <c r="D108" s="275"/>
      <c r="E108" s="200"/>
      <c r="F108" s="276"/>
      <c r="G108" s="275"/>
      <c r="H108" s="275"/>
      <c r="I108" s="273"/>
      <c r="J108" s="273"/>
      <c r="K108" s="273"/>
      <c r="L108" s="188"/>
      <c r="M108" s="188"/>
      <c r="N108" s="188"/>
      <c r="O108" s="188"/>
    </row>
    <row r="109">
      <c r="A109" s="273"/>
      <c r="B109" s="274"/>
      <c r="C109" s="200"/>
      <c r="D109" s="275"/>
      <c r="E109" s="200"/>
      <c r="F109" s="276"/>
      <c r="G109" s="275"/>
      <c r="H109" s="275"/>
      <c r="I109" s="273"/>
      <c r="J109" s="273"/>
      <c r="K109" s="273"/>
      <c r="L109" s="188"/>
      <c r="M109" s="188"/>
      <c r="N109" s="188"/>
      <c r="O109" s="188"/>
    </row>
    <row r="110">
      <c r="A110" s="273"/>
      <c r="B110" s="274"/>
      <c r="C110" s="200"/>
      <c r="D110" s="275"/>
      <c r="E110" s="200"/>
      <c r="F110" s="276"/>
      <c r="G110" s="275"/>
      <c r="H110" s="275"/>
      <c r="I110" s="273"/>
      <c r="J110" s="273"/>
      <c r="K110" s="273"/>
      <c r="L110" s="188"/>
      <c r="M110" s="188"/>
      <c r="N110" s="188"/>
      <c r="O110" s="188"/>
    </row>
    <row r="111">
      <c r="A111" s="273"/>
      <c r="B111" s="274"/>
      <c r="C111" s="200"/>
      <c r="D111" s="275"/>
      <c r="E111" s="200"/>
      <c r="F111" s="276"/>
      <c r="G111" s="275"/>
      <c r="H111" s="275"/>
      <c r="I111" s="273"/>
      <c r="J111" s="273"/>
      <c r="K111" s="273"/>
      <c r="L111" s="188"/>
      <c r="M111" s="188"/>
      <c r="N111" s="188"/>
      <c r="O111" s="188"/>
    </row>
    <row r="112">
      <c r="A112" s="273"/>
      <c r="B112" s="274"/>
      <c r="C112" s="200"/>
      <c r="D112" s="275"/>
      <c r="E112" s="200"/>
      <c r="F112" s="276"/>
      <c r="G112" s="275"/>
      <c r="H112" s="275"/>
      <c r="I112" s="273"/>
      <c r="J112" s="273"/>
      <c r="K112" s="273"/>
      <c r="L112" s="188"/>
      <c r="M112" s="188"/>
      <c r="N112" s="188"/>
      <c r="O112" s="188"/>
    </row>
    <row r="113">
      <c r="A113" s="273"/>
      <c r="B113" s="274"/>
      <c r="C113" s="200"/>
      <c r="D113" s="275"/>
      <c r="E113" s="200"/>
      <c r="F113" s="276"/>
      <c r="G113" s="275"/>
      <c r="H113" s="275"/>
      <c r="I113" s="273"/>
      <c r="J113" s="273"/>
      <c r="K113" s="273"/>
      <c r="L113" s="188"/>
      <c r="M113" s="188"/>
      <c r="N113" s="188"/>
      <c r="O113" s="188"/>
    </row>
    <row r="114">
      <c r="A114" s="273"/>
      <c r="B114" s="274"/>
      <c r="C114" s="200"/>
      <c r="D114" s="275"/>
      <c r="E114" s="200"/>
      <c r="F114" s="276"/>
      <c r="G114" s="275"/>
      <c r="H114" s="275"/>
      <c r="I114" s="273"/>
      <c r="J114" s="273"/>
      <c r="K114" s="273"/>
      <c r="L114" s="188"/>
      <c r="M114" s="188"/>
      <c r="N114" s="188"/>
      <c r="O114" s="188"/>
    </row>
    <row r="115">
      <c r="A115" s="273"/>
      <c r="B115" s="274"/>
      <c r="C115" s="200"/>
      <c r="D115" s="275"/>
      <c r="E115" s="200"/>
      <c r="F115" s="276"/>
      <c r="G115" s="275"/>
      <c r="H115" s="275"/>
      <c r="I115" s="273"/>
      <c r="J115" s="273"/>
      <c r="K115" s="273"/>
      <c r="L115" s="188"/>
      <c r="M115" s="188"/>
      <c r="N115" s="188"/>
      <c r="O115" s="188"/>
    </row>
    <row r="116">
      <c r="A116" s="273"/>
      <c r="B116" s="274"/>
      <c r="C116" s="200"/>
      <c r="D116" s="275"/>
      <c r="E116" s="200"/>
      <c r="F116" s="276"/>
      <c r="G116" s="275"/>
      <c r="H116" s="275"/>
      <c r="I116" s="273"/>
      <c r="J116" s="273"/>
      <c r="K116" s="273"/>
      <c r="L116" s="188"/>
      <c r="M116" s="188"/>
      <c r="N116" s="188"/>
      <c r="O116" s="188"/>
    </row>
    <row r="117">
      <c r="A117" s="273"/>
      <c r="B117" s="274"/>
      <c r="C117" s="200"/>
      <c r="D117" s="275"/>
      <c r="E117" s="200"/>
      <c r="F117" s="276"/>
      <c r="G117" s="275"/>
      <c r="H117" s="275"/>
      <c r="I117" s="273"/>
      <c r="J117" s="273"/>
      <c r="K117" s="273"/>
      <c r="L117" s="188"/>
      <c r="M117" s="188"/>
      <c r="N117" s="188"/>
      <c r="O117" s="188"/>
    </row>
    <row r="118">
      <c r="A118" s="273"/>
      <c r="B118" s="274"/>
      <c r="C118" s="200"/>
      <c r="D118" s="275"/>
      <c r="E118" s="200"/>
      <c r="F118" s="276"/>
      <c r="G118" s="275"/>
      <c r="H118" s="275"/>
      <c r="I118" s="273"/>
      <c r="J118" s="273"/>
      <c r="K118" s="273"/>
      <c r="L118" s="188"/>
      <c r="M118" s="188"/>
      <c r="N118" s="188"/>
      <c r="O118" s="188"/>
    </row>
    <row r="119">
      <c r="A119" s="273"/>
      <c r="B119" s="274"/>
      <c r="C119" s="200"/>
      <c r="D119" s="275"/>
      <c r="E119" s="200"/>
      <c r="F119" s="276"/>
      <c r="G119" s="275"/>
      <c r="H119" s="275"/>
      <c r="I119" s="273"/>
      <c r="J119" s="273"/>
      <c r="K119" s="273"/>
      <c r="L119" s="188"/>
      <c r="M119" s="188"/>
      <c r="N119" s="188"/>
      <c r="O119" s="188"/>
    </row>
    <row r="120">
      <c r="A120" s="273"/>
      <c r="B120" s="274"/>
      <c r="C120" s="200"/>
      <c r="D120" s="275"/>
      <c r="E120" s="200"/>
      <c r="F120" s="276"/>
      <c r="G120" s="275"/>
      <c r="H120" s="275"/>
      <c r="I120" s="273"/>
      <c r="J120" s="273"/>
      <c r="K120" s="273"/>
      <c r="L120" s="188"/>
      <c r="M120" s="188"/>
      <c r="N120" s="188"/>
      <c r="O120" s="188"/>
    </row>
    <row r="121">
      <c r="A121" s="273"/>
      <c r="B121" s="274"/>
      <c r="C121" s="200"/>
      <c r="D121" s="275"/>
      <c r="E121" s="200"/>
      <c r="F121" s="276"/>
      <c r="G121" s="275"/>
      <c r="H121" s="275"/>
      <c r="I121" s="273"/>
      <c r="J121" s="273"/>
      <c r="K121" s="273"/>
      <c r="L121" s="188"/>
      <c r="M121" s="188"/>
      <c r="N121" s="188"/>
      <c r="O121" s="188"/>
    </row>
    <row r="122">
      <c r="A122" s="273"/>
      <c r="B122" s="274"/>
      <c r="C122" s="200"/>
      <c r="D122" s="275"/>
      <c r="E122" s="200"/>
      <c r="F122" s="276"/>
      <c r="G122" s="275"/>
      <c r="H122" s="275"/>
      <c r="I122" s="273"/>
      <c r="J122" s="273"/>
      <c r="K122" s="273"/>
      <c r="L122" s="188"/>
      <c r="M122" s="188"/>
      <c r="N122" s="188"/>
      <c r="O122" s="188"/>
    </row>
    <row r="123">
      <c r="A123" s="273"/>
      <c r="B123" s="274"/>
      <c r="C123" s="200"/>
      <c r="D123" s="275"/>
      <c r="E123" s="200"/>
      <c r="F123" s="276"/>
      <c r="G123" s="275"/>
      <c r="H123" s="275"/>
      <c r="I123" s="273"/>
      <c r="J123" s="273"/>
      <c r="K123" s="273"/>
      <c r="L123" s="188"/>
      <c r="M123" s="188"/>
      <c r="N123" s="188"/>
      <c r="O123" s="188"/>
    </row>
    <row r="124">
      <c r="A124" s="273"/>
      <c r="B124" s="274"/>
      <c r="C124" s="200"/>
      <c r="D124" s="275"/>
      <c r="E124" s="200"/>
      <c r="F124" s="276"/>
      <c r="G124" s="275"/>
      <c r="H124" s="275"/>
      <c r="I124" s="273"/>
      <c r="J124" s="273"/>
      <c r="K124" s="273"/>
      <c r="L124" s="188"/>
      <c r="M124" s="188"/>
      <c r="N124" s="188"/>
      <c r="O124" s="188"/>
    </row>
    <row r="125">
      <c r="A125" s="273"/>
      <c r="B125" s="274"/>
      <c r="C125" s="200"/>
      <c r="D125" s="275"/>
      <c r="E125" s="200"/>
      <c r="F125" s="276"/>
      <c r="G125" s="275"/>
      <c r="H125" s="275"/>
      <c r="I125" s="273"/>
      <c r="J125" s="273"/>
      <c r="K125" s="273"/>
      <c r="L125" s="188"/>
      <c r="M125" s="188"/>
      <c r="N125" s="188"/>
      <c r="O125" s="188"/>
    </row>
    <row r="126">
      <c r="A126" s="273"/>
      <c r="B126" s="274"/>
      <c r="C126" s="200"/>
      <c r="D126" s="275"/>
      <c r="E126" s="200"/>
      <c r="F126" s="276"/>
      <c r="G126" s="275"/>
      <c r="H126" s="275"/>
      <c r="I126" s="273"/>
      <c r="J126" s="273"/>
      <c r="K126" s="273"/>
      <c r="L126" s="188"/>
      <c r="M126" s="188"/>
      <c r="N126" s="188"/>
      <c r="O126" s="188"/>
    </row>
    <row r="127">
      <c r="A127" s="273"/>
      <c r="B127" s="274"/>
      <c r="C127" s="200"/>
      <c r="D127" s="275"/>
      <c r="E127" s="200"/>
      <c r="F127" s="276"/>
      <c r="G127" s="275"/>
      <c r="H127" s="275"/>
      <c r="I127" s="273"/>
      <c r="J127" s="273"/>
      <c r="K127" s="273"/>
      <c r="L127" s="188"/>
      <c r="M127" s="188"/>
      <c r="N127" s="188"/>
      <c r="O127" s="188"/>
    </row>
    <row r="128">
      <c r="A128" s="273"/>
      <c r="B128" s="274"/>
      <c r="C128" s="200"/>
      <c r="D128" s="275"/>
      <c r="E128" s="200"/>
      <c r="F128" s="276"/>
      <c r="G128" s="275"/>
      <c r="H128" s="275"/>
      <c r="I128" s="273"/>
      <c r="J128" s="273"/>
      <c r="K128" s="273"/>
      <c r="L128" s="188"/>
      <c r="M128" s="188"/>
      <c r="N128" s="188"/>
      <c r="O128" s="188"/>
    </row>
    <row r="129">
      <c r="A129" s="273"/>
      <c r="B129" s="274"/>
      <c r="C129" s="200"/>
      <c r="D129" s="275"/>
      <c r="E129" s="200"/>
      <c r="F129" s="276"/>
      <c r="G129" s="275"/>
      <c r="H129" s="275"/>
      <c r="I129" s="273"/>
      <c r="J129" s="273"/>
      <c r="K129" s="273"/>
      <c r="L129" s="188"/>
      <c r="M129" s="188"/>
      <c r="N129" s="188"/>
      <c r="O129" s="188"/>
    </row>
    <row r="130">
      <c r="A130" s="273"/>
      <c r="B130" s="274"/>
      <c r="C130" s="200"/>
      <c r="D130" s="275"/>
      <c r="E130" s="200"/>
      <c r="F130" s="276"/>
      <c r="G130" s="275"/>
      <c r="H130" s="275"/>
      <c r="I130" s="273"/>
      <c r="J130" s="273"/>
      <c r="K130" s="273"/>
      <c r="L130" s="188"/>
      <c r="M130" s="188"/>
      <c r="N130" s="188"/>
      <c r="O130" s="188"/>
    </row>
    <row r="131">
      <c r="A131" s="273"/>
      <c r="B131" s="274"/>
      <c r="C131" s="200"/>
      <c r="D131" s="275"/>
      <c r="E131" s="200"/>
      <c r="F131" s="276"/>
      <c r="G131" s="275"/>
      <c r="H131" s="275"/>
      <c r="I131" s="273"/>
      <c r="J131" s="273"/>
      <c r="K131" s="273"/>
      <c r="L131" s="188"/>
      <c r="M131" s="188"/>
      <c r="N131" s="188"/>
      <c r="O131" s="188"/>
    </row>
    <row r="132">
      <c r="A132" s="273"/>
      <c r="B132" s="274"/>
      <c r="C132" s="200"/>
      <c r="D132" s="275"/>
      <c r="E132" s="200"/>
      <c r="F132" s="276"/>
      <c r="G132" s="275"/>
      <c r="H132" s="275"/>
      <c r="I132" s="273"/>
      <c r="J132" s="273"/>
      <c r="K132" s="273"/>
      <c r="L132" s="188"/>
      <c r="M132" s="188"/>
      <c r="N132" s="188"/>
      <c r="O132" s="188"/>
    </row>
    <row r="133">
      <c r="A133" s="273"/>
      <c r="B133" s="274"/>
      <c r="C133" s="200"/>
      <c r="D133" s="275"/>
      <c r="E133" s="200"/>
      <c r="F133" s="276"/>
      <c r="G133" s="275"/>
      <c r="H133" s="275"/>
      <c r="I133" s="273"/>
      <c r="J133" s="273"/>
      <c r="K133" s="273"/>
      <c r="L133" s="188"/>
      <c r="M133" s="188"/>
      <c r="N133" s="188"/>
      <c r="O133" s="188"/>
    </row>
    <row r="134">
      <c r="A134" s="273"/>
      <c r="B134" s="274"/>
      <c r="C134" s="200"/>
      <c r="D134" s="275"/>
      <c r="E134" s="200"/>
      <c r="F134" s="276"/>
      <c r="G134" s="275"/>
      <c r="H134" s="275"/>
      <c r="I134" s="273"/>
      <c r="J134" s="273"/>
      <c r="K134" s="273"/>
      <c r="L134" s="188"/>
      <c r="M134" s="188"/>
      <c r="N134" s="188"/>
      <c r="O134" s="188"/>
    </row>
    <row r="135">
      <c r="A135" s="273"/>
      <c r="B135" s="274"/>
      <c r="C135" s="200"/>
      <c r="D135" s="275"/>
      <c r="E135" s="200"/>
      <c r="F135" s="276"/>
      <c r="G135" s="275"/>
      <c r="H135" s="275"/>
      <c r="I135" s="273"/>
      <c r="J135" s="273"/>
      <c r="K135" s="273"/>
      <c r="L135" s="188"/>
      <c r="M135" s="188"/>
      <c r="N135" s="188"/>
      <c r="O135" s="188"/>
    </row>
    <row r="136">
      <c r="A136" s="273"/>
      <c r="B136" s="274"/>
      <c r="C136" s="200"/>
      <c r="D136" s="275"/>
      <c r="E136" s="200"/>
      <c r="F136" s="276"/>
      <c r="G136" s="275"/>
      <c r="H136" s="275"/>
      <c r="I136" s="273"/>
      <c r="J136" s="273"/>
      <c r="K136" s="273"/>
      <c r="L136" s="188"/>
      <c r="M136" s="188"/>
      <c r="N136" s="188"/>
      <c r="O136" s="188"/>
    </row>
    <row r="137">
      <c r="A137" s="273"/>
      <c r="B137" s="274"/>
      <c r="C137" s="200"/>
      <c r="D137" s="275"/>
      <c r="E137" s="200"/>
      <c r="F137" s="276"/>
      <c r="G137" s="275"/>
      <c r="H137" s="275"/>
      <c r="I137" s="273"/>
      <c r="J137" s="273"/>
      <c r="K137" s="273"/>
      <c r="L137" s="188"/>
      <c r="M137" s="188"/>
      <c r="N137" s="188"/>
      <c r="O137" s="188"/>
    </row>
    <row r="138">
      <c r="A138" s="273"/>
      <c r="B138" s="274"/>
      <c r="C138" s="200"/>
      <c r="D138" s="275"/>
      <c r="E138" s="200"/>
      <c r="F138" s="276"/>
      <c r="G138" s="275"/>
      <c r="H138" s="275"/>
      <c r="I138" s="273"/>
      <c r="J138" s="273"/>
      <c r="K138" s="273"/>
      <c r="L138" s="188"/>
      <c r="M138" s="188"/>
      <c r="N138" s="188"/>
      <c r="O138" s="188"/>
    </row>
    <row r="139">
      <c r="A139" s="273"/>
      <c r="B139" s="274"/>
      <c r="C139" s="200"/>
      <c r="D139" s="275"/>
      <c r="E139" s="200"/>
      <c r="F139" s="276"/>
      <c r="G139" s="275"/>
      <c r="H139" s="275"/>
      <c r="I139" s="273"/>
      <c r="J139" s="273"/>
      <c r="K139" s="273"/>
      <c r="L139" s="188"/>
      <c r="M139" s="188"/>
      <c r="N139" s="188"/>
      <c r="O139" s="188"/>
    </row>
    <row r="140">
      <c r="A140" s="273"/>
      <c r="B140" s="274"/>
      <c r="C140" s="200"/>
      <c r="D140" s="275"/>
      <c r="E140" s="200"/>
      <c r="F140" s="276"/>
      <c r="G140" s="275"/>
      <c r="H140" s="275"/>
      <c r="I140" s="273"/>
      <c r="J140" s="273"/>
      <c r="K140" s="273"/>
      <c r="L140" s="188"/>
      <c r="M140" s="188"/>
      <c r="N140" s="188"/>
      <c r="O140" s="188"/>
    </row>
    <row r="141">
      <c r="A141" s="273"/>
      <c r="B141" s="274"/>
      <c r="C141" s="200"/>
      <c r="D141" s="275"/>
      <c r="E141" s="200"/>
      <c r="F141" s="276"/>
      <c r="G141" s="275"/>
      <c r="H141" s="275"/>
      <c r="I141" s="273"/>
      <c r="J141" s="273"/>
      <c r="K141" s="273"/>
      <c r="L141" s="188"/>
      <c r="M141" s="188"/>
      <c r="N141" s="188"/>
      <c r="O141" s="188"/>
    </row>
    <row r="142">
      <c r="A142" s="273"/>
      <c r="B142" s="274"/>
      <c r="C142" s="200"/>
      <c r="D142" s="275"/>
      <c r="E142" s="200"/>
      <c r="F142" s="276"/>
      <c r="G142" s="275"/>
      <c r="H142" s="275"/>
      <c r="I142" s="273"/>
      <c r="J142" s="273"/>
      <c r="K142" s="273"/>
      <c r="L142" s="188"/>
      <c r="M142" s="188"/>
      <c r="N142" s="188"/>
      <c r="O142" s="188"/>
    </row>
    <row r="143">
      <c r="A143" s="273"/>
      <c r="B143" s="274"/>
      <c r="C143" s="200"/>
      <c r="D143" s="275"/>
      <c r="E143" s="200"/>
      <c r="F143" s="276"/>
      <c r="G143" s="275"/>
      <c r="H143" s="275"/>
      <c r="I143" s="273"/>
      <c r="J143" s="273"/>
      <c r="K143" s="273"/>
      <c r="L143" s="188"/>
      <c r="M143" s="188"/>
      <c r="N143" s="188"/>
      <c r="O143" s="188"/>
    </row>
    <row r="144">
      <c r="A144" s="273"/>
      <c r="B144" s="274"/>
      <c r="C144" s="200"/>
      <c r="D144" s="275"/>
      <c r="E144" s="200"/>
      <c r="F144" s="276"/>
      <c r="G144" s="275"/>
      <c r="H144" s="275"/>
      <c r="I144" s="273"/>
      <c r="J144" s="273"/>
      <c r="K144" s="273"/>
      <c r="L144" s="188"/>
      <c r="M144" s="188"/>
      <c r="N144" s="188"/>
      <c r="O144" s="188"/>
    </row>
    <row r="145">
      <c r="A145" s="273"/>
      <c r="B145" s="274"/>
      <c r="C145" s="200"/>
      <c r="D145" s="275"/>
      <c r="E145" s="200"/>
      <c r="F145" s="276"/>
      <c r="G145" s="275"/>
      <c r="H145" s="275"/>
      <c r="I145" s="273"/>
      <c r="J145" s="273"/>
      <c r="K145" s="273"/>
      <c r="L145" s="188"/>
      <c r="M145" s="188"/>
      <c r="N145" s="188"/>
      <c r="O145" s="188"/>
    </row>
    <row r="146">
      <c r="A146" s="273"/>
      <c r="B146" s="274"/>
      <c r="C146" s="200"/>
      <c r="D146" s="275"/>
      <c r="E146" s="200"/>
      <c r="F146" s="276"/>
      <c r="G146" s="275"/>
      <c r="H146" s="275"/>
      <c r="I146" s="273"/>
      <c r="J146" s="273"/>
      <c r="K146" s="273"/>
      <c r="L146" s="188"/>
      <c r="M146" s="188"/>
      <c r="N146" s="188"/>
      <c r="O146" s="188"/>
    </row>
    <row r="147">
      <c r="A147" s="273"/>
      <c r="B147" s="274"/>
      <c r="C147" s="200"/>
      <c r="D147" s="275"/>
      <c r="E147" s="200"/>
      <c r="F147" s="276"/>
      <c r="G147" s="275"/>
      <c r="H147" s="275"/>
      <c r="I147" s="273"/>
      <c r="J147" s="273"/>
      <c r="K147" s="273"/>
      <c r="L147" s="188"/>
      <c r="M147" s="188"/>
      <c r="N147" s="188"/>
      <c r="O147" s="188"/>
    </row>
    <row r="148">
      <c r="A148" s="273"/>
      <c r="B148" s="274"/>
      <c r="C148" s="200"/>
      <c r="D148" s="275"/>
      <c r="E148" s="200"/>
      <c r="F148" s="276"/>
      <c r="G148" s="275"/>
      <c r="H148" s="275"/>
      <c r="I148" s="273"/>
      <c r="J148" s="273"/>
      <c r="K148" s="273"/>
      <c r="L148" s="188"/>
      <c r="M148" s="188"/>
      <c r="N148" s="188"/>
      <c r="O148" s="188"/>
    </row>
    <row r="149">
      <c r="A149" s="273"/>
      <c r="B149" s="274"/>
      <c r="C149" s="200"/>
      <c r="D149" s="275"/>
      <c r="E149" s="200"/>
      <c r="F149" s="276"/>
      <c r="G149" s="275"/>
      <c r="H149" s="275"/>
      <c r="I149" s="273"/>
      <c r="J149" s="273"/>
      <c r="K149" s="273"/>
      <c r="L149" s="188"/>
      <c r="M149" s="188"/>
      <c r="N149" s="188"/>
      <c r="O149" s="188"/>
    </row>
    <row r="150">
      <c r="A150" s="273"/>
      <c r="B150" s="274"/>
      <c r="C150" s="200"/>
      <c r="D150" s="275"/>
      <c r="E150" s="200"/>
      <c r="F150" s="276"/>
      <c r="G150" s="275"/>
      <c r="H150" s="275"/>
      <c r="I150" s="273"/>
      <c r="J150" s="273"/>
      <c r="K150" s="273"/>
      <c r="L150" s="188"/>
      <c r="M150" s="188"/>
      <c r="N150" s="188"/>
      <c r="O150" s="188"/>
    </row>
    <row r="151">
      <c r="A151" s="273"/>
      <c r="B151" s="274"/>
      <c r="C151" s="200"/>
      <c r="D151" s="275"/>
      <c r="E151" s="200"/>
      <c r="F151" s="276"/>
      <c r="G151" s="275"/>
      <c r="H151" s="275"/>
      <c r="I151" s="273"/>
      <c r="J151" s="273"/>
      <c r="K151" s="273"/>
      <c r="L151" s="188"/>
      <c r="M151" s="188"/>
      <c r="N151" s="188"/>
      <c r="O151" s="188"/>
    </row>
    <row r="152">
      <c r="A152" s="273"/>
      <c r="B152" s="274"/>
      <c r="C152" s="200"/>
      <c r="D152" s="275"/>
      <c r="E152" s="200"/>
      <c r="F152" s="276"/>
      <c r="G152" s="275"/>
      <c r="H152" s="275"/>
      <c r="I152" s="273"/>
      <c r="J152" s="273"/>
      <c r="K152" s="273"/>
      <c r="L152" s="188"/>
      <c r="M152" s="188"/>
      <c r="N152" s="188"/>
      <c r="O152" s="188"/>
    </row>
    <row r="153">
      <c r="A153" s="273"/>
      <c r="B153" s="274"/>
      <c r="C153" s="200"/>
      <c r="D153" s="275"/>
      <c r="E153" s="200"/>
      <c r="F153" s="276"/>
      <c r="G153" s="275"/>
      <c r="H153" s="275"/>
      <c r="I153" s="273"/>
      <c r="J153" s="273"/>
      <c r="K153" s="273"/>
      <c r="L153" s="188"/>
      <c r="M153" s="188"/>
      <c r="N153" s="188"/>
      <c r="O153" s="188"/>
    </row>
    <row r="154">
      <c r="A154" s="273"/>
      <c r="B154" s="274"/>
      <c r="C154" s="200"/>
      <c r="D154" s="275"/>
      <c r="E154" s="200"/>
      <c r="F154" s="276"/>
      <c r="G154" s="275"/>
      <c r="H154" s="275"/>
      <c r="I154" s="273"/>
      <c r="J154" s="273"/>
      <c r="K154" s="273"/>
      <c r="L154" s="188"/>
      <c r="M154" s="188"/>
      <c r="N154" s="188"/>
      <c r="O154" s="188"/>
    </row>
    <row r="155">
      <c r="A155" s="273"/>
      <c r="B155" s="274"/>
      <c r="C155" s="200"/>
      <c r="D155" s="275"/>
      <c r="E155" s="200"/>
      <c r="F155" s="276"/>
      <c r="G155" s="275"/>
      <c r="H155" s="275"/>
      <c r="I155" s="273"/>
      <c r="J155" s="273"/>
      <c r="K155" s="273"/>
      <c r="L155" s="188"/>
      <c r="M155" s="188"/>
      <c r="N155" s="188"/>
      <c r="O155" s="188"/>
    </row>
    <row r="156">
      <c r="A156" s="273"/>
      <c r="B156" s="274"/>
      <c r="C156" s="200"/>
      <c r="D156" s="275"/>
      <c r="E156" s="200"/>
      <c r="F156" s="276"/>
      <c r="G156" s="275"/>
      <c r="H156" s="275"/>
      <c r="I156" s="273"/>
      <c r="J156" s="273"/>
      <c r="K156" s="273"/>
      <c r="L156" s="188"/>
      <c r="M156" s="188"/>
      <c r="N156" s="188"/>
      <c r="O156" s="188"/>
    </row>
    <row r="157">
      <c r="A157" s="273"/>
      <c r="B157" s="274"/>
      <c r="C157" s="200"/>
      <c r="D157" s="275"/>
      <c r="E157" s="200"/>
      <c r="F157" s="276"/>
      <c r="G157" s="275"/>
      <c r="H157" s="275"/>
      <c r="I157" s="273"/>
      <c r="J157" s="273"/>
      <c r="K157" s="273"/>
      <c r="L157" s="188"/>
      <c r="M157" s="188"/>
      <c r="N157" s="188"/>
      <c r="O157" s="188"/>
    </row>
    <row r="158">
      <c r="A158" s="273"/>
      <c r="B158" s="274"/>
      <c r="C158" s="200"/>
      <c r="D158" s="275"/>
      <c r="E158" s="200"/>
      <c r="F158" s="276"/>
      <c r="G158" s="275"/>
      <c r="H158" s="275"/>
      <c r="I158" s="273"/>
      <c r="J158" s="273"/>
      <c r="K158" s="273"/>
      <c r="L158" s="188"/>
      <c r="M158" s="188"/>
      <c r="N158" s="188"/>
      <c r="O158" s="188"/>
    </row>
    <row r="159">
      <c r="A159" s="273"/>
      <c r="B159" s="274"/>
      <c r="C159" s="200"/>
      <c r="D159" s="275"/>
      <c r="E159" s="200"/>
      <c r="F159" s="276"/>
      <c r="G159" s="275"/>
      <c r="H159" s="275"/>
      <c r="I159" s="273"/>
      <c r="J159" s="273"/>
      <c r="K159" s="273"/>
      <c r="L159" s="188"/>
      <c r="M159" s="188"/>
      <c r="N159" s="188"/>
      <c r="O159" s="188"/>
    </row>
    <row r="160">
      <c r="A160" s="273"/>
      <c r="B160" s="274"/>
      <c r="C160" s="200"/>
      <c r="D160" s="275"/>
      <c r="E160" s="200"/>
      <c r="F160" s="276"/>
      <c r="G160" s="275"/>
      <c r="H160" s="275"/>
      <c r="I160" s="273"/>
      <c r="J160" s="273"/>
      <c r="K160" s="273"/>
      <c r="L160" s="188"/>
      <c r="M160" s="188"/>
      <c r="N160" s="188"/>
      <c r="O160" s="188"/>
    </row>
    <row r="161">
      <c r="A161" s="273"/>
      <c r="B161" s="274"/>
      <c r="C161" s="200"/>
      <c r="D161" s="275"/>
      <c r="E161" s="200"/>
      <c r="F161" s="276"/>
      <c r="G161" s="275"/>
      <c r="H161" s="275"/>
      <c r="I161" s="273"/>
      <c r="J161" s="273"/>
      <c r="K161" s="273"/>
      <c r="L161" s="188"/>
      <c r="M161" s="188"/>
      <c r="N161" s="188"/>
      <c r="O161" s="188"/>
    </row>
    <row r="162">
      <c r="A162" s="273"/>
      <c r="B162" s="274"/>
      <c r="C162" s="200"/>
      <c r="D162" s="275"/>
      <c r="E162" s="200"/>
      <c r="F162" s="276"/>
      <c r="G162" s="275"/>
      <c r="H162" s="275"/>
      <c r="I162" s="273"/>
      <c r="J162" s="273"/>
      <c r="K162" s="273"/>
      <c r="L162" s="188"/>
      <c r="M162" s="188"/>
      <c r="N162" s="188"/>
      <c r="O162" s="188"/>
    </row>
    <row r="163">
      <c r="A163" s="273"/>
      <c r="B163" s="274"/>
      <c r="C163" s="200"/>
      <c r="D163" s="275"/>
      <c r="E163" s="200"/>
      <c r="F163" s="276"/>
      <c r="G163" s="275"/>
      <c r="H163" s="275"/>
      <c r="I163" s="273"/>
      <c r="J163" s="273"/>
      <c r="K163" s="273"/>
      <c r="L163" s="188"/>
      <c r="M163" s="188"/>
      <c r="N163" s="188"/>
      <c r="O163" s="188"/>
    </row>
    <row r="164">
      <c r="A164" s="273"/>
      <c r="B164" s="274"/>
      <c r="C164" s="200"/>
      <c r="D164" s="275"/>
      <c r="E164" s="200"/>
      <c r="F164" s="276"/>
      <c r="G164" s="275"/>
      <c r="H164" s="275"/>
      <c r="I164" s="273"/>
      <c r="J164" s="273"/>
      <c r="K164" s="273"/>
      <c r="L164" s="188"/>
      <c r="M164" s="188"/>
      <c r="N164" s="188"/>
      <c r="O164" s="188"/>
    </row>
    <row r="165">
      <c r="A165" s="273"/>
      <c r="B165" s="274"/>
      <c r="C165" s="200"/>
      <c r="D165" s="275"/>
      <c r="E165" s="200"/>
      <c r="F165" s="276"/>
      <c r="G165" s="275"/>
      <c r="H165" s="275"/>
      <c r="I165" s="273"/>
      <c r="J165" s="273"/>
      <c r="K165" s="273"/>
      <c r="L165" s="188"/>
      <c r="M165" s="188"/>
      <c r="N165" s="188"/>
      <c r="O165" s="188"/>
    </row>
    <row r="166">
      <c r="A166" s="273"/>
      <c r="B166" s="274"/>
      <c r="C166" s="200"/>
      <c r="D166" s="275"/>
      <c r="E166" s="200"/>
      <c r="F166" s="276"/>
      <c r="G166" s="275"/>
      <c r="H166" s="275"/>
      <c r="I166" s="273"/>
      <c r="J166" s="273"/>
      <c r="K166" s="273"/>
      <c r="L166" s="188"/>
      <c r="M166" s="188"/>
      <c r="N166" s="188"/>
      <c r="O166" s="188"/>
    </row>
    <row r="167">
      <c r="A167" s="273"/>
      <c r="B167" s="274"/>
      <c r="C167" s="200"/>
      <c r="D167" s="275"/>
      <c r="E167" s="200"/>
      <c r="F167" s="276"/>
      <c r="G167" s="275"/>
      <c r="H167" s="275"/>
      <c r="I167" s="273"/>
      <c r="J167" s="273"/>
      <c r="K167" s="273"/>
      <c r="L167" s="188"/>
      <c r="M167" s="188"/>
      <c r="N167" s="188"/>
      <c r="O167" s="188"/>
    </row>
    <row r="168">
      <c r="A168" s="273"/>
      <c r="B168" s="274"/>
      <c r="C168" s="200"/>
      <c r="D168" s="275"/>
      <c r="E168" s="200"/>
      <c r="F168" s="276"/>
      <c r="G168" s="275"/>
      <c r="H168" s="275"/>
      <c r="I168" s="273"/>
      <c r="J168" s="273"/>
      <c r="K168" s="273"/>
      <c r="L168" s="188"/>
      <c r="M168" s="188"/>
      <c r="N168" s="188"/>
      <c r="O168" s="188"/>
    </row>
    <row r="169">
      <c r="A169" s="273"/>
      <c r="B169" s="274"/>
      <c r="C169" s="200"/>
      <c r="D169" s="275"/>
      <c r="E169" s="200"/>
      <c r="F169" s="276"/>
      <c r="G169" s="275"/>
      <c r="H169" s="275"/>
      <c r="I169" s="273"/>
      <c r="J169" s="273"/>
      <c r="K169" s="273"/>
      <c r="L169" s="188"/>
      <c r="M169" s="188"/>
      <c r="N169" s="188"/>
      <c r="O169" s="188"/>
    </row>
    <row r="170">
      <c r="A170" s="273"/>
      <c r="B170" s="274"/>
      <c r="C170" s="200"/>
      <c r="D170" s="275"/>
      <c r="E170" s="200"/>
      <c r="F170" s="276"/>
      <c r="G170" s="275"/>
      <c r="H170" s="275"/>
      <c r="I170" s="273"/>
      <c r="J170" s="273"/>
      <c r="K170" s="273"/>
      <c r="L170" s="188"/>
      <c r="M170" s="188"/>
      <c r="N170" s="188"/>
      <c r="O170" s="188"/>
    </row>
    <row r="171">
      <c r="A171" s="273"/>
      <c r="B171" s="274"/>
      <c r="C171" s="200"/>
      <c r="D171" s="275"/>
      <c r="E171" s="200"/>
      <c r="F171" s="276"/>
      <c r="G171" s="275"/>
      <c r="H171" s="275"/>
      <c r="I171" s="273"/>
      <c r="J171" s="273"/>
      <c r="K171" s="273"/>
      <c r="L171" s="188"/>
      <c r="M171" s="188"/>
      <c r="N171" s="188"/>
      <c r="O171" s="188"/>
    </row>
    <row r="172">
      <c r="A172" s="273"/>
      <c r="B172" s="274"/>
      <c r="C172" s="200"/>
      <c r="D172" s="275"/>
      <c r="E172" s="200"/>
      <c r="F172" s="276"/>
      <c r="G172" s="275"/>
      <c r="H172" s="275"/>
      <c r="I172" s="273"/>
      <c r="J172" s="273"/>
      <c r="K172" s="273"/>
      <c r="L172" s="188"/>
      <c r="M172" s="188"/>
      <c r="N172" s="188"/>
      <c r="O172" s="188"/>
    </row>
    <row r="173">
      <c r="A173" s="273"/>
      <c r="B173" s="274"/>
      <c r="C173" s="200"/>
      <c r="D173" s="275"/>
      <c r="E173" s="200"/>
      <c r="F173" s="276"/>
      <c r="G173" s="275"/>
      <c r="H173" s="275"/>
      <c r="I173" s="273"/>
      <c r="J173" s="273"/>
      <c r="K173" s="273"/>
      <c r="L173" s="188"/>
      <c r="M173" s="188"/>
      <c r="N173" s="188"/>
      <c r="O173" s="188"/>
    </row>
    <row r="174">
      <c r="A174" s="273"/>
      <c r="B174" s="274"/>
      <c r="C174" s="200"/>
      <c r="D174" s="275"/>
      <c r="E174" s="200"/>
      <c r="F174" s="276"/>
      <c r="G174" s="275"/>
      <c r="H174" s="275"/>
      <c r="I174" s="273"/>
      <c r="J174" s="273"/>
      <c r="K174" s="273"/>
      <c r="L174" s="188"/>
      <c r="M174" s="188"/>
      <c r="N174" s="188"/>
      <c r="O174" s="188"/>
    </row>
    <row r="175">
      <c r="A175" s="273"/>
      <c r="B175" s="274"/>
      <c r="C175" s="200"/>
      <c r="D175" s="275"/>
      <c r="E175" s="200"/>
      <c r="F175" s="276"/>
      <c r="G175" s="275"/>
      <c r="H175" s="275"/>
      <c r="I175" s="273"/>
      <c r="J175" s="273"/>
      <c r="K175" s="273"/>
      <c r="L175" s="188"/>
      <c r="M175" s="188"/>
      <c r="N175" s="188"/>
      <c r="O175" s="188"/>
    </row>
    <row r="176">
      <c r="A176" s="273"/>
      <c r="B176" s="274"/>
      <c r="C176" s="200"/>
      <c r="D176" s="275"/>
      <c r="E176" s="200"/>
      <c r="F176" s="276"/>
      <c r="G176" s="275"/>
      <c r="H176" s="275"/>
      <c r="I176" s="273"/>
      <c r="J176" s="273"/>
      <c r="K176" s="273"/>
      <c r="L176" s="188"/>
      <c r="M176" s="188"/>
      <c r="N176" s="188"/>
      <c r="O176" s="188"/>
    </row>
    <row r="177">
      <c r="A177" s="273"/>
      <c r="B177" s="274"/>
      <c r="C177" s="200"/>
      <c r="D177" s="275"/>
      <c r="E177" s="200"/>
      <c r="F177" s="276"/>
      <c r="G177" s="275"/>
      <c r="H177" s="275"/>
      <c r="I177" s="273"/>
      <c r="J177" s="273"/>
      <c r="K177" s="273"/>
      <c r="L177" s="188"/>
      <c r="M177" s="188"/>
      <c r="N177" s="188"/>
      <c r="O177" s="188"/>
    </row>
    <row r="178">
      <c r="A178" s="273"/>
      <c r="B178" s="274"/>
      <c r="C178" s="200"/>
      <c r="D178" s="275"/>
      <c r="E178" s="200"/>
      <c r="F178" s="276"/>
      <c r="G178" s="275"/>
      <c r="H178" s="275"/>
      <c r="I178" s="273"/>
      <c r="J178" s="273"/>
      <c r="K178" s="273"/>
      <c r="L178" s="188"/>
      <c r="M178" s="188"/>
      <c r="N178" s="188"/>
      <c r="O178" s="188"/>
    </row>
    <row r="179">
      <c r="A179" s="273"/>
      <c r="B179" s="274"/>
      <c r="C179" s="200"/>
      <c r="D179" s="275"/>
      <c r="E179" s="200"/>
      <c r="F179" s="276"/>
      <c r="G179" s="275"/>
      <c r="H179" s="275"/>
      <c r="I179" s="273"/>
      <c r="J179" s="273"/>
      <c r="K179" s="273"/>
      <c r="L179" s="188"/>
      <c r="M179" s="188"/>
      <c r="N179" s="188"/>
      <c r="O179" s="188"/>
    </row>
    <row r="180">
      <c r="A180" s="273"/>
      <c r="B180" s="274"/>
      <c r="C180" s="200"/>
      <c r="D180" s="275"/>
      <c r="E180" s="200"/>
      <c r="F180" s="276"/>
      <c r="G180" s="275"/>
      <c r="H180" s="275"/>
      <c r="I180" s="273"/>
      <c r="J180" s="273"/>
      <c r="K180" s="273"/>
      <c r="L180" s="188"/>
      <c r="M180" s="188"/>
      <c r="N180" s="188"/>
      <c r="O180" s="188"/>
    </row>
    <row r="181">
      <c r="A181" s="273"/>
      <c r="B181" s="274"/>
      <c r="C181" s="200"/>
      <c r="D181" s="275"/>
      <c r="E181" s="200"/>
      <c r="F181" s="276"/>
      <c r="G181" s="275"/>
      <c r="H181" s="275"/>
      <c r="I181" s="273"/>
      <c r="J181" s="273"/>
      <c r="K181" s="273"/>
      <c r="L181" s="188"/>
      <c r="M181" s="188"/>
      <c r="N181" s="188"/>
      <c r="O181" s="188"/>
    </row>
    <row r="182">
      <c r="A182" s="273"/>
      <c r="B182" s="274"/>
      <c r="C182" s="200"/>
      <c r="D182" s="275"/>
      <c r="E182" s="200"/>
      <c r="F182" s="276"/>
      <c r="G182" s="275"/>
      <c r="H182" s="275"/>
      <c r="I182" s="273"/>
      <c r="J182" s="273"/>
      <c r="K182" s="273"/>
      <c r="L182" s="188"/>
      <c r="M182" s="188"/>
      <c r="N182" s="188"/>
      <c r="O182" s="188"/>
    </row>
    <row r="183">
      <c r="A183" s="273"/>
      <c r="B183" s="274"/>
      <c r="C183" s="200"/>
      <c r="D183" s="275"/>
      <c r="E183" s="200"/>
      <c r="F183" s="276"/>
      <c r="G183" s="275"/>
      <c r="H183" s="275"/>
      <c r="I183" s="273"/>
      <c r="J183" s="273"/>
      <c r="K183" s="273"/>
      <c r="L183" s="188"/>
      <c r="M183" s="188"/>
      <c r="N183" s="188"/>
      <c r="O183" s="188"/>
    </row>
    <row r="184">
      <c r="A184" s="273"/>
      <c r="B184" s="274"/>
      <c r="C184" s="200"/>
      <c r="D184" s="275"/>
      <c r="E184" s="200"/>
      <c r="F184" s="276"/>
      <c r="G184" s="275"/>
      <c r="H184" s="275"/>
      <c r="I184" s="273"/>
      <c r="J184" s="273"/>
      <c r="K184" s="273"/>
      <c r="L184" s="188"/>
      <c r="M184" s="188"/>
      <c r="N184" s="188"/>
      <c r="O184" s="188"/>
    </row>
    <row r="185">
      <c r="A185" s="273"/>
      <c r="B185" s="274"/>
      <c r="C185" s="200"/>
      <c r="D185" s="275"/>
      <c r="E185" s="200"/>
      <c r="F185" s="276"/>
      <c r="G185" s="275"/>
      <c r="H185" s="275"/>
      <c r="I185" s="273"/>
      <c r="J185" s="273"/>
      <c r="K185" s="273"/>
      <c r="L185" s="188"/>
      <c r="M185" s="188"/>
      <c r="N185" s="188"/>
      <c r="O185" s="188"/>
    </row>
    <row r="186">
      <c r="A186" s="273"/>
      <c r="B186" s="274"/>
      <c r="C186" s="200"/>
      <c r="D186" s="275"/>
      <c r="E186" s="200"/>
      <c r="F186" s="276"/>
      <c r="G186" s="275"/>
      <c r="H186" s="275"/>
      <c r="I186" s="273"/>
      <c r="J186" s="273"/>
      <c r="K186" s="273"/>
      <c r="L186" s="188"/>
      <c r="M186" s="188"/>
      <c r="N186" s="188"/>
      <c r="O186" s="188"/>
    </row>
    <row r="187">
      <c r="A187" s="273"/>
      <c r="B187" s="274"/>
      <c r="C187" s="200"/>
      <c r="D187" s="275"/>
      <c r="E187" s="200"/>
      <c r="F187" s="276"/>
      <c r="G187" s="275"/>
      <c r="H187" s="275"/>
      <c r="I187" s="273"/>
      <c r="J187" s="273"/>
      <c r="K187" s="273"/>
      <c r="L187" s="188"/>
      <c r="M187" s="188"/>
      <c r="N187" s="188"/>
      <c r="O187" s="188"/>
    </row>
    <row r="188">
      <c r="A188" s="273"/>
      <c r="B188" s="274"/>
      <c r="C188" s="200"/>
      <c r="D188" s="275"/>
      <c r="E188" s="200"/>
      <c r="F188" s="276"/>
      <c r="G188" s="275"/>
      <c r="H188" s="275"/>
      <c r="I188" s="273"/>
      <c r="J188" s="273"/>
      <c r="K188" s="273"/>
      <c r="L188" s="188"/>
      <c r="M188" s="188"/>
      <c r="N188" s="188"/>
      <c r="O188" s="188"/>
    </row>
    <row r="189">
      <c r="A189" s="273"/>
      <c r="B189" s="274"/>
      <c r="C189" s="200"/>
      <c r="D189" s="275"/>
      <c r="E189" s="200"/>
      <c r="F189" s="276"/>
      <c r="G189" s="275"/>
      <c r="H189" s="275"/>
      <c r="I189" s="273"/>
      <c r="J189" s="273"/>
      <c r="K189" s="273"/>
      <c r="L189" s="188"/>
      <c r="M189" s="188"/>
      <c r="N189" s="188"/>
      <c r="O189" s="188"/>
    </row>
    <row r="190">
      <c r="A190" s="273"/>
      <c r="B190" s="274"/>
      <c r="C190" s="200"/>
      <c r="D190" s="275"/>
      <c r="E190" s="200"/>
      <c r="F190" s="276"/>
      <c r="G190" s="275"/>
      <c r="H190" s="275"/>
      <c r="I190" s="273"/>
      <c r="J190" s="273"/>
      <c r="K190" s="273"/>
      <c r="L190" s="188"/>
      <c r="M190" s="188"/>
      <c r="N190" s="188"/>
      <c r="O190" s="188"/>
    </row>
    <row r="191">
      <c r="A191" s="273"/>
      <c r="B191" s="274"/>
      <c r="C191" s="200"/>
      <c r="D191" s="275"/>
      <c r="E191" s="200"/>
      <c r="F191" s="276"/>
      <c r="G191" s="275"/>
      <c r="H191" s="275"/>
      <c r="I191" s="273"/>
      <c r="J191" s="273"/>
      <c r="K191" s="273"/>
      <c r="L191" s="188"/>
      <c r="M191" s="188"/>
      <c r="N191" s="188"/>
      <c r="O191" s="188"/>
    </row>
    <row r="192">
      <c r="A192" s="273"/>
      <c r="B192" s="274"/>
      <c r="C192" s="200"/>
      <c r="D192" s="275"/>
      <c r="E192" s="200"/>
      <c r="F192" s="276"/>
      <c r="G192" s="275"/>
      <c r="H192" s="275"/>
      <c r="I192" s="273"/>
      <c r="J192" s="273"/>
      <c r="K192" s="273"/>
      <c r="L192" s="188"/>
      <c r="M192" s="188"/>
      <c r="N192" s="188"/>
      <c r="O192" s="188"/>
    </row>
    <row r="193">
      <c r="A193" s="273"/>
      <c r="B193" s="274"/>
      <c r="C193" s="200"/>
      <c r="D193" s="275"/>
      <c r="E193" s="200"/>
      <c r="F193" s="276"/>
      <c r="G193" s="275"/>
      <c r="H193" s="275"/>
      <c r="I193" s="273"/>
      <c r="J193" s="273"/>
      <c r="K193" s="273"/>
      <c r="L193" s="188"/>
      <c r="M193" s="188"/>
      <c r="N193" s="188"/>
      <c r="O193" s="188"/>
    </row>
    <row r="194">
      <c r="A194" s="273"/>
      <c r="B194" s="274"/>
      <c r="C194" s="200"/>
      <c r="D194" s="275"/>
      <c r="E194" s="200"/>
      <c r="F194" s="276"/>
      <c r="G194" s="275"/>
      <c r="H194" s="275"/>
      <c r="I194" s="273"/>
      <c r="J194" s="273"/>
      <c r="K194" s="273"/>
      <c r="L194" s="188"/>
      <c r="M194" s="188"/>
      <c r="N194" s="188"/>
      <c r="O194" s="188"/>
    </row>
    <row r="195">
      <c r="A195" s="273"/>
      <c r="B195" s="274"/>
      <c r="C195" s="200"/>
      <c r="D195" s="275"/>
      <c r="E195" s="200"/>
      <c r="F195" s="276"/>
      <c r="G195" s="275"/>
      <c r="H195" s="275"/>
      <c r="I195" s="273"/>
      <c r="J195" s="273"/>
      <c r="K195" s="273"/>
      <c r="L195" s="188"/>
      <c r="M195" s="188"/>
      <c r="N195" s="188"/>
      <c r="O195" s="188"/>
    </row>
    <row r="196">
      <c r="A196" s="273"/>
      <c r="B196" s="274"/>
      <c r="C196" s="200"/>
      <c r="D196" s="275"/>
      <c r="E196" s="200"/>
      <c r="F196" s="276"/>
      <c r="G196" s="275"/>
      <c r="H196" s="275"/>
      <c r="I196" s="273"/>
      <c r="J196" s="273"/>
      <c r="K196" s="273"/>
      <c r="L196" s="188"/>
      <c r="M196" s="188"/>
      <c r="N196" s="188"/>
      <c r="O196" s="188"/>
    </row>
    <row r="197">
      <c r="A197" s="273"/>
      <c r="B197" s="274"/>
      <c r="C197" s="200"/>
      <c r="D197" s="275"/>
      <c r="E197" s="200"/>
      <c r="F197" s="276"/>
      <c r="G197" s="275"/>
      <c r="H197" s="275"/>
      <c r="I197" s="273"/>
      <c r="J197" s="273"/>
      <c r="K197" s="273"/>
      <c r="L197" s="188"/>
      <c r="M197" s="188"/>
      <c r="N197" s="188"/>
      <c r="O197" s="188"/>
    </row>
    <row r="198">
      <c r="A198" s="273"/>
      <c r="B198" s="274"/>
      <c r="C198" s="200"/>
      <c r="D198" s="275"/>
      <c r="E198" s="200"/>
      <c r="F198" s="276"/>
      <c r="G198" s="275"/>
      <c r="H198" s="275"/>
      <c r="I198" s="273"/>
      <c r="J198" s="273"/>
      <c r="K198" s="273"/>
      <c r="L198" s="188"/>
      <c r="M198" s="188"/>
      <c r="N198" s="188"/>
      <c r="O198" s="188"/>
    </row>
    <row r="199">
      <c r="A199" s="273"/>
      <c r="B199" s="274"/>
      <c r="C199" s="200"/>
      <c r="D199" s="275"/>
      <c r="E199" s="200"/>
      <c r="F199" s="276"/>
      <c r="G199" s="275"/>
      <c r="H199" s="275"/>
      <c r="I199" s="273"/>
      <c r="J199" s="273"/>
      <c r="K199" s="273"/>
      <c r="L199" s="188"/>
      <c r="M199" s="188"/>
      <c r="N199" s="188"/>
      <c r="O199" s="188"/>
    </row>
    <row r="200">
      <c r="A200" s="273"/>
      <c r="B200" s="274"/>
      <c r="C200" s="200"/>
      <c r="D200" s="275"/>
      <c r="E200" s="200"/>
      <c r="F200" s="276"/>
      <c r="G200" s="275"/>
      <c r="H200" s="275"/>
      <c r="I200" s="273"/>
      <c r="J200" s="273"/>
      <c r="K200" s="273"/>
      <c r="L200" s="188"/>
      <c r="M200" s="188"/>
      <c r="N200" s="188"/>
      <c r="O200" s="188"/>
    </row>
    <row r="201">
      <c r="A201" s="273"/>
      <c r="B201" s="274"/>
      <c r="C201" s="200"/>
      <c r="D201" s="275"/>
      <c r="E201" s="200"/>
      <c r="F201" s="276"/>
      <c r="G201" s="275"/>
      <c r="H201" s="275"/>
      <c r="I201" s="273"/>
      <c r="J201" s="273"/>
      <c r="K201" s="273"/>
      <c r="L201" s="188"/>
      <c r="M201" s="188"/>
      <c r="N201" s="188"/>
      <c r="O201" s="188"/>
    </row>
    <row r="202">
      <c r="A202" s="273"/>
      <c r="B202" s="274"/>
      <c r="C202" s="200"/>
      <c r="D202" s="275"/>
      <c r="E202" s="200"/>
      <c r="F202" s="276"/>
      <c r="G202" s="275"/>
      <c r="H202" s="275"/>
      <c r="I202" s="273"/>
      <c r="J202" s="273"/>
      <c r="K202" s="273"/>
      <c r="L202" s="188"/>
      <c r="M202" s="188"/>
      <c r="N202" s="188"/>
      <c r="O202" s="188"/>
    </row>
    <row r="203">
      <c r="A203" s="273"/>
      <c r="B203" s="274"/>
      <c r="C203" s="200"/>
      <c r="D203" s="275"/>
      <c r="E203" s="200"/>
      <c r="F203" s="276"/>
      <c r="G203" s="275"/>
      <c r="H203" s="275"/>
      <c r="I203" s="273"/>
      <c r="J203" s="273"/>
      <c r="K203" s="273"/>
      <c r="L203" s="188"/>
      <c r="M203" s="188"/>
      <c r="N203" s="188"/>
      <c r="O203" s="188"/>
    </row>
    <row r="204">
      <c r="A204" s="273"/>
      <c r="B204" s="274"/>
      <c r="C204" s="200"/>
      <c r="D204" s="275"/>
      <c r="E204" s="200"/>
      <c r="F204" s="276"/>
      <c r="G204" s="275"/>
      <c r="H204" s="275"/>
      <c r="I204" s="273"/>
      <c r="J204" s="273"/>
      <c r="K204" s="273"/>
      <c r="L204" s="188"/>
      <c r="M204" s="188"/>
      <c r="N204" s="188"/>
      <c r="O204" s="188"/>
    </row>
    <row r="205">
      <c r="A205" s="273"/>
      <c r="B205" s="274"/>
      <c r="C205" s="200"/>
      <c r="D205" s="275"/>
      <c r="E205" s="200"/>
      <c r="F205" s="276"/>
      <c r="G205" s="275"/>
      <c r="H205" s="275"/>
      <c r="I205" s="273"/>
      <c r="J205" s="273"/>
      <c r="K205" s="273"/>
      <c r="L205" s="188"/>
      <c r="M205" s="188"/>
      <c r="N205" s="188"/>
      <c r="O205" s="188"/>
    </row>
    <row r="206">
      <c r="A206" s="273"/>
      <c r="B206" s="274"/>
      <c r="C206" s="200"/>
      <c r="D206" s="275"/>
      <c r="E206" s="200"/>
      <c r="F206" s="276"/>
      <c r="G206" s="275"/>
      <c r="H206" s="275"/>
      <c r="I206" s="273"/>
      <c r="J206" s="273"/>
      <c r="K206" s="273"/>
      <c r="L206" s="188"/>
      <c r="M206" s="188"/>
      <c r="N206" s="188"/>
      <c r="O206" s="188"/>
    </row>
    <row r="207">
      <c r="A207" s="273"/>
      <c r="B207" s="274"/>
      <c r="C207" s="200"/>
      <c r="D207" s="275"/>
      <c r="E207" s="200"/>
      <c r="F207" s="276"/>
      <c r="G207" s="275"/>
      <c r="H207" s="275"/>
      <c r="I207" s="273"/>
      <c r="J207" s="273"/>
      <c r="K207" s="273"/>
      <c r="L207" s="188"/>
      <c r="M207" s="188"/>
      <c r="N207" s="188"/>
      <c r="O207" s="188"/>
    </row>
    <row r="208">
      <c r="A208" s="273"/>
      <c r="B208" s="274"/>
      <c r="C208" s="200"/>
      <c r="D208" s="275"/>
      <c r="E208" s="200"/>
      <c r="F208" s="276"/>
      <c r="G208" s="275"/>
      <c r="H208" s="275"/>
      <c r="I208" s="273"/>
      <c r="J208" s="273"/>
      <c r="K208" s="273"/>
      <c r="L208" s="188"/>
      <c r="M208" s="188"/>
      <c r="N208" s="188"/>
      <c r="O208" s="188"/>
    </row>
    <row r="209">
      <c r="A209" s="273"/>
      <c r="B209" s="274"/>
      <c r="C209" s="200"/>
      <c r="D209" s="275"/>
      <c r="E209" s="200"/>
      <c r="F209" s="276"/>
      <c r="G209" s="275"/>
      <c r="H209" s="275"/>
      <c r="I209" s="273"/>
      <c r="J209" s="273"/>
      <c r="K209" s="273"/>
      <c r="L209" s="188"/>
      <c r="M209" s="188"/>
      <c r="N209" s="188"/>
      <c r="O209" s="188"/>
    </row>
    <row r="210">
      <c r="A210" s="273"/>
      <c r="B210" s="274"/>
      <c r="C210" s="200"/>
      <c r="D210" s="275"/>
      <c r="E210" s="200"/>
      <c r="F210" s="276"/>
      <c r="G210" s="275"/>
      <c r="H210" s="275"/>
      <c r="I210" s="273"/>
      <c r="J210" s="273"/>
      <c r="K210" s="273"/>
      <c r="L210" s="188"/>
      <c r="M210" s="188"/>
      <c r="N210" s="188"/>
      <c r="O210" s="188"/>
    </row>
    <row r="211">
      <c r="A211" s="273"/>
      <c r="B211" s="274"/>
      <c r="C211" s="200"/>
      <c r="D211" s="275"/>
      <c r="E211" s="200"/>
      <c r="F211" s="276"/>
      <c r="G211" s="275"/>
      <c r="H211" s="275"/>
      <c r="I211" s="273"/>
      <c r="J211" s="273"/>
      <c r="K211" s="273"/>
      <c r="L211" s="188"/>
      <c r="M211" s="188"/>
      <c r="N211" s="188"/>
      <c r="O211" s="188"/>
    </row>
    <row r="212">
      <c r="A212" s="273"/>
      <c r="B212" s="274"/>
      <c r="C212" s="200"/>
      <c r="D212" s="275"/>
      <c r="E212" s="200"/>
      <c r="F212" s="276"/>
      <c r="G212" s="275"/>
      <c r="H212" s="275"/>
      <c r="I212" s="273"/>
      <c r="J212" s="273"/>
      <c r="K212" s="273"/>
      <c r="L212" s="188"/>
      <c r="M212" s="188"/>
      <c r="N212" s="188"/>
      <c r="O212" s="188"/>
    </row>
    <row r="213">
      <c r="A213" s="273"/>
      <c r="B213" s="274"/>
      <c r="C213" s="200"/>
      <c r="D213" s="275"/>
      <c r="E213" s="200"/>
      <c r="F213" s="276"/>
      <c r="G213" s="275"/>
      <c r="H213" s="275"/>
      <c r="I213" s="273"/>
      <c r="J213" s="273"/>
      <c r="K213" s="273"/>
      <c r="L213" s="188"/>
      <c r="M213" s="188"/>
      <c r="N213" s="188"/>
      <c r="O213" s="188"/>
    </row>
    <row r="214">
      <c r="A214" s="273"/>
      <c r="B214" s="274"/>
      <c r="C214" s="200"/>
      <c r="D214" s="275"/>
      <c r="E214" s="200"/>
      <c r="F214" s="276"/>
      <c r="G214" s="275"/>
      <c r="H214" s="275"/>
      <c r="I214" s="273"/>
      <c r="J214" s="273"/>
      <c r="K214" s="273"/>
      <c r="L214" s="188"/>
      <c r="M214" s="188"/>
      <c r="N214" s="188"/>
      <c r="O214" s="188"/>
    </row>
    <row r="215">
      <c r="A215" s="273"/>
      <c r="B215" s="274"/>
      <c r="C215" s="200"/>
      <c r="D215" s="275"/>
      <c r="E215" s="200"/>
      <c r="F215" s="276"/>
      <c r="G215" s="275"/>
      <c r="H215" s="275"/>
      <c r="I215" s="273"/>
      <c r="J215" s="273"/>
      <c r="K215" s="273"/>
      <c r="L215" s="188"/>
      <c r="M215" s="188"/>
      <c r="N215" s="188"/>
      <c r="O215" s="188"/>
    </row>
    <row r="216">
      <c r="A216" s="273"/>
      <c r="B216" s="274"/>
      <c r="C216" s="200"/>
      <c r="D216" s="275"/>
      <c r="E216" s="200"/>
      <c r="F216" s="276"/>
      <c r="G216" s="275"/>
      <c r="H216" s="275"/>
      <c r="I216" s="273"/>
      <c r="J216" s="273"/>
      <c r="K216" s="273"/>
      <c r="L216" s="188"/>
      <c r="M216" s="188"/>
      <c r="N216" s="188"/>
      <c r="O216" s="188"/>
    </row>
    <row r="217">
      <c r="A217" s="273"/>
      <c r="B217" s="274"/>
      <c r="C217" s="200"/>
      <c r="D217" s="275"/>
      <c r="E217" s="200"/>
      <c r="F217" s="276"/>
      <c r="G217" s="275"/>
      <c r="H217" s="275"/>
      <c r="I217" s="273"/>
      <c r="J217" s="273"/>
      <c r="K217" s="273"/>
      <c r="L217" s="188"/>
      <c r="M217" s="188"/>
      <c r="N217" s="188"/>
      <c r="O217" s="188"/>
    </row>
    <row r="218">
      <c r="A218" s="273"/>
      <c r="B218" s="274"/>
      <c r="C218" s="200"/>
      <c r="D218" s="275"/>
      <c r="E218" s="200"/>
      <c r="F218" s="276"/>
      <c r="G218" s="275"/>
      <c r="H218" s="275"/>
      <c r="I218" s="273"/>
      <c r="J218" s="273"/>
      <c r="K218" s="273"/>
      <c r="L218" s="188"/>
      <c r="M218" s="188"/>
      <c r="N218" s="188"/>
      <c r="O218" s="188"/>
    </row>
    <row r="219">
      <c r="A219" s="273"/>
      <c r="B219" s="274"/>
      <c r="C219" s="200"/>
      <c r="D219" s="275"/>
      <c r="E219" s="200"/>
      <c r="F219" s="276"/>
      <c r="G219" s="275"/>
      <c r="H219" s="275"/>
      <c r="I219" s="273"/>
      <c r="J219" s="273"/>
      <c r="K219" s="273"/>
      <c r="L219" s="188"/>
      <c r="M219" s="188"/>
      <c r="N219" s="188"/>
      <c r="O219" s="188"/>
    </row>
    <row r="220">
      <c r="A220" s="273"/>
      <c r="B220" s="274"/>
      <c r="C220" s="200"/>
      <c r="D220" s="275"/>
      <c r="E220" s="200"/>
      <c r="F220" s="276"/>
      <c r="G220" s="275"/>
      <c r="H220" s="275"/>
      <c r="I220" s="273"/>
      <c r="J220" s="273"/>
      <c r="K220" s="273"/>
      <c r="L220" s="188"/>
      <c r="M220" s="188"/>
      <c r="N220" s="188"/>
      <c r="O220" s="188"/>
    </row>
    <row r="221">
      <c r="A221" s="273"/>
      <c r="B221" s="274"/>
      <c r="C221" s="200"/>
      <c r="D221" s="275"/>
      <c r="E221" s="200"/>
      <c r="F221" s="276"/>
      <c r="G221" s="275"/>
      <c r="H221" s="275"/>
      <c r="I221" s="273"/>
      <c r="J221" s="273"/>
      <c r="K221" s="273"/>
      <c r="L221" s="188"/>
      <c r="M221" s="188"/>
      <c r="N221" s="188"/>
      <c r="O221" s="188"/>
    </row>
    <row r="222">
      <c r="A222" s="273"/>
      <c r="B222" s="274"/>
      <c r="C222" s="200"/>
      <c r="D222" s="275"/>
      <c r="E222" s="200"/>
      <c r="F222" s="276"/>
      <c r="G222" s="275"/>
      <c r="H222" s="275"/>
      <c r="I222" s="273"/>
      <c r="J222" s="273"/>
      <c r="K222" s="273"/>
      <c r="L222" s="188"/>
      <c r="M222" s="188"/>
      <c r="N222" s="188"/>
      <c r="O222" s="188"/>
    </row>
    <row r="223">
      <c r="A223" s="273"/>
      <c r="B223" s="274"/>
      <c r="C223" s="200"/>
      <c r="D223" s="275"/>
      <c r="E223" s="200"/>
      <c r="F223" s="276"/>
      <c r="G223" s="275"/>
      <c r="H223" s="275"/>
      <c r="I223" s="273"/>
      <c r="J223" s="273"/>
      <c r="K223" s="273"/>
      <c r="L223" s="188"/>
      <c r="M223" s="188"/>
      <c r="N223" s="188"/>
      <c r="O223" s="188"/>
    </row>
    <row r="224">
      <c r="A224" s="273"/>
      <c r="B224" s="274"/>
      <c r="C224" s="200"/>
      <c r="D224" s="275"/>
      <c r="E224" s="200"/>
      <c r="F224" s="276"/>
      <c r="G224" s="275"/>
      <c r="H224" s="275"/>
      <c r="I224" s="273"/>
      <c r="J224" s="273"/>
      <c r="K224" s="273"/>
      <c r="L224" s="188"/>
      <c r="M224" s="188"/>
      <c r="N224" s="188"/>
      <c r="O224" s="188"/>
    </row>
    <row r="225">
      <c r="A225" s="273"/>
      <c r="B225" s="274"/>
      <c r="C225" s="200"/>
      <c r="D225" s="275"/>
      <c r="E225" s="200"/>
      <c r="F225" s="276"/>
      <c r="G225" s="275"/>
      <c r="H225" s="275"/>
      <c r="I225" s="273"/>
      <c r="J225" s="273"/>
      <c r="K225" s="273"/>
      <c r="L225" s="188"/>
      <c r="M225" s="188"/>
      <c r="N225" s="188"/>
      <c r="O225" s="188"/>
    </row>
    <row r="226">
      <c r="A226" s="273"/>
      <c r="B226" s="274"/>
      <c r="C226" s="200"/>
      <c r="D226" s="275"/>
      <c r="E226" s="200"/>
      <c r="F226" s="276"/>
      <c r="G226" s="275"/>
      <c r="H226" s="275"/>
      <c r="I226" s="273"/>
      <c r="J226" s="273"/>
      <c r="K226" s="273"/>
      <c r="L226" s="188"/>
      <c r="M226" s="188"/>
      <c r="N226" s="188"/>
      <c r="O226" s="188"/>
    </row>
    <row r="227">
      <c r="A227" s="273"/>
      <c r="B227" s="274"/>
      <c r="C227" s="200"/>
      <c r="D227" s="275"/>
      <c r="E227" s="200"/>
      <c r="F227" s="276"/>
      <c r="G227" s="275"/>
      <c r="H227" s="275"/>
      <c r="I227" s="273"/>
      <c r="J227" s="273"/>
      <c r="K227" s="273"/>
      <c r="L227" s="188"/>
      <c r="M227" s="188"/>
      <c r="N227" s="188"/>
      <c r="O227" s="188"/>
    </row>
    <row r="228">
      <c r="A228" s="273"/>
      <c r="B228" s="274"/>
      <c r="C228" s="200"/>
      <c r="D228" s="275"/>
      <c r="E228" s="200"/>
      <c r="F228" s="276"/>
      <c r="G228" s="275"/>
      <c r="H228" s="275"/>
      <c r="I228" s="273"/>
      <c r="J228" s="273"/>
      <c r="K228" s="273"/>
      <c r="L228" s="188"/>
      <c r="M228" s="188"/>
      <c r="N228" s="188"/>
      <c r="O228" s="188"/>
    </row>
    <row r="229">
      <c r="A229" s="273"/>
      <c r="B229" s="274"/>
      <c r="C229" s="200"/>
      <c r="D229" s="275"/>
      <c r="E229" s="200"/>
      <c r="F229" s="276"/>
      <c r="G229" s="275"/>
      <c r="H229" s="275"/>
      <c r="I229" s="273"/>
      <c r="J229" s="273"/>
      <c r="K229" s="273"/>
      <c r="L229" s="188"/>
      <c r="M229" s="188"/>
      <c r="N229" s="188"/>
      <c r="O229" s="188"/>
    </row>
    <row r="230">
      <c r="A230" s="273"/>
      <c r="B230" s="274"/>
      <c r="C230" s="200"/>
      <c r="D230" s="275"/>
      <c r="E230" s="200"/>
      <c r="F230" s="276"/>
      <c r="G230" s="275"/>
      <c r="H230" s="275"/>
      <c r="I230" s="273"/>
      <c r="J230" s="273"/>
      <c r="K230" s="273"/>
      <c r="L230" s="188"/>
      <c r="M230" s="188"/>
      <c r="N230" s="188"/>
      <c r="O230" s="188"/>
    </row>
    <row r="231">
      <c r="A231" s="273"/>
      <c r="B231" s="274"/>
      <c r="C231" s="200"/>
      <c r="D231" s="275"/>
      <c r="E231" s="200"/>
      <c r="F231" s="276"/>
      <c r="G231" s="275"/>
      <c r="H231" s="275"/>
      <c r="I231" s="273"/>
      <c r="J231" s="273"/>
      <c r="K231" s="273"/>
      <c r="L231" s="188"/>
      <c r="M231" s="188"/>
      <c r="N231" s="188"/>
      <c r="O231" s="188"/>
    </row>
    <row r="232">
      <c r="A232" s="273"/>
      <c r="B232" s="274"/>
      <c r="C232" s="200"/>
      <c r="D232" s="275"/>
      <c r="E232" s="200"/>
      <c r="F232" s="276"/>
      <c r="G232" s="275"/>
      <c r="H232" s="275"/>
      <c r="I232" s="273"/>
      <c r="J232" s="273"/>
      <c r="K232" s="273"/>
      <c r="L232" s="188"/>
      <c r="M232" s="188"/>
      <c r="N232" s="188"/>
      <c r="O232" s="188"/>
    </row>
    <row r="233">
      <c r="A233" s="273"/>
      <c r="B233" s="274"/>
      <c r="C233" s="200"/>
      <c r="D233" s="275"/>
      <c r="E233" s="200"/>
      <c r="F233" s="276"/>
      <c r="G233" s="275"/>
      <c r="H233" s="275"/>
      <c r="I233" s="273"/>
      <c r="J233" s="273"/>
      <c r="K233" s="273"/>
      <c r="L233" s="188"/>
      <c r="M233" s="188"/>
      <c r="N233" s="188"/>
      <c r="O233" s="188"/>
    </row>
    <row r="234">
      <c r="A234" s="273"/>
      <c r="B234" s="274"/>
      <c r="C234" s="200"/>
      <c r="D234" s="275"/>
      <c r="E234" s="200"/>
      <c r="F234" s="276"/>
      <c r="G234" s="275"/>
      <c r="H234" s="275"/>
      <c r="I234" s="273"/>
      <c r="J234" s="273"/>
      <c r="K234" s="273"/>
      <c r="L234" s="188"/>
      <c r="M234" s="188"/>
      <c r="N234" s="188"/>
      <c r="O234" s="188"/>
    </row>
    <row r="235">
      <c r="A235" s="273"/>
      <c r="B235" s="274"/>
      <c r="C235" s="200"/>
      <c r="D235" s="275"/>
      <c r="E235" s="200"/>
      <c r="F235" s="276"/>
      <c r="G235" s="275"/>
      <c r="H235" s="275"/>
      <c r="I235" s="273"/>
      <c r="J235" s="273"/>
      <c r="K235" s="273"/>
      <c r="L235" s="188"/>
      <c r="M235" s="188"/>
      <c r="N235" s="188"/>
      <c r="O235" s="188"/>
    </row>
    <row r="236">
      <c r="A236" s="273"/>
      <c r="B236" s="274"/>
      <c r="C236" s="200"/>
      <c r="D236" s="275"/>
      <c r="E236" s="200"/>
      <c r="F236" s="276"/>
      <c r="G236" s="275"/>
      <c r="H236" s="275"/>
      <c r="I236" s="273"/>
      <c r="J236" s="273"/>
      <c r="K236" s="273"/>
      <c r="L236" s="188"/>
      <c r="M236" s="188"/>
      <c r="N236" s="188"/>
      <c r="O236" s="188"/>
    </row>
    <row r="237">
      <c r="A237" s="273"/>
      <c r="B237" s="274"/>
      <c r="C237" s="200"/>
      <c r="D237" s="275"/>
      <c r="E237" s="200"/>
      <c r="F237" s="276"/>
      <c r="G237" s="275"/>
      <c r="H237" s="275"/>
      <c r="I237" s="273"/>
      <c r="J237" s="273"/>
      <c r="K237" s="273"/>
      <c r="L237" s="188"/>
      <c r="M237" s="188"/>
      <c r="N237" s="188"/>
      <c r="O237" s="188"/>
    </row>
    <row r="238">
      <c r="A238" s="273"/>
      <c r="B238" s="274"/>
      <c r="C238" s="200"/>
      <c r="D238" s="275"/>
      <c r="E238" s="200"/>
      <c r="F238" s="276"/>
      <c r="G238" s="275"/>
      <c r="H238" s="275"/>
      <c r="I238" s="273"/>
      <c r="J238" s="273"/>
      <c r="K238" s="273"/>
      <c r="L238" s="188"/>
      <c r="M238" s="188"/>
      <c r="N238" s="188"/>
      <c r="O238" s="188"/>
    </row>
    <row r="239">
      <c r="A239" s="273"/>
      <c r="B239" s="274"/>
      <c r="C239" s="200"/>
      <c r="D239" s="275"/>
      <c r="E239" s="200"/>
      <c r="F239" s="276"/>
      <c r="G239" s="275"/>
      <c r="H239" s="275"/>
      <c r="I239" s="273"/>
      <c r="J239" s="273"/>
      <c r="K239" s="273"/>
      <c r="L239" s="188"/>
      <c r="M239" s="188"/>
      <c r="N239" s="188"/>
      <c r="O239" s="188"/>
    </row>
    <row r="240">
      <c r="A240" s="273"/>
      <c r="B240" s="274"/>
      <c r="C240" s="200"/>
      <c r="D240" s="275"/>
      <c r="E240" s="200"/>
      <c r="F240" s="276"/>
      <c r="G240" s="275"/>
      <c r="H240" s="275"/>
      <c r="I240" s="273"/>
      <c r="J240" s="273"/>
      <c r="K240" s="273"/>
      <c r="L240" s="188"/>
      <c r="M240" s="188"/>
      <c r="N240" s="188"/>
      <c r="O240" s="188"/>
    </row>
    <row r="241">
      <c r="A241" s="273"/>
      <c r="B241" s="274"/>
      <c r="C241" s="200"/>
      <c r="D241" s="275"/>
      <c r="E241" s="200"/>
      <c r="F241" s="276"/>
      <c r="G241" s="275"/>
      <c r="H241" s="275"/>
      <c r="I241" s="273"/>
      <c r="J241" s="273"/>
      <c r="K241" s="273"/>
      <c r="L241" s="188"/>
      <c r="M241" s="188"/>
      <c r="N241" s="188"/>
      <c r="O241" s="188"/>
    </row>
    <row r="242">
      <c r="A242" s="273"/>
      <c r="B242" s="274"/>
      <c r="C242" s="200"/>
      <c r="D242" s="275"/>
      <c r="E242" s="200"/>
      <c r="F242" s="276"/>
      <c r="G242" s="275"/>
      <c r="H242" s="275"/>
      <c r="I242" s="273"/>
      <c r="J242" s="273"/>
      <c r="K242" s="273"/>
      <c r="L242" s="188"/>
      <c r="M242" s="188"/>
      <c r="N242" s="188"/>
      <c r="O242" s="188"/>
    </row>
    <row r="243">
      <c r="A243" s="273"/>
      <c r="B243" s="274"/>
      <c r="C243" s="200"/>
      <c r="D243" s="275"/>
      <c r="E243" s="200"/>
      <c r="F243" s="276"/>
      <c r="G243" s="275"/>
      <c r="H243" s="275"/>
      <c r="I243" s="273"/>
      <c r="J243" s="273"/>
      <c r="K243" s="273"/>
      <c r="L243" s="188"/>
      <c r="M243" s="188"/>
      <c r="N243" s="188"/>
      <c r="O243" s="188"/>
    </row>
    <row r="244">
      <c r="A244" s="273"/>
      <c r="B244" s="274"/>
      <c r="C244" s="200"/>
      <c r="D244" s="275"/>
      <c r="E244" s="200"/>
      <c r="F244" s="276"/>
      <c r="G244" s="275"/>
      <c r="H244" s="275"/>
      <c r="I244" s="273"/>
      <c r="J244" s="273"/>
      <c r="K244" s="273"/>
      <c r="L244" s="188"/>
      <c r="M244" s="188"/>
      <c r="N244" s="188"/>
      <c r="O244" s="188"/>
    </row>
    <row r="245">
      <c r="A245" s="273"/>
      <c r="B245" s="274"/>
      <c r="C245" s="200"/>
      <c r="D245" s="275"/>
      <c r="E245" s="200"/>
      <c r="F245" s="276"/>
      <c r="G245" s="275"/>
      <c r="H245" s="275"/>
      <c r="I245" s="273"/>
      <c r="J245" s="273"/>
      <c r="K245" s="273"/>
      <c r="L245" s="188"/>
      <c r="M245" s="188"/>
      <c r="N245" s="188"/>
      <c r="O245" s="188"/>
    </row>
    <row r="246">
      <c r="A246" s="273"/>
      <c r="B246" s="274"/>
      <c r="C246" s="200"/>
      <c r="D246" s="275"/>
      <c r="E246" s="200"/>
      <c r="F246" s="276"/>
      <c r="G246" s="275"/>
      <c r="H246" s="275"/>
      <c r="I246" s="273"/>
      <c r="J246" s="273"/>
      <c r="K246" s="273"/>
      <c r="L246" s="188"/>
      <c r="M246" s="188"/>
      <c r="N246" s="188"/>
      <c r="O246" s="188"/>
    </row>
    <row r="247">
      <c r="A247" s="273"/>
      <c r="B247" s="274"/>
      <c r="C247" s="200"/>
      <c r="D247" s="275"/>
      <c r="E247" s="200"/>
      <c r="F247" s="276"/>
      <c r="G247" s="275"/>
      <c r="H247" s="275"/>
      <c r="I247" s="273"/>
      <c r="J247" s="273"/>
      <c r="K247" s="273"/>
      <c r="L247" s="188"/>
      <c r="M247" s="188"/>
      <c r="N247" s="188"/>
      <c r="O247" s="188"/>
    </row>
    <row r="248">
      <c r="A248" s="273"/>
      <c r="B248" s="274"/>
      <c r="C248" s="200"/>
      <c r="D248" s="275"/>
      <c r="E248" s="200"/>
      <c r="F248" s="276"/>
      <c r="G248" s="275"/>
      <c r="H248" s="275"/>
      <c r="I248" s="273"/>
      <c r="J248" s="273"/>
      <c r="K248" s="273"/>
      <c r="L248" s="188"/>
      <c r="M248" s="188"/>
      <c r="N248" s="188"/>
      <c r="O248" s="188"/>
    </row>
    <row r="249">
      <c r="A249" s="273"/>
      <c r="B249" s="274"/>
      <c r="C249" s="200"/>
      <c r="D249" s="275"/>
      <c r="E249" s="200"/>
      <c r="F249" s="276"/>
      <c r="G249" s="275"/>
      <c r="H249" s="275"/>
      <c r="I249" s="273"/>
      <c r="J249" s="273"/>
      <c r="K249" s="273"/>
      <c r="L249" s="188"/>
      <c r="M249" s="188"/>
      <c r="N249" s="188"/>
      <c r="O249" s="188"/>
    </row>
    <row r="250">
      <c r="A250" s="273"/>
      <c r="B250" s="274"/>
      <c r="C250" s="200"/>
      <c r="D250" s="275"/>
      <c r="E250" s="200"/>
      <c r="F250" s="276"/>
      <c r="G250" s="275"/>
      <c r="H250" s="275"/>
      <c r="I250" s="273"/>
      <c r="J250" s="273"/>
      <c r="K250" s="273"/>
      <c r="L250" s="188"/>
      <c r="M250" s="188"/>
      <c r="N250" s="188"/>
      <c r="O250" s="188"/>
    </row>
    <row r="251">
      <c r="A251" s="273"/>
      <c r="B251" s="274"/>
      <c r="C251" s="200"/>
      <c r="D251" s="275"/>
      <c r="E251" s="200"/>
      <c r="F251" s="276"/>
      <c r="G251" s="275"/>
      <c r="H251" s="275"/>
      <c r="I251" s="273"/>
      <c r="J251" s="273"/>
      <c r="K251" s="273"/>
      <c r="L251" s="188"/>
      <c r="M251" s="188"/>
      <c r="N251" s="188"/>
      <c r="O251" s="188"/>
    </row>
    <row r="252">
      <c r="A252" s="273"/>
      <c r="B252" s="274"/>
      <c r="C252" s="200"/>
      <c r="D252" s="275"/>
      <c r="E252" s="200"/>
      <c r="F252" s="276"/>
      <c r="G252" s="275"/>
      <c r="H252" s="275"/>
      <c r="I252" s="273"/>
      <c r="J252" s="273"/>
      <c r="K252" s="273"/>
      <c r="L252" s="188"/>
      <c r="M252" s="188"/>
      <c r="N252" s="188"/>
      <c r="O252" s="188"/>
    </row>
    <row r="253">
      <c r="A253" s="273"/>
      <c r="B253" s="274"/>
      <c r="C253" s="200"/>
      <c r="D253" s="275"/>
      <c r="E253" s="200"/>
      <c r="F253" s="276"/>
      <c r="G253" s="275"/>
      <c r="H253" s="275"/>
      <c r="I253" s="273"/>
      <c r="J253" s="273"/>
      <c r="K253" s="273"/>
      <c r="L253" s="188"/>
      <c r="M253" s="188"/>
      <c r="N253" s="188"/>
      <c r="O253" s="188"/>
    </row>
    <row r="254">
      <c r="A254" s="273"/>
      <c r="B254" s="274"/>
      <c r="C254" s="200"/>
      <c r="D254" s="275"/>
      <c r="E254" s="200"/>
      <c r="F254" s="276"/>
      <c r="G254" s="275"/>
      <c r="H254" s="275"/>
      <c r="I254" s="273"/>
      <c r="J254" s="273"/>
      <c r="K254" s="273"/>
      <c r="L254" s="188"/>
      <c r="M254" s="188"/>
      <c r="N254" s="188"/>
      <c r="O254" s="188"/>
    </row>
    <row r="255">
      <c r="A255" s="273"/>
      <c r="B255" s="274"/>
      <c r="C255" s="200"/>
      <c r="D255" s="275"/>
      <c r="E255" s="200"/>
      <c r="F255" s="276"/>
      <c r="G255" s="275"/>
      <c r="H255" s="275"/>
      <c r="I255" s="273"/>
      <c r="J255" s="273"/>
      <c r="K255" s="273"/>
      <c r="L255" s="188"/>
      <c r="M255" s="188"/>
      <c r="N255" s="188"/>
      <c r="O255" s="188"/>
    </row>
    <row r="256">
      <c r="A256" s="273"/>
      <c r="B256" s="274"/>
      <c r="C256" s="200"/>
      <c r="D256" s="275"/>
      <c r="E256" s="200"/>
      <c r="F256" s="276"/>
      <c r="G256" s="275"/>
      <c r="H256" s="275"/>
      <c r="I256" s="273"/>
      <c r="J256" s="273"/>
      <c r="K256" s="273"/>
      <c r="L256" s="188"/>
      <c r="M256" s="188"/>
      <c r="N256" s="188"/>
      <c r="O256" s="188"/>
    </row>
    <row r="257">
      <c r="A257" s="273"/>
      <c r="B257" s="274"/>
      <c r="C257" s="200"/>
      <c r="D257" s="275"/>
      <c r="E257" s="200"/>
      <c r="F257" s="276"/>
      <c r="G257" s="275"/>
      <c r="H257" s="275"/>
      <c r="I257" s="273"/>
      <c r="J257" s="273"/>
      <c r="K257" s="273"/>
      <c r="L257" s="188"/>
      <c r="M257" s="188"/>
      <c r="N257" s="188"/>
      <c r="O257" s="188"/>
    </row>
    <row r="258">
      <c r="A258" s="273"/>
      <c r="B258" s="274"/>
      <c r="C258" s="200"/>
      <c r="D258" s="275"/>
      <c r="E258" s="200"/>
      <c r="F258" s="276"/>
      <c r="G258" s="275"/>
      <c r="H258" s="275"/>
      <c r="I258" s="273"/>
      <c r="J258" s="273"/>
      <c r="K258" s="273"/>
      <c r="L258" s="188"/>
      <c r="M258" s="188"/>
      <c r="N258" s="188"/>
      <c r="O258" s="188"/>
    </row>
    <row r="259">
      <c r="A259" s="273"/>
      <c r="B259" s="274"/>
      <c r="C259" s="200"/>
      <c r="D259" s="275"/>
      <c r="E259" s="200"/>
      <c r="F259" s="276"/>
      <c r="G259" s="275"/>
      <c r="H259" s="275"/>
      <c r="I259" s="273"/>
      <c r="J259" s="273"/>
      <c r="K259" s="273"/>
      <c r="L259" s="188"/>
      <c r="M259" s="188"/>
      <c r="N259" s="188"/>
      <c r="O259" s="188"/>
    </row>
    <row r="260">
      <c r="A260" s="273"/>
      <c r="B260" s="274"/>
      <c r="C260" s="200"/>
      <c r="D260" s="275"/>
      <c r="E260" s="200"/>
      <c r="F260" s="276"/>
      <c r="G260" s="275"/>
      <c r="H260" s="275"/>
      <c r="I260" s="273"/>
      <c r="J260" s="273"/>
      <c r="K260" s="273"/>
      <c r="L260" s="188"/>
      <c r="M260" s="188"/>
      <c r="N260" s="188"/>
      <c r="O260" s="188"/>
    </row>
    <row r="261">
      <c r="A261" s="273"/>
      <c r="B261" s="274"/>
      <c r="C261" s="200"/>
      <c r="D261" s="275"/>
      <c r="E261" s="200"/>
      <c r="F261" s="276"/>
      <c r="G261" s="275"/>
      <c r="H261" s="275"/>
      <c r="I261" s="273"/>
      <c r="J261" s="273"/>
      <c r="K261" s="273"/>
      <c r="L261" s="188"/>
      <c r="M261" s="188"/>
      <c r="N261" s="188"/>
      <c r="O261" s="188"/>
    </row>
    <row r="262">
      <c r="A262" s="273"/>
      <c r="B262" s="274"/>
      <c r="C262" s="200"/>
      <c r="D262" s="275"/>
      <c r="E262" s="200"/>
      <c r="F262" s="276"/>
      <c r="G262" s="275"/>
      <c r="H262" s="275"/>
      <c r="I262" s="273"/>
      <c r="J262" s="273"/>
      <c r="K262" s="273"/>
      <c r="L262" s="188"/>
      <c r="M262" s="188"/>
      <c r="N262" s="188"/>
      <c r="O262" s="188"/>
    </row>
    <row r="263">
      <c r="A263" s="273"/>
      <c r="B263" s="274"/>
      <c r="C263" s="200"/>
      <c r="D263" s="275"/>
      <c r="E263" s="200"/>
      <c r="F263" s="276"/>
      <c r="G263" s="275"/>
      <c r="H263" s="275"/>
      <c r="I263" s="273"/>
      <c r="J263" s="273"/>
      <c r="K263" s="273"/>
      <c r="L263" s="188"/>
      <c r="M263" s="188"/>
      <c r="N263" s="188"/>
      <c r="O263" s="188"/>
    </row>
    <row r="264">
      <c r="A264" s="273"/>
      <c r="B264" s="274"/>
      <c r="C264" s="200"/>
      <c r="D264" s="275"/>
      <c r="E264" s="200"/>
      <c r="F264" s="276"/>
      <c r="G264" s="275"/>
      <c r="H264" s="275"/>
      <c r="I264" s="273"/>
      <c r="J264" s="273"/>
      <c r="K264" s="273"/>
      <c r="L264" s="188"/>
      <c r="M264" s="188"/>
      <c r="N264" s="188"/>
      <c r="O264" s="188"/>
    </row>
    <row r="265">
      <c r="A265" s="273"/>
      <c r="B265" s="274"/>
      <c r="C265" s="200"/>
      <c r="D265" s="275"/>
      <c r="E265" s="200"/>
      <c r="F265" s="276"/>
      <c r="G265" s="275"/>
      <c r="H265" s="275"/>
      <c r="I265" s="273"/>
      <c r="J265" s="273"/>
      <c r="K265" s="273"/>
      <c r="L265" s="188"/>
      <c r="M265" s="188"/>
      <c r="N265" s="188"/>
      <c r="O265" s="188"/>
    </row>
    <row r="266">
      <c r="A266" s="273"/>
      <c r="B266" s="274"/>
      <c r="C266" s="200"/>
      <c r="D266" s="275"/>
      <c r="E266" s="200"/>
      <c r="F266" s="276"/>
      <c r="G266" s="275"/>
      <c r="H266" s="275"/>
      <c r="I266" s="273"/>
      <c r="J266" s="273"/>
      <c r="K266" s="273"/>
      <c r="L266" s="188"/>
      <c r="M266" s="188"/>
      <c r="N266" s="188"/>
      <c r="O266" s="188"/>
    </row>
    <row r="267">
      <c r="A267" s="273"/>
      <c r="B267" s="274"/>
      <c r="C267" s="200"/>
      <c r="D267" s="275"/>
      <c r="E267" s="200"/>
      <c r="F267" s="276"/>
      <c r="G267" s="275"/>
      <c r="H267" s="275"/>
      <c r="I267" s="273"/>
      <c r="J267" s="273"/>
      <c r="K267" s="273"/>
      <c r="L267" s="188"/>
      <c r="M267" s="188"/>
      <c r="N267" s="188"/>
      <c r="O267" s="188"/>
    </row>
    <row r="268">
      <c r="A268" s="273"/>
      <c r="B268" s="274"/>
      <c r="C268" s="200"/>
      <c r="D268" s="275"/>
      <c r="E268" s="200"/>
      <c r="F268" s="276"/>
      <c r="G268" s="275"/>
      <c r="H268" s="275"/>
      <c r="I268" s="273"/>
      <c r="J268" s="273"/>
      <c r="K268" s="273"/>
      <c r="L268" s="188"/>
      <c r="M268" s="188"/>
      <c r="N268" s="188"/>
      <c r="O268" s="188"/>
    </row>
    <row r="269">
      <c r="A269" s="273"/>
      <c r="B269" s="274"/>
      <c r="C269" s="200"/>
      <c r="D269" s="275"/>
      <c r="E269" s="200"/>
      <c r="F269" s="276"/>
      <c r="G269" s="275"/>
      <c r="H269" s="275"/>
      <c r="I269" s="273"/>
      <c r="J269" s="273"/>
      <c r="K269" s="273"/>
      <c r="L269" s="188"/>
      <c r="M269" s="188"/>
      <c r="N269" s="188"/>
      <c r="O269" s="188"/>
    </row>
    <row r="270">
      <c r="A270" s="273"/>
      <c r="B270" s="274"/>
      <c r="C270" s="200"/>
      <c r="D270" s="275"/>
      <c r="E270" s="200"/>
      <c r="F270" s="276"/>
      <c r="G270" s="275"/>
      <c r="H270" s="275"/>
      <c r="I270" s="273"/>
      <c r="J270" s="273"/>
      <c r="K270" s="273"/>
      <c r="L270" s="188"/>
      <c r="M270" s="188"/>
      <c r="N270" s="188"/>
      <c r="O270" s="188"/>
    </row>
    <row r="271">
      <c r="A271" s="273"/>
      <c r="B271" s="274"/>
      <c r="C271" s="200"/>
      <c r="D271" s="275"/>
      <c r="E271" s="200"/>
      <c r="F271" s="276"/>
      <c r="G271" s="275"/>
      <c r="H271" s="275"/>
      <c r="I271" s="273"/>
      <c r="J271" s="273"/>
      <c r="K271" s="273"/>
      <c r="L271" s="188"/>
      <c r="M271" s="188"/>
      <c r="N271" s="188"/>
      <c r="O271" s="188"/>
    </row>
    <row r="272">
      <c r="A272" s="273"/>
      <c r="B272" s="274"/>
      <c r="C272" s="200"/>
      <c r="D272" s="275"/>
      <c r="E272" s="200"/>
      <c r="F272" s="276"/>
      <c r="G272" s="275"/>
      <c r="H272" s="275"/>
      <c r="I272" s="273"/>
      <c r="J272" s="273"/>
      <c r="K272" s="273"/>
      <c r="L272" s="188"/>
      <c r="M272" s="188"/>
      <c r="N272" s="188"/>
      <c r="O272" s="188"/>
    </row>
    <row r="273">
      <c r="A273" s="273"/>
      <c r="B273" s="274"/>
      <c r="C273" s="200"/>
      <c r="D273" s="275"/>
      <c r="E273" s="200"/>
      <c r="F273" s="276"/>
      <c r="G273" s="275"/>
      <c r="H273" s="275"/>
      <c r="I273" s="273"/>
      <c r="J273" s="273"/>
      <c r="K273" s="273"/>
      <c r="L273" s="188"/>
      <c r="M273" s="188"/>
      <c r="N273" s="188"/>
      <c r="O273" s="188"/>
    </row>
    <row r="274">
      <c r="A274" s="273"/>
      <c r="B274" s="274"/>
      <c r="C274" s="200"/>
      <c r="D274" s="275"/>
      <c r="E274" s="200"/>
      <c r="F274" s="276"/>
      <c r="G274" s="275"/>
      <c r="H274" s="275"/>
      <c r="I274" s="273"/>
      <c r="J274" s="273"/>
      <c r="K274" s="273"/>
      <c r="L274" s="188"/>
      <c r="M274" s="188"/>
      <c r="N274" s="188"/>
      <c r="O274" s="188"/>
    </row>
    <row r="275">
      <c r="A275" s="273"/>
      <c r="B275" s="274"/>
      <c r="C275" s="200"/>
      <c r="D275" s="275"/>
      <c r="E275" s="200"/>
      <c r="F275" s="276"/>
      <c r="G275" s="275"/>
      <c r="H275" s="275"/>
      <c r="I275" s="273"/>
      <c r="J275" s="273"/>
      <c r="K275" s="273"/>
      <c r="L275" s="188"/>
      <c r="M275" s="188"/>
      <c r="N275" s="188"/>
      <c r="O275" s="188"/>
    </row>
    <row r="276">
      <c r="A276" s="273"/>
      <c r="B276" s="274"/>
      <c r="C276" s="200"/>
      <c r="D276" s="275"/>
      <c r="E276" s="200"/>
      <c r="F276" s="276"/>
      <c r="G276" s="275"/>
      <c r="H276" s="275"/>
      <c r="I276" s="273"/>
      <c r="J276" s="273"/>
      <c r="K276" s="273"/>
      <c r="L276" s="188"/>
      <c r="M276" s="188"/>
      <c r="N276" s="188"/>
      <c r="O276" s="188"/>
    </row>
    <row r="277">
      <c r="A277" s="273"/>
      <c r="B277" s="274"/>
      <c r="C277" s="200"/>
      <c r="D277" s="275"/>
      <c r="E277" s="200"/>
      <c r="F277" s="276"/>
      <c r="G277" s="275"/>
      <c r="H277" s="275"/>
      <c r="I277" s="273"/>
      <c r="J277" s="273"/>
      <c r="K277" s="273"/>
      <c r="L277" s="188"/>
      <c r="M277" s="188"/>
      <c r="N277" s="188"/>
      <c r="O277" s="188"/>
    </row>
    <row r="278">
      <c r="A278" s="273"/>
      <c r="B278" s="274"/>
      <c r="C278" s="200"/>
      <c r="D278" s="275"/>
      <c r="E278" s="200"/>
      <c r="F278" s="276"/>
      <c r="G278" s="275"/>
      <c r="H278" s="275"/>
      <c r="I278" s="273"/>
      <c r="J278" s="273"/>
      <c r="K278" s="273"/>
      <c r="L278" s="188"/>
      <c r="M278" s="188"/>
      <c r="N278" s="188"/>
      <c r="O278" s="188"/>
    </row>
    <row r="279">
      <c r="A279" s="273"/>
      <c r="B279" s="274"/>
      <c r="C279" s="200"/>
      <c r="D279" s="275"/>
      <c r="E279" s="200"/>
      <c r="F279" s="276"/>
      <c r="G279" s="275"/>
      <c r="H279" s="275"/>
      <c r="I279" s="273"/>
      <c r="J279" s="273"/>
      <c r="K279" s="273"/>
      <c r="L279" s="188"/>
      <c r="M279" s="188"/>
      <c r="N279" s="188"/>
      <c r="O279" s="188"/>
    </row>
    <row r="280">
      <c r="A280" s="273"/>
      <c r="B280" s="274"/>
      <c r="C280" s="200"/>
      <c r="D280" s="275"/>
      <c r="E280" s="200"/>
      <c r="F280" s="276"/>
      <c r="G280" s="275"/>
      <c r="H280" s="275"/>
      <c r="I280" s="273"/>
      <c r="J280" s="273"/>
      <c r="K280" s="273"/>
      <c r="L280" s="188"/>
      <c r="M280" s="188"/>
      <c r="N280" s="188"/>
      <c r="O280" s="188"/>
    </row>
    <row r="281">
      <c r="A281" s="273"/>
      <c r="B281" s="274"/>
      <c r="C281" s="200"/>
      <c r="D281" s="275"/>
      <c r="E281" s="200"/>
      <c r="F281" s="276"/>
      <c r="G281" s="275"/>
      <c r="H281" s="275"/>
      <c r="I281" s="273"/>
      <c r="J281" s="273"/>
      <c r="K281" s="273"/>
      <c r="L281" s="188"/>
      <c r="M281" s="188"/>
      <c r="N281" s="188"/>
      <c r="O281" s="188"/>
    </row>
    <row r="282">
      <c r="A282" s="273"/>
      <c r="B282" s="274"/>
      <c r="C282" s="200"/>
      <c r="D282" s="275"/>
      <c r="E282" s="200"/>
      <c r="F282" s="276"/>
      <c r="G282" s="275"/>
      <c r="H282" s="275"/>
      <c r="I282" s="273"/>
      <c r="J282" s="273"/>
      <c r="K282" s="273"/>
      <c r="L282" s="188"/>
      <c r="M282" s="188"/>
      <c r="N282" s="188"/>
      <c r="O282" s="188"/>
    </row>
    <row r="283">
      <c r="A283" s="273"/>
      <c r="B283" s="274"/>
      <c r="C283" s="200"/>
      <c r="D283" s="275"/>
      <c r="E283" s="200"/>
      <c r="F283" s="276"/>
      <c r="G283" s="275"/>
      <c r="H283" s="275"/>
      <c r="I283" s="273"/>
      <c r="J283" s="273"/>
      <c r="K283" s="273"/>
      <c r="L283" s="188"/>
      <c r="M283" s="188"/>
      <c r="N283" s="188"/>
      <c r="O283" s="188"/>
    </row>
    <row r="284">
      <c r="A284" s="273"/>
      <c r="B284" s="274"/>
      <c r="C284" s="200"/>
      <c r="D284" s="275"/>
      <c r="E284" s="200"/>
      <c r="F284" s="276"/>
      <c r="G284" s="275"/>
      <c r="H284" s="275"/>
      <c r="I284" s="273"/>
      <c r="J284" s="273"/>
      <c r="K284" s="273"/>
      <c r="L284" s="188"/>
      <c r="M284" s="188"/>
      <c r="N284" s="188"/>
      <c r="O284" s="188"/>
    </row>
    <row r="285">
      <c r="A285" s="273"/>
      <c r="B285" s="274"/>
      <c r="C285" s="200"/>
      <c r="D285" s="275"/>
      <c r="E285" s="200"/>
      <c r="F285" s="276"/>
      <c r="G285" s="275"/>
      <c r="H285" s="275"/>
      <c r="I285" s="273"/>
      <c r="J285" s="273"/>
      <c r="K285" s="273"/>
      <c r="L285" s="188"/>
      <c r="M285" s="188"/>
      <c r="N285" s="188"/>
      <c r="O285" s="188"/>
    </row>
    <row r="286">
      <c r="A286" s="273"/>
      <c r="B286" s="274"/>
      <c r="C286" s="200"/>
      <c r="D286" s="275"/>
      <c r="E286" s="200"/>
      <c r="F286" s="276"/>
      <c r="G286" s="275"/>
      <c r="H286" s="275"/>
      <c r="I286" s="273"/>
      <c r="J286" s="273"/>
      <c r="K286" s="273"/>
      <c r="L286" s="188"/>
      <c r="M286" s="188"/>
      <c r="N286" s="188"/>
      <c r="O286" s="188"/>
    </row>
    <row r="287">
      <c r="A287" s="273"/>
      <c r="B287" s="274"/>
      <c r="C287" s="200"/>
      <c r="D287" s="275"/>
      <c r="E287" s="200"/>
      <c r="F287" s="276"/>
      <c r="G287" s="275"/>
      <c r="H287" s="275"/>
      <c r="I287" s="273"/>
      <c r="J287" s="273"/>
      <c r="K287" s="273"/>
      <c r="L287" s="188"/>
      <c r="M287" s="188"/>
      <c r="N287" s="188"/>
      <c r="O287" s="188"/>
    </row>
    <row r="288">
      <c r="A288" s="273"/>
      <c r="B288" s="274"/>
      <c r="C288" s="200"/>
      <c r="D288" s="275"/>
      <c r="E288" s="200"/>
      <c r="F288" s="276"/>
      <c r="G288" s="275"/>
      <c r="H288" s="275"/>
      <c r="I288" s="273"/>
      <c r="J288" s="273"/>
      <c r="K288" s="273"/>
      <c r="L288" s="188"/>
      <c r="M288" s="188"/>
      <c r="N288" s="188"/>
      <c r="O288" s="188"/>
    </row>
    <row r="289">
      <c r="A289" s="273"/>
      <c r="B289" s="274"/>
      <c r="C289" s="200"/>
      <c r="D289" s="275"/>
      <c r="E289" s="200"/>
      <c r="F289" s="276"/>
      <c r="G289" s="275"/>
      <c r="H289" s="275"/>
      <c r="I289" s="273"/>
      <c r="J289" s="273"/>
      <c r="K289" s="273"/>
      <c r="L289" s="188"/>
      <c r="M289" s="188"/>
      <c r="N289" s="188"/>
      <c r="O289" s="188"/>
    </row>
    <row r="290">
      <c r="A290" s="273"/>
      <c r="B290" s="274"/>
      <c r="C290" s="200"/>
      <c r="D290" s="275"/>
      <c r="E290" s="200"/>
      <c r="F290" s="276"/>
      <c r="G290" s="275"/>
      <c r="H290" s="275"/>
      <c r="I290" s="273"/>
      <c r="J290" s="273"/>
      <c r="K290" s="273"/>
      <c r="L290" s="188"/>
      <c r="M290" s="188"/>
      <c r="N290" s="188"/>
      <c r="O290" s="188"/>
    </row>
    <row r="291">
      <c r="A291" s="273"/>
      <c r="B291" s="274"/>
      <c r="C291" s="200"/>
      <c r="D291" s="275"/>
      <c r="E291" s="200"/>
      <c r="F291" s="276"/>
      <c r="G291" s="275"/>
      <c r="H291" s="275"/>
      <c r="I291" s="273"/>
      <c r="J291" s="273"/>
      <c r="K291" s="273"/>
      <c r="L291" s="188"/>
      <c r="M291" s="188"/>
      <c r="N291" s="188"/>
      <c r="O291" s="188"/>
    </row>
    <row r="292">
      <c r="A292" s="273"/>
      <c r="B292" s="274"/>
      <c r="C292" s="200"/>
      <c r="D292" s="275"/>
      <c r="E292" s="200"/>
      <c r="F292" s="276"/>
      <c r="G292" s="275"/>
      <c r="H292" s="275"/>
      <c r="I292" s="273"/>
      <c r="J292" s="273"/>
      <c r="K292" s="273"/>
      <c r="L292" s="188"/>
      <c r="M292" s="188"/>
      <c r="N292" s="188"/>
      <c r="O292" s="188"/>
    </row>
    <row r="293">
      <c r="A293" s="273"/>
      <c r="B293" s="274"/>
      <c r="C293" s="200"/>
      <c r="D293" s="275"/>
      <c r="E293" s="200"/>
      <c r="F293" s="276"/>
      <c r="G293" s="275"/>
      <c r="H293" s="275"/>
      <c r="I293" s="273"/>
      <c r="J293" s="273"/>
      <c r="K293" s="273"/>
      <c r="L293" s="188"/>
      <c r="M293" s="188"/>
      <c r="N293" s="188"/>
      <c r="O293" s="188"/>
    </row>
    <row r="294">
      <c r="A294" s="273"/>
      <c r="B294" s="274"/>
      <c r="C294" s="200"/>
      <c r="D294" s="275"/>
      <c r="E294" s="200"/>
      <c r="F294" s="276"/>
      <c r="G294" s="275"/>
      <c r="H294" s="275"/>
      <c r="I294" s="273"/>
      <c r="J294" s="273"/>
      <c r="K294" s="273"/>
      <c r="L294" s="188"/>
      <c r="M294" s="188"/>
      <c r="N294" s="188"/>
      <c r="O294" s="188"/>
    </row>
    <row r="295">
      <c r="A295" s="273"/>
      <c r="B295" s="274"/>
      <c r="C295" s="200"/>
      <c r="D295" s="275"/>
      <c r="E295" s="200"/>
      <c r="F295" s="276"/>
      <c r="G295" s="275"/>
      <c r="H295" s="275"/>
      <c r="I295" s="273"/>
      <c r="J295" s="273"/>
      <c r="K295" s="273"/>
      <c r="L295" s="188"/>
      <c r="M295" s="188"/>
      <c r="N295" s="188"/>
      <c r="O295" s="188"/>
    </row>
    <row r="296">
      <c r="A296" s="273"/>
      <c r="B296" s="274"/>
      <c r="C296" s="200"/>
      <c r="D296" s="275"/>
      <c r="E296" s="200"/>
      <c r="F296" s="276"/>
      <c r="G296" s="275"/>
      <c r="H296" s="275"/>
      <c r="I296" s="273"/>
      <c r="J296" s="273"/>
      <c r="K296" s="273"/>
      <c r="L296" s="188"/>
      <c r="M296" s="188"/>
      <c r="N296" s="188"/>
      <c r="O296" s="188"/>
    </row>
    <row r="297">
      <c r="A297" s="273"/>
      <c r="B297" s="274"/>
      <c r="C297" s="200"/>
      <c r="D297" s="275"/>
      <c r="E297" s="200"/>
      <c r="F297" s="276"/>
      <c r="G297" s="275"/>
      <c r="H297" s="275"/>
      <c r="I297" s="273"/>
      <c r="J297" s="273"/>
      <c r="K297" s="273"/>
      <c r="L297" s="188"/>
      <c r="M297" s="188"/>
      <c r="N297" s="188"/>
      <c r="O297" s="188"/>
    </row>
    <row r="298">
      <c r="A298" s="273"/>
      <c r="B298" s="274"/>
      <c r="C298" s="200"/>
      <c r="D298" s="275"/>
      <c r="E298" s="200"/>
      <c r="F298" s="276"/>
      <c r="G298" s="275"/>
      <c r="H298" s="275"/>
      <c r="I298" s="273"/>
      <c r="J298" s="273"/>
      <c r="K298" s="273"/>
      <c r="L298" s="188"/>
      <c r="M298" s="188"/>
      <c r="N298" s="188"/>
      <c r="O298" s="188"/>
    </row>
    <row r="299">
      <c r="A299" s="273"/>
      <c r="B299" s="274"/>
      <c r="C299" s="200"/>
      <c r="D299" s="275"/>
      <c r="E299" s="200"/>
      <c r="F299" s="276"/>
      <c r="G299" s="275"/>
      <c r="H299" s="275"/>
      <c r="I299" s="273"/>
      <c r="J299" s="273"/>
      <c r="K299" s="273"/>
      <c r="L299" s="188"/>
      <c r="M299" s="188"/>
      <c r="N299" s="188"/>
      <c r="O299" s="188"/>
    </row>
    <row r="300">
      <c r="A300" s="273"/>
      <c r="B300" s="274"/>
      <c r="C300" s="200"/>
      <c r="D300" s="275"/>
      <c r="E300" s="200"/>
      <c r="F300" s="276"/>
      <c r="G300" s="275"/>
      <c r="H300" s="275"/>
      <c r="I300" s="273"/>
      <c r="J300" s="273"/>
      <c r="K300" s="273"/>
      <c r="L300" s="188"/>
      <c r="M300" s="188"/>
      <c r="N300" s="188"/>
      <c r="O300" s="188"/>
    </row>
    <row r="301">
      <c r="A301" s="273"/>
      <c r="B301" s="274"/>
      <c r="C301" s="200"/>
      <c r="D301" s="275"/>
      <c r="E301" s="200"/>
      <c r="F301" s="276"/>
      <c r="G301" s="275"/>
      <c r="H301" s="275"/>
      <c r="I301" s="273"/>
      <c r="J301" s="273"/>
      <c r="K301" s="273"/>
      <c r="L301" s="188"/>
      <c r="M301" s="188"/>
      <c r="N301" s="188"/>
      <c r="O301" s="188"/>
    </row>
    <row r="302">
      <c r="A302" s="273"/>
      <c r="B302" s="274"/>
      <c r="C302" s="200"/>
      <c r="D302" s="275"/>
      <c r="E302" s="200"/>
      <c r="F302" s="276"/>
      <c r="G302" s="275"/>
      <c r="H302" s="275"/>
      <c r="I302" s="273"/>
      <c r="J302" s="273"/>
      <c r="K302" s="273"/>
      <c r="L302" s="188"/>
      <c r="M302" s="188"/>
      <c r="N302" s="188"/>
      <c r="O302" s="188"/>
    </row>
    <row r="303">
      <c r="A303" s="273"/>
      <c r="B303" s="274"/>
      <c r="C303" s="200"/>
      <c r="D303" s="275"/>
      <c r="E303" s="200"/>
      <c r="F303" s="276"/>
      <c r="G303" s="275"/>
      <c r="H303" s="275"/>
      <c r="I303" s="273"/>
      <c r="J303" s="273"/>
      <c r="K303" s="273"/>
      <c r="L303" s="188"/>
      <c r="M303" s="188"/>
      <c r="N303" s="188"/>
      <c r="O303" s="188"/>
    </row>
    <row r="304">
      <c r="A304" s="273"/>
      <c r="B304" s="274"/>
      <c r="C304" s="200"/>
      <c r="D304" s="275"/>
      <c r="E304" s="200"/>
      <c r="F304" s="276"/>
      <c r="G304" s="275"/>
      <c r="H304" s="275"/>
      <c r="I304" s="273"/>
      <c r="J304" s="273"/>
      <c r="K304" s="273"/>
      <c r="L304" s="188"/>
      <c r="M304" s="188"/>
      <c r="N304" s="188"/>
      <c r="O304" s="188"/>
    </row>
    <row r="305">
      <c r="A305" s="273"/>
      <c r="B305" s="274"/>
      <c r="C305" s="200"/>
      <c r="D305" s="275"/>
      <c r="E305" s="200"/>
      <c r="F305" s="276"/>
      <c r="G305" s="275"/>
      <c r="H305" s="275"/>
      <c r="I305" s="273"/>
      <c r="J305" s="273"/>
      <c r="K305" s="273"/>
      <c r="L305" s="188"/>
      <c r="M305" s="188"/>
      <c r="N305" s="188"/>
      <c r="O305" s="188"/>
    </row>
    <row r="306">
      <c r="A306" s="273"/>
      <c r="B306" s="274"/>
      <c r="C306" s="200"/>
      <c r="D306" s="275"/>
      <c r="E306" s="200"/>
      <c r="F306" s="276"/>
      <c r="G306" s="275"/>
      <c r="H306" s="275"/>
      <c r="I306" s="273"/>
      <c r="J306" s="273"/>
      <c r="K306" s="273"/>
      <c r="L306" s="188"/>
      <c r="M306" s="188"/>
      <c r="N306" s="188"/>
      <c r="O306" s="188"/>
    </row>
    <row r="307">
      <c r="A307" s="273"/>
      <c r="B307" s="274"/>
      <c r="C307" s="200"/>
      <c r="D307" s="275"/>
      <c r="E307" s="200"/>
      <c r="F307" s="276"/>
      <c r="G307" s="275"/>
      <c r="H307" s="275"/>
      <c r="I307" s="273"/>
      <c r="J307" s="273"/>
      <c r="K307" s="273"/>
      <c r="L307" s="188"/>
      <c r="M307" s="188"/>
      <c r="N307" s="188"/>
      <c r="O307" s="188"/>
    </row>
    <row r="308">
      <c r="A308" s="273"/>
      <c r="B308" s="274"/>
      <c r="C308" s="200"/>
      <c r="D308" s="275"/>
      <c r="E308" s="200"/>
      <c r="F308" s="276"/>
      <c r="G308" s="275"/>
      <c r="H308" s="275"/>
      <c r="I308" s="273"/>
      <c r="J308" s="273"/>
      <c r="K308" s="273"/>
      <c r="L308" s="188"/>
      <c r="M308" s="188"/>
      <c r="N308" s="188"/>
      <c r="O308" s="188"/>
    </row>
    <row r="309">
      <c r="A309" s="273"/>
      <c r="B309" s="274"/>
      <c r="C309" s="200"/>
      <c r="D309" s="275"/>
      <c r="E309" s="200"/>
      <c r="F309" s="276"/>
      <c r="G309" s="275"/>
      <c r="H309" s="275"/>
      <c r="I309" s="273"/>
      <c r="J309" s="273"/>
      <c r="K309" s="273"/>
      <c r="L309" s="188"/>
      <c r="M309" s="188"/>
      <c r="N309" s="188"/>
      <c r="O309" s="188"/>
    </row>
    <row r="310">
      <c r="A310" s="273"/>
      <c r="B310" s="274"/>
      <c r="C310" s="200"/>
      <c r="D310" s="275"/>
      <c r="E310" s="200"/>
      <c r="F310" s="276"/>
      <c r="G310" s="275"/>
      <c r="H310" s="275"/>
      <c r="I310" s="273"/>
      <c r="J310" s="273"/>
      <c r="K310" s="273"/>
      <c r="L310" s="188"/>
      <c r="M310" s="188"/>
      <c r="N310" s="188"/>
      <c r="O310" s="188"/>
    </row>
    <row r="311">
      <c r="A311" s="273"/>
      <c r="B311" s="274"/>
      <c r="C311" s="200"/>
      <c r="D311" s="275"/>
      <c r="E311" s="200"/>
      <c r="F311" s="276"/>
      <c r="G311" s="275"/>
      <c r="H311" s="275"/>
      <c r="I311" s="273"/>
      <c r="J311" s="273"/>
      <c r="K311" s="273"/>
      <c r="L311" s="188"/>
      <c r="M311" s="188"/>
      <c r="N311" s="188"/>
      <c r="O311" s="188"/>
    </row>
    <row r="312">
      <c r="A312" s="273"/>
      <c r="B312" s="274"/>
      <c r="C312" s="200"/>
      <c r="D312" s="275"/>
      <c r="E312" s="200"/>
      <c r="F312" s="276"/>
      <c r="G312" s="275"/>
      <c r="H312" s="275"/>
      <c r="I312" s="273"/>
      <c r="J312" s="273"/>
      <c r="K312" s="273"/>
      <c r="L312" s="188"/>
      <c r="M312" s="188"/>
      <c r="N312" s="188"/>
      <c r="O312" s="188"/>
    </row>
    <row r="313">
      <c r="A313" s="273"/>
      <c r="B313" s="274"/>
      <c r="C313" s="200"/>
      <c r="D313" s="275"/>
      <c r="E313" s="200"/>
      <c r="F313" s="276"/>
      <c r="G313" s="275"/>
      <c r="H313" s="275"/>
      <c r="I313" s="273"/>
      <c r="J313" s="273"/>
      <c r="K313" s="273"/>
      <c r="L313" s="188"/>
      <c r="M313" s="188"/>
      <c r="N313" s="188"/>
      <c r="O313" s="188"/>
    </row>
    <row r="314">
      <c r="A314" s="273"/>
      <c r="B314" s="274"/>
      <c r="C314" s="200"/>
      <c r="D314" s="275"/>
      <c r="E314" s="200"/>
      <c r="F314" s="276"/>
      <c r="G314" s="275"/>
      <c r="H314" s="275"/>
      <c r="I314" s="273"/>
      <c r="J314" s="273"/>
      <c r="K314" s="273"/>
      <c r="L314" s="188"/>
      <c r="M314" s="188"/>
      <c r="N314" s="188"/>
      <c r="O314" s="188"/>
    </row>
    <row r="315">
      <c r="A315" s="273"/>
      <c r="B315" s="274"/>
      <c r="C315" s="200"/>
      <c r="D315" s="275"/>
      <c r="E315" s="200"/>
      <c r="F315" s="276"/>
      <c r="G315" s="275"/>
      <c r="H315" s="275"/>
      <c r="I315" s="273"/>
      <c r="J315" s="273"/>
      <c r="K315" s="273"/>
      <c r="L315" s="188"/>
      <c r="M315" s="188"/>
      <c r="N315" s="188"/>
      <c r="O315" s="188"/>
    </row>
    <row r="316">
      <c r="A316" s="273"/>
      <c r="B316" s="274"/>
      <c r="C316" s="200"/>
      <c r="D316" s="275"/>
      <c r="E316" s="200"/>
      <c r="F316" s="276"/>
      <c r="G316" s="275"/>
      <c r="H316" s="275"/>
      <c r="I316" s="273"/>
      <c r="J316" s="273"/>
      <c r="K316" s="273"/>
      <c r="L316" s="188"/>
      <c r="M316" s="188"/>
      <c r="N316" s="188"/>
      <c r="O316" s="188"/>
    </row>
    <row r="317">
      <c r="A317" s="273"/>
      <c r="B317" s="274"/>
      <c r="C317" s="200"/>
      <c r="D317" s="275"/>
      <c r="E317" s="200"/>
      <c r="F317" s="276"/>
      <c r="G317" s="275"/>
      <c r="H317" s="275"/>
      <c r="I317" s="273"/>
      <c r="J317" s="273"/>
      <c r="K317" s="273"/>
      <c r="L317" s="188"/>
      <c r="M317" s="188"/>
      <c r="N317" s="188"/>
      <c r="O317" s="188"/>
    </row>
    <row r="318">
      <c r="A318" s="273"/>
      <c r="B318" s="274"/>
      <c r="C318" s="200"/>
      <c r="D318" s="275"/>
      <c r="E318" s="200"/>
      <c r="F318" s="276"/>
      <c r="G318" s="275"/>
      <c r="H318" s="275"/>
      <c r="I318" s="273"/>
      <c r="J318" s="273"/>
      <c r="K318" s="273"/>
      <c r="L318" s="188"/>
      <c r="M318" s="188"/>
      <c r="N318" s="188"/>
      <c r="O318" s="188"/>
    </row>
    <row r="319">
      <c r="A319" s="273"/>
      <c r="B319" s="274"/>
      <c r="C319" s="200"/>
      <c r="D319" s="275"/>
      <c r="E319" s="200"/>
      <c r="F319" s="276"/>
      <c r="G319" s="275"/>
      <c r="H319" s="275"/>
      <c r="I319" s="273"/>
      <c r="J319" s="273"/>
      <c r="K319" s="273"/>
      <c r="L319" s="188"/>
      <c r="M319" s="188"/>
      <c r="N319" s="188"/>
      <c r="O319" s="188"/>
    </row>
    <row r="320">
      <c r="A320" s="273"/>
      <c r="B320" s="274"/>
      <c r="C320" s="200"/>
      <c r="D320" s="275"/>
      <c r="E320" s="200"/>
      <c r="F320" s="276"/>
      <c r="G320" s="275"/>
      <c r="H320" s="275"/>
      <c r="I320" s="273"/>
      <c r="J320" s="273"/>
      <c r="K320" s="273"/>
      <c r="L320" s="188"/>
      <c r="M320" s="188"/>
      <c r="N320" s="188"/>
      <c r="O320" s="188"/>
    </row>
    <row r="321">
      <c r="A321" s="273"/>
      <c r="B321" s="274"/>
      <c r="C321" s="200"/>
      <c r="D321" s="275"/>
      <c r="E321" s="200"/>
      <c r="F321" s="276"/>
      <c r="G321" s="275"/>
      <c r="H321" s="275"/>
      <c r="I321" s="273"/>
      <c r="J321" s="273"/>
      <c r="K321" s="273"/>
      <c r="L321" s="188"/>
      <c r="M321" s="188"/>
      <c r="N321" s="188"/>
      <c r="O321" s="188"/>
    </row>
    <row r="322">
      <c r="A322" s="273"/>
      <c r="B322" s="274"/>
      <c r="C322" s="200"/>
      <c r="D322" s="275"/>
      <c r="E322" s="200"/>
      <c r="F322" s="276"/>
      <c r="G322" s="275"/>
      <c r="H322" s="275"/>
      <c r="I322" s="273"/>
      <c r="J322" s="273"/>
      <c r="K322" s="273"/>
      <c r="L322" s="188"/>
      <c r="M322" s="188"/>
      <c r="N322" s="188"/>
      <c r="O322" s="188"/>
    </row>
    <row r="323">
      <c r="A323" s="273"/>
      <c r="B323" s="274"/>
      <c r="C323" s="200"/>
      <c r="D323" s="275"/>
      <c r="E323" s="200"/>
      <c r="F323" s="276"/>
      <c r="G323" s="275"/>
      <c r="H323" s="275"/>
      <c r="I323" s="273"/>
      <c r="J323" s="273"/>
      <c r="K323" s="273"/>
      <c r="L323" s="188"/>
      <c r="M323" s="188"/>
      <c r="N323" s="188"/>
      <c r="O323" s="188"/>
    </row>
    <row r="324">
      <c r="A324" s="273"/>
      <c r="B324" s="274"/>
      <c r="C324" s="200"/>
      <c r="D324" s="275"/>
      <c r="E324" s="200"/>
      <c r="F324" s="276"/>
      <c r="G324" s="275"/>
      <c r="H324" s="275"/>
      <c r="I324" s="273"/>
      <c r="J324" s="273"/>
      <c r="K324" s="273"/>
      <c r="L324" s="188"/>
      <c r="M324" s="188"/>
      <c r="N324" s="188"/>
      <c r="O324" s="188"/>
    </row>
    <row r="325">
      <c r="A325" s="273"/>
      <c r="B325" s="274"/>
      <c r="C325" s="200"/>
      <c r="D325" s="275"/>
      <c r="E325" s="200"/>
      <c r="F325" s="276"/>
      <c r="G325" s="275"/>
      <c r="H325" s="275"/>
      <c r="I325" s="273"/>
      <c r="J325" s="273"/>
      <c r="K325" s="273"/>
      <c r="L325" s="188"/>
      <c r="M325" s="188"/>
      <c r="N325" s="188"/>
      <c r="O325" s="188"/>
    </row>
    <row r="326">
      <c r="A326" s="273"/>
      <c r="B326" s="274"/>
      <c r="C326" s="200"/>
      <c r="D326" s="275"/>
      <c r="E326" s="200"/>
      <c r="F326" s="276"/>
      <c r="G326" s="275"/>
      <c r="H326" s="275"/>
      <c r="I326" s="273"/>
      <c r="J326" s="273"/>
      <c r="K326" s="273"/>
      <c r="L326" s="188"/>
      <c r="M326" s="188"/>
      <c r="N326" s="188"/>
      <c r="O326" s="188"/>
    </row>
    <row r="327">
      <c r="A327" s="273"/>
      <c r="B327" s="274"/>
      <c r="C327" s="200"/>
      <c r="D327" s="275"/>
      <c r="E327" s="200"/>
      <c r="F327" s="276"/>
      <c r="G327" s="275"/>
      <c r="H327" s="275"/>
      <c r="I327" s="273"/>
      <c r="J327" s="273"/>
      <c r="K327" s="273"/>
      <c r="L327" s="188"/>
      <c r="M327" s="188"/>
      <c r="N327" s="188"/>
      <c r="O327" s="188"/>
    </row>
    <row r="328">
      <c r="A328" s="273"/>
      <c r="B328" s="274"/>
      <c r="C328" s="200"/>
      <c r="D328" s="275"/>
      <c r="E328" s="200"/>
      <c r="F328" s="276"/>
      <c r="G328" s="275"/>
      <c r="H328" s="275"/>
      <c r="I328" s="273"/>
      <c r="J328" s="273"/>
      <c r="K328" s="273"/>
      <c r="L328" s="188"/>
      <c r="M328" s="188"/>
      <c r="N328" s="188"/>
      <c r="O328" s="188"/>
    </row>
    <row r="329">
      <c r="A329" s="273"/>
      <c r="B329" s="274"/>
      <c r="C329" s="200"/>
      <c r="D329" s="275"/>
      <c r="E329" s="200"/>
      <c r="F329" s="276"/>
      <c r="G329" s="275"/>
      <c r="H329" s="275"/>
      <c r="I329" s="273"/>
      <c r="J329" s="273"/>
      <c r="K329" s="273"/>
      <c r="L329" s="188"/>
      <c r="M329" s="188"/>
      <c r="N329" s="188"/>
      <c r="O329" s="188"/>
    </row>
    <row r="330">
      <c r="A330" s="273"/>
      <c r="B330" s="274"/>
      <c r="C330" s="200"/>
      <c r="D330" s="275"/>
      <c r="E330" s="200"/>
      <c r="F330" s="276"/>
      <c r="G330" s="275"/>
      <c r="H330" s="275"/>
      <c r="I330" s="273"/>
      <c r="J330" s="273"/>
      <c r="K330" s="273"/>
      <c r="L330" s="188"/>
      <c r="M330" s="188"/>
      <c r="N330" s="188"/>
      <c r="O330" s="188"/>
    </row>
    <row r="331">
      <c r="A331" s="273"/>
      <c r="B331" s="274"/>
      <c r="C331" s="200"/>
      <c r="D331" s="275"/>
      <c r="E331" s="200"/>
      <c r="F331" s="276"/>
      <c r="G331" s="275"/>
      <c r="H331" s="275"/>
      <c r="I331" s="273"/>
      <c r="J331" s="273"/>
      <c r="K331" s="273"/>
      <c r="L331" s="188"/>
      <c r="M331" s="188"/>
      <c r="N331" s="188"/>
      <c r="O331" s="188"/>
    </row>
    <row r="332">
      <c r="A332" s="273"/>
      <c r="B332" s="274"/>
      <c r="C332" s="200"/>
      <c r="D332" s="275"/>
      <c r="E332" s="200"/>
      <c r="F332" s="276"/>
      <c r="G332" s="275"/>
      <c r="H332" s="275"/>
      <c r="I332" s="273"/>
      <c r="J332" s="273"/>
      <c r="K332" s="273"/>
      <c r="L332" s="188"/>
      <c r="M332" s="188"/>
      <c r="N332" s="188"/>
      <c r="O332" s="188"/>
    </row>
    <row r="333">
      <c r="A333" s="273"/>
      <c r="B333" s="274"/>
      <c r="C333" s="200"/>
      <c r="D333" s="275"/>
      <c r="E333" s="200"/>
      <c r="F333" s="276"/>
      <c r="G333" s="275"/>
      <c r="H333" s="275"/>
      <c r="I333" s="273"/>
      <c r="J333" s="273"/>
      <c r="K333" s="273"/>
      <c r="L333" s="188"/>
      <c r="M333" s="188"/>
      <c r="N333" s="188"/>
      <c r="O333" s="188"/>
    </row>
    <row r="334">
      <c r="A334" s="273"/>
      <c r="B334" s="274"/>
      <c r="C334" s="200"/>
      <c r="D334" s="275"/>
      <c r="E334" s="200"/>
      <c r="F334" s="276"/>
      <c r="G334" s="275"/>
      <c r="H334" s="275"/>
      <c r="I334" s="273"/>
      <c r="J334" s="273"/>
      <c r="K334" s="273"/>
      <c r="L334" s="188"/>
      <c r="M334" s="188"/>
      <c r="N334" s="188"/>
      <c r="O334" s="188"/>
    </row>
    <row r="335">
      <c r="A335" s="273"/>
      <c r="B335" s="274"/>
      <c r="C335" s="200"/>
      <c r="D335" s="275"/>
      <c r="E335" s="200"/>
      <c r="F335" s="276"/>
      <c r="G335" s="275"/>
      <c r="H335" s="275"/>
      <c r="I335" s="273"/>
      <c r="J335" s="273"/>
      <c r="K335" s="273"/>
      <c r="L335" s="188"/>
      <c r="M335" s="188"/>
      <c r="N335" s="188"/>
      <c r="O335" s="188"/>
    </row>
    <row r="336">
      <c r="A336" s="273"/>
      <c r="B336" s="274"/>
      <c r="C336" s="200"/>
      <c r="D336" s="275"/>
      <c r="E336" s="200"/>
      <c r="F336" s="276"/>
      <c r="G336" s="275"/>
      <c r="H336" s="275"/>
      <c r="I336" s="273"/>
      <c r="J336" s="273"/>
      <c r="K336" s="273"/>
      <c r="L336" s="188"/>
      <c r="M336" s="188"/>
      <c r="N336" s="188"/>
      <c r="O336" s="188"/>
    </row>
    <row r="337">
      <c r="A337" s="273"/>
      <c r="B337" s="274"/>
      <c r="C337" s="200"/>
      <c r="D337" s="275"/>
      <c r="E337" s="200"/>
      <c r="F337" s="276"/>
      <c r="G337" s="275"/>
      <c r="H337" s="275"/>
      <c r="I337" s="273"/>
      <c r="J337" s="273"/>
      <c r="K337" s="273"/>
      <c r="L337" s="188"/>
      <c r="M337" s="188"/>
      <c r="N337" s="188"/>
      <c r="O337" s="188"/>
    </row>
    <row r="338">
      <c r="A338" s="273"/>
      <c r="B338" s="274"/>
      <c r="C338" s="200"/>
      <c r="D338" s="275"/>
      <c r="E338" s="200"/>
      <c r="F338" s="276"/>
      <c r="G338" s="275"/>
      <c r="H338" s="275"/>
      <c r="I338" s="273"/>
      <c r="J338" s="273"/>
      <c r="K338" s="273"/>
      <c r="L338" s="188"/>
      <c r="M338" s="188"/>
      <c r="N338" s="188"/>
      <c r="O338" s="188"/>
    </row>
    <row r="339">
      <c r="A339" s="273"/>
      <c r="B339" s="274"/>
      <c r="C339" s="200"/>
      <c r="D339" s="275"/>
      <c r="E339" s="200"/>
      <c r="F339" s="276"/>
      <c r="G339" s="275"/>
      <c r="H339" s="275"/>
      <c r="I339" s="273"/>
      <c r="J339" s="273"/>
      <c r="K339" s="273"/>
      <c r="L339" s="188"/>
      <c r="M339" s="188"/>
      <c r="N339" s="188"/>
      <c r="O339" s="188"/>
    </row>
    <row r="340">
      <c r="A340" s="273"/>
      <c r="B340" s="274"/>
      <c r="C340" s="200"/>
      <c r="D340" s="275"/>
      <c r="E340" s="200"/>
      <c r="F340" s="276"/>
      <c r="G340" s="275"/>
      <c r="H340" s="275"/>
      <c r="I340" s="273"/>
      <c r="J340" s="273"/>
      <c r="K340" s="273"/>
      <c r="L340" s="188"/>
      <c r="M340" s="188"/>
      <c r="N340" s="188"/>
      <c r="O340" s="188"/>
    </row>
    <row r="341">
      <c r="A341" s="273"/>
      <c r="B341" s="274"/>
      <c r="C341" s="200"/>
      <c r="D341" s="275"/>
      <c r="E341" s="200"/>
      <c r="F341" s="276"/>
      <c r="G341" s="275"/>
      <c r="H341" s="275"/>
      <c r="I341" s="273"/>
      <c r="J341" s="273"/>
      <c r="K341" s="273"/>
      <c r="L341" s="188"/>
      <c r="M341" s="188"/>
      <c r="N341" s="188"/>
      <c r="O341" s="188"/>
    </row>
    <row r="342">
      <c r="A342" s="273"/>
      <c r="B342" s="274"/>
      <c r="C342" s="200"/>
      <c r="D342" s="275"/>
      <c r="E342" s="200"/>
      <c r="F342" s="276"/>
      <c r="G342" s="275"/>
      <c r="H342" s="275"/>
      <c r="I342" s="273"/>
      <c r="J342" s="273"/>
      <c r="K342" s="273"/>
      <c r="L342" s="188"/>
      <c r="M342" s="188"/>
      <c r="N342" s="188"/>
      <c r="O342" s="188"/>
    </row>
    <row r="343">
      <c r="A343" s="273"/>
      <c r="B343" s="274"/>
      <c r="C343" s="200"/>
      <c r="D343" s="275"/>
      <c r="E343" s="200"/>
      <c r="F343" s="276"/>
      <c r="G343" s="275"/>
      <c r="H343" s="275"/>
      <c r="I343" s="273"/>
      <c r="J343" s="273"/>
      <c r="K343" s="273"/>
      <c r="L343" s="188"/>
      <c r="M343" s="188"/>
      <c r="N343" s="188"/>
      <c r="O343" s="188"/>
    </row>
    <row r="344">
      <c r="A344" s="273"/>
      <c r="B344" s="274"/>
      <c r="C344" s="200"/>
      <c r="D344" s="275"/>
      <c r="E344" s="200"/>
      <c r="F344" s="276"/>
      <c r="G344" s="275"/>
      <c r="H344" s="275"/>
      <c r="I344" s="273"/>
      <c r="J344" s="273"/>
      <c r="K344" s="273"/>
      <c r="L344" s="188"/>
      <c r="M344" s="188"/>
      <c r="N344" s="188"/>
      <c r="O344" s="188"/>
    </row>
    <row r="345">
      <c r="A345" s="273"/>
      <c r="B345" s="274"/>
      <c r="C345" s="200"/>
      <c r="D345" s="275"/>
      <c r="E345" s="200"/>
      <c r="F345" s="276"/>
      <c r="G345" s="275"/>
      <c r="H345" s="275"/>
      <c r="I345" s="273"/>
      <c r="J345" s="273"/>
      <c r="K345" s="273"/>
      <c r="L345" s="188"/>
      <c r="M345" s="188"/>
      <c r="N345" s="188"/>
      <c r="O345" s="188"/>
    </row>
    <row r="346">
      <c r="A346" s="273"/>
      <c r="B346" s="274"/>
      <c r="C346" s="200"/>
      <c r="D346" s="275"/>
      <c r="E346" s="200"/>
      <c r="F346" s="276"/>
      <c r="G346" s="275"/>
      <c r="H346" s="275"/>
      <c r="I346" s="273"/>
      <c r="J346" s="273"/>
      <c r="K346" s="273"/>
      <c r="L346" s="188"/>
      <c r="M346" s="188"/>
      <c r="N346" s="188"/>
      <c r="O346" s="188"/>
    </row>
    <row r="347">
      <c r="A347" s="273"/>
      <c r="B347" s="274"/>
      <c r="C347" s="200"/>
      <c r="D347" s="275"/>
      <c r="E347" s="200"/>
      <c r="F347" s="276"/>
      <c r="G347" s="275"/>
      <c r="H347" s="275"/>
      <c r="I347" s="273"/>
      <c r="J347" s="273"/>
      <c r="K347" s="273"/>
      <c r="L347" s="188"/>
      <c r="M347" s="188"/>
      <c r="N347" s="188"/>
      <c r="O347" s="188"/>
    </row>
    <row r="348">
      <c r="A348" s="273"/>
      <c r="B348" s="274"/>
      <c r="C348" s="200"/>
      <c r="D348" s="275"/>
      <c r="E348" s="200"/>
      <c r="F348" s="276"/>
      <c r="G348" s="275"/>
      <c r="H348" s="275"/>
      <c r="I348" s="273"/>
      <c r="J348" s="273"/>
      <c r="K348" s="273"/>
      <c r="L348" s="188"/>
      <c r="M348" s="188"/>
      <c r="N348" s="188"/>
      <c r="O348" s="188"/>
    </row>
    <row r="349">
      <c r="A349" s="273"/>
      <c r="B349" s="274"/>
      <c r="C349" s="200"/>
      <c r="D349" s="275"/>
      <c r="E349" s="200"/>
      <c r="F349" s="276"/>
      <c r="G349" s="275"/>
      <c r="H349" s="275"/>
      <c r="I349" s="273"/>
      <c r="J349" s="273"/>
      <c r="K349" s="273"/>
      <c r="L349" s="188"/>
      <c r="M349" s="188"/>
      <c r="N349" s="188"/>
      <c r="O349" s="188"/>
    </row>
    <row r="350">
      <c r="A350" s="273"/>
      <c r="B350" s="274"/>
      <c r="C350" s="200"/>
      <c r="D350" s="275"/>
      <c r="E350" s="200"/>
      <c r="F350" s="276"/>
      <c r="G350" s="275"/>
      <c r="H350" s="275"/>
      <c r="I350" s="273"/>
      <c r="J350" s="273"/>
      <c r="K350" s="273"/>
      <c r="L350" s="188"/>
      <c r="M350" s="188"/>
      <c r="N350" s="188"/>
      <c r="O350" s="188"/>
    </row>
    <row r="351">
      <c r="A351" s="273"/>
      <c r="B351" s="274"/>
      <c r="C351" s="200"/>
      <c r="D351" s="275"/>
      <c r="E351" s="200"/>
      <c r="F351" s="276"/>
      <c r="G351" s="275"/>
      <c r="H351" s="275"/>
      <c r="I351" s="273"/>
      <c r="J351" s="273"/>
      <c r="K351" s="273"/>
      <c r="L351" s="188"/>
      <c r="M351" s="188"/>
      <c r="N351" s="188"/>
      <c r="O351" s="188"/>
    </row>
    <row r="352">
      <c r="A352" s="273"/>
      <c r="B352" s="274"/>
      <c r="C352" s="200"/>
      <c r="D352" s="275"/>
      <c r="E352" s="200"/>
      <c r="F352" s="276"/>
      <c r="G352" s="275"/>
      <c r="H352" s="275"/>
      <c r="I352" s="273"/>
      <c r="J352" s="273"/>
      <c r="K352" s="273"/>
      <c r="L352" s="188"/>
      <c r="M352" s="188"/>
      <c r="N352" s="188"/>
      <c r="O352" s="188"/>
    </row>
    <row r="353">
      <c r="A353" s="273"/>
      <c r="B353" s="274"/>
      <c r="C353" s="200"/>
      <c r="D353" s="275"/>
      <c r="E353" s="200"/>
      <c r="F353" s="276"/>
      <c r="G353" s="275"/>
      <c r="H353" s="275"/>
      <c r="I353" s="273"/>
      <c r="J353" s="273"/>
      <c r="K353" s="273"/>
      <c r="L353" s="188"/>
      <c r="M353" s="188"/>
      <c r="N353" s="188"/>
      <c r="O353" s="188"/>
    </row>
    <row r="354">
      <c r="A354" s="273"/>
      <c r="B354" s="274"/>
      <c r="C354" s="200"/>
      <c r="D354" s="275"/>
      <c r="E354" s="200"/>
      <c r="F354" s="276"/>
      <c r="G354" s="275"/>
      <c r="H354" s="275"/>
      <c r="I354" s="273"/>
      <c r="J354" s="273"/>
      <c r="K354" s="273"/>
      <c r="L354" s="188"/>
      <c r="M354" s="188"/>
      <c r="N354" s="188"/>
      <c r="O354" s="188"/>
    </row>
    <row r="355">
      <c r="A355" s="273"/>
      <c r="B355" s="274"/>
      <c r="C355" s="200"/>
      <c r="D355" s="275"/>
      <c r="E355" s="200"/>
      <c r="F355" s="276"/>
      <c r="G355" s="275"/>
      <c r="H355" s="275"/>
      <c r="I355" s="273"/>
      <c r="J355" s="273"/>
      <c r="K355" s="273"/>
      <c r="L355" s="188"/>
      <c r="M355" s="188"/>
      <c r="N355" s="188"/>
      <c r="O355" s="188"/>
    </row>
    <row r="356">
      <c r="A356" s="273"/>
      <c r="B356" s="274"/>
      <c r="C356" s="200"/>
      <c r="D356" s="275"/>
      <c r="E356" s="200"/>
      <c r="F356" s="276"/>
      <c r="G356" s="275"/>
      <c r="H356" s="275"/>
      <c r="I356" s="273"/>
      <c r="J356" s="273"/>
      <c r="K356" s="273"/>
      <c r="L356" s="188"/>
      <c r="M356" s="188"/>
      <c r="N356" s="188"/>
      <c r="O356" s="188"/>
    </row>
    <row r="357">
      <c r="A357" s="273"/>
      <c r="B357" s="274"/>
      <c r="C357" s="200"/>
      <c r="D357" s="275"/>
      <c r="E357" s="200"/>
      <c r="F357" s="276"/>
      <c r="G357" s="275"/>
      <c r="H357" s="275"/>
      <c r="I357" s="273"/>
      <c r="J357" s="273"/>
      <c r="K357" s="273"/>
      <c r="L357" s="188"/>
      <c r="M357" s="188"/>
      <c r="N357" s="188"/>
      <c r="O357" s="188"/>
    </row>
    <row r="358">
      <c r="A358" s="273"/>
      <c r="B358" s="274"/>
      <c r="C358" s="200"/>
      <c r="D358" s="275"/>
      <c r="E358" s="200"/>
      <c r="F358" s="276"/>
      <c r="G358" s="275"/>
      <c r="H358" s="275"/>
      <c r="I358" s="273"/>
      <c r="J358" s="273"/>
      <c r="K358" s="273"/>
      <c r="L358" s="188"/>
      <c r="M358" s="188"/>
      <c r="N358" s="188"/>
      <c r="O358" s="188"/>
    </row>
    <row r="359">
      <c r="A359" s="273"/>
      <c r="B359" s="274"/>
      <c r="C359" s="200"/>
      <c r="D359" s="275"/>
      <c r="E359" s="200"/>
      <c r="F359" s="276"/>
      <c r="G359" s="275"/>
      <c r="H359" s="275"/>
      <c r="I359" s="273"/>
      <c r="J359" s="273"/>
      <c r="K359" s="273"/>
      <c r="L359" s="188"/>
      <c r="M359" s="188"/>
      <c r="N359" s="188"/>
      <c r="O359" s="188"/>
    </row>
    <row r="360">
      <c r="A360" s="273"/>
      <c r="B360" s="274"/>
      <c r="C360" s="200"/>
      <c r="D360" s="275"/>
      <c r="E360" s="200"/>
      <c r="F360" s="276"/>
      <c r="G360" s="275"/>
      <c r="H360" s="275"/>
      <c r="I360" s="273"/>
      <c r="J360" s="273"/>
      <c r="K360" s="273"/>
      <c r="L360" s="188"/>
      <c r="M360" s="188"/>
      <c r="N360" s="188"/>
      <c r="O360" s="188"/>
    </row>
    <row r="361">
      <c r="A361" s="273"/>
      <c r="B361" s="274"/>
      <c r="C361" s="200"/>
      <c r="D361" s="275"/>
      <c r="E361" s="200"/>
      <c r="F361" s="276"/>
      <c r="G361" s="275"/>
      <c r="H361" s="275"/>
      <c r="I361" s="273"/>
      <c r="J361" s="273"/>
      <c r="K361" s="273"/>
      <c r="L361" s="188"/>
      <c r="M361" s="188"/>
      <c r="N361" s="188"/>
      <c r="O361" s="188"/>
    </row>
    <row r="362">
      <c r="A362" s="273"/>
      <c r="B362" s="274"/>
      <c r="C362" s="200"/>
      <c r="D362" s="275"/>
      <c r="E362" s="200"/>
      <c r="F362" s="276"/>
      <c r="G362" s="275"/>
      <c r="H362" s="275"/>
      <c r="I362" s="273"/>
      <c r="J362" s="273"/>
      <c r="K362" s="273"/>
      <c r="L362" s="188"/>
      <c r="M362" s="188"/>
      <c r="N362" s="188"/>
      <c r="O362" s="188"/>
    </row>
    <row r="363">
      <c r="A363" s="273"/>
      <c r="B363" s="274"/>
      <c r="C363" s="200"/>
      <c r="D363" s="275"/>
      <c r="E363" s="200"/>
      <c r="F363" s="276"/>
      <c r="G363" s="275"/>
      <c r="H363" s="275"/>
      <c r="I363" s="273"/>
      <c r="J363" s="273"/>
      <c r="K363" s="273"/>
      <c r="L363" s="188"/>
      <c r="M363" s="188"/>
      <c r="N363" s="188"/>
      <c r="O363" s="188"/>
    </row>
    <row r="364">
      <c r="A364" s="273"/>
      <c r="B364" s="274"/>
      <c r="C364" s="200"/>
      <c r="D364" s="275"/>
      <c r="E364" s="200"/>
      <c r="F364" s="276"/>
      <c r="G364" s="275"/>
      <c r="H364" s="275"/>
      <c r="I364" s="273"/>
      <c r="J364" s="273"/>
      <c r="K364" s="273"/>
      <c r="L364" s="188"/>
      <c r="M364" s="188"/>
      <c r="N364" s="188"/>
      <c r="O364" s="188"/>
    </row>
    <row r="365">
      <c r="A365" s="273"/>
      <c r="B365" s="274"/>
      <c r="C365" s="200"/>
      <c r="D365" s="275"/>
      <c r="E365" s="200"/>
      <c r="F365" s="276"/>
      <c r="G365" s="275"/>
      <c r="H365" s="275"/>
      <c r="I365" s="273"/>
      <c r="J365" s="273"/>
      <c r="K365" s="273"/>
      <c r="L365" s="188"/>
      <c r="M365" s="188"/>
      <c r="N365" s="188"/>
      <c r="O365" s="188"/>
    </row>
    <row r="366">
      <c r="A366" s="273"/>
      <c r="B366" s="274"/>
      <c r="C366" s="200"/>
      <c r="D366" s="275"/>
      <c r="E366" s="200"/>
      <c r="F366" s="276"/>
      <c r="G366" s="275"/>
      <c r="H366" s="275"/>
      <c r="I366" s="273"/>
      <c r="J366" s="273"/>
      <c r="K366" s="273"/>
      <c r="L366" s="188"/>
      <c r="M366" s="188"/>
      <c r="N366" s="188"/>
      <c r="O366" s="188"/>
    </row>
    <row r="367">
      <c r="A367" s="273"/>
      <c r="B367" s="274"/>
      <c r="C367" s="200"/>
      <c r="D367" s="275"/>
      <c r="E367" s="200"/>
      <c r="F367" s="276"/>
      <c r="G367" s="275"/>
      <c r="H367" s="275"/>
      <c r="I367" s="273"/>
      <c r="J367" s="273"/>
      <c r="K367" s="273"/>
      <c r="L367" s="188"/>
      <c r="M367" s="188"/>
      <c r="N367" s="188"/>
      <c r="O367" s="188"/>
    </row>
    <row r="368">
      <c r="A368" s="273"/>
      <c r="B368" s="274"/>
      <c r="C368" s="200"/>
      <c r="D368" s="275"/>
      <c r="E368" s="200"/>
      <c r="F368" s="276"/>
      <c r="G368" s="275"/>
      <c r="H368" s="275"/>
      <c r="I368" s="273"/>
      <c r="J368" s="273"/>
      <c r="K368" s="273"/>
      <c r="L368" s="188"/>
      <c r="M368" s="188"/>
      <c r="N368" s="188"/>
      <c r="O368" s="188"/>
    </row>
    <row r="369">
      <c r="A369" s="273"/>
      <c r="B369" s="274"/>
      <c r="C369" s="200"/>
      <c r="D369" s="275"/>
      <c r="E369" s="200"/>
      <c r="F369" s="276"/>
      <c r="G369" s="275"/>
      <c r="H369" s="275"/>
      <c r="I369" s="273"/>
      <c r="J369" s="273"/>
      <c r="K369" s="273"/>
      <c r="L369" s="188"/>
      <c r="M369" s="188"/>
      <c r="N369" s="188"/>
      <c r="O369" s="188"/>
    </row>
    <row r="370">
      <c r="A370" s="273"/>
      <c r="B370" s="274"/>
      <c r="C370" s="200"/>
      <c r="D370" s="275"/>
      <c r="E370" s="200"/>
      <c r="F370" s="276"/>
      <c r="G370" s="275"/>
      <c r="H370" s="275"/>
      <c r="I370" s="273"/>
      <c r="J370" s="273"/>
      <c r="K370" s="273"/>
      <c r="L370" s="188"/>
      <c r="M370" s="188"/>
      <c r="N370" s="188"/>
      <c r="O370" s="188"/>
    </row>
    <row r="371">
      <c r="A371" s="273"/>
      <c r="B371" s="274"/>
      <c r="C371" s="200"/>
      <c r="D371" s="275"/>
      <c r="E371" s="200"/>
      <c r="F371" s="276"/>
      <c r="G371" s="275"/>
      <c r="H371" s="275"/>
      <c r="I371" s="273"/>
      <c r="J371" s="273"/>
      <c r="K371" s="273"/>
      <c r="L371" s="188"/>
      <c r="M371" s="188"/>
      <c r="N371" s="188"/>
      <c r="O371" s="188"/>
    </row>
    <row r="372">
      <c r="A372" s="273"/>
      <c r="B372" s="274"/>
      <c r="C372" s="200"/>
      <c r="D372" s="275"/>
      <c r="E372" s="200"/>
      <c r="F372" s="276"/>
      <c r="G372" s="275"/>
      <c r="H372" s="275"/>
      <c r="I372" s="273"/>
      <c r="J372" s="273"/>
      <c r="K372" s="273"/>
      <c r="L372" s="188"/>
      <c r="M372" s="188"/>
      <c r="N372" s="188"/>
      <c r="O372" s="188"/>
    </row>
    <row r="373">
      <c r="A373" s="273"/>
      <c r="B373" s="274"/>
      <c r="C373" s="200"/>
      <c r="D373" s="275"/>
      <c r="E373" s="200"/>
      <c r="F373" s="276"/>
      <c r="G373" s="275"/>
      <c r="H373" s="275"/>
      <c r="I373" s="273"/>
      <c r="J373" s="273"/>
      <c r="K373" s="273"/>
      <c r="L373" s="188"/>
      <c r="M373" s="188"/>
      <c r="N373" s="188"/>
      <c r="O373" s="188"/>
    </row>
    <row r="374">
      <c r="A374" s="273"/>
      <c r="B374" s="274"/>
      <c r="C374" s="200"/>
      <c r="D374" s="275"/>
      <c r="E374" s="200"/>
      <c r="F374" s="276"/>
      <c r="G374" s="275"/>
      <c r="H374" s="275"/>
      <c r="I374" s="273"/>
      <c r="J374" s="273"/>
      <c r="K374" s="273"/>
      <c r="L374" s="188"/>
      <c r="M374" s="188"/>
      <c r="N374" s="188"/>
      <c r="O374" s="188"/>
    </row>
    <row r="375">
      <c r="A375" s="273"/>
      <c r="B375" s="274"/>
      <c r="C375" s="200"/>
      <c r="D375" s="275"/>
      <c r="E375" s="200"/>
      <c r="F375" s="276"/>
      <c r="G375" s="275"/>
      <c r="H375" s="275"/>
      <c r="I375" s="273"/>
      <c r="J375" s="273"/>
      <c r="K375" s="273"/>
      <c r="L375" s="188"/>
      <c r="M375" s="188"/>
      <c r="N375" s="188"/>
      <c r="O375" s="188"/>
    </row>
    <row r="376">
      <c r="A376" s="273"/>
      <c r="B376" s="274"/>
      <c r="C376" s="200"/>
      <c r="D376" s="275"/>
      <c r="E376" s="200"/>
      <c r="F376" s="276"/>
      <c r="G376" s="275"/>
      <c r="H376" s="275"/>
      <c r="I376" s="273"/>
      <c r="J376" s="273"/>
      <c r="K376" s="273"/>
      <c r="L376" s="188"/>
      <c r="M376" s="188"/>
      <c r="N376" s="188"/>
      <c r="O376" s="188"/>
    </row>
    <row r="377">
      <c r="A377" s="273"/>
      <c r="B377" s="274"/>
      <c r="C377" s="200"/>
      <c r="D377" s="275"/>
      <c r="E377" s="200"/>
      <c r="F377" s="276"/>
      <c r="G377" s="275"/>
      <c r="H377" s="275"/>
      <c r="I377" s="273"/>
      <c r="J377" s="273"/>
      <c r="K377" s="273"/>
      <c r="L377" s="188"/>
      <c r="M377" s="188"/>
      <c r="N377" s="188"/>
      <c r="O377" s="188"/>
    </row>
    <row r="378">
      <c r="A378" s="273"/>
      <c r="B378" s="274"/>
      <c r="C378" s="200"/>
      <c r="D378" s="275"/>
      <c r="E378" s="200"/>
      <c r="F378" s="276"/>
      <c r="G378" s="275"/>
      <c r="H378" s="275"/>
      <c r="I378" s="273"/>
      <c r="J378" s="273"/>
      <c r="K378" s="273"/>
      <c r="L378" s="188"/>
      <c r="M378" s="188"/>
      <c r="N378" s="188"/>
      <c r="O378" s="188"/>
    </row>
    <row r="379">
      <c r="A379" s="273"/>
      <c r="B379" s="274"/>
      <c r="C379" s="200"/>
      <c r="D379" s="275"/>
      <c r="E379" s="200"/>
      <c r="F379" s="276"/>
      <c r="G379" s="275"/>
      <c r="H379" s="275"/>
      <c r="I379" s="273"/>
      <c r="J379" s="273"/>
      <c r="K379" s="273"/>
      <c r="L379" s="188"/>
      <c r="M379" s="188"/>
      <c r="N379" s="188"/>
      <c r="O379" s="188"/>
    </row>
    <row r="380">
      <c r="A380" s="273"/>
      <c r="B380" s="274"/>
      <c r="C380" s="200"/>
      <c r="D380" s="275"/>
      <c r="E380" s="200"/>
      <c r="F380" s="276"/>
      <c r="G380" s="275"/>
      <c r="H380" s="275"/>
      <c r="I380" s="273"/>
      <c r="J380" s="273"/>
      <c r="K380" s="273"/>
      <c r="L380" s="188"/>
      <c r="M380" s="188"/>
      <c r="N380" s="188"/>
      <c r="O380" s="188"/>
    </row>
    <row r="381">
      <c r="A381" s="273"/>
      <c r="B381" s="274"/>
      <c r="C381" s="200"/>
      <c r="D381" s="275"/>
      <c r="E381" s="200"/>
      <c r="F381" s="276"/>
      <c r="G381" s="275"/>
      <c r="H381" s="275"/>
      <c r="I381" s="273"/>
      <c r="J381" s="273"/>
      <c r="K381" s="273"/>
      <c r="L381" s="188"/>
      <c r="M381" s="188"/>
      <c r="N381" s="188"/>
      <c r="O381" s="188"/>
    </row>
    <row r="382">
      <c r="A382" s="273"/>
      <c r="B382" s="274"/>
      <c r="C382" s="200"/>
      <c r="D382" s="275"/>
      <c r="E382" s="200"/>
      <c r="F382" s="276"/>
      <c r="G382" s="275"/>
      <c r="H382" s="275"/>
      <c r="I382" s="273"/>
      <c r="J382" s="273"/>
      <c r="K382" s="273"/>
      <c r="L382" s="188"/>
      <c r="M382" s="188"/>
      <c r="N382" s="188"/>
      <c r="O382" s="188"/>
    </row>
    <row r="383">
      <c r="A383" s="273"/>
      <c r="B383" s="274"/>
      <c r="C383" s="200"/>
      <c r="D383" s="275"/>
      <c r="E383" s="200"/>
      <c r="F383" s="276"/>
      <c r="G383" s="275"/>
      <c r="H383" s="275"/>
      <c r="I383" s="273"/>
      <c r="J383" s="273"/>
      <c r="K383" s="273"/>
      <c r="L383" s="188"/>
      <c r="M383" s="188"/>
      <c r="N383" s="188"/>
      <c r="O383" s="188"/>
    </row>
    <row r="384">
      <c r="A384" s="273"/>
      <c r="B384" s="274"/>
      <c r="C384" s="200"/>
      <c r="D384" s="275"/>
      <c r="E384" s="200"/>
      <c r="F384" s="276"/>
      <c r="G384" s="275"/>
      <c r="H384" s="275"/>
      <c r="I384" s="273"/>
      <c r="J384" s="273"/>
      <c r="K384" s="273"/>
      <c r="L384" s="188"/>
      <c r="M384" s="188"/>
      <c r="N384" s="188"/>
      <c r="O384" s="188"/>
    </row>
    <row r="385">
      <c r="A385" s="273"/>
      <c r="B385" s="274"/>
      <c r="C385" s="200"/>
      <c r="D385" s="275"/>
      <c r="E385" s="200"/>
      <c r="F385" s="276"/>
      <c r="G385" s="275"/>
      <c r="H385" s="275"/>
      <c r="I385" s="273"/>
      <c r="J385" s="273"/>
      <c r="K385" s="273"/>
      <c r="L385" s="188"/>
      <c r="M385" s="188"/>
      <c r="N385" s="188"/>
      <c r="O385" s="188"/>
    </row>
    <row r="386">
      <c r="A386" s="273"/>
      <c r="B386" s="274"/>
      <c r="C386" s="200"/>
      <c r="D386" s="275"/>
      <c r="E386" s="200"/>
      <c r="F386" s="276"/>
      <c r="G386" s="275"/>
      <c r="H386" s="275"/>
      <c r="I386" s="273"/>
      <c r="J386" s="273"/>
      <c r="K386" s="273"/>
      <c r="L386" s="188"/>
      <c r="M386" s="188"/>
      <c r="N386" s="188"/>
      <c r="O386" s="188"/>
    </row>
    <row r="387">
      <c r="A387" s="273"/>
      <c r="B387" s="274"/>
      <c r="C387" s="200"/>
      <c r="D387" s="275"/>
      <c r="E387" s="200"/>
      <c r="F387" s="276"/>
      <c r="G387" s="275"/>
      <c r="H387" s="275"/>
      <c r="I387" s="273"/>
      <c r="J387" s="273"/>
      <c r="K387" s="273"/>
      <c r="L387" s="188"/>
      <c r="M387" s="188"/>
      <c r="N387" s="188"/>
      <c r="O387" s="188"/>
    </row>
    <row r="388">
      <c r="A388" s="273"/>
      <c r="B388" s="274"/>
      <c r="C388" s="200"/>
      <c r="D388" s="275"/>
      <c r="E388" s="200"/>
      <c r="F388" s="276"/>
      <c r="G388" s="275"/>
      <c r="H388" s="275"/>
      <c r="I388" s="273"/>
      <c r="J388" s="273"/>
      <c r="K388" s="273"/>
      <c r="L388" s="188"/>
      <c r="M388" s="188"/>
      <c r="N388" s="188"/>
      <c r="O388" s="188"/>
    </row>
    <row r="389">
      <c r="A389" s="273"/>
      <c r="B389" s="274"/>
      <c r="C389" s="200"/>
      <c r="D389" s="275"/>
      <c r="E389" s="200"/>
      <c r="F389" s="276"/>
      <c r="G389" s="275"/>
      <c r="H389" s="275"/>
      <c r="I389" s="273"/>
      <c r="J389" s="273"/>
      <c r="K389" s="273"/>
      <c r="L389" s="188"/>
      <c r="M389" s="188"/>
      <c r="N389" s="188"/>
      <c r="O389" s="188"/>
    </row>
    <row r="390">
      <c r="A390" s="273"/>
      <c r="B390" s="274"/>
      <c r="C390" s="200"/>
      <c r="D390" s="275"/>
      <c r="E390" s="200"/>
      <c r="F390" s="276"/>
      <c r="G390" s="275"/>
      <c r="H390" s="275"/>
      <c r="I390" s="273"/>
      <c r="J390" s="273"/>
      <c r="K390" s="273"/>
      <c r="L390" s="188"/>
      <c r="M390" s="188"/>
      <c r="N390" s="188"/>
      <c r="O390" s="188"/>
    </row>
    <row r="391">
      <c r="A391" s="273"/>
      <c r="B391" s="274"/>
      <c r="C391" s="200"/>
      <c r="D391" s="275"/>
      <c r="E391" s="200"/>
      <c r="F391" s="276"/>
      <c r="G391" s="275"/>
      <c r="H391" s="275"/>
      <c r="I391" s="273"/>
      <c r="J391" s="273"/>
      <c r="K391" s="273"/>
      <c r="L391" s="188"/>
      <c r="M391" s="188"/>
      <c r="N391" s="188"/>
      <c r="O391" s="188"/>
    </row>
    <row r="392">
      <c r="A392" s="273"/>
      <c r="B392" s="274"/>
      <c r="C392" s="200"/>
      <c r="D392" s="275"/>
      <c r="E392" s="200"/>
      <c r="F392" s="276"/>
      <c r="G392" s="275"/>
      <c r="H392" s="275"/>
      <c r="I392" s="273"/>
      <c r="J392" s="273"/>
      <c r="K392" s="273"/>
      <c r="L392" s="188"/>
      <c r="M392" s="188"/>
      <c r="N392" s="188"/>
      <c r="O392" s="188"/>
    </row>
    <row r="393">
      <c r="A393" s="273"/>
      <c r="B393" s="274"/>
      <c r="C393" s="200"/>
      <c r="D393" s="275"/>
      <c r="E393" s="200"/>
      <c r="F393" s="276"/>
      <c r="G393" s="275"/>
      <c r="H393" s="275"/>
      <c r="I393" s="273"/>
      <c r="J393" s="273"/>
      <c r="K393" s="273"/>
      <c r="L393" s="188"/>
      <c r="M393" s="188"/>
      <c r="N393" s="188"/>
      <c r="O393" s="188"/>
    </row>
    <row r="394">
      <c r="A394" s="273"/>
      <c r="B394" s="274"/>
      <c r="C394" s="200"/>
      <c r="D394" s="275"/>
      <c r="E394" s="200"/>
      <c r="F394" s="276"/>
      <c r="G394" s="275"/>
      <c r="H394" s="275"/>
      <c r="I394" s="273"/>
      <c r="J394" s="273"/>
      <c r="K394" s="273"/>
      <c r="L394" s="188"/>
      <c r="M394" s="188"/>
      <c r="N394" s="188"/>
      <c r="O394" s="188"/>
    </row>
    <row r="395">
      <c r="A395" s="273"/>
      <c r="B395" s="274"/>
      <c r="C395" s="200"/>
      <c r="D395" s="275"/>
      <c r="E395" s="200"/>
      <c r="F395" s="276"/>
      <c r="G395" s="275"/>
      <c r="H395" s="275"/>
      <c r="I395" s="273"/>
      <c r="J395" s="273"/>
      <c r="K395" s="273"/>
      <c r="L395" s="188"/>
      <c r="M395" s="188"/>
      <c r="N395" s="188"/>
      <c r="O395" s="188"/>
    </row>
    <row r="396">
      <c r="A396" s="273"/>
      <c r="B396" s="274"/>
      <c r="C396" s="200"/>
      <c r="D396" s="275"/>
      <c r="E396" s="200"/>
      <c r="F396" s="276"/>
      <c r="G396" s="275"/>
      <c r="H396" s="275"/>
      <c r="I396" s="273"/>
      <c r="J396" s="273"/>
      <c r="K396" s="273"/>
      <c r="L396" s="188"/>
      <c r="M396" s="188"/>
      <c r="N396" s="188"/>
      <c r="O396" s="188"/>
    </row>
    <row r="397">
      <c r="A397" s="273"/>
      <c r="B397" s="274"/>
      <c r="C397" s="200"/>
      <c r="D397" s="275"/>
      <c r="E397" s="200"/>
      <c r="F397" s="276"/>
      <c r="G397" s="275"/>
      <c r="H397" s="275"/>
      <c r="I397" s="273"/>
      <c r="J397" s="273"/>
      <c r="K397" s="273"/>
      <c r="L397" s="188"/>
      <c r="M397" s="188"/>
      <c r="N397" s="188"/>
      <c r="O397" s="188"/>
    </row>
    <row r="398">
      <c r="A398" s="273"/>
      <c r="B398" s="274"/>
      <c r="C398" s="200"/>
      <c r="D398" s="275"/>
      <c r="E398" s="200"/>
      <c r="F398" s="276"/>
      <c r="G398" s="275"/>
      <c r="H398" s="275"/>
      <c r="I398" s="273"/>
      <c r="J398" s="273"/>
      <c r="K398" s="273"/>
      <c r="L398" s="188"/>
      <c r="M398" s="188"/>
      <c r="N398" s="188"/>
      <c r="O398" s="188"/>
    </row>
    <row r="399">
      <c r="A399" s="273"/>
      <c r="B399" s="274"/>
      <c r="C399" s="200"/>
      <c r="D399" s="275"/>
      <c r="E399" s="200"/>
      <c r="F399" s="276"/>
      <c r="G399" s="275"/>
      <c r="H399" s="275"/>
      <c r="I399" s="273"/>
      <c r="J399" s="273"/>
      <c r="K399" s="273"/>
      <c r="L399" s="188"/>
      <c r="M399" s="188"/>
      <c r="N399" s="188"/>
      <c r="O399" s="188"/>
    </row>
    <row r="400">
      <c r="A400" s="273"/>
      <c r="B400" s="274"/>
      <c r="C400" s="200"/>
      <c r="D400" s="275"/>
      <c r="E400" s="200"/>
      <c r="F400" s="276"/>
      <c r="G400" s="275"/>
      <c r="H400" s="275"/>
      <c r="I400" s="273"/>
      <c r="J400" s="273"/>
      <c r="K400" s="273"/>
      <c r="L400" s="188"/>
      <c r="M400" s="188"/>
      <c r="N400" s="188"/>
      <c r="O400" s="188"/>
    </row>
    <row r="401">
      <c r="A401" s="273"/>
      <c r="B401" s="274"/>
      <c r="C401" s="200"/>
      <c r="D401" s="275"/>
      <c r="E401" s="200"/>
      <c r="F401" s="276"/>
      <c r="G401" s="275"/>
      <c r="H401" s="275"/>
      <c r="I401" s="273"/>
      <c r="J401" s="273"/>
      <c r="K401" s="273"/>
      <c r="L401" s="188"/>
      <c r="M401" s="188"/>
      <c r="N401" s="188"/>
      <c r="O401" s="188"/>
    </row>
    <row r="402">
      <c r="A402" s="273"/>
      <c r="B402" s="274"/>
      <c r="C402" s="200"/>
      <c r="D402" s="275"/>
      <c r="E402" s="200"/>
      <c r="F402" s="276"/>
      <c r="G402" s="275"/>
      <c r="H402" s="275"/>
      <c r="I402" s="273"/>
      <c r="J402" s="273"/>
      <c r="K402" s="273"/>
      <c r="L402" s="188"/>
      <c r="M402" s="188"/>
      <c r="N402" s="188"/>
      <c r="O402" s="188"/>
    </row>
    <row r="403">
      <c r="A403" s="273"/>
      <c r="B403" s="274"/>
      <c r="C403" s="200"/>
      <c r="D403" s="275"/>
      <c r="E403" s="200"/>
      <c r="F403" s="276"/>
      <c r="G403" s="275"/>
      <c r="H403" s="275"/>
      <c r="I403" s="273"/>
      <c r="J403" s="273"/>
      <c r="K403" s="273"/>
      <c r="L403" s="188"/>
      <c r="M403" s="188"/>
      <c r="N403" s="188"/>
      <c r="O403" s="188"/>
    </row>
    <row r="404">
      <c r="A404" s="273"/>
      <c r="B404" s="274"/>
      <c r="C404" s="200"/>
      <c r="D404" s="275"/>
      <c r="E404" s="200"/>
      <c r="F404" s="276"/>
      <c r="G404" s="275"/>
      <c r="H404" s="275"/>
      <c r="I404" s="273"/>
      <c r="J404" s="273"/>
      <c r="K404" s="273"/>
      <c r="L404" s="188"/>
      <c r="M404" s="188"/>
      <c r="N404" s="188"/>
      <c r="O404" s="188"/>
    </row>
    <row r="405">
      <c r="A405" s="273"/>
      <c r="B405" s="274"/>
      <c r="C405" s="200"/>
      <c r="D405" s="275"/>
      <c r="E405" s="200"/>
      <c r="F405" s="276"/>
      <c r="G405" s="275"/>
      <c r="H405" s="275"/>
      <c r="I405" s="273"/>
      <c r="J405" s="273"/>
      <c r="K405" s="273"/>
      <c r="L405" s="188"/>
      <c r="M405" s="188"/>
      <c r="N405" s="188"/>
      <c r="O405" s="188"/>
    </row>
    <row r="406">
      <c r="A406" s="273"/>
      <c r="B406" s="274"/>
      <c r="C406" s="200"/>
      <c r="D406" s="275"/>
      <c r="E406" s="200"/>
      <c r="F406" s="276"/>
      <c r="G406" s="275"/>
      <c r="H406" s="275"/>
      <c r="I406" s="273"/>
      <c r="J406" s="273"/>
      <c r="K406" s="273"/>
      <c r="L406" s="188"/>
      <c r="M406" s="188"/>
      <c r="N406" s="188"/>
      <c r="O406" s="188"/>
    </row>
    <row r="407">
      <c r="A407" s="273"/>
      <c r="B407" s="274"/>
      <c r="C407" s="200"/>
      <c r="D407" s="275"/>
      <c r="E407" s="200"/>
      <c r="F407" s="276"/>
      <c r="G407" s="275"/>
      <c r="H407" s="275"/>
      <c r="I407" s="273"/>
      <c r="J407" s="273"/>
      <c r="K407" s="273"/>
      <c r="L407" s="188"/>
      <c r="M407" s="188"/>
      <c r="N407" s="188"/>
      <c r="O407" s="188"/>
    </row>
    <row r="408">
      <c r="A408" s="273"/>
      <c r="B408" s="274"/>
      <c r="C408" s="200"/>
      <c r="D408" s="275"/>
      <c r="E408" s="200"/>
      <c r="F408" s="276"/>
      <c r="G408" s="275"/>
      <c r="H408" s="275"/>
      <c r="I408" s="273"/>
      <c r="J408" s="273"/>
      <c r="K408" s="273"/>
      <c r="L408" s="188"/>
      <c r="M408" s="188"/>
      <c r="N408" s="188"/>
      <c r="O408" s="188"/>
    </row>
    <row r="409">
      <c r="A409" s="273"/>
      <c r="B409" s="274"/>
      <c r="C409" s="200"/>
      <c r="D409" s="275"/>
      <c r="E409" s="200"/>
      <c r="F409" s="276"/>
      <c r="G409" s="275"/>
      <c r="H409" s="275"/>
      <c r="I409" s="273"/>
      <c r="J409" s="273"/>
      <c r="K409" s="273"/>
      <c r="L409" s="188"/>
      <c r="M409" s="188"/>
      <c r="N409" s="188"/>
      <c r="O409" s="188"/>
    </row>
    <row r="410">
      <c r="A410" s="273"/>
      <c r="B410" s="274"/>
      <c r="C410" s="200"/>
      <c r="D410" s="275"/>
      <c r="E410" s="200"/>
      <c r="F410" s="276"/>
      <c r="G410" s="275"/>
      <c r="H410" s="275"/>
      <c r="I410" s="273"/>
      <c r="J410" s="273"/>
      <c r="K410" s="273"/>
      <c r="L410" s="188"/>
      <c r="M410" s="188"/>
      <c r="N410" s="188"/>
      <c r="O410" s="188"/>
    </row>
    <row r="411">
      <c r="A411" s="273"/>
      <c r="B411" s="274"/>
      <c r="C411" s="200"/>
      <c r="D411" s="275"/>
      <c r="E411" s="200"/>
      <c r="F411" s="276"/>
      <c r="G411" s="275"/>
      <c r="H411" s="275"/>
      <c r="I411" s="273"/>
      <c r="J411" s="273"/>
      <c r="K411" s="273"/>
      <c r="L411" s="188"/>
      <c r="M411" s="188"/>
      <c r="N411" s="188"/>
      <c r="O411" s="188"/>
    </row>
    <row r="412">
      <c r="A412" s="273"/>
      <c r="B412" s="274"/>
      <c r="C412" s="200"/>
      <c r="D412" s="275"/>
      <c r="E412" s="200"/>
      <c r="F412" s="276"/>
      <c r="G412" s="275"/>
      <c r="H412" s="275"/>
      <c r="I412" s="273"/>
      <c r="J412" s="273"/>
      <c r="K412" s="273"/>
      <c r="L412" s="188"/>
      <c r="M412" s="188"/>
      <c r="N412" s="188"/>
      <c r="O412" s="188"/>
    </row>
    <row r="413">
      <c r="A413" s="273"/>
      <c r="B413" s="274"/>
      <c r="C413" s="200"/>
      <c r="D413" s="275"/>
      <c r="E413" s="200"/>
      <c r="F413" s="276"/>
      <c r="G413" s="275"/>
      <c r="H413" s="275"/>
      <c r="I413" s="273"/>
      <c r="J413" s="273"/>
      <c r="K413" s="273"/>
      <c r="L413" s="188"/>
      <c r="M413" s="188"/>
      <c r="N413" s="188"/>
      <c r="O413" s="188"/>
    </row>
    <row r="414">
      <c r="A414" s="273"/>
      <c r="B414" s="274"/>
      <c r="C414" s="200"/>
      <c r="D414" s="275"/>
      <c r="E414" s="200"/>
      <c r="F414" s="276"/>
      <c r="G414" s="275"/>
      <c r="H414" s="275"/>
      <c r="I414" s="273"/>
      <c r="J414" s="273"/>
      <c r="K414" s="273"/>
      <c r="L414" s="188"/>
      <c r="M414" s="188"/>
      <c r="N414" s="188"/>
      <c r="O414" s="188"/>
    </row>
    <row r="415">
      <c r="A415" s="273"/>
      <c r="B415" s="274"/>
      <c r="C415" s="200"/>
      <c r="D415" s="275"/>
      <c r="E415" s="200"/>
      <c r="F415" s="276"/>
      <c r="G415" s="275"/>
      <c r="H415" s="275"/>
      <c r="I415" s="273"/>
      <c r="J415" s="273"/>
      <c r="K415" s="273"/>
      <c r="L415" s="188"/>
      <c r="M415" s="188"/>
      <c r="N415" s="188"/>
      <c r="O415" s="188"/>
    </row>
    <row r="416">
      <c r="A416" s="273"/>
      <c r="B416" s="274"/>
      <c r="C416" s="200"/>
      <c r="D416" s="275"/>
      <c r="E416" s="200"/>
      <c r="F416" s="276"/>
      <c r="G416" s="275"/>
      <c r="H416" s="275"/>
      <c r="I416" s="273"/>
      <c r="J416" s="273"/>
      <c r="K416" s="273"/>
      <c r="L416" s="188"/>
      <c r="M416" s="188"/>
      <c r="N416" s="188"/>
      <c r="O416" s="188"/>
    </row>
    <row r="417">
      <c r="A417" s="273"/>
      <c r="B417" s="274"/>
      <c r="C417" s="200"/>
      <c r="D417" s="275"/>
      <c r="E417" s="200"/>
      <c r="F417" s="276"/>
      <c r="G417" s="275"/>
      <c r="H417" s="275"/>
      <c r="I417" s="273"/>
      <c r="J417" s="273"/>
      <c r="K417" s="273"/>
      <c r="L417" s="188"/>
      <c r="M417" s="188"/>
      <c r="N417" s="188"/>
      <c r="O417" s="188"/>
    </row>
    <row r="418">
      <c r="A418" s="273"/>
      <c r="B418" s="274"/>
      <c r="C418" s="200"/>
      <c r="D418" s="275"/>
      <c r="E418" s="200"/>
      <c r="F418" s="276"/>
      <c r="G418" s="275"/>
      <c r="H418" s="275"/>
      <c r="I418" s="273"/>
      <c r="J418" s="273"/>
      <c r="K418" s="273"/>
      <c r="L418" s="188"/>
      <c r="M418" s="188"/>
      <c r="N418" s="188"/>
      <c r="O418" s="188"/>
    </row>
    <row r="419">
      <c r="A419" s="273"/>
      <c r="B419" s="274"/>
      <c r="C419" s="200"/>
      <c r="D419" s="275"/>
      <c r="E419" s="200"/>
      <c r="F419" s="276"/>
      <c r="G419" s="275"/>
      <c r="H419" s="275"/>
      <c r="I419" s="273"/>
      <c r="J419" s="273"/>
      <c r="K419" s="273"/>
      <c r="L419" s="188"/>
      <c r="M419" s="188"/>
      <c r="N419" s="188"/>
      <c r="O419" s="188"/>
    </row>
    <row r="420">
      <c r="A420" s="273"/>
      <c r="B420" s="274"/>
      <c r="C420" s="200"/>
      <c r="D420" s="275"/>
      <c r="E420" s="200"/>
      <c r="F420" s="276"/>
      <c r="G420" s="275"/>
      <c r="H420" s="275"/>
      <c r="I420" s="273"/>
      <c r="J420" s="273"/>
      <c r="K420" s="273"/>
      <c r="L420" s="188"/>
      <c r="M420" s="188"/>
      <c r="N420" s="188"/>
      <c r="O420" s="188"/>
    </row>
    <row r="421">
      <c r="A421" s="273"/>
      <c r="B421" s="274"/>
      <c r="C421" s="200"/>
      <c r="D421" s="275"/>
      <c r="E421" s="200"/>
      <c r="F421" s="276"/>
      <c r="G421" s="275"/>
      <c r="H421" s="275"/>
      <c r="I421" s="273"/>
      <c r="J421" s="273"/>
      <c r="K421" s="273"/>
      <c r="L421" s="188"/>
      <c r="M421" s="188"/>
      <c r="N421" s="188"/>
      <c r="O421" s="188"/>
    </row>
    <row r="422">
      <c r="A422" s="273"/>
      <c r="B422" s="274"/>
      <c r="C422" s="200"/>
      <c r="D422" s="275"/>
      <c r="E422" s="200"/>
      <c r="F422" s="276"/>
      <c r="G422" s="275"/>
      <c r="H422" s="275"/>
      <c r="I422" s="273"/>
      <c r="J422" s="273"/>
      <c r="K422" s="273"/>
      <c r="L422" s="188"/>
      <c r="M422" s="188"/>
      <c r="N422" s="188"/>
      <c r="O422" s="188"/>
    </row>
    <row r="423">
      <c r="A423" s="273"/>
      <c r="B423" s="274"/>
      <c r="C423" s="200"/>
      <c r="D423" s="275"/>
      <c r="E423" s="200"/>
      <c r="F423" s="276"/>
      <c r="G423" s="275"/>
      <c r="H423" s="275"/>
      <c r="I423" s="273"/>
      <c r="J423" s="273"/>
      <c r="K423" s="273"/>
      <c r="L423" s="188"/>
      <c r="M423" s="188"/>
      <c r="N423" s="188"/>
      <c r="O423" s="188"/>
    </row>
    <row r="424">
      <c r="A424" s="273"/>
      <c r="B424" s="274"/>
      <c r="C424" s="200"/>
      <c r="D424" s="275"/>
      <c r="E424" s="200"/>
      <c r="F424" s="276"/>
      <c r="G424" s="275"/>
      <c r="H424" s="275"/>
      <c r="I424" s="273"/>
      <c r="J424" s="273"/>
      <c r="K424" s="273"/>
      <c r="L424" s="188"/>
      <c r="M424" s="188"/>
      <c r="N424" s="188"/>
      <c r="O424" s="188"/>
    </row>
    <row r="425">
      <c r="A425" s="273"/>
      <c r="B425" s="274"/>
      <c r="C425" s="200"/>
      <c r="D425" s="275"/>
      <c r="E425" s="200"/>
      <c r="F425" s="276"/>
      <c r="G425" s="275"/>
      <c r="H425" s="275"/>
      <c r="I425" s="273"/>
      <c r="J425" s="273"/>
      <c r="K425" s="273"/>
      <c r="L425" s="188"/>
      <c r="M425" s="188"/>
      <c r="N425" s="188"/>
      <c r="O425" s="188"/>
    </row>
    <row r="426">
      <c r="A426" s="273"/>
      <c r="B426" s="274"/>
      <c r="C426" s="200"/>
      <c r="D426" s="275"/>
      <c r="E426" s="200"/>
      <c r="F426" s="276"/>
      <c r="G426" s="275"/>
      <c r="H426" s="275"/>
      <c r="I426" s="273"/>
      <c r="J426" s="273"/>
      <c r="K426" s="273"/>
      <c r="L426" s="188"/>
      <c r="M426" s="188"/>
      <c r="N426" s="188"/>
      <c r="O426" s="188"/>
    </row>
    <row r="427">
      <c r="A427" s="273"/>
      <c r="B427" s="274"/>
      <c r="C427" s="200"/>
      <c r="D427" s="275"/>
      <c r="E427" s="200"/>
      <c r="F427" s="276"/>
      <c r="G427" s="275"/>
      <c r="H427" s="275"/>
      <c r="I427" s="273"/>
      <c r="J427" s="273"/>
      <c r="K427" s="273"/>
      <c r="L427" s="188"/>
      <c r="M427" s="188"/>
      <c r="N427" s="188"/>
      <c r="O427" s="188"/>
    </row>
    <row r="428">
      <c r="A428" s="273"/>
      <c r="B428" s="274"/>
      <c r="C428" s="200"/>
      <c r="D428" s="275"/>
      <c r="E428" s="200"/>
      <c r="F428" s="276"/>
      <c r="G428" s="275"/>
      <c r="H428" s="275"/>
      <c r="I428" s="273"/>
      <c r="J428" s="273"/>
      <c r="K428" s="273"/>
      <c r="L428" s="188"/>
      <c r="M428" s="188"/>
      <c r="N428" s="188"/>
      <c r="O428" s="188"/>
    </row>
    <row r="429">
      <c r="A429" s="273"/>
      <c r="B429" s="274"/>
      <c r="C429" s="200"/>
      <c r="D429" s="275"/>
      <c r="E429" s="200"/>
      <c r="F429" s="276"/>
      <c r="G429" s="275"/>
      <c r="H429" s="275"/>
      <c r="I429" s="273"/>
      <c r="J429" s="273"/>
      <c r="K429" s="273"/>
      <c r="L429" s="188"/>
      <c r="M429" s="188"/>
      <c r="N429" s="188"/>
      <c r="O429" s="188"/>
    </row>
    <row r="430">
      <c r="A430" s="273"/>
      <c r="B430" s="274"/>
      <c r="C430" s="200"/>
      <c r="D430" s="275"/>
      <c r="E430" s="200"/>
      <c r="F430" s="276"/>
      <c r="G430" s="275"/>
      <c r="H430" s="275"/>
      <c r="I430" s="273"/>
      <c r="J430" s="273"/>
      <c r="K430" s="273"/>
      <c r="L430" s="188"/>
      <c r="M430" s="188"/>
      <c r="N430" s="188"/>
      <c r="O430" s="188"/>
    </row>
    <row r="431">
      <c r="A431" s="273"/>
      <c r="B431" s="274"/>
      <c r="C431" s="200"/>
      <c r="D431" s="275"/>
      <c r="E431" s="200"/>
      <c r="F431" s="276"/>
      <c r="G431" s="275"/>
      <c r="H431" s="275"/>
      <c r="I431" s="273"/>
      <c r="J431" s="273"/>
      <c r="K431" s="273"/>
      <c r="L431" s="188"/>
      <c r="M431" s="188"/>
      <c r="N431" s="188"/>
      <c r="O431" s="188"/>
    </row>
    <row r="432">
      <c r="A432" s="273"/>
      <c r="B432" s="274"/>
      <c r="C432" s="200"/>
      <c r="D432" s="275"/>
      <c r="E432" s="200"/>
      <c r="F432" s="276"/>
      <c r="G432" s="275"/>
      <c r="H432" s="275"/>
      <c r="I432" s="273"/>
      <c r="J432" s="273"/>
      <c r="K432" s="273"/>
      <c r="L432" s="188"/>
      <c r="M432" s="188"/>
      <c r="N432" s="188"/>
      <c r="O432" s="188"/>
    </row>
    <row r="433">
      <c r="A433" s="273"/>
      <c r="B433" s="274"/>
      <c r="C433" s="200"/>
      <c r="D433" s="275"/>
      <c r="E433" s="200"/>
      <c r="F433" s="276"/>
      <c r="G433" s="275"/>
      <c r="H433" s="275"/>
      <c r="I433" s="273"/>
      <c r="J433" s="273"/>
      <c r="K433" s="273"/>
      <c r="L433" s="188"/>
      <c r="M433" s="188"/>
      <c r="N433" s="188"/>
      <c r="O433" s="188"/>
    </row>
    <row r="434">
      <c r="A434" s="273"/>
      <c r="B434" s="274"/>
      <c r="C434" s="200"/>
      <c r="D434" s="275"/>
      <c r="E434" s="200"/>
      <c r="F434" s="276"/>
      <c r="G434" s="275"/>
      <c r="H434" s="275"/>
      <c r="I434" s="273"/>
      <c r="J434" s="273"/>
      <c r="K434" s="273"/>
      <c r="L434" s="188"/>
      <c r="M434" s="188"/>
      <c r="N434" s="188"/>
      <c r="O434" s="188"/>
    </row>
    <row r="435">
      <c r="A435" s="273"/>
      <c r="B435" s="274"/>
      <c r="C435" s="200"/>
      <c r="D435" s="275"/>
      <c r="E435" s="200"/>
      <c r="F435" s="276"/>
      <c r="G435" s="275"/>
      <c r="H435" s="275"/>
      <c r="I435" s="273"/>
      <c r="J435" s="273"/>
      <c r="K435" s="273"/>
      <c r="L435" s="188"/>
      <c r="M435" s="188"/>
      <c r="N435" s="188"/>
      <c r="O435" s="188"/>
    </row>
    <row r="436">
      <c r="A436" s="273"/>
      <c r="B436" s="274"/>
      <c r="C436" s="200"/>
      <c r="D436" s="275"/>
      <c r="E436" s="200"/>
      <c r="F436" s="276"/>
      <c r="G436" s="275"/>
      <c r="H436" s="275"/>
      <c r="I436" s="273"/>
      <c r="J436" s="273"/>
      <c r="K436" s="273"/>
      <c r="L436" s="188"/>
      <c r="M436" s="188"/>
      <c r="N436" s="188"/>
      <c r="O436" s="188"/>
    </row>
    <row r="437">
      <c r="A437" s="273"/>
      <c r="B437" s="274"/>
      <c r="C437" s="200"/>
      <c r="D437" s="275"/>
      <c r="E437" s="200"/>
      <c r="F437" s="276"/>
      <c r="G437" s="275"/>
      <c r="H437" s="275"/>
      <c r="I437" s="273"/>
      <c r="J437" s="273"/>
      <c r="K437" s="273"/>
      <c r="L437" s="188"/>
      <c r="M437" s="188"/>
      <c r="N437" s="188"/>
      <c r="O437" s="188"/>
    </row>
    <row r="438">
      <c r="A438" s="273"/>
      <c r="B438" s="274"/>
      <c r="C438" s="200"/>
      <c r="D438" s="275"/>
      <c r="E438" s="200"/>
      <c r="F438" s="276"/>
      <c r="G438" s="275"/>
      <c r="H438" s="275"/>
      <c r="I438" s="273"/>
      <c r="J438" s="273"/>
      <c r="K438" s="273"/>
      <c r="L438" s="188"/>
      <c r="M438" s="188"/>
      <c r="N438" s="188"/>
      <c r="O438" s="188"/>
    </row>
    <row r="439">
      <c r="A439" s="273"/>
      <c r="B439" s="274"/>
      <c r="C439" s="200"/>
      <c r="D439" s="275"/>
      <c r="E439" s="200"/>
      <c r="F439" s="276"/>
      <c r="G439" s="275"/>
      <c r="H439" s="275"/>
      <c r="I439" s="273"/>
      <c r="J439" s="273"/>
      <c r="K439" s="273"/>
      <c r="L439" s="188"/>
      <c r="M439" s="188"/>
      <c r="N439" s="188"/>
      <c r="O439" s="188"/>
    </row>
    <row r="440">
      <c r="A440" s="273"/>
      <c r="B440" s="274"/>
      <c r="C440" s="200"/>
      <c r="D440" s="275"/>
      <c r="E440" s="200"/>
      <c r="F440" s="276"/>
      <c r="G440" s="275"/>
      <c r="H440" s="275"/>
      <c r="I440" s="273"/>
      <c r="J440" s="273"/>
      <c r="K440" s="273"/>
      <c r="L440" s="188"/>
      <c r="M440" s="188"/>
      <c r="N440" s="188"/>
      <c r="O440" s="188"/>
    </row>
    <row r="441">
      <c r="A441" s="273"/>
      <c r="B441" s="274"/>
      <c r="C441" s="200"/>
      <c r="D441" s="275"/>
      <c r="E441" s="200"/>
      <c r="F441" s="276"/>
      <c r="G441" s="275"/>
      <c r="H441" s="275"/>
      <c r="I441" s="273"/>
      <c r="J441" s="273"/>
      <c r="K441" s="273"/>
      <c r="L441" s="188"/>
      <c r="M441" s="188"/>
      <c r="N441" s="188"/>
      <c r="O441" s="188"/>
    </row>
    <row r="442">
      <c r="A442" s="273"/>
      <c r="B442" s="274"/>
      <c r="C442" s="200"/>
      <c r="D442" s="275"/>
      <c r="E442" s="200"/>
      <c r="F442" s="276"/>
      <c r="G442" s="275"/>
      <c r="H442" s="275"/>
      <c r="I442" s="273"/>
      <c r="J442" s="273"/>
      <c r="K442" s="273"/>
      <c r="L442" s="188"/>
      <c r="M442" s="188"/>
      <c r="N442" s="188"/>
      <c r="O442" s="188"/>
    </row>
    <row r="443">
      <c r="A443" s="273"/>
      <c r="B443" s="274"/>
      <c r="C443" s="200"/>
      <c r="D443" s="275"/>
      <c r="E443" s="200"/>
      <c r="F443" s="276"/>
      <c r="G443" s="275"/>
      <c r="H443" s="275"/>
      <c r="I443" s="273"/>
      <c r="J443" s="273"/>
      <c r="K443" s="273"/>
      <c r="L443" s="188"/>
      <c r="M443" s="188"/>
      <c r="N443" s="188"/>
      <c r="O443" s="188"/>
    </row>
    <row r="444">
      <c r="A444" s="273"/>
      <c r="B444" s="274"/>
      <c r="C444" s="200"/>
      <c r="D444" s="275"/>
      <c r="E444" s="200"/>
      <c r="F444" s="276"/>
      <c r="G444" s="275"/>
      <c r="H444" s="275"/>
      <c r="I444" s="273"/>
      <c r="J444" s="273"/>
      <c r="K444" s="273"/>
      <c r="L444" s="188"/>
      <c r="M444" s="188"/>
      <c r="N444" s="188"/>
      <c r="O444" s="188"/>
    </row>
    <row r="445">
      <c r="A445" s="273"/>
      <c r="B445" s="274"/>
      <c r="C445" s="200"/>
      <c r="D445" s="275"/>
      <c r="E445" s="200"/>
      <c r="F445" s="276"/>
      <c r="G445" s="275"/>
      <c r="H445" s="275"/>
      <c r="I445" s="273"/>
      <c r="J445" s="273"/>
      <c r="K445" s="273"/>
      <c r="L445" s="188"/>
      <c r="M445" s="188"/>
      <c r="N445" s="188"/>
      <c r="O445" s="188"/>
    </row>
    <row r="446">
      <c r="A446" s="273"/>
      <c r="B446" s="274"/>
      <c r="C446" s="200"/>
      <c r="D446" s="275"/>
      <c r="E446" s="200"/>
      <c r="F446" s="276"/>
      <c r="G446" s="275"/>
      <c r="H446" s="275"/>
      <c r="I446" s="273"/>
      <c r="J446" s="273"/>
      <c r="K446" s="273"/>
      <c r="L446" s="188"/>
      <c r="M446" s="188"/>
      <c r="N446" s="188"/>
      <c r="O446" s="188"/>
    </row>
    <row r="447">
      <c r="A447" s="273"/>
      <c r="B447" s="274"/>
      <c r="C447" s="200"/>
      <c r="D447" s="275"/>
      <c r="E447" s="200"/>
      <c r="F447" s="276"/>
      <c r="G447" s="275"/>
      <c r="H447" s="275"/>
      <c r="I447" s="273"/>
      <c r="J447" s="273"/>
      <c r="K447" s="273"/>
      <c r="L447" s="188"/>
      <c r="M447" s="188"/>
      <c r="N447" s="188"/>
      <c r="O447" s="188"/>
    </row>
    <row r="448">
      <c r="A448" s="273"/>
      <c r="B448" s="274"/>
      <c r="C448" s="200"/>
      <c r="D448" s="275"/>
      <c r="E448" s="200"/>
      <c r="F448" s="276"/>
      <c r="G448" s="275"/>
      <c r="H448" s="275"/>
      <c r="I448" s="273"/>
      <c r="J448" s="273"/>
      <c r="K448" s="273"/>
      <c r="L448" s="188"/>
      <c r="M448" s="188"/>
      <c r="N448" s="188"/>
      <c r="O448" s="188"/>
    </row>
    <row r="449">
      <c r="A449" s="273"/>
      <c r="B449" s="274"/>
      <c r="C449" s="200"/>
      <c r="D449" s="275"/>
      <c r="E449" s="200"/>
      <c r="F449" s="276"/>
      <c r="G449" s="275"/>
      <c r="H449" s="275"/>
      <c r="I449" s="273"/>
      <c r="J449" s="273"/>
      <c r="K449" s="273"/>
      <c r="L449" s="188"/>
      <c r="M449" s="188"/>
      <c r="N449" s="188"/>
      <c r="O449" s="188"/>
    </row>
    <row r="450">
      <c r="A450" s="273"/>
      <c r="B450" s="274"/>
      <c r="C450" s="200"/>
      <c r="D450" s="275"/>
      <c r="E450" s="200"/>
      <c r="F450" s="276"/>
      <c r="G450" s="275"/>
      <c r="H450" s="275"/>
      <c r="I450" s="273"/>
      <c r="J450" s="273"/>
      <c r="K450" s="273"/>
      <c r="L450" s="188"/>
      <c r="M450" s="188"/>
      <c r="N450" s="188"/>
      <c r="O450" s="188"/>
    </row>
    <row r="451">
      <c r="A451" s="273"/>
      <c r="B451" s="274"/>
      <c r="C451" s="200"/>
      <c r="D451" s="275"/>
      <c r="E451" s="200"/>
      <c r="F451" s="276"/>
      <c r="G451" s="275"/>
      <c r="H451" s="275"/>
      <c r="I451" s="273"/>
      <c r="J451" s="273"/>
      <c r="K451" s="273"/>
      <c r="L451" s="188"/>
      <c r="M451" s="188"/>
      <c r="N451" s="188"/>
      <c r="O451" s="188"/>
    </row>
    <row r="452">
      <c r="A452" s="273"/>
      <c r="B452" s="274"/>
      <c r="C452" s="200"/>
      <c r="D452" s="275"/>
      <c r="E452" s="200"/>
      <c r="F452" s="276"/>
      <c r="G452" s="275"/>
      <c r="H452" s="275"/>
      <c r="I452" s="273"/>
      <c r="J452" s="273"/>
      <c r="K452" s="273"/>
      <c r="L452" s="188"/>
      <c r="M452" s="188"/>
      <c r="N452" s="188"/>
      <c r="O452" s="188"/>
    </row>
    <row r="453">
      <c r="A453" s="273"/>
      <c r="B453" s="274"/>
      <c r="C453" s="200"/>
      <c r="D453" s="275"/>
      <c r="E453" s="200"/>
      <c r="F453" s="276"/>
      <c r="G453" s="275"/>
      <c r="H453" s="275"/>
      <c r="I453" s="273"/>
      <c r="J453" s="273"/>
      <c r="K453" s="273"/>
      <c r="L453" s="188"/>
      <c r="M453" s="188"/>
      <c r="N453" s="188"/>
      <c r="O453" s="188"/>
    </row>
    <row r="454">
      <c r="A454" s="273"/>
      <c r="B454" s="274"/>
      <c r="C454" s="200"/>
      <c r="D454" s="275"/>
      <c r="E454" s="200"/>
      <c r="F454" s="276"/>
      <c r="G454" s="275"/>
      <c r="H454" s="275"/>
      <c r="I454" s="273"/>
      <c r="J454" s="273"/>
      <c r="K454" s="273"/>
      <c r="L454" s="188"/>
      <c r="M454" s="188"/>
      <c r="N454" s="188"/>
      <c r="O454" s="188"/>
    </row>
    <row r="455">
      <c r="A455" s="273"/>
      <c r="B455" s="274"/>
      <c r="C455" s="200"/>
      <c r="D455" s="275"/>
      <c r="E455" s="200"/>
      <c r="F455" s="276"/>
      <c r="G455" s="275"/>
      <c r="H455" s="275"/>
      <c r="I455" s="273"/>
      <c r="J455" s="273"/>
      <c r="K455" s="273"/>
      <c r="L455" s="188"/>
      <c r="M455" s="188"/>
      <c r="N455" s="188"/>
      <c r="O455" s="188"/>
    </row>
    <row r="456">
      <c r="A456" s="273"/>
      <c r="B456" s="274"/>
      <c r="C456" s="200"/>
      <c r="D456" s="275"/>
      <c r="E456" s="200"/>
      <c r="F456" s="276"/>
      <c r="G456" s="275"/>
      <c r="H456" s="275"/>
      <c r="I456" s="273"/>
      <c r="J456" s="273"/>
      <c r="K456" s="273"/>
      <c r="L456" s="188"/>
      <c r="M456" s="188"/>
      <c r="N456" s="188"/>
      <c r="O456" s="188"/>
    </row>
    <row r="457">
      <c r="A457" s="273"/>
      <c r="B457" s="274"/>
      <c r="C457" s="200"/>
      <c r="D457" s="275"/>
      <c r="E457" s="200"/>
      <c r="F457" s="276"/>
      <c r="G457" s="275"/>
      <c r="H457" s="275"/>
      <c r="I457" s="273"/>
      <c r="J457" s="273"/>
      <c r="K457" s="273"/>
      <c r="L457" s="188"/>
      <c r="M457" s="188"/>
      <c r="N457" s="188"/>
      <c r="O457" s="188"/>
    </row>
    <row r="458">
      <c r="A458" s="273"/>
      <c r="B458" s="274"/>
      <c r="C458" s="200"/>
      <c r="D458" s="275"/>
      <c r="E458" s="200"/>
      <c r="F458" s="276"/>
      <c r="G458" s="275"/>
      <c r="H458" s="275"/>
      <c r="I458" s="273"/>
      <c r="J458" s="273"/>
      <c r="K458" s="273"/>
      <c r="L458" s="188"/>
      <c r="M458" s="188"/>
      <c r="N458" s="188"/>
      <c r="O458" s="188"/>
    </row>
    <row r="459">
      <c r="A459" s="273"/>
      <c r="B459" s="274"/>
      <c r="C459" s="200"/>
      <c r="D459" s="275"/>
      <c r="E459" s="200"/>
      <c r="F459" s="276"/>
      <c r="G459" s="275"/>
      <c r="H459" s="275"/>
      <c r="I459" s="273"/>
      <c r="J459" s="273"/>
      <c r="K459" s="273"/>
      <c r="L459" s="188"/>
      <c r="M459" s="188"/>
      <c r="N459" s="188"/>
      <c r="O459" s="188"/>
    </row>
    <row r="460">
      <c r="A460" s="273"/>
      <c r="B460" s="274"/>
      <c r="C460" s="200"/>
      <c r="D460" s="275"/>
      <c r="E460" s="200"/>
      <c r="F460" s="276"/>
      <c r="G460" s="275"/>
      <c r="H460" s="275"/>
      <c r="I460" s="273"/>
      <c r="J460" s="273"/>
      <c r="K460" s="273"/>
      <c r="L460" s="188"/>
      <c r="M460" s="188"/>
      <c r="N460" s="188"/>
      <c r="O460" s="188"/>
    </row>
    <row r="461">
      <c r="A461" s="273"/>
      <c r="B461" s="274"/>
      <c r="C461" s="200"/>
      <c r="D461" s="275"/>
      <c r="E461" s="200"/>
      <c r="F461" s="276"/>
      <c r="G461" s="275"/>
      <c r="H461" s="275"/>
      <c r="I461" s="273"/>
      <c r="J461" s="273"/>
      <c r="K461" s="273"/>
      <c r="L461" s="188"/>
      <c r="M461" s="188"/>
      <c r="N461" s="188"/>
      <c r="O461" s="188"/>
    </row>
    <row r="462">
      <c r="A462" s="273"/>
      <c r="B462" s="274"/>
      <c r="C462" s="200"/>
      <c r="D462" s="275"/>
      <c r="E462" s="200"/>
      <c r="F462" s="276"/>
      <c r="G462" s="275"/>
      <c r="H462" s="275"/>
      <c r="I462" s="273"/>
      <c r="J462" s="273"/>
      <c r="K462" s="273"/>
      <c r="L462" s="188"/>
      <c r="M462" s="188"/>
      <c r="N462" s="188"/>
      <c r="O462" s="188"/>
    </row>
    <row r="463">
      <c r="A463" s="273"/>
      <c r="B463" s="274"/>
      <c r="C463" s="200"/>
      <c r="D463" s="275"/>
      <c r="E463" s="200"/>
      <c r="F463" s="276"/>
      <c r="G463" s="275"/>
      <c r="H463" s="275"/>
      <c r="I463" s="273"/>
      <c r="J463" s="273"/>
      <c r="K463" s="273"/>
      <c r="L463" s="188"/>
      <c r="M463" s="188"/>
      <c r="N463" s="188"/>
      <c r="O463" s="188"/>
    </row>
    <row r="464">
      <c r="A464" s="273"/>
      <c r="B464" s="274"/>
      <c r="C464" s="200"/>
      <c r="D464" s="275"/>
      <c r="E464" s="200"/>
      <c r="F464" s="276"/>
      <c r="G464" s="275"/>
      <c r="H464" s="275"/>
      <c r="I464" s="273"/>
      <c r="J464" s="273"/>
      <c r="K464" s="273"/>
      <c r="L464" s="188"/>
      <c r="M464" s="188"/>
      <c r="N464" s="188"/>
      <c r="O464" s="188"/>
    </row>
    <row r="465">
      <c r="A465" s="273"/>
      <c r="B465" s="274"/>
      <c r="C465" s="200"/>
      <c r="D465" s="275"/>
      <c r="E465" s="200"/>
      <c r="F465" s="276"/>
      <c r="G465" s="275"/>
      <c r="H465" s="275"/>
      <c r="I465" s="273"/>
      <c r="J465" s="273"/>
      <c r="K465" s="273"/>
      <c r="L465" s="188"/>
      <c r="M465" s="188"/>
      <c r="N465" s="188"/>
      <c r="O465" s="188"/>
    </row>
    <row r="466">
      <c r="A466" s="273"/>
      <c r="B466" s="274"/>
      <c r="C466" s="200"/>
      <c r="D466" s="275"/>
      <c r="E466" s="200"/>
      <c r="F466" s="276"/>
      <c r="G466" s="275"/>
      <c r="H466" s="275"/>
      <c r="I466" s="273"/>
      <c r="J466" s="273"/>
      <c r="K466" s="273"/>
      <c r="L466" s="188"/>
      <c r="M466" s="188"/>
      <c r="N466" s="188"/>
      <c r="O466" s="188"/>
    </row>
    <row r="467">
      <c r="A467" s="273"/>
      <c r="B467" s="274"/>
      <c r="C467" s="200"/>
      <c r="D467" s="275"/>
      <c r="E467" s="200"/>
      <c r="F467" s="276"/>
      <c r="G467" s="275"/>
      <c r="H467" s="275"/>
      <c r="I467" s="273"/>
      <c r="J467" s="273"/>
      <c r="K467" s="273"/>
      <c r="L467" s="188"/>
      <c r="M467" s="188"/>
      <c r="N467" s="188"/>
      <c r="O467" s="188"/>
    </row>
    <row r="468">
      <c r="A468" s="273"/>
      <c r="B468" s="274"/>
      <c r="C468" s="200"/>
      <c r="D468" s="275"/>
      <c r="E468" s="200"/>
      <c r="F468" s="276"/>
      <c r="G468" s="275"/>
      <c r="H468" s="275"/>
      <c r="I468" s="273"/>
      <c r="J468" s="273"/>
      <c r="K468" s="273"/>
      <c r="L468" s="188"/>
      <c r="M468" s="188"/>
      <c r="N468" s="188"/>
      <c r="O468" s="188"/>
    </row>
    <row r="469">
      <c r="A469" s="273"/>
      <c r="B469" s="274"/>
      <c r="C469" s="200"/>
      <c r="D469" s="275"/>
      <c r="E469" s="200"/>
      <c r="F469" s="276"/>
      <c r="G469" s="275"/>
      <c r="H469" s="275"/>
      <c r="I469" s="273"/>
      <c r="J469" s="273"/>
      <c r="K469" s="273"/>
      <c r="L469" s="188"/>
      <c r="M469" s="188"/>
      <c r="N469" s="188"/>
      <c r="O469" s="188"/>
    </row>
    <row r="470">
      <c r="A470" s="273"/>
      <c r="B470" s="274"/>
      <c r="C470" s="200"/>
      <c r="D470" s="275"/>
      <c r="E470" s="200"/>
      <c r="F470" s="276"/>
      <c r="G470" s="275"/>
      <c r="H470" s="275"/>
      <c r="I470" s="273"/>
      <c r="J470" s="273"/>
      <c r="K470" s="273"/>
      <c r="L470" s="188"/>
      <c r="M470" s="188"/>
      <c r="N470" s="188"/>
      <c r="O470" s="188"/>
    </row>
    <row r="471">
      <c r="A471" s="273"/>
      <c r="B471" s="274"/>
      <c r="C471" s="200"/>
      <c r="D471" s="275"/>
      <c r="E471" s="200"/>
      <c r="F471" s="276"/>
      <c r="G471" s="275"/>
      <c r="H471" s="275"/>
      <c r="I471" s="273"/>
      <c r="J471" s="273"/>
      <c r="K471" s="273"/>
      <c r="L471" s="188"/>
      <c r="M471" s="188"/>
      <c r="N471" s="188"/>
      <c r="O471" s="188"/>
    </row>
    <row r="472">
      <c r="A472" s="273"/>
      <c r="B472" s="274"/>
      <c r="C472" s="200"/>
      <c r="D472" s="275"/>
      <c r="E472" s="200"/>
      <c r="F472" s="276"/>
      <c r="G472" s="275"/>
      <c r="H472" s="275"/>
      <c r="I472" s="273"/>
      <c r="J472" s="273"/>
      <c r="K472" s="273"/>
      <c r="L472" s="188"/>
      <c r="M472" s="188"/>
      <c r="N472" s="188"/>
      <c r="O472" s="188"/>
    </row>
    <row r="473">
      <c r="A473" s="273"/>
      <c r="B473" s="274"/>
      <c r="C473" s="200"/>
      <c r="D473" s="275"/>
      <c r="E473" s="200"/>
      <c r="F473" s="276"/>
      <c r="G473" s="275"/>
      <c r="H473" s="275"/>
      <c r="I473" s="273"/>
      <c r="J473" s="273"/>
      <c r="K473" s="273"/>
      <c r="L473" s="188"/>
      <c r="M473" s="188"/>
      <c r="N473" s="188"/>
      <c r="O473" s="188"/>
    </row>
    <row r="474">
      <c r="A474" s="273"/>
      <c r="B474" s="274"/>
      <c r="C474" s="200"/>
      <c r="D474" s="275"/>
      <c r="E474" s="200"/>
      <c r="F474" s="276"/>
      <c r="G474" s="275"/>
      <c r="H474" s="275"/>
      <c r="I474" s="273"/>
      <c r="J474" s="273"/>
      <c r="K474" s="273"/>
      <c r="L474" s="188"/>
      <c r="M474" s="188"/>
      <c r="N474" s="188"/>
      <c r="O474" s="188"/>
    </row>
    <row r="475">
      <c r="A475" s="273"/>
      <c r="B475" s="274"/>
      <c r="C475" s="200"/>
      <c r="D475" s="275"/>
      <c r="E475" s="200"/>
      <c r="F475" s="276"/>
      <c r="G475" s="275"/>
      <c r="H475" s="275"/>
      <c r="I475" s="273"/>
      <c r="J475" s="273"/>
      <c r="K475" s="273"/>
      <c r="L475" s="188"/>
      <c r="M475" s="188"/>
      <c r="N475" s="188"/>
      <c r="O475" s="188"/>
    </row>
    <row r="476">
      <c r="A476" s="273"/>
      <c r="B476" s="274"/>
      <c r="C476" s="200"/>
      <c r="D476" s="275"/>
      <c r="E476" s="200"/>
      <c r="F476" s="276"/>
      <c r="G476" s="275"/>
      <c r="H476" s="275"/>
      <c r="I476" s="273"/>
      <c r="J476" s="273"/>
      <c r="K476" s="273"/>
      <c r="L476" s="188"/>
      <c r="M476" s="188"/>
      <c r="N476" s="188"/>
      <c r="O476" s="188"/>
    </row>
    <row r="477">
      <c r="A477" s="273"/>
      <c r="B477" s="274"/>
      <c r="C477" s="200"/>
      <c r="D477" s="275"/>
      <c r="E477" s="200"/>
      <c r="F477" s="276"/>
      <c r="G477" s="275"/>
      <c r="H477" s="275"/>
      <c r="I477" s="273"/>
      <c r="J477" s="273"/>
      <c r="K477" s="273"/>
      <c r="L477" s="188"/>
      <c r="M477" s="188"/>
      <c r="N477" s="188"/>
      <c r="O477" s="188"/>
    </row>
    <row r="478">
      <c r="A478" s="273"/>
      <c r="B478" s="274"/>
      <c r="C478" s="200"/>
      <c r="D478" s="275"/>
      <c r="E478" s="200"/>
      <c r="F478" s="276"/>
      <c r="G478" s="275"/>
      <c r="H478" s="275"/>
      <c r="I478" s="273"/>
      <c r="J478" s="273"/>
      <c r="K478" s="273"/>
      <c r="L478" s="188"/>
      <c r="M478" s="188"/>
      <c r="N478" s="188"/>
      <c r="O478" s="188"/>
    </row>
    <row r="479">
      <c r="A479" s="273"/>
      <c r="B479" s="274"/>
      <c r="C479" s="200"/>
      <c r="D479" s="275"/>
      <c r="E479" s="200"/>
      <c r="F479" s="276"/>
      <c r="G479" s="275"/>
      <c r="H479" s="275"/>
      <c r="I479" s="273"/>
      <c r="J479" s="273"/>
      <c r="K479" s="273"/>
      <c r="L479" s="188"/>
      <c r="M479" s="188"/>
      <c r="N479" s="188"/>
      <c r="O479" s="188"/>
    </row>
    <row r="480">
      <c r="A480" s="273"/>
      <c r="B480" s="274"/>
      <c r="C480" s="200"/>
      <c r="D480" s="275"/>
      <c r="E480" s="200"/>
      <c r="F480" s="276"/>
      <c r="G480" s="275"/>
      <c r="H480" s="275"/>
      <c r="I480" s="273"/>
      <c r="J480" s="273"/>
      <c r="K480" s="273"/>
      <c r="L480" s="188"/>
      <c r="M480" s="188"/>
      <c r="N480" s="188"/>
      <c r="O480" s="188"/>
    </row>
    <row r="481">
      <c r="A481" s="273"/>
      <c r="B481" s="274"/>
      <c r="C481" s="200"/>
      <c r="D481" s="275"/>
      <c r="E481" s="200"/>
      <c r="F481" s="276"/>
      <c r="G481" s="275"/>
      <c r="H481" s="275"/>
      <c r="I481" s="273"/>
      <c r="J481" s="273"/>
      <c r="K481" s="273"/>
      <c r="L481" s="188"/>
      <c r="M481" s="188"/>
      <c r="N481" s="188"/>
      <c r="O481" s="188"/>
    </row>
    <row r="482">
      <c r="A482" s="273"/>
      <c r="B482" s="274"/>
      <c r="C482" s="200"/>
      <c r="D482" s="275"/>
      <c r="E482" s="200"/>
      <c r="F482" s="276"/>
      <c r="G482" s="275"/>
      <c r="H482" s="275"/>
      <c r="I482" s="273"/>
      <c r="J482" s="273"/>
      <c r="K482" s="273"/>
      <c r="L482" s="188"/>
      <c r="M482" s="188"/>
      <c r="N482" s="188"/>
      <c r="O482" s="188"/>
    </row>
    <row r="483">
      <c r="A483" s="273"/>
      <c r="B483" s="274"/>
      <c r="C483" s="200"/>
      <c r="D483" s="275"/>
      <c r="E483" s="200"/>
      <c r="F483" s="276"/>
      <c r="G483" s="275"/>
      <c r="H483" s="275"/>
      <c r="I483" s="273"/>
      <c r="J483" s="273"/>
      <c r="K483" s="273"/>
      <c r="L483" s="188"/>
      <c r="M483" s="188"/>
      <c r="N483" s="188"/>
      <c r="O483" s="188"/>
    </row>
    <row r="484">
      <c r="A484" s="273"/>
      <c r="B484" s="274"/>
      <c r="C484" s="200"/>
      <c r="D484" s="275"/>
      <c r="E484" s="200"/>
      <c r="F484" s="276"/>
      <c r="G484" s="275"/>
      <c r="H484" s="275"/>
      <c r="I484" s="273"/>
      <c r="J484" s="273"/>
      <c r="K484" s="273"/>
      <c r="L484" s="188"/>
      <c r="M484" s="188"/>
      <c r="N484" s="188"/>
      <c r="O484" s="188"/>
    </row>
    <row r="485">
      <c r="A485" s="273"/>
      <c r="B485" s="274"/>
      <c r="C485" s="200"/>
      <c r="D485" s="275"/>
      <c r="E485" s="200"/>
      <c r="F485" s="276"/>
      <c r="G485" s="275"/>
      <c r="H485" s="275"/>
      <c r="I485" s="273"/>
      <c r="J485" s="273"/>
      <c r="K485" s="273"/>
      <c r="L485" s="188"/>
      <c r="M485" s="188"/>
      <c r="N485" s="188"/>
      <c r="O485" s="188"/>
    </row>
    <row r="486">
      <c r="A486" s="273"/>
      <c r="B486" s="274"/>
      <c r="C486" s="200"/>
      <c r="D486" s="275"/>
      <c r="E486" s="200"/>
      <c r="F486" s="276"/>
      <c r="G486" s="275"/>
      <c r="H486" s="275"/>
      <c r="I486" s="273"/>
      <c r="J486" s="273"/>
      <c r="K486" s="273"/>
      <c r="L486" s="188"/>
      <c r="M486" s="188"/>
      <c r="N486" s="188"/>
      <c r="O486" s="188"/>
    </row>
    <row r="487">
      <c r="A487" s="273"/>
      <c r="B487" s="274"/>
      <c r="C487" s="200"/>
      <c r="D487" s="275"/>
      <c r="E487" s="200"/>
      <c r="F487" s="276"/>
      <c r="G487" s="275"/>
      <c r="H487" s="275"/>
      <c r="I487" s="273"/>
      <c r="J487" s="273"/>
      <c r="K487" s="273"/>
      <c r="L487" s="188"/>
      <c r="M487" s="188"/>
      <c r="N487" s="188"/>
      <c r="O487" s="188"/>
    </row>
    <row r="488">
      <c r="A488" s="273"/>
      <c r="B488" s="274"/>
      <c r="C488" s="200"/>
      <c r="D488" s="275"/>
      <c r="E488" s="200"/>
      <c r="F488" s="276"/>
      <c r="G488" s="275"/>
      <c r="H488" s="275"/>
      <c r="I488" s="273"/>
      <c r="J488" s="273"/>
      <c r="K488" s="273"/>
      <c r="L488" s="188"/>
      <c r="M488" s="188"/>
      <c r="N488" s="188"/>
      <c r="O488" s="188"/>
    </row>
    <row r="489">
      <c r="A489" s="273"/>
      <c r="B489" s="274"/>
      <c r="C489" s="200"/>
      <c r="D489" s="275"/>
      <c r="E489" s="200"/>
      <c r="F489" s="276"/>
      <c r="G489" s="275"/>
      <c r="H489" s="275"/>
      <c r="I489" s="273"/>
      <c r="J489" s="273"/>
      <c r="K489" s="273"/>
      <c r="L489" s="188"/>
      <c r="M489" s="188"/>
      <c r="N489" s="188"/>
      <c r="O489" s="188"/>
    </row>
    <row r="490">
      <c r="A490" s="273"/>
      <c r="B490" s="274"/>
      <c r="C490" s="200"/>
      <c r="D490" s="275"/>
      <c r="E490" s="200"/>
      <c r="F490" s="276"/>
      <c r="G490" s="275"/>
      <c r="H490" s="275"/>
      <c r="I490" s="273"/>
      <c r="J490" s="273"/>
      <c r="K490" s="273"/>
      <c r="L490" s="188"/>
      <c r="M490" s="188"/>
      <c r="N490" s="188"/>
      <c r="O490" s="188"/>
    </row>
    <row r="491">
      <c r="A491" s="273"/>
      <c r="B491" s="274"/>
      <c r="C491" s="200"/>
      <c r="D491" s="275"/>
      <c r="E491" s="200"/>
      <c r="F491" s="276"/>
      <c r="G491" s="275"/>
      <c r="H491" s="275"/>
      <c r="I491" s="273"/>
      <c r="J491" s="273"/>
      <c r="K491" s="273"/>
      <c r="L491" s="188"/>
      <c r="M491" s="188"/>
      <c r="N491" s="188"/>
      <c r="O491" s="188"/>
    </row>
    <row r="492">
      <c r="A492" s="273"/>
      <c r="B492" s="274"/>
      <c r="C492" s="200"/>
      <c r="D492" s="275"/>
      <c r="E492" s="200"/>
      <c r="F492" s="276"/>
      <c r="G492" s="275"/>
      <c r="H492" s="275"/>
      <c r="I492" s="273"/>
      <c r="J492" s="273"/>
      <c r="K492" s="273"/>
      <c r="L492" s="188"/>
      <c r="M492" s="188"/>
      <c r="N492" s="188"/>
      <c r="O492" s="188"/>
    </row>
    <row r="493">
      <c r="A493" s="273"/>
      <c r="B493" s="274"/>
      <c r="C493" s="200"/>
      <c r="D493" s="275"/>
      <c r="E493" s="200"/>
      <c r="F493" s="276"/>
      <c r="G493" s="275"/>
      <c r="H493" s="275"/>
      <c r="I493" s="273"/>
      <c r="J493" s="273"/>
      <c r="K493" s="273"/>
      <c r="L493" s="188"/>
      <c r="M493" s="188"/>
      <c r="N493" s="188"/>
      <c r="O493" s="188"/>
    </row>
    <row r="494">
      <c r="A494" s="273"/>
      <c r="B494" s="274"/>
      <c r="C494" s="200"/>
      <c r="D494" s="275"/>
      <c r="E494" s="200"/>
      <c r="F494" s="276"/>
      <c r="G494" s="275"/>
      <c r="H494" s="275"/>
      <c r="I494" s="273"/>
      <c r="J494" s="273"/>
      <c r="K494" s="273"/>
      <c r="L494" s="188"/>
      <c r="M494" s="188"/>
      <c r="N494" s="188"/>
      <c r="O494" s="188"/>
    </row>
    <row r="495">
      <c r="A495" s="273"/>
      <c r="B495" s="274"/>
      <c r="C495" s="200"/>
      <c r="D495" s="275"/>
      <c r="E495" s="200"/>
      <c r="F495" s="276"/>
      <c r="G495" s="275"/>
      <c r="H495" s="275"/>
      <c r="I495" s="273"/>
      <c r="J495" s="273"/>
      <c r="K495" s="273"/>
      <c r="L495" s="188"/>
      <c r="M495" s="188"/>
      <c r="N495" s="188"/>
      <c r="O495" s="188"/>
    </row>
    <row r="496">
      <c r="A496" s="273"/>
      <c r="B496" s="274"/>
      <c r="C496" s="200"/>
      <c r="D496" s="275"/>
      <c r="E496" s="200"/>
      <c r="F496" s="276"/>
      <c r="G496" s="275"/>
      <c r="H496" s="275"/>
      <c r="I496" s="273"/>
      <c r="J496" s="273"/>
      <c r="K496" s="273"/>
      <c r="L496" s="188"/>
      <c r="M496" s="188"/>
      <c r="N496" s="188"/>
      <c r="O496" s="188"/>
    </row>
    <row r="497">
      <c r="A497" s="273"/>
      <c r="B497" s="274"/>
      <c r="C497" s="200"/>
      <c r="D497" s="275"/>
      <c r="E497" s="200"/>
      <c r="F497" s="276"/>
      <c r="G497" s="275"/>
      <c r="H497" s="275"/>
      <c r="I497" s="273"/>
      <c r="J497" s="273"/>
      <c r="K497" s="273"/>
      <c r="L497" s="188"/>
      <c r="M497" s="188"/>
      <c r="N497" s="188"/>
      <c r="O497" s="188"/>
    </row>
    <row r="498">
      <c r="A498" s="273"/>
      <c r="B498" s="274"/>
      <c r="C498" s="200"/>
      <c r="D498" s="275"/>
      <c r="E498" s="200"/>
      <c r="F498" s="276"/>
      <c r="G498" s="275"/>
      <c r="H498" s="275"/>
      <c r="I498" s="273"/>
      <c r="J498" s="273"/>
      <c r="K498" s="273"/>
      <c r="L498" s="188"/>
      <c r="M498" s="188"/>
      <c r="N498" s="188"/>
      <c r="O498" s="188"/>
    </row>
    <row r="499">
      <c r="A499" s="273"/>
      <c r="B499" s="274"/>
      <c r="C499" s="200"/>
      <c r="D499" s="275"/>
      <c r="E499" s="200"/>
      <c r="F499" s="276"/>
      <c r="G499" s="275"/>
      <c r="H499" s="275"/>
      <c r="I499" s="273"/>
      <c r="J499" s="273"/>
      <c r="K499" s="273"/>
      <c r="L499" s="188"/>
      <c r="M499" s="188"/>
      <c r="N499" s="188"/>
      <c r="O499" s="188"/>
    </row>
    <row r="500">
      <c r="A500" s="273"/>
      <c r="B500" s="274"/>
      <c r="C500" s="200"/>
      <c r="D500" s="275"/>
      <c r="E500" s="200"/>
      <c r="F500" s="276"/>
      <c r="G500" s="275"/>
      <c r="H500" s="275"/>
      <c r="I500" s="273"/>
      <c r="J500" s="273"/>
      <c r="K500" s="273"/>
      <c r="L500" s="188"/>
      <c r="M500" s="188"/>
      <c r="N500" s="188"/>
      <c r="O500" s="188"/>
    </row>
    <row r="501">
      <c r="A501" s="273"/>
      <c r="B501" s="274"/>
      <c r="C501" s="200"/>
      <c r="D501" s="275"/>
      <c r="E501" s="200"/>
      <c r="F501" s="276"/>
      <c r="G501" s="275"/>
      <c r="H501" s="275"/>
      <c r="I501" s="273"/>
      <c r="J501" s="273"/>
      <c r="K501" s="273"/>
      <c r="L501" s="188"/>
      <c r="M501" s="188"/>
      <c r="N501" s="188"/>
      <c r="O501" s="188"/>
    </row>
    <row r="502">
      <c r="A502" s="273"/>
      <c r="B502" s="274"/>
      <c r="C502" s="200"/>
      <c r="D502" s="275"/>
      <c r="E502" s="200"/>
      <c r="F502" s="276"/>
      <c r="G502" s="275"/>
      <c r="H502" s="275"/>
      <c r="I502" s="273"/>
      <c r="J502" s="273"/>
      <c r="K502" s="273"/>
      <c r="L502" s="188"/>
      <c r="M502" s="188"/>
      <c r="N502" s="188"/>
      <c r="O502" s="188"/>
    </row>
    <row r="503">
      <c r="A503" s="273"/>
      <c r="B503" s="274"/>
      <c r="C503" s="200"/>
      <c r="D503" s="275"/>
      <c r="E503" s="200"/>
      <c r="F503" s="276"/>
      <c r="G503" s="275"/>
      <c r="H503" s="275"/>
      <c r="I503" s="273"/>
      <c r="J503" s="273"/>
      <c r="K503" s="273"/>
      <c r="L503" s="188"/>
      <c r="M503" s="188"/>
      <c r="N503" s="188"/>
      <c r="O503" s="188"/>
    </row>
    <row r="504">
      <c r="A504" s="273"/>
      <c r="B504" s="274"/>
      <c r="C504" s="200"/>
      <c r="D504" s="275"/>
      <c r="E504" s="200"/>
      <c r="F504" s="276"/>
      <c r="G504" s="275"/>
      <c r="H504" s="275"/>
      <c r="I504" s="273"/>
      <c r="J504" s="273"/>
      <c r="K504" s="273"/>
      <c r="L504" s="188"/>
      <c r="M504" s="188"/>
      <c r="N504" s="188"/>
      <c r="O504" s="188"/>
    </row>
    <row r="505">
      <c r="A505" s="273"/>
      <c r="B505" s="274"/>
      <c r="C505" s="200"/>
      <c r="D505" s="275"/>
      <c r="E505" s="200"/>
      <c r="F505" s="276"/>
      <c r="G505" s="275"/>
      <c r="H505" s="275"/>
      <c r="I505" s="273"/>
      <c r="J505" s="273"/>
      <c r="K505" s="273"/>
      <c r="L505" s="188"/>
      <c r="M505" s="188"/>
      <c r="N505" s="188"/>
      <c r="O505" s="188"/>
    </row>
    <row r="506">
      <c r="A506" s="273"/>
      <c r="B506" s="274"/>
      <c r="C506" s="200"/>
      <c r="D506" s="275"/>
      <c r="E506" s="200"/>
      <c r="F506" s="276"/>
      <c r="G506" s="275"/>
      <c r="H506" s="275"/>
      <c r="I506" s="273"/>
      <c r="J506" s="273"/>
      <c r="K506" s="273"/>
      <c r="L506" s="188"/>
      <c r="M506" s="188"/>
      <c r="N506" s="188"/>
      <c r="O506" s="188"/>
    </row>
    <row r="507">
      <c r="A507" s="273"/>
      <c r="B507" s="274"/>
      <c r="C507" s="200"/>
      <c r="D507" s="275"/>
      <c r="E507" s="200"/>
      <c r="F507" s="276"/>
      <c r="G507" s="275"/>
      <c r="H507" s="275"/>
      <c r="I507" s="273"/>
      <c r="J507" s="273"/>
      <c r="K507" s="273"/>
      <c r="L507" s="188"/>
      <c r="M507" s="188"/>
      <c r="N507" s="188"/>
      <c r="O507" s="188"/>
    </row>
    <row r="508">
      <c r="A508" s="273"/>
      <c r="B508" s="274"/>
      <c r="C508" s="200"/>
      <c r="D508" s="275"/>
      <c r="E508" s="200"/>
      <c r="F508" s="276"/>
      <c r="G508" s="275"/>
      <c r="H508" s="275"/>
      <c r="I508" s="273"/>
      <c r="J508" s="273"/>
      <c r="K508" s="273"/>
      <c r="L508" s="188"/>
      <c r="M508" s="188"/>
      <c r="N508" s="188"/>
      <c r="O508" s="188"/>
    </row>
    <row r="509">
      <c r="A509" s="273"/>
      <c r="B509" s="274"/>
      <c r="C509" s="200"/>
      <c r="D509" s="275"/>
      <c r="E509" s="200"/>
      <c r="F509" s="276"/>
      <c r="G509" s="275"/>
      <c r="H509" s="275"/>
      <c r="I509" s="273"/>
      <c r="J509" s="273"/>
      <c r="K509" s="273"/>
      <c r="L509" s="188"/>
      <c r="M509" s="188"/>
      <c r="N509" s="188"/>
      <c r="O509" s="188"/>
    </row>
    <row r="510">
      <c r="A510" s="273"/>
      <c r="B510" s="274"/>
      <c r="C510" s="200"/>
      <c r="D510" s="275"/>
      <c r="E510" s="200"/>
      <c r="F510" s="276"/>
      <c r="G510" s="275"/>
      <c r="H510" s="275"/>
      <c r="I510" s="273"/>
      <c r="J510" s="273"/>
      <c r="K510" s="273"/>
      <c r="L510" s="188"/>
      <c r="M510" s="188"/>
      <c r="N510" s="188"/>
      <c r="O510" s="188"/>
    </row>
    <row r="511">
      <c r="A511" s="273"/>
      <c r="B511" s="274"/>
      <c r="C511" s="200"/>
      <c r="D511" s="275"/>
      <c r="E511" s="200"/>
      <c r="F511" s="276"/>
      <c r="G511" s="275"/>
      <c r="H511" s="275"/>
      <c r="I511" s="273"/>
      <c r="J511" s="273"/>
      <c r="K511" s="273"/>
      <c r="L511" s="188"/>
      <c r="M511" s="188"/>
      <c r="N511" s="188"/>
      <c r="O511" s="188"/>
    </row>
    <row r="512">
      <c r="A512" s="273"/>
      <c r="B512" s="274"/>
      <c r="C512" s="200"/>
      <c r="D512" s="275"/>
      <c r="E512" s="200"/>
      <c r="F512" s="276"/>
      <c r="G512" s="275"/>
      <c r="H512" s="275"/>
      <c r="I512" s="273"/>
      <c r="J512" s="273"/>
      <c r="K512" s="273"/>
      <c r="L512" s="188"/>
      <c r="M512" s="188"/>
      <c r="N512" s="188"/>
      <c r="O512" s="188"/>
    </row>
    <row r="513">
      <c r="A513" s="273"/>
      <c r="B513" s="274"/>
      <c r="C513" s="200"/>
      <c r="D513" s="275"/>
      <c r="E513" s="200"/>
      <c r="F513" s="276"/>
      <c r="G513" s="275"/>
      <c r="H513" s="275"/>
      <c r="I513" s="273"/>
      <c r="J513" s="273"/>
      <c r="K513" s="273"/>
      <c r="L513" s="188"/>
      <c r="M513" s="188"/>
      <c r="N513" s="188"/>
      <c r="O513" s="188"/>
    </row>
    <row r="514">
      <c r="A514" s="273"/>
      <c r="B514" s="274"/>
      <c r="C514" s="200"/>
      <c r="D514" s="275"/>
      <c r="E514" s="200"/>
      <c r="F514" s="276"/>
      <c r="G514" s="275"/>
      <c r="H514" s="275"/>
      <c r="I514" s="273"/>
      <c r="J514" s="273"/>
      <c r="K514" s="273"/>
      <c r="L514" s="188"/>
      <c r="M514" s="188"/>
      <c r="N514" s="188"/>
      <c r="O514" s="188"/>
    </row>
    <row r="515">
      <c r="A515" s="273"/>
      <c r="B515" s="274"/>
      <c r="C515" s="200"/>
      <c r="D515" s="275"/>
      <c r="E515" s="200"/>
      <c r="F515" s="276"/>
      <c r="G515" s="275"/>
      <c r="H515" s="275"/>
      <c r="I515" s="273"/>
      <c r="J515" s="273"/>
      <c r="K515" s="273"/>
      <c r="L515" s="188"/>
      <c r="M515" s="188"/>
      <c r="N515" s="188"/>
      <c r="O515" s="188"/>
    </row>
    <row r="516">
      <c r="A516" s="273"/>
      <c r="B516" s="274"/>
      <c r="C516" s="200"/>
      <c r="D516" s="275"/>
      <c r="E516" s="200"/>
      <c r="F516" s="276"/>
      <c r="G516" s="275"/>
      <c r="H516" s="275"/>
      <c r="I516" s="273"/>
      <c r="J516" s="273"/>
      <c r="K516" s="273"/>
      <c r="L516" s="188"/>
      <c r="M516" s="188"/>
      <c r="N516" s="188"/>
      <c r="O516" s="188"/>
    </row>
    <row r="517">
      <c r="A517" s="273"/>
      <c r="B517" s="274"/>
      <c r="C517" s="200"/>
      <c r="D517" s="275"/>
      <c r="E517" s="200"/>
      <c r="F517" s="276"/>
      <c r="G517" s="275"/>
      <c r="H517" s="275"/>
      <c r="I517" s="273"/>
      <c r="J517" s="273"/>
      <c r="K517" s="273"/>
      <c r="L517" s="188"/>
      <c r="M517" s="188"/>
      <c r="N517" s="188"/>
      <c r="O517" s="188"/>
    </row>
    <row r="518">
      <c r="A518" s="273"/>
      <c r="B518" s="274"/>
      <c r="C518" s="200"/>
      <c r="D518" s="275"/>
      <c r="E518" s="200"/>
      <c r="F518" s="276"/>
      <c r="G518" s="275"/>
      <c r="H518" s="275"/>
      <c r="I518" s="273"/>
      <c r="J518" s="273"/>
      <c r="K518" s="273"/>
      <c r="L518" s="188"/>
      <c r="M518" s="188"/>
      <c r="N518" s="188"/>
      <c r="O518" s="188"/>
    </row>
    <row r="519">
      <c r="A519" s="273"/>
      <c r="B519" s="274"/>
      <c r="C519" s="200"/>
      <c r="D519" s="275"/>
      <c r="E519" s="200"/>
      <c r="F519" s="276"/>
      <c r="G519" s="275"/>
      <c r="H519" s="275"/>
      <c r="I519" s="273"/>
      <c r="J519" s="273"/>
      <c r="K519" s="273"/>
      <c r="L519" s="188"/>
      <c r="M519" s="188"/>
      <c r="N519" s="188"/>
      <c r="O519" s="188"/>
    </row>
    <row r="520">
      <c r="A520" s="273"/>
      <c r="B520" s="274"/>
      <c r="C520" s="200"/>
      <c r="D520" s="275"/>
      <c r="E520" s="200"/>
      <c r="F520" s="276"/>
      <c r="G520" s="275"/>
      <c r="H520" s="275"/>
      <c r="I520" s="273"/>
      <c r="J520" s="273"/>
      <c r="K520" s="273"/>
      <c r="L520" s="188"/>
      <c r="M520" s="188"/>
      <c r="N520" s="188"/>
      <c r="O520" s="188"/>
    </row>
    <row r="521">
      <c r="A521" s="273"/>
      <c r="B521" s="274"/>
      <c r="C521" s="200"/>
      <c r="D521" s="275"/>
      <c r="E521" s="200"/>
      <c r="F521" s="276"/>
      <c r="G521" s="275"/>
      <c r="H521" s="275"/>
      <c r="I521" s="273"/>
      <c r="J521" s="273"/>
      <c r="K521" s="273"/>
      <c r="L521" s="188"/>
      <c r="M521" s="188"/>
      <c r="N521" s="188"/>
      <c r="O521" s="188"/>
    </row>
    <row r="522">
      <c r="A522" s="273"/>
      <c r="B522" s="274"/>
      <c r="C522" s="200"/>
      <c r="D522" s="275"/>
      <c r="E522" s="200"/>
      <c r="F522" s="276"/>
      <c r="G522" s="275"/>
      <c r="H522" s="275"/>
      <c r="I522" s="273"/>
      <c r="J522" s="273"/>
      <c r="K522" s="273"/>
      <c r="L522" s="188"/>
      <c r="M522" s="188"/>
      <c r="N522" s="188"/>
      <c r="O522" s="188"/>
    </row>
    <row r="523">
      <c r="A523" s="273"/>
      <c r="B523" s="274"/>
      <c r="C523" s="200"/>
      <c r="D523" s="275"/>
      <c r="E523" s="200"/>
      <c r="F523" s="276"/>
      <c r="G523" s="275"/>
      <c r="H523" s="275"/>
      <c r="I523" s="273"/>
      <c r="J523" s="273"/>
      <c r="K523" s="273"/>
      <c r="L523" s="188"/>
      <c r="M523" s="188"/>
      <c r="N523" s="188"/>
      <c r="O523" s="188"/>
    </row>
    <row r="524">
      <c r="A524" s="273"/>
      <c r="B524" s="274"/>
      <c r="C524" s="200"/>
      <c r="D524" s="275"/>
      <c r="E524" s="200"/>
      <c r="F524" s="276"/>
      <c r="G524" s="275"/>
      <c r="H524" s="275"/>
      <c r="I524" s="273"/>
      <c r="J524" s="273"/>
      <c r="K524" s="273"/>
      <c r="L524" s="188"/>
      <c r="M524" s="188"/>
      <c r="N524" s="188"/>
      <c r="O524" s="188"/>
    </row>
    <row r="525">
      <c r="A525" s="273"/>
      <c r="B525" s="274"/>
      <c r="C525" s="200"/>
      <c r="D525" s="275"/>
      <c r="E525" s="200"/>
      <c r="F525" s="276"/>
      <c r="G525" s="275"/>
      <c r="H525" s="275"/>
      <c r="I525" s="273"/>
      <c r="J525" s="273"/>
      <c r="K525" s="273"/>
      <c r="L525" s="188"/>
      <c r="M525" s="188"/>
      <c r="N525" s="188"/>
      <c r="O525" s="188"/>
    </row>
    <row r="526">
      <c r="A526" s="273"/>
      <c r="B526" s="274"/>
      <c r="C526" s="200"/>
      <c r="D526" s="275"/>
      <c r="E526" s="200"/>
      <c r="F526" s="276"/>
      <c r="G526" s="275"/>
      <c r="H526" s="275"/>
      <c r="I526" s="273"/>
      <c r="J526" s="273"/>
      <c r="K526" s="273"/>
      <c r="L526" s="188"/>
      <c r="M526" s="188"/>
      <c r="N526" s="188"/>
      <c r="O526" s="188"/>
    </row>
    <row r="527">
      <c r="A527" s="273"/>
      <c r="B527" s="274"/>
      <c r="C527" s="200"/>
      <c r="D527" s="275"/>
      <c r="E527" s="200"/>
      <c r="F527" s="276"/>
      <c r="G527" s="275"/>
      <c r="H527" s="275"/>
      <c r="I527" s="273"/>
      <c r="J527" s="273"/>
      <c r="K527" s="273"/>
      <c r="L527" s="188"/>
      <c r="M527" s="188"/>
      <c r="N527" s="188"/>
      <c r="O527" s="188"/>
    </row>
    <row r="528">
      <c r="A528" s="273"/>
      <c r="B528" s="274"/>
      <c r="C528" s="200"/>
      <c r="D528" s="275"/>
      <c r="E528" s="200"/>
      <c r="F528" s="276"/>
      <c r="G528" s="275"/>
      <c r="H528" s="275"/>
      <c r="I528" s="273"/>
      <c r="J528" s="273"/>
      <c r="K528" s="273"/>
      <c r="L528" s="188"/>
      <c r="M528" s="188"/>
      <c r="N528" s="188"/>
      <c r="O528" s="188"/>
    </row>
    <row r="529">
      <c r="A529" s="273"/>
      <c r="B529" s="274"/>
      <c r="C529" s="200"/>
      <c r="D529" s="275"/>
      <c r="E529" s="200"/>
      <c r="F529" s="276"/>
      <c r="G529" s="275"/>
      <c r="H529" s="275"/>
      <c r="I529" s="273"/>
      <c r="J529" s="273"/>
      <c r="K529" s="273"/>
      <c r="L529" s="188"/>
      <c r="M529" s="188"/>
      <c r="N529" s="188"/>
      <c r="O529" s="188"/>
    </row>
    <row r="530">
      <c r="A530" s="273"/>
      <c r="B530" s="274"/>
      <c r="C530" s="200"/>
      <c r="D530" s="275"/>
      <c r="E530" s="200"/>
      <c r="F530" s="276"/>
      <c r="G530" s="275"/>
      <c r="H530" s="275"/>
      <c r="I530" s="273"/>
      <c r="J530" s="273"/>
      <c r="K530" s="273"/>
      <c r="L530" s="188"/>
      <c r="M530" s="188"/>
      <c r="N530" s="188"/>
      <c r="O530" s="188"/>
    </row>
    <row r="531">
      <c r="A531" s="273"/>
      <c r="B531" s="274"/>
      <c r="C531" s="200"/>
      <c r="D531" s="275"/>
      <c r="E531" s="200"/>
      <c r="F531" s="276"/>
      <c r="G531" s="275"/>
      <c r="H531" s="275"/>
      <c r="I531" s="273"/>
      <c r="J531" s="273"/>
      <c r="K531" s="273"/>
      <c r="L531" s="188"/>
      <c r="M531" s="188"/>
      <c r="N531" s="188"/>
      <c r="O531" s="188"/>
    </row>
    <row r="532">
      <c r="A532" s="273"/>
      <c r="B532" s="274"/>
      <c r="C532" s="200"/>
      <c r="D532" s="275"/>
      <c r="E532" s="200"/>
      <c r="F532" s="276"/>
      <c r="G532" s="275"/>
      <c r="H532" s="275"/>
      <c r="I532" s="273"/>
      <c r="J532" s="273"/>
      <c r="K532" s="273"/>
      <c r="L532" s="188"/>
      <c r="M532" s="188"/>
      <c r="N532" s="188"/>
      <c r="O532" s="188"/>
    </row>
    <row r="533">
      <c r="A533" s="273"/>
      <c r="B533" s="274"/>
      <c r="C533" s="200"/>
      <c r="D533" s="275"/>
      <c r="E533" s="200"/>
      <c r="F533" s="276"/>
      <c r="G533" s="275"/>
      <c r="H533" s="275"/>
      <c r="I533" s="273"/>
      <c r="J533" s="273"/>
      <c r="K533" s="273"/>
      <c r="L533" s="188"/>
      <c r="M533" s="188"/>
      <c r="N533" s="188"/>
      <c r="O533" s="188"/>
    </row>
    <row r="534">
      <c r="A534" s="273"/>
      <c r="B534" s="274"/>
      <c r="C534" s="200"/>
      <c r="D534" s="275"/>
      <c r="E534" s="200"/>
      <c r="F534" s="276"/>
      <c r="G534" s="275"/>
      <c r="H534" s="275"/>
      <c r="I534" s="273"/>
      <c r="J534" s="273"/>
      <c r="K534" s="273"/>
      <c r="L534" s="188"/>
      <c r="M534" s="188"/>
      <c r="N534" s="188"/>
      <c r="O534" s="188"/>
    </row>
    <row r="535">
      <c r="A535" s="273"/>
      <c r="B535" s="274"/>
      <c r="C535" s="200"/>
      <c r="D535" s="275"/>
      <c r="E535" s="200"/>
      <c r="F535" s="276"/>
      <c r="G535" s="275"/>
      <c r="H535" s="275"/>
      <c r="I535" s="273"/>
      <c r="J535" s="273"/>
      <c r="K535" s="273"/>
      <c r="L535" s="188"/>
      <c r="M535" s="188"/>
      <c r="N535" s="188"/>
      <c r="O535" s="188"/>
    </row>
    <row r="536">
      <c r="A536" s="273"/>
      <c r="B536" s="274"/>
      <c r="C536" s="200"/>
      <c r="D536" s="275"/>
      <c r="E536" s="200"/>
      <c r="F536" s="276"/>
      <c r="G536" s="275"/>
      <c r="H536" s="275"/>
      <c r="I536" s="273"/>
      <c r="J536" s="273"/>
      <c r="K536" s="273"/>
      <c r="L536" s="188"/>
      <c r="M536" s="188"/>
      <c r="N536" s="188"/>
      <c r="O536" s="188"/>
    </row>
    <row r="537">
      <c r="A537" s="273"/>
      <c r="B537" s="274"/>
      <c r="C537" s="200"/>
      <c r="D537" s="275"/>
      <c r="E537" s="200"/>
      <c r="F537" s="276"/>
      <c r="G537" s="275"/>
      <c r="H537" s="275"/>
      <c r="I537" s="273"/>
      <c r="J537" s="273"/>
      <c r="K537" s="273"/>
      <c r="L537" s="188"/>
      <c r="M537" s="188"/>
      <c r="N537" s="188"/>
      <c r="O537" s="188"/>
    </row>
    <row r="538">
      <c r="A538" s="273"/>
      <c r="B538" s="274"/>
      <c r="C538" s="200"/>
      <c r="D538" s="275"/>
      <c r="E538" s="200"/>
      <c r="F538" s="276"/>
      <c r="G538" s="275"/>
      <c r="H538" s="275"/>
      <c r="I538" s="273"/>
      <c r="J538" s="273"/>
      <c r="K538" s="273"/>
      <c r="L538" s="188"/>
      <c r="M538" s="188"/>
      <c r="N538" s="188"/>
      <c r="O538" s="188"/>
    </row>
    <row r="539">
      <c r="A539" s="273"/>
      <c r="B539" s="274"/>
      <c r="C539" s="200"/>
      <c r="D539" s="275"/>
      <c r="E539" s="200"/>
      <c r="F539" s="276"/>
      <c r="G539" s="275"/>
      <c r="H539" s="275"/>
      <c r="I539" s="273"/>
      <c r="J539" s="273"/>
      <c r="K539" s="273"/>
      <c r="L539" s="188"/>
      <c r="M539" s="188"/>
      <c r="N539" s="188"/>
      <c r="O539" s="188"/>
    </row>
    <row r="540">
      <c r="A540" s="273"/>
      <c r="B540" s="274"/>
      <c r="C540" s="200"/>
      <c r="D540" s="275"/>
      <c r="E540" s="200"/>
      <c r="F540" s="276"/>
      <c r="G540" s="275"/>
      <c r="H540" s="275"/>
      <c r="I540" s="273"/>
      <c r="J540" s="273"/>
      <c r="K540" s="273"/>
      <c r="L540" s="188"/>
      <c r="M540" s="188"/>
      <c r="N540" s="188"/>
      <c r="O540" s="188"/>
    </row>
    <row r="541">
      <c r="A541" s="273"/>
      <c r="B541" s="274"/>
      <c r="C541" s="200"/>
      <c r="D541" s="275"/>
      <c r="E541" s="200"/>
      <c r="F541" s="276"/>
      <c r="G541" s="275"/>
      <c r="H541" s="275"/>
      <c r="I541" s="273"/>
      <c r="J541" s="273"/>
      <c r="K541" s="273"/>
      <c r="L541" s="188"/>
      <c r="M541" s="188"/>
      <c r="N541" s="188"/>
      <c r="O541" s="188"/>
    </row>
    <row r="542">
      <c r="A542" s="273"/>
      <c r="B542" s="274"/>
      <c r="C542" s="200"/>
      <c r="D542" s="275"/>
      <c r="E542" s="200"/>
      <c r="F542" s="276"/>
      <c r="G542" s="275"/>
      <c r="H542" s="275"/>
      <c r="I542" s="273"/>
      <c r="J542" s="273"/>
      <c r="K542" s="273"/>
      <c r="L542" s="188"/>
      <c r="M542" s="188"/>
      <c r="N542" s="188"/>
      <c r="O542" s="188"/>
    </row>
    <row r="543">
      <c r="A543" s="273"/>
      <c r="B543" s="274"/>
      <c r="C543" s="200"/>
      <c r="D543" s="275"/>
      <c r="E543" s="200"/>
      <c r="F543" s="276"/>
      <c r="G543" s="275"/>
      <c r="H543" s="275"/>
      <c r="I543" s="273"/>
      <c r="J543" s="273"/>
      <c r="K543" s="273"/>
      <c r="L543" s="188"/>
      <c r="M543" s="188"/>
      <c r="N543" s="188"/>
      <c r="O543" s="188"/>
    </row>
    <row r="544">
      <c r="A544" s="273"/>
      <c r="B544" s="274"/>
      <c r="C544" s="200"/>
      <c r="D544" s="275"/>
      <c r="E544" s="200"/>
      <c r="F544" s="276"/>
      <c r="G544" s="275"/>
      <c r="H544" s="275"/>
      <c r="I544" s="273"/>
      <c r="J544" s="273"/>
      <c r="K544" s="273"/>
      <c r="L544" s="188"/>
      <c r="M544" s="188"/>
      <c r="N544" s="188"/>
      <c r="O544" s="188"/>
    </row>
    <row r="545">
      <c r="A545" s="273"/>
      <c r="B545" s="274"/>
      <c r="C545" s="200"/>
      <c r="D545" s="275"/>
      <c r="E545" s="200"/>
      <c r="F545" s="276"/>
      <c r="G545" s="275"/>
      <c r="H545" s="275"/>
      <c r="I545" s="273"/>
      <c r="J545" s="273"/>
      <c r="K545" s="273"/>
      <c r="L545" s="188"/>
      <c r="M545" s="188"/>
      <c r="N545" s="188"/>
      <c r="O545" s="188"/>
    </row>
    <row r="546">
      <c r="A546" s="273"/>
      <c r="B546" s="274"/>
      <c r="C546" s="200"/>
      <c r="D546" s="275"/>
      <c r="E546" s="200"/>
      <c r="F546" s="276"/>
      <c r="G546" s="275"/>
      <c r="H546" s="275"/>
      <c r="I546" s="273"/>
      <c r="J546" s="273"/>
      <c r="K546" s="273"/>
      <c r="L546" s="188"/>
      <c r="M546" s="188"/>
      <c r="N546" s="188"/>
      <c r="O546" s="188"/>
    </row>
    <row r="547">
      <c r="A547" s="273"/>
      <c r="B547" s="274"/>
      <c r="C547" s="200"/>
      <c r="D547" s="275"/>
      <c r="E547" s="200"/>
      <c r="F547" s="276"/>
      <c r="G547" s="275"/>
      <c r="H547" s="275"/>
      <c r="I547" s="273"/>
      <c r="J547" s="273"/>
      <c r="K547" s="273"/>
      <c r="L547" s="188"/>
      <c r="M547" s="188"/>
      <c r="N547" s="188"/>
      <c r="O547" s="188"/>
    </row>
    <row r="548">
      <c r="A548" s="273"/>
      <c r="B548" s="274"/>
      <c r="C548" s="200"/>
      <c r="D548" s="275"/>
      <c r="E548" s="200"/>
      <c r="F548" s="276"/>
      <c r="G548" s="275"/>
      <c r="H548" s="275"/>
      <c r="I548" s="273"/>
      <c r="J548" s="273"/>
      <c r="K548" s="273"/>
      <c r="L548" s="188"/>
      <c r="M548" s="188"/>
      <c r="N548" s="188"/>
      <c r="O548" s="188"/>
    </row>
    <row r="549">
      <c r="A549" s="273"/>
      <c r="B549" s="274"/>
      <c r="C549" s="200"/>
      <c r="D549" s="275"/>
      <c r="E549" s="200"/>
      <c r="F549" s="276"/>
      <c r="G549" s="275"/>
      <c r="H549" s="275"/>
      <c r="I549" s="273"/>
      <c r="J549" s="273"/>
      <c r="K549" s="273"/>
      <c r="L549" s="188"/>
      <c r="M549" s="188"/>
      <c r="N549" s="188"/>
      <c r="O549" s="188"/>
    </row>
    <row r="550">
      <c r="A550" s="273"/>
      <c r="B550" s="274"/>
      <c r="C550" s="200"/>
      <c r="D550" s="275"/>
      <c r="E550" s="200"/>
      <c r="F550" s="276"/>
      <c r="G550" s="275"/>
      <c r="H550" s="275"/>
      <c r="I550" s="273"/>
      <c r="J550" s="273"/>
      <c r="K550" s="273"/>
      <c r="L550" s="188"/>
      <c r="M550" s="188"/>
      <c r="N550" s="188"/>
      <c r="O550" s="188"/>
    </row>
    <row r="551">
      <c r="A551" s="273"/>
      <c r="B551" s="274"/>
      <c r="C551" s="200"/>
      <c r="D551" s="275"/>
      <c r="E551" s="200"/>
      <c r="F551" s="276"/>
      <c r="G551" s="275"/>
      <c r="H551" s="275"/>
      <c r="I551" s="273"/>
      <c r="J551" s="273"/>
      <c r="K551" s="273"/>
      <c r="L551" s="188"/>
      <c r="M551" s="188"/>
      <c r="N551" s="188"/>
      <c r="O551" s="188"/>
    </row>
    <row r="552">
      <c r="A552" s="273"/>
      <c r="B552" s="274"/>
      <c r="C552" s="200"/>
      <c r="D552" s="275"/>
      <c r="E552" s="200"/>
      <c r="F552" s="276"/>
      <c r="G552" s="275"/>
      <c r="H552" s="275"/>
      <c r="I552" s="273"/>
      <c r="J552" s="273"/>
      <c r="K552" s="273"/>
      <c r="L552" s="188"/>
      <c r="M552" s="188"/>
      <c r="N552" s="188"/>
      <c r="O552" s="188"/>
    </row>
    <row r="553">
      <c r="A553" s="273"/>
      <c r="B553" s="274"/>
      <c r="C553" s="200"/>
      <c r="D553" s="275"/>
      <c r="E553" s="200"/>
      <c r="F553" s="276"/>
      <c r="G553" s="275"/>
      <c r="H553" s="275"/>
      <c r="I553" s="273"/>
      <c r="J553" s="273"/>
      <c r="K553" s="273"/>
      <c r="L553" s="188"/>
      <c r="M553" s="188"/>
      <c r="N553" s="188"/>
      <c r="O553" s="188"/>
    </row>
    <row r="554">
      <c r="A554" s="273"/>
      <c r="B554" s="274"/>
      <c r="C554" s="200"/>
      <c r="D554" s="275"/>
      <c r="E554" s="200"/>
      <c r="F554" s="276"/>
      <c r="G554" s="275"/>
      <c r="H554" s="275"/>
      <c r="I554" s="273"/>
      <c r="J554" s="273"/>
      <c r="K554" s="273"/>
      <c r="L554" s="188"/>
      <c r="M554" s="188"/>
      <c r="N554" s="188"/>
      <c r="O554" s="188"/>
    </row>
    <row r="555">
      <c r="A555" s="273"/>
      <c r="B555" s="274"/>
      <c r="C555" s="200"/>
      <c r="D555" s="275"/>
      <c r="E555" s="200"/>
      <c r="F555" s="276"/>
      <c r="G555" s="275"/>
      <c r="H555" s="275"/>
      <c r="I555" s="273"/>
      <c r="J555" s="273"/>
      <c r="K555" s="273"/>
      <c r="L555" s="188"/>
      <c r="M555" s="188"/>
      <c r="N555" s="188"/>
      <c r="O555" s="188"/>
    </row>
    <row r="556">
      <c r="A556" s="273"/>
      <c r="B556" s="274"/>
      <c r="C556" s="200"/>
      <c r="D556" s="275"/>
      <c r="E556" s="200"/>
      <c r="F556" s="276"/>
      <c r="G556" s="275"/>
      <c r="H556" s="275"/>
      <c r="I556" s="273"/>
      <c r="J556" s="273"/>
      <c r="K556" s="273"/>
      <c r="L556" s="188"/>
      <c r="M556" s="188"/>
      <c r="N556" s="188"/>
      <c r="O556" s="188"/>
    </row>
    <row r="557">
      <c r="A557" s="273"/>
      <c r="B557" s="274"/>
      <c r="C557" s="200"/>
      <c r="D557" s="275"/>
      <c r="E557" s="200"/>
      <c r="F557" s="276"/>
      <c r="G557" s="275"/>
      <c r="H557" s="275"/>
      <c r="I557" s="273"/>
      <c r="J557" s="273"/>
      <c r="K557" s="273"/>
      <c r="L557" s="188"/>
      <c r="M557" s="188"/>
      <c r="N557" s="188"/>
      <c r="O557" s="188"/>
    </row>
    <row r="558">
      <c r="A558" s="273"/>
      <c r="B558" s="274"/>
      <c r="C558" s="200"/>
      <c r="D558" s="275"/>
      <c r="E558" s="200"/>
      <c r="F558" s="276"/>
      <c r="G558" s="275"/>
      <c r="H558" s="275"/>
      <c r="I558" s="273"/>
      <c r="J558" s="273"/>
      <c r="K558" s="273"/>
      <c r="L558" s="188"/>
      <c r="M558" s="188"/>
      <c r="N558" s="188"/>
      <c r="O558" s="188"/>
    </row>
    <row r="559">
      <c r="A559" s="273"/>
      <c r="B559" s="274"/>
      <c r="C559" s="200"/>
      <c r="D559" s="275"/>
      <c r="E559" s="200"/>
      <c r="F559" s="276"/>
      <c r="G559" s="275"/>
      <c r="H559" s="275"/>
      <c r="I559" s="273"/>
      <c r="J559" s="273"/>
      <c r="K559" s="273"/>
      <c r="L559" s="188"/>
      <c r="M559" s="188"/>
      <c r="N559" s="188"/>
      <c r="O559" s="188"/>
    </row>
    <row r="560">
      <c r="A560" s="273"/>
      <c r="B560" s="274"/>
      <c r="C560" s="200"/>
      <c r="D560" s="275"/>
      <c r="E560" s="200"/>
      <c r="F560" s="276"/>
      <c r="G560" s="275"/>
      <c r="H560" s="275"/>
      <c r="I560" s="273"/>
      <c r="J560" s="273"/>
      <c r="K560" s="273"/>
      <c r="L560" s="188"/>
      <c r="M560" s="188"/>
      <c r="N560" s="188"/>
      <c r="O560" s="188"/>
    </row>
    <row r="561">
      <c r="A561" s="273"/>
      <c r="B561" s="274"/>
      <c r="C561" s="200"/>
      <c r="D561" s="275"/>
      <c r="E561" s="200"/>
      <c r="F561" s="276"/>
      <c r="G561" s="275"/>
      <c r="H561" s="275"/>
      <c r="I561" s="273"/>
      <c r="J561" s="273"/>
      <c r="K561" s="273"/>
      <c r="L561" s="188"/>
      <c r="M561" s="188"/>
      <c r="N561" s="188"/>
      <c r="O561" s="188"/>
    </row>
    <row r="562">
      <c r="A562" s="273"/>
      <c r="B562" s="274"/>
      <c r="C562" s="200"/>
      <c r="D562" s="275"/>
      <c r="E562" s="200"/>
      <c r="F562" s="276"/>
      <c r="G562" s="275"/>
      <c r="H562" s="275"/>
      <c r="I562" s="273"/>
      <c r="J562" s="273"/>
      <c r="K562" s="273"/>
      <c r="L562" s="188"/>
      <c r="M562" s="188"/>
      <c r="N562" s="188"/>
      <c r="O562" s="188"/>
    </row>
    <row r="563">
      <c r="A563" s="273"/>
      <c r="B563" s="274"/>
      <c r="C563" s="200"/>
      <c r="D563" s="275"/>
      <c r="E563" s="200"/>
      <c r="F563" s="276"/>
      <c r="G563" s="275"/>
      <c r="H563" s="275"/>
      <c r="I563" s="273"/>
      <c r="J563" s="273"/>
      <c r="K563" s="273"/>
      <c r="L563" s="188"/>
      <c r="M563" s="188"/>
      <c r="N563" s="188"/>
      <c r="O563" s="188"/>
    </row>
    <row r="564">
      <c r="A564" s="273"/>
      <c r="B564" s="274"/>
      <c r="C564" s="200"/>
      <c r="D564" s="275"/>
      <c r="E564" s="200"/>
      <c r="F564" s="276"/>
      <c r="G564" s="275"/>
      <c r="H564" s="275"/>
      <c r="I564" s="273"/>
      <c r="J564" s="273"/>
      <c r="K564" s="273"/>
      <c r="L564" s="188"/>
      <c r="M564" s="188"/>
      <c r="N564" s="188"/>
      <c r="O564" s="188"/>
    </row>
    <row r="565">
      <c r="A565" s="273"/>
      <c r="B565" s="274"/>
      <c r="C565" s="200"/>
      <c r="D565" s="275"/>
      <c r="E565" s="200"/>
      <c r="F565" s="276"/>
      <c r="G565" s="275"/>
      <c r="H565" s="275"/>
      <c r="I565" s="273"/>
      <c r="J565" s="273"/>
      <c r="K565" s="273"/>
      <c r="L565" s="188"/>
      <c r="M565" s="188"/>
      <c r="N565" s="188"/>
      <c r="O565" s="188"/>
    </row>
    <row r="566">
      <c r="A566" s="273"/>
      <c r="B566" s="274"/>
      <c r="C566" s="200"/>
      <c r="D566" s="275"/>
      <c r="E566" s="200"/>
      <c r="F566" s="276"/>
      <c r="G566" s="275"/>
      <c r="H566" s="275"/>
      <c r="I566" s="273"/>
      <c r="J566" s="273"/>
      <c r="K566" s="273"/>
      <c r="L566" s="188"/>
      <c r="M566" s="188"/>
      <c r="N566" s="188"/>
      <c r="O566" s="188"/>
    </row>
    <row r="567">
      <c r="A567" s="273"/>
      <c r="B567" s="274"/>
      <c r="C567" s="200"/>
      <c r="D567" s="275"/>
      <c r="E567" s="200"/>
      <c r="F567" s="276"/>
      <c r="G567" s="275"/>
      <c r="H567" s="275"/>
      <c r="I567" s="273"/>
      <c r="J567" s="273"/>
      <c r="K567" s="273"/>
      <c r="L567" s="188"/>
      <c r="M567" s="188"/>
      <c r="N567" s="188"/>
      <c r="O567" s="188"/>
    </row>
    <row r="568">
      <c r="A568" s="273"/>
      <c r="B568" s="274"/>
      <c r="C568" s="200"/>
      <c r="D568" s="275"/>
      <c r="E568" s="200"/>
      <c r="F568" s="276"/>
      <c r="G568" s="275"/>
      <c r="H568" s="275"/>
      <c r="I568" s="273"/>
      <c r="J568" s="273"/>
      <c r="K568" s="273"/>
      <c r="L568" s="188"/>
      <c r="M568" s="188"/>
      <c r="N568" s="188"/>
      <c r="O568" s="188"/>
    </row>
    <row r="569">
      <c r="A569" s="273"/>
      <c r="B569" s="274"/>
      <c r="C569" s="200"/>
      <c r="D569" s="275"/>
      <c r="E569" s="200"/>
      <c r="F569" s="276"/>
      <c r="G569" s="275"/>
      <c r="H569" s="275"/>
      <c r="I569" s="273"/>
      <c r="J569" s="273"/>
      <c r="K569" s="273"/>
      <c r="L569" s="188"/>
      <c r="M569" s="188"/>
      <c r="N569" s="188"/>
      <c r="O569" s="188"/>
    </row>
    <row r="570">
      <c r="A570" s="273"/>
      <c r="B570" s="274"/>
      <c r="C570" s="200"/>
      <c r="D570" s="275"/>
      <c r="E570" s="200"/>
      <c r="F570" s="276"/>
      <c r="G570" s="275"/>
      <c r="H570" s="275"/>
      <c r="I570" s="273"/>
      <c r="J570" s="273"/>
      <c r="K570" s="273"/>
      <c r="L570" s="188"/>
      <c r="M570" s="188"/>
      <c r="N570" s="188"/>
      <c r="O570" s="188"/>
    </row>
    <row r="571">
      <c r="A571" s="273"/>
      <c r="B571" s="274"/>
      <c r="C571" s="200"/>
      <c r="D571" s="275"/>
      <c r="E571" s="200"/>
      <c r="F571" s="276"/>
      <c r="G571" s="275"/>
      <c r="H571" s="275"/>
      <c r="I571" s="273"/>
      <c r="J571" s="273"/>
      <c r="K571" s="273"/>
      <c r="L571" s="188"/>
      <c r="M571" s="188"/>
      <c r="N571" s="188"/>
      <c r="O571" s="188"/>
    </row>
    <row r="572">
      <c r="A572" s="273"/>
      <c r="B572" s="274"/>
      <c r="C572" s="200"/>
      <c r="D572" s="275"/>
      <c r="E572" s="200"/>
      <c r="F572" s="276"/>
      <c r="G572" s="275"/>
      <c r="H572" s="275"/>
      <c r="I572" s="273"/>
      <c r="J572" s="273"/>
      <c r="K572" s="273"/>
      <c r="L572" s="188"/>
      <c r="M572" s="188"/>
      <c r="N572" s="188"/>
      <c r="O572" s="188"/>
    </row>
    <row r="573">
      <c r="A573" s="273"/>
      <c r="B573" s="274"/>
      <c r="C573" s="200"/>
      <c r="D573" s="275"/>
      <c r="E573" s="200"/>
      <c r="F573" s="276"/>
      <c r="G573" s="275"/>
      <c r="H573" s="275"/>
      <c r="I573" s="273"/>
      <c r="J573" s="273"/>
      <c r="K573" s="273"/>
      <c r="L573" s="188"/>
      <c r="M573" s="188"/>
      <c r="N573" s="188"/>
      <c r="O573" s="188"/>
    </row>
    <row r="574">
      <c r="A574" s="273"/>
      <c r="B574" s="274"/>
      <c r="C574" s="200"/>
      <c r="D574" s="275"/>
      <c r="E574" s="200"/>
      <c r="F574" s="276"/>
      <c r="G574" s="275"/>
      <c r="H574" s="275"/>
      <c r="I574" s="273"/>
      <c r="J574" s="273"/>
      <c r="K574" s="273"/>
      <c r="L574" s="188"/>
      <c r="M574" s="188"/>
      <c r="N574" s="188"/>
      <c r="O574" s="188"/>
    </row>
    <row r="575">
      <c r="A575" s="273"/>
      <c r="B575" s="274"/>
      <c r="C575" s="200"/>
      <c r="D575" s="275"/>
      <c r="E575" s="200"/>
      <c r="F575" s="276"/>
      <c r="G575" s="275"/>
      <c r="H575" s="275"/>
      <c r="I575" s="273"/>
      <c r="J575" s="273"/>
      <c r="K575" s="273"/>
      <c r="L575" s="188"/>
      <c r="M575" s="188"/>
      <c r="N575" s="188"/>
      <c r="O575" s="188"/>
    </row>
    <row r="576">
      <c r="A576" s="273"/>
      <c r="B576" s="274"/>
      <c r="C576" s="200"/>
      <c r="D576" s="275"/>
      <c r="E576" s="200"/>
      <c r="F576" s="276"/>
      <c r="G576" s="275"/>
      <c r="H576" s="275"/>
      <c r="I576" s="273"/>
      <c r="J576" s="273"/>
      <c r="K576" s="273"/>
      <c r="L576" s="188"/>
      <c r="M576" s="188"/>
      <c r="N576" s="188"/>
      <c r="O576" s="188"/>
    </row>
    <row r="577">
      <c r="A577" s="273"/>
      <c r="B577" s="274"/>
      <c r="C577" s="200"/>
      <c r="D577" s="275"/>
      <c r="E577" s="200"/>
      <c r="F577" s="276"/>
      <c r="G577" s="275"/>
      <c r="H577" s="275"/>
      <c r="I577" s="273"/>
      <c r="J577" s="273"/>
      <c r="K577" s="273"/>
      <c r="L577" s="188"/>
      <c r="M577" s="188"/>
      <c r="N577" s="188"/>
      <c r="O577" s="188"/>
    </row>
    <row r="578">
      <c r="A578" s="273"/>
      <c r="B578" s="274"/>
      <c r="C578" s="200"/>
      <c r="D578" s="275"/>
      <c r="E578" s="200"/>
      <c r="F578" s="276"/>
      <c r="G578" s="275"/>
      <c r="H578" s="275"/>
      <c r="I578" s="273"/>
      <c r="J578" s="273"/>
      <c r="K578" s="273"/>
      <c r="L578" s="188"/>
      <c r="M578" s="188"/>
      <c r="N578" s="188"/>
      <c r="O578" s="188"/>
    </row>
    <row r="579">
      <c r="A579" s="273"/>
      <c r="B579" s="274"/>
      <c r="C579" s="200"/>
      <c r="D579" s="275"/>
      <c r="E579" s="200"/>
      <c r="F579" s="276"/>
      <c r="G579" s="275"/>
      <c r="H579" s="275"/>
      <c r="I579" s="273"/>
      <c r="J579" s="273"/>
      <c r="K579" s="273"/>
      <c r="L579" s="188"/>
      <c r="M579" s="188"/>
      <c r="N579" s="188"/>
      <c r="O579" s="188"/>
    </row>
    <row r="580">
      <c r="A580" s="273"/>
      <c r="B580" s="274"/>
      <c r="C580" s="200"/>
      <c r="D580" s="275"/>
      <c r="E580" s="200"/>
      <c r="F580" s="276"/>
      <c r="G580" s="275"/>
      <c r="H580" s="275"/>
      <c r="I580" s="273"/>
      <c r="J580" s="273"/>
      <c r="K580" s="273"/>
      <c r="L580" s="188"/>
      <c r="M580" s="188"/>
      <c r="N580" s="188"/>
      <c r="O580" s="188"/>
    </row>
    <row r="581">
      <c r="A581" s="273"/>
      <c r="B581" s="274"/>
      <c r="C581" s="200"/>
      <c r="D581" s="275"/>
      <c r="E581" s="200"/>
      <c r="F581" s="276"/>
      <c r="G581" s="275"/>
      <c r="H581" s="275"/>
      <c r="I581" s="273"/>
      <c r="J581" s="273"/>
      <c r="K581" s="273"/>
      <c r="L581" s="188"/>
      <c r="M581" s="188"/>
      <c r="N581" s="188"/>
      <c r="O581" s="188"/>
    </row>
    <row r="582">
      <c r="A582" s="273"/>
      <c r="B582" s="274"/>
      <c r="C582" s="200"/>
      <c r="D582" s="275"/>
      <c r="E582" s="200"/>
      <c r="F582" s="276"/>
      <c r="G582" s="275"/>
      <c r="H582" s="275"/>
      <c r="I582" s="273"/>
      <c r="J582" s="273"/>
      <c r="K582" s="273"/>
      <c r="L582" s="188"/>
      <c r="M582" s="188"/>
      <c r="N582" s="188"/>
      <c r="O582" s="188"/>
    </row>
    <row r="583">
      <c r="A583" s="273"/>
      <c r="B583" s="274"/>
      <c r="C583" s="200"/>
      <c r="D583" s="275"/>
      <c r="E583" s="200"/>
      <c r="F583" s="276"/>
      <c r="G583" s="275"/>
      <c r="H583" s="275"/>
      <c r="I583" s="273"/>
      <c r="J583" s="273"/>
      <c r="K583" s="273"/>
      <c r="L583" s="188"/>
      <c r="M583" s="188"/>
      <c r="N583" s="188"/>
      <c r="O583" s="188"/>
    </row>
    <row r="584">
      <c r="A584" s="273"/>
      <c r="B584" s="274"/>
      <c r="C584" s="200"/>
      <c r="D584" s="275"/>
      <c r="E584" s="200"/>
      <c r="F584" s="276"/>
      <c r="G584" s="275"/>
      <c r="H584" s="275"/>
      <c r="I584" s="273"/>
      <c r="J584" s="273"/>
      <c r="K584" s="273"/>
      <c r="L584" s="188"/>
      <c r="M584" s="188"/>
      <c r="N584" s="188"/>
      <c r="O584" s="188"/>
    </row>
    <row r="585">
      <c r="A585" s="273"/>
      <c r="B585" s="274"/>
      <c r="C585" s="200"/>
      <c r="D585" s="275"/>
      <c r="E585" s="200"/>
      <c r="F585" s="276"/>
      <c r="G585" s="275"/>
      <c r="H585" s="275"/>
      <c r="I585" s="273"/>
      <c r="J585" s="273"/>
      <c r="K585" s="273"/>
      <c r="L585" s="188"/>
      <c r="M585" s="188"/>
      <c r="N585" s="188"/>
      <c r="O585" s="188"/>
    </row>
    <row r="586">
      <c r="A586" s="273"/>
      <c r="B586" s="274"/>
      <c r="C586" s="200"/>
      <c r="D586" s="275"/>
      <c r="E586" s="200"/>
      <c r="F586" s="276"/>
      <c r="G586" s="275"/>
      <c r="H586" s="275"/>
      <c r="I586" s="273"/>
      <c r="J586" s="273"/>
      <c r="K586" s="273"/>
      <c r="L586" s="188"/>
      <c r="M586" s="188"/>
      <c r="N586" s="188"/>
      <c r="O586" s="188"/>
    </row>
    <row r="587">
      <c r="A587" s="273"/>
      <c r="B587" s="274"/>
      <c r="C587" s="200"/>
      <c r="D587" s="275"/>
      <c r="E587" s="200"/>
      <c r="F587" s="276"/>
      <c r="G587" s="275"/>
      <c r="H587" s="275"/>
      <c r="I587" s="273"/>
      <c r="J587" s="273"/>
      <c r="K587" s="273"/>
      <c r="L587" s="188"/>
      <c r="M587" s="188"/>
      <c r="N587" s="188"/>
      <c r="O587" s="188"/>
    </row>
    <row r="588">
      <c r="A588" s="273"/>
      <c r="B588" s="274"/>
      <c r="C588" s="200"/>
      <c r="D588" s="275"/>
      <c r="E588" s="200"/>
      <c r="F588" s="276"/>
      <c r="G588" s="275"/>
      <c r="H588" s="275"/>
      <c r="I588" s="273"/>
      <c r="J588" s="273"/>
      <c r="K588" s="273"/>
      <c r="L588" s="188"/>
      <c r="M588" s="188"/>
      <c r="N588" s="188"/>
      <c r="O588" s="188"/>
    </row>
    <row r="589">
      <c r="A589" s="273"/>
      <c r="B589" s="274"/>
      <c r="C589" s="200"/>
      <c r="D589" s="275"/>
      <c r="E589" s="200"/>
      <c r="F589" s="276"/>
      <c r="G589" s="275"/>
      <c r="H589" s="275"/>
      <c r="I589" s="273"/>
      <c r="J589" s="273"/>
      <c r="K589" s="273"/>
      <c r="L589" s="188"/>
      <c r="M589" s="188"/>
      <c r="N589" s="188"/>
      <c r="O589" s="188"/>
    </row>
    <row r="590">
      <c r="A590" s="273"/>
      <c r="B590" s="274"/>
      <c r="C590" s="200"/>
      <c r="D590" s="275"/>
      <c r="E590" s="200"/>
      <c r="F590" s="276"/>
      <c r="G590" s="275"/>
      <c r="H590" s="275"/>
      <c r="I590" s="273"/>
      <c r="J590" s="273"/>
      <c r="K590" s="273"/>
      <c r="L590" s="188"/>
      <c r="M590" s="188"/>
      <c r="N590" s="188"/>
      <c r="O590" s="188"/>
    </row>
    <row r="591">
      <c r="A591" s="273"/>
      <c r="B591" s="274"/>
      <c r="C591" s="200"/>
      <c r="D591" s="275"/>
      <c r="E591" s="200"/>
      <c r="F591" s="276"/>
      <c r="G591" s="275"/>
      <c r="H591" s="275"/>
      <c r="I591" s="273"/>
      <c r="J591" s="273"/>
      <c r="K591" s="273"/>
      <c r="L591" s="188"/>
      <c r="M591" s="188"/>
      <c r="N591" s="188"/>
      <c r="O591" s="188"/>
    </row>
    <row r="592">
      <c r="A592" s="273"/>
      <c r="B592" s="274"/>
      <c r="C592" s="200"/>
      <c r="D592" s="275"/>
      <c r="E592" s="200"/>
      <c r="F592" s="276"/>
      <c r="G592" s="275"/>
      <c r="H592" s="275"/>
      <c r="I592" s="273"/>
      <c r="J592" s="273"/>
      <c r="K592" s="273"/>
      <c r="L592" s="188"/>
      <c r="M592" s="188"/>
      <c r="N592" s="188"/>
      <c r="O592" s="188"/>
    </row>
    <row r="593">
      <c r="A593" s="273"/>
      <c r="B593" s="274"/>
      <c r="C593" s="200"/>
      <c r="D593" s="275"/>
      <c r="E593" s="200"/>
      <c r="F593" s="276"/>
      <c r="G593" s="275"/>
      <c r="H593" s="275"/>
      <c r="I593" s="273"/>
      <c r="J593" s="273"/>
      <c r="K593" s="273"/>
      <c r="L593" s="188"/>
      <c r="M593" s="188"/>
      <c r="N593" s="188"/>
      <c r="O593" s="188"/>
    </row>
    <row r="594">
      <c r="A594" s="273"/>
      <c r="B594" s="274"/>
      <c r="C594" s="200"/>
      <c r="D594" s="275"/>
      <c r="E594" s="200"/>
      <c r="F594" s="276"/>
      <c r="G594" s="275"/>
      <c r="H594" s="275"/>
      <c r="I594" s="273"/>
      <c r="J594" s="273"/>
      <c r="K594" s="273"/>
      <c r="L594" s="188"/>
      <c r="M594" s="188"/>
      <c r="N594" s="188"/>
      <c r="O594" s="188"/>
    </row>
    <row r="595">
      <c r="A595" s="273"/>
      <c r="B595" s="274"/>
      <c r="C595" s="200"/>
      <c r="D595" s="275"/>
      <c r="E595" s="200"/>
      <c r="F595" s="276"/>
      <c r="G595" s="275"/>
      <c r="H595" s="275"/>
      <c r="I595" s="273"/>
      <c r="J595" s="273"/>
      <c r="K595" s="273"/>
      <c r="L595" s="188"/>
      <c r="M595" s="188"/>
      <c r="N595" s="188"/>
      <c r="O595" s="188"/>
    </row>
    <row r="596">
      <c r="A596" s="273"/>
      <c r="B596" s="274"/>
      <c r="C596" s="200"/>
      <c r="D596" s="275"/>
      <c r="E596" s="200"/>
      <c r="F596" s="276"/>
      <c r="G596" s="275"/>
      <c r="H596" s="275"/>
      <c r="I596" s="273"/>
      <c r="J596" s="273"/>
      <c r="K596" s="273"/>
      <c r="L596" s="188"/>
      <c r="M596" s="188"/>
      <c r="N596" s="188"/>
      <c r="O596" s="188"/>
    </row>
    <row r="597">
      <c r="A597" s="273"/>
      <c r="B597" s="274"/>
      <c r="C597" s="200"/>
      <c r="D597" s="275"/>
      <c r="E597" s="200"/>
      <c r="F597" s="276"/>
      <c r="G597" s="275"/>
      <c r="H597" s="275"/>
      <c r="I597" s="273"/>
      <c r="J597" s="273"/>
      <c r="K597" s="273"/>
      <c r="L597" s="188"/>
      <c r="M597" s="188"/>
      <c r="N597" s="188"/>
      <c r="O597" s="188"/>
    </row>
    <row r="598">
      <c r="A598" s="273"/>
      <c r="B598" s="274"/>
      <c r="C598" s="200"/>
      <c r="D598" s="275"/>
      <c r="E598" s="200"/>
      <c r="F598" s="276"/>
      <c r="G598" s="275"/>
      <c r="H598" s="275"/>
      <c r="I598" s="273"/>
      <c r="J598" s="273"/>
      <c r="K598" s="273"/>
      <c r="L598" s="188"/>
      <c r="M598" s="188"/>
      <c r="N598" s="188"/>
      <c r="O598" s="188"/>
    </row>
    <row r="599">
      <c r="A599" s="273"/>
      <c r="B599" s="274"/>
      <c r="C599" s="200"/>
      <c r="D599" s="275"/>
      <c r="E599" s="200"/>
      <c r="F599" s="276"/>
      <c r="G599" s="275"/>
      <c r="H599" s="275"/>
      <c r="I599" s="273"/>
      <c r="J599" s="273"/>
      <c r="K599" s="273"/>
      <c r="L599" s="188"/>
      <c r="M599" s="188"/>
      <c r="N599" s="188"/>
      <c r="O599" s="188"/>
    </row>
    <row r="600">
      <c r="A600" s="273"/>
      <c r="B600" s="274"/>
      <c r="C600" s="200"/>
      <c r="D600" s="275"/>
      <c r="E600" s="200"/>
      <c r="F600" s="276"/>
      <c r="G600" s="275"/>
      <c r="H600" s="275"/>
      <c r="I600" s="273"/>
      <c r="J600" s="273"/>
      <c r="K600" s="273"/>
      <c r="L600" s="188"/>
      <c r="M600" s="188"/>
      <c r="N600" s="188"/>
      <c r="O600" s="188"/>
    </row>
    <row r="601">
      <c r="A601" s="273"/>
      <c r="B601" s="274"/>
      <c r="C601" s="200"/>
      <c r="D601" s="275"/>
      <c r="E601" s="200"/>
      <c r="F601" s="276"/>
      <c r="G601" s="275"/>
      <c r="H601" s="275"/>
      <c r="I601" s="273"/>
      <c r="J601" s="273"/>
      <c r="K601" s="273"/>
      <c r="L601" s="188"/>
      <c r="M601" s="188"/>
      <c r="N601" s="188"/>
      <c r="O601" s="188"/>
    </row>
    <row r="602">
      <c r="A602" s="273"/>
      <c r="B602" s="274"/>
      <c r="C602" s="200"/>
      <c r="D602" s="275"/>
      <c r="E602" s="200"/>
      <c r="F602" s="276"/>
      <c r="G602" s="275"/>
      <c r="H602" s="275"/>
      <c r="I602" s="273"/>
      <c r="J602" s="273"/>
      <c r="K602" s="273"/>
      <c r="L602" s="188"/>
      <c r="M602" s="188"/>
      <c r="N602" s="188"/>
      <c r="O602" s="188"/>
    </row>
    <row r="603">
      <c r="A603" s="273"/>
      <c r="B603" s="274"/>
      <c r="C603" s="200"/>
      <c r="D603" s="275"/>
      <c r="E603" s="200"/>
      <c r="F603" s="276"/>
      <c r="G603" s="275"/>
      <c r="H603" s="275"/>
      <c r="I603" s="273"/>
      <c r="J603" s="273"/>
      <c r="K603" s="273"/>
      <c r="L603" s="188"/>
      <c r="M603" s="188"/>
      <c r="N603" s="188"/>
      <c r="O603" s="188"/>
    </row>
    <row r="604">
      <c r="A604" s="273"/>
      <c r="B604" s="274"/>
      <c r="C604" s="200"/>
      <c r="D604" s="275"/>
      <c r="E604" s="200"/>
      <c r="F604" s="276"/>
      <c r="G604" s="275"/>
      <c r="H604" s="275"/>
      <c r="I604" s="273"/>
      <c r="J604" s="273"/>
      <c r="K604" s="273"/>
      <c r="L604" s="188"/>
      <c r="M604" s="188"/>
      <c r="N604" s="188"/>
      <c r="O604" s="188"/>
    </row>
    <row r="605">
      <c r="A605" s="273"/>
      <c r="B605" s="274"/>
      <c r="C605" s="200"/>
      <c r="D605" s="275"/>
      <c r="E605" s="200"/>
      <c r="F605" s="276"/>
      <c r="G605" s="275"/>
      <c r="H605" s="275"/>
      <c r="I605" s="273"/>
      <c r="J605" s="273"/>
      <c r="K605" s="273"/>
      <c r="L605" s="188"/>
      <c r="M605" s="188"/>
      <c r="N605" s="188"/>
      <c r="O605" s="188"/>
    </row>
    <row r="606">
      <c r="A606" s="273"/>
      <c r="B606" s="274"/>
      <c r="C606" s="200"/>
      <c r="D606" s="275"/>
      <c r="E606" s="200"/>
      <c r="F606" s="276"/>
      <c r="G606" s="275"/>
      <c r="H606" s="275"/>
      <c r="I606" s="273"/>
      <c r="J606" s="273"/>
      <c r="K606" s="273"/>
      <c r="L606" s="188"/>
      <c r="M606" s="188"/>
      <c r="N606" s="188"/>
      <c r="O606" s="188"/>
    </row>
    <row r="607">
      <c r="A607" s="273"/>
      <c r="B607" s="274"/>
      <c r="C607" s="200"/>
      <c r="D607" s="275"/>
      <c r="E607" s="200"/>
      <c r="F607" s="276"/>
      <c r="G607" s="275"/>
      <c r="H607" s="275"/>
      <c r="I607" s="273"/>
      <c r="J607" s="273"/>
      <c r="K607" s="273"/>
      <c r="L607" s="188"/>
      <c r="M607" s="188"/>
      <c r="N607" s="188"/>
      <c r="O607" s="188"/>
    </row>
    <row r="608">
      <c r="A608" s="273"/>
      <c r="B608" s="274"/>
      <c r="C608" s="200"/>
      <c r="D608" s="275"/>
      <c r="E608" s="200"/>
      <c r="F608" s="276"/>
      <c r="G608" s="275"/>
      <c r="H608" s="275"/>
      <c r="I608" s="273"/>
      <c r="J608" s="273"/>
      <c r="K608" s="273"/>
      <c r="L608" s="188"/>
      <c r="M608" s="188"/>
      <c r="N608" s="188"/>
      <c r="O608" s="188"/>
    </row>
    <row r="609">
      <c r="A609" s="273"/>
      <c r="B609" s="274"/>
      <c r="C609" s="200"/>
      <c r="D609" s="275"/>
      <c r="E609" s="200"/>
      <c r="F609" s="276"/>
      <c r="G609" s="275"/>
      <c r="H609" s="275"/>
      <c r="I609" s="273"/>
      <c r="J609" s="273"/>
      <c r="K609" s="273"/>
      <c r="L609" s="188"/>
      <c r="M609" s="188"/>
      <c r="N609" s="188"/>
      <c r="O609" s="188"/>
    </row>
    <row r="610">
      <c r="A610" s="273"/>
      <c r="B610" s="274"/>
      <c r="C610" s="200"/>
      <c r="D610" s="275"/>
      <c r="E610" s="200"/>
      <c r="F610" s="276"/>
      <c r="G610" s="275"/>
      <c r="H610" s="275"/>
      <c r="I610" s="273"/>
      <c r="J610" s="273"/>
      <c r="K610" s="273"/>
      <c r="L610" s="188"/>
      <c r="M610" s="188"/>
      <c r="N610" s="188"/>
      <c r="O610" s="188"/>
    </row>
    <row r="611">
      <c r="A611" s="273"/>
      <c r="B611" s="274"/>
      <c r="C611" s="200"/>
      <c r="D611" s="275"/>
      <c r="E611" s="200"/>
      <c r="F611" s="276"/>
      <c r="G611" s="275"/>
      <c r="H611" s="275"/>
      <c r="I611" s="273"/>
      <c r="J611" s="273"/>
      <c r="K611" s="273"/>
      <c r="L611" s="188"/>
      <c r="M611" s="188"/>
      <c r="N611" s="188"/>
      <c r="O611" s="188"/>
    </row>
    <row r="612">
      <c r="A612" s="273"/>
      <c r="B612" s="274"/>
      <c r="C612" s="200"/>
      <c r="D612" s="275"/>
      <c r="E612" s="200"/>
      <c r="F612" s="276"/>
      <c r="G612" s="275"/>
      <c r="H612" s="275"/>
      <c r="I612" s="273"/>
      <c r="J612" s="273"/>
      <c r="K612" s="273"/>
      <c r="L612" s="188"/>
      <c r="M612" s="188"/>
      <c r="N612" s="188"/>
      <c r="O612" s="188"/>
    </row>
    <row r="613">
      <c r="A613" s="273"/>
      <c r="B613" s="274"/>
      <c r="C613" s="200"/>
      <c r="D613" s="275"/>
      <c r="E613" s="200"/>
      <c r="F613" s="276"/>
      <c r="G613" s="275"/>
      <c r="H613" s="275"/>
      <c r="I613" s="273"/>
      <c r="J613" s="273"/>
      <c r="K613" s="273"/>
      <c r="L613" s="188"/>
      <c r="M613" s="188"/>
      <c r="N613" s="188"/>
      <c r="O613" s="188"/>
    </row>
    <row r="614">
      <c r="A614" s="273"/>
      <c r="B614" s="274"/>
      <c r="C614" s="200"/>
      <c r="D614" s="275"/>
      <c r="E614" s="200"/>
      <c r="F614" s="276"/>
      <c r="G614" s="275"/>
      <c r="H614" s="275"/>
      <c r="I614" s="273"/>
      <c r="J614" s="273"/>
      <c r="K614" s="273"/>
      <c r="L614" s="188"/>
      <c r="M614" s="188"/>
      <c r="N614" s="188"/>
      <c r="O614" s="188"/>
    </row>
    <row r="615">
      <c r="A615" s="273"/>
      <c r="B615" s="274"/>
      <c r="C615" s="200"/>
      <c r="D615" s="275"/>
      <c r="E615" s="200"/>
      <c r="F615" s="276"/>
      <c r="G615" s="275"/>
      <c r="H615" s="275"/>
      <c r="I615" s="273"/>
      <c r="J615" s="273"/>
      <c r="K615" s="273"/>
      <c r="L615" s="188"/>
      <c r="M615" s="188"/>
      <c r="N615" s="188"/>
      <c r="O615" s="188"/>
    </row>
    <row r="616">
      <c r="A616" s="273"/>
      <c r="B616" s="274"/>
      <c r="C616" s="200"/>
      <c r="D616" s="275"/>
      <c r="E616" s="200"/>
      <c r="F616" s="276"/>
      <c r="G616" s="275"/>
      <c r="H616" s="275"/>
      <c r="I616" s="273"/>
      <c r="J616" s="273"/>
      <c r="K616" s="273"/>
      <c r="L616" s="188"/>
      <c r="M616" s="188"/>
      <c r="N616" s="188"/>
      <c r="O616" s="188"/>
    </row>
    <row r="617">
      <c r="A617" s="273"/>
      <c r="B617" s="274"/>
      <c r="C617" s="200"/>
      <c r="D617" s="275"/>
      <c r="E617" s="200"/>
      <c r="F617" s="276"/>
      <c r="G617" s="275"/>
      <c r="H617" s="275"/>
      <c r="I617" s="273"/>
      <c r="J617" s="273"/>
      <c r="K617" s="273"/>
      <c r="L617" s="188"/>
      <c r="M617" s="188"/>
      <c r="N617" s="188"/>
      <c r="O617" s="188"/>
    </row>
    <row r="618">
      <c r="A618" s="273"/>
      <c r="B618" s="274"/>
      <c r="C618" s="200"/>
      <c r="D618" s="275"/>
      <c r="E618" s="200"/>
      <c r="F618" s="276"/>
      <c r="G618" s="275"/>
      <c r="H618" s="275"/>
      <c r="I618" s="273"/>
      <c r="J618" s="273"/>
      <c r="K618" s="273"/>
      <c r="L618" s="188"/>
      <c r="M618" s="188"/>
      <c r="N618" s="188"/>
      <c r="O618" s="188"/>
    </row>
    <row r="619">
      <c r="A619" s="273"/>
      <c r="B619" s="274"/>
      <c r="C619" s="200"/>
      <c r="D619" s="275"/>
      <c r="E619" s="200"/>
      <c r="F619" s="276"/>
      <c r="G619" s="275"/>
      <c r="H619" s="275"/>
      <c r="I619" s="273"/>
      <c r="J619" s="273"/>
      <c r="K619" s="273"/>
      <c r="L619" s="188"/>
      <c r="M619" s="188"/>
      <c r="N619" s="188"/>
      <c r="O619" s="188"/>
    </row>
    <row r="620">
      <c r="A620" s="273"/>
      <c r="B620" s="274"/>
      <c r="C620" s="200"/>
      <c r="D620" s="275"/>
      <c r="E620" s="200"/>
      <c r="F620" s="276"/>
      <c r="G620" s="275"/>
      <c r="H620" s="275"/>
      <c r="I620" s="273"/>
      <c r="J620" s="273"/>
      <c r="K620" s="273"/>
      <c r="L620" s="188"/>
      <c r="M620" s="188"/>
      <c r="N620" s="188"/>
      <c r="O620" s="188"/>
    </row>
    <row r="621">
      <c r="A621" s="273"/>
      <c r="B621" s="274"/>
      <c r="C621" s="200"/>
      <c r="D621" s="275"/>
      <c r="E621" s="200"/>
      <c r="F621" s="276"/>
      <c r="G621" s="275"/>
      <c r="H621" s="275"/>
      <c r="I621" s="273"/>
      <c r="J621" s="273"/>
      <c r="K621" s="273"/>
      <c r="L621" s="188"/>
      <c r="M621" s="188"/>
      <c r="N621" s="188"/>
      <c r="O621" s="188"/>
    </row>
    <row r="622">
      <c r="A622" s="273"/>
      <c r="B622" s="274"/>
      <c r="C622" s="200"/>
      <c r="D622" s="275"/>
      <c r="E622" s="200"/>
      <c r="F622" s="276"/>
      <c r="G622" s="275"/>
      <c r="H622" s="275"/>
      <c r="I622" s="273"/>
      <c r="J622" s="273"/>
      <c r="K622" s="273"/>
      <c r="L622" s="188"/>
      <c r="M622" s="188"/>
      <c r="N622" s="188"/>
      <c r="O622" s="188"/>
    </row>
    <row r="623">
      <c r="A623" s="273"/>
      <c r="B623" s="274"/>
      <c r="C623" s="200"/>
      <c r="D623" s="275"/>
      <c r="E623" s="200"/>
      <c r="F623" s="276"/>
      <c r="G623" s="275"/>
      <c r="H623" s="275"/>
      <c r="I623" s="273"/>
      <c r="J623" s="273"/>
      <c r="K623" s="273"/>
      <c r="L623" s="188"/>
      <c r="M623" s="188"/>
      <c r="N623" s="188"/>
      <c r="O623" s="188"/>
    </row>
    <row r="624">
      <c r="A624" s="273"/>
      <c r="B624" s="274"/>
      <c r="C624" s="200"/>
      <c r="D624" s="275"/>
      <c r="E624" s="200"/>
      <c r="F624" s="276"/>
      <c r="G624" s="275"/>
      <c r="H624" s="275"/>
      <c r="I624" s="273"/>
      <c r="J624" s="273"/>
      <c r="K624" s="273"/>
      <c r="L624" s="188"/>
      <c r="M624" s="188"/>
      <c r="N624" s="188"/>
      <c r="O624" s="188"/>
    </row>
    <row r="625">
      <c r="A625" s="273"/>
      <c r="B625" s="274"/>
      <c r="C625" s="200"/>
      <c r="D625" s="275"/>
      <c r="E625" s="200"/>
      <c r="F625" s="276"/>
      <c r="G625" s="275"/>
      <c r="H625" s="275"/>
      <c r="I625" s="273"/>
      <c r="J625" s="273"/>
      <c r="K625" s="273"/>
      <c r="L625" s="188"/>
      <c r="M625" s="188"/>
      <c r="N625" s="188"/>
      <c r="O625" s="188"/>
    </row>
    <row r="626">
      <c r="A626" s="273"/>
      <c r="B626" s="274"/>
      <c r="C626" s="200"/>
      <c r="D626" s="275"/>
      <c r="E626" s="200"/>
      <c r="F626" s="276"/>
      <c r="G626" s="275"/>
      <c r="H626" s="275"/>
      <c r="I626" s="273"/>
      <c r="J626" s="273"/>
      <c r="K626" s="273"/>
      <c r="L626" s="188"/>
      <c r="M626" s="188"/>
      <c r="N626" s="188"/>
      <c r="O626" s="188"/>
    </row>
    <row r="627">
      <c r="A627" s="273"/>
      <c r="B627" s="274"/>
      <c r="C627" s="200"/>
      <c r="D627" s="275"/>
      <c r="E627" s="200"/>
      <c r="F627" s="276"/>
      <c r="G627" s="275"/>
      <c r="H627" s="275"/>
      <c r="I627" s="273"/>
      <c r="J627" s="273"/>
      <c r="K627" s="273"/>
      <c r="L627" s="188"/>
      <c r="M627" s="188"/>
      <c r="N627" s="188"/>
      <c r="O627" s="188"/>
    </row>
    <row r="628">
      <c r="A628" s="273"/>
      <c r="B628" s="274"/>
      <c r="C628" s="200"/>
      <c r="D628" s="275"/>
      <c r="E628" s="200"/>
      <c r="F628" s="276"/>
      <c r="G628" s="275"/>
      <c r="H628" s="275"/>
      <c r="I628" s="273"/>
      <c r="J628" s="273"/>
      <c r="K628" s="273"/>
      <c r="L628" s="188"/>
      <c r="M628" s="188"/>
      <c r="N628" s="188"/>
      <c r="O628" s="188"/>
    </row>
    <row r="629">
      <c r="A629" s="273"/>
      <c r="B629" s="274"/>
      <c r="C629" s="200"/>
      <c r="D629" s="275"/>
      <c r="E629" s="200"/>
      <c r="F629" s="276"/>
      <c r="G629" s="275"/>
      <c r="H629" s="275"/>
      <c r="I629" s="273"/>
      <c r="J629" s="273"/>
      <c r="K629" s="273"/>
      <c r="L629" s="188"/>
      <c r="M629" s="188"/>
      <c r="N629" s="188"/>
      <c r="O629" s="188"/>
    </row>
    <row r="630">
      <c r="A630" s="273"/>
      <c r="B630" s="274"/>
      <c r="C630" s="200"/>
      <c r="D630" s="275"/>
      <c r="E630" s="200"/>
      <c r="F630" s="276"/>
      <c r="G630" s="275"/>
      <c r="H630" s="275"/>
      <c r="I630" s="273"/>
      <c r="J630" s="273"/>
      <c r="K630" s="273"/>
      <c r="L630" s="188"/>
      <c r="M630" s="188"/>
      <c r="N630" s="188"/>
      <c r="O630" s="188"/>
    </row>
    <row r="631">
      <c r="A631" s="273"/>
      <c r="B631" s="274"/>
      <c r="C631" s="200"/>
      <c r="D631" s="275"/>
      <c r="E631" s="200"/>
      <c r="F631" s="276"/>
      <c r="G631" s="275"/>
      <c r="H631" s="275"/>
      <c r="I631" s="273"/>
      <c r="J631" s="273"/>
      <c r="K631" s="273"/>
      <c r="L631" s="188"/>
      <c r="M631" s="188"/>
      <c r="N631" s="188"/>
      <c r="O631" s="188"/>
    </row>
    <row r="632">
      <c r="A632" s="273"/>
      <c r="B632" s="274"/>
      <c r="C632" s="200"/>
      <c r="D632" s="275"/>
      <c r="E632" s="200"/>
      <c r="F632" s="276"/>
      <c r="G632" s="275"/>
      <c r="H632" s="275"/>
      <c r="I632" s="273"/>
      <c r="J632" s="273"/>
      <c r="K632" s="273"/>
      <c r="L632" s="188"/>
      <c r="M632" s="188"/>
      <c r="N632" s="188"/>
      <c r="O632" s="188"/>
    </row>
    <row r="633">
      <c r="A633" s="273"/>
      <c r="B633" s="274"/>
      <c r="C633" s="200"/>
      <c r="D633" s="275"/>
      <c r="E633" s="200"/>
      <c r="F633" s="276"/>
      <c r="G633" s="275"/>
      <c r="H633" s="275"/>
      <c r="I633" s="273"/>
      <c r="J633" s="273"/>
      <c r="K633" s="273"/>
      <c r="L633" s="188"/>
      <c r="M633" s="188"/>
      <c r="N633" s="188"/>
      <c r="O633" s="188"/>
    </row>
    <row r="634">
      <c r="A634" s="273"/>
      <c r="B634" s="274"/>
      <c r="C634" s="200"/>
      <c r="D634" s="275"/>
      <c r="E634" s="200"/>
      <c r="F634" s="276"/>
      <c r="G634" s="275"/>
      <c r="H634" s="275"/>
      <c r="I634" s="273"/>
      <c r="J634" s="273"/>
      <c r="K634" s="273"/>
      <c r="L634" s="188"/>
      <c r="M634" s="188"/>
      <c r="N634" s="188"/>
      <c r="O634" s="188"/>
    </row>
    <row r="635">
      <c r="A635" s="273"/>
      <c r="B635" s="274"/>
      <c r="C635" s="200"/>
      <c r="D635" s="275"/>
      <c r="E635" s="200"/>
      <c r="F635" s="276"/>
      <c r="G635" s="275"/>
      <c r="H635" s="275"/>
      <c r="I635" s="273"/>
      <c r="J635" s="273"/>
      <c r="K635" s="273"/>
      <c r="L635" s="188"/>
      <c r="M635" s="188"/>
      <c r="N635" s="188"/>
      <c r="O635" s="188"/>
    </row>
    <row r="636">
      <c r="A636" s="273"/>
      <c r="B636" s="274"/>
      <c r="C636" s="200"/>
      <c r="D636" s="275"/>
      <c r="E636" s="200"/>
      <c r="F636" s="276"/>
      <c r="G636" s="275"/>
      <c r="H636" s="275"/>
      <c r="I636" s="273"/>
      <c r="J636" s="273"/>
      <c r="K636" s="273"/>
      <c r="L636" s="188"/>
      <c r="M636" s="188"/>
      <c r="N636" s="188"/>
      <c r="O636" s="188"/>
    </row>
    <row r="637">
      <c r="A637" s="273"/>
      <c r="B637" s="274"/>
      <c r="C637" s="200"/>
      <c r="D637" s="275"/>
      <c r="E637" s="200"/>
      <c r="F637" s="276"/>
      <c r="G637" s="275"/>
      <c r="H637" s="275"/>
      <c r="I637" s="273"/>
      <c r="J637" s="273"/>
      <c r="K637" s="273"/>
      <c r="L637" s="188"/>
      <c r="M637" s="188"/>
      <c r="N637" s="188"/>
      <c r="O637" s="188"/>
    </row>
    <row r="638">
      <c r="A638" s="273"/>
      <c r="B638" s="274"/>
      <c r="C638" s="200"/>
      <c r="D638" s="275"/>
      <c r="E638" s="200"/>
      <c r="F638" s="276"/>
      <c r="G638" s="275"/>
      <c r="H638" s="275"/>
      <c r="I638" s="273"/>
      <c r="J638" s="273"/>
      <c r="K638" s="273"/>
      <c r="L638" s="188"/>
      <c r="M638" s="188"/>
      <c r="N638" s="188"/>
      <c r="O638" s="188"/>
    </row>
    <row r="639">
      <c r="A639" s="273"/>
      <c r="B639" s="274"/>
      <c r="C639" s="200"/>
      <c r="D639" s="275"/>
      <c r="E639" s="200"/>
      <c r="F639" s="276"/>
      <c r="G639" s="275"/>
      <c r="H639" s="275"/>
      <c r="I639" s="273"/>
      <c r="J639" s="273"/>
      <c r="K639" s="273"/>
      <c r="L639" s="188"/>
      <c r="M639" s="188"/>
      <c r="N639" s="188"/>
      <c r="O639" s="188"/>
    </row>
    <row r="640">
      <c r="A640" s="273"/>
      <c r="B640" s="274"/>
      <c r="C640" s="200"/>
      <c r="D640" s="275"/>
      <c r="E640" s="200"/>
      <c r="F640" s="276"/>
      <c r="G640" s="275"/>
      <c r="H640" s="275"/>
      <c r="I640" s="273"/>
      <c r="J640" s="273"/>
      <c r="K640" s="273"/>
      <c r="L640" s="188"/>
      <c r="M640" s="188"/>
      <c r="N640" s="188"/>
      <c r="O640" s="188"/>
    </row>
    <row r="641">
      <c r="A641" s="273"/>
      <c r="B641" s="274"/>
      <c r="C641" s="200"/>
      <c r="D641" s="275"/>
      <c r="E641" s="200"/>
      <c r="F641" s="276"/>
      <c r="G641" s="275"/>
      <c r="H641" s="275"/>
      <c r="I641" s="273"/>
      <c r="J641" s="273"/>
      <c r="K641" s="273"/>
      <c r="L641" s="188"/>
      <c r="M641" s="188"/>
      <c r="N641" s="188"/>
      <c r="O641" s="188"/>
    </row>
    <row r="642">
      <c r="A642" s="273"/>
      <c r="B642" s="274"/>
      <c r="C642" s="200"/>
      <c r="D642" s="275"/>
      <c r="E642" s="200"/>
      <c r="F642" s="276"/>
      <c r="G642" s="275"/>
      <c r="H642" s="275"/>
      <c r="I642" s="273"/>
      <c r="J642" s="273"/>
      <c r="K642" s="273"/>
      <c r="L642" s="188"/>
      <c r="M642" s="188"/>
      <c r="N642" s="188"/>
      <c r="O642" s="188"/>
    </row>
    <row r="643">
      <c r="A643" s="273"/>
      <c r="B643" s="274"/>
      <c r="C643" s="200"/>
      <c r="D643" s="275"/>
      <c r="E643" s="200"/>
      <c r="F643" s="276"/>
      <c r="G643" s="275"/>
      <c r="H643" s="275"/>
      <c r="I643" s="273"/>
      <c r="J643" s="273"/>
      <c r="K643" s="273"/>
      <c r="L643" s="188"/>
      <c r="M643" s="188"/>
      <c r="N643" s="188"/>
      <c r="O643" s="188"/>
    </row>
    <row r="644">
      <c r="A644" s="273"/>
      <c r="B644" s="274"/>
      <c r="C644" s="200"/>
      <c r="D644" s="275"/>
      <c r="E644" s="200"/>
      <c r="F644" s="276"/>
      <c r="G644" s="275"/>
      <c r="H644" s="275"/>
      <c r="I644" s="273"/>
      <c r="J644" s="273"/>
      <c r="K644" s="273"/>
      <c r="L644" s="188"/>
      <c r="M644" s="188"/>
      <c r="N644" s="188"/>
      <c r="O644" s="188"/>
    </row>
    <row r="645">
      <c r="A645" s="273"/>
      <c r="B645" s="274"/>
      <c r="C645" s="200"/>
      <c r="D645" s="275"/>
      <c r="E645" s="200"/>
      <c r="F645" s="276"/>
      <c r="G645" s="275"/>
      <c r="H645" s="275"/>
      <c r="I645" s="273"/>
      <c r="J645" s="273"/>
      <c r="K645" s="273"/>
      <c r="L645" s="188"/>
      <c r="M645" s="188"/>
      <c r="N645" s="188"/>
      <c r="O645" s="188"/>
    </row>
    <row r="646">
      <c r="A646" s="273"/>
      <c r="B646" s="274"/>
      <c r="C646" s="200"/>
      <c r="D646" s="275"/>
      <c r="E646" s="200"/>
      <c r="F646" s="276"/>
      <c r="G646" s="275"/>
      <c r="H646" s="275"/>
      <c r="I646" s="273"/>
      <c r="J646" s="273"/>
      <c r="K646" s="273"/>
      <c r="L646" s="188"/>
      <c r="M646" s="188"/>
      <c r="N646" s="188"/>
      <c r="O646" s="188"/>
    </row>
    <row r="647">
      <c r="A647" s="273"/>
      <c r="B647" s="274"/>
      <c r="C647" s="200"/>
      <c r="D647" s="275"/>
      <c r="E647" s="200"/>
      <c r="F647" s="276"/>
      <c r="G647" s="275"/>
      <c r="H647" s="275"/>
      <c r="I647" s="273"/>
      <c r="J647" s="273"/>
      <c r="K647" s="273"/>
      <c r="L647" s="188"/>
      <c r="M647" s="188"/>
      <c r="N647" s="188"/>
      <c r="O647" s="188"/>
    </row>
    <row r="648">
      <c r="A648" s="273"/>
      <c r="B648" s="274"/>
      <c r="C648" s="200"/>
      <c r="D648" s="275"/>
      <c r="E648" s="200"/>
      <c r="F648" s="276"/>
      <c r="G648" s="275"/>
      <c r="H648" s="275"/>
      <c r="I648" s="273"/>
      <c r="J648" s="273"/>
      <c r="K648" s="273"/>
      <c r="L648" s="188"/>
      <c r="M648" s="188"/>
      <c r="N648" s="188"/>
      <c r="O648" s="188"/>
    </row>
    <row r="649">
      <c r="A649" s="273"/>
      <c r="B649" s="274"/>
      <c r="C649" s="200"/>
      <c r="D649" s="275"/>
      <c r="E649" s="200"/>
      <c r="F649" s="276"/>
      <c r="G649" s="275"/>
      <c r="H649" s="275"/>
      <c r="I649" s="273"/>
      <c r="J649" s="273"/>
      <c r="K649" s="273"/>
      <c r="L649" s="188"/>
      <c r="M649" s="188"/>
      <c r="N649" s="188"/>
      <c r="O649" s="188"/>
    </row>
    <row r="650">
      <c r="A650" s="273"/>
      <c r="B650" s="274"/>
      <c r="C650" s="200"/>
      <c r="D650" s="275"/>
      <c r="E650" s="200"/>
      <c r="F650" s="276"/>
      <c r="G650" s="275"/>
      <c r="H650" s="275"/>
      <c r="I650" s="273"/>
      <c r="J650" s="273"/>
      <c r="K650" s="273"/>
      <c r="L650" s="188"/>
      <c r="M650" s="188"/>
      <c r="N650" s="188"/>
      <c r="O650" s="188"/>
    </row>
    <row r="651">
      <c r="A651" s="273"/>
      <c r="B651" s="274"/>
      <c r="C651" s="200"/>
      <c r="D651" s="275"/>
      <c r="E651" s="200"/>
      <c r="F651" s="276"/>
      <c r="G651" s="275"/>
      <c r="H651" s="275"/>
      <c r="I651" s="273"/>
      <c r="J651" s="273"/>
      <c r="K651" s="273"/>
      <c r="L651" s="188"/>
      <c r="M651" s="188"/>
      <c r="N651" s="188"/>
      <c r="O651" s="188"/>
    </row>
    <row r="652">
      <c r="A652" s="273"/>
      <c r="B652" s="274"/>
      <c r="C652" s="200"/>
      <c r="D652" s="275"/>
      <c r="E652" s="200"/>
      <c r="F652" s="276"/>
      <c r="G652" s="275"/>
      <c r="H652" s="275"/>
      <c r="I652" s="273"/>
      <c r="J652" s="273"/>
      <c r="K652" s="273"/>
      <c r="L652" s="188"/>
      <c r="M652" s="188"/>
      <c r="N652" s="188"/>
      <c r="O652" s="188"/>
    </row>
    <row r="653">
      <c r="A653" s="273"/>
      <c r="B653" s="274"/>
      <c r="C653" s="200"/>
      <c r="D653" s="275"/>
      <c r="E653" s="200"/>
      <c r="F653" s="276"/>
      <c r="G653" s="275"/>
      <c r="H653" s="275"/>
      <c r="I653" s="273"/>
      <c r="J653" s="273"/>
      <c r="K653" s="273"/>
      <c r="L653" s="188"/>
      <c r="M653" s="188"/>
      <c r="N653" s="188"/>
      <c r="O653" s="188"/>
    </row>
    <row r="654">
      <c r="A654" s="273"/>
      <c r="B654" s="274"/>
      <c r="C654" s="200"/>
      <c r="D654" s="275"/>
      <c r="E654" s="200"/>
      <c r="F654" s="276"/>
      <c r="G654" s="275"/>
      <c r="H654" s="275"/>
      <c r="I654" s="273"/>
      <c r="J654" s="273"/>
      <c r="K654" s="273"/>
      <c r="L654" s="188"/>
      <c r="M654" s="188"/>
      <c r="N654" s="188"/>
      <c r="O654" s="188"/>
    </row>
    <row r="655">
      <c r="A655" s="273"/>
      <c r="B655" s="274"/>
      <c r="C655" s="200"/>
      <c r="D655" s="275"/>
      <c r="E655" s="200"/>
      <c r="F655" s="276"/>
      <c r="G655" s="275"/>
      <c r="H655" s="275"/>
      <c r="I655" s="273"/>
      <c r="J655" s="273"/>
      <c r="K655" s="273"/>
      <c r="L655" s="188"/>
      <c r="M655" s="188"/>
      <c r="N655" s="188"/>
      <c r="O655" s="188"/>
    </row>
    <row r="656">
      <c r="A656" s="273"/>
      <c r="B656" s="274"/>
      <c r="C656" s="200"/>
      <c r="D656" s="275"/>
      <c r="E656" s="200"/>
      <c r="F656" s="276"/>
      <c r="G656" s="275"/>
      <c r="H656" s="275"/>
      <c r="I656" s="273"/>
      <c r="J656" s="273"/>
      <c r="K656" s="273"/>
      <c r="L656" s="188"/>
      <c r="M656" s="188"/>
      <c r="N656" s="188"/>
      <c r="O656" s="188"/>
    </row>
    <row r="657">
      <c r="A657" s="273"/>
      <c r="B657" s="274"/>
      <c r="C657" s="200"/>
      <c r="D657" s="275"/>
      <c r="E657" s="200"/>
      <c r="F657" s="276"/>
      <c r="G657" s="275"/>
      <c r="H657" s="275"/>
      <c r="I657" s="273"/>
      <c r="J657" s="273"/>
      <c r="K657" s="273"/>
      <c r="L657" s="188"/>
      <c r="M657" s="188"/>
      <c r="N657" s="188"/>
      <c r="O657" s="188"/>
    </row>
    <row r="658">
      <c r="A658" s="273"/>
      <c r="B658" s="274"/>
      <c r="C658" s="200"/>
      <c r="D658" s="275"/>
      <c r="E658" s="200"/>
      <c r="F658" s="276"/>
      <c r="G658" s="275"/>
      <c r="H658" s="275"/>
      <c r="I658" s="273"/>
      <c r="J658" s="273"/>
      <c r="K658" s="273"/>
      <c r="L658" s="188"/>
      <c r="M658" s="188"/>
      <c r="N658" s="188"/>
      <c r="O658" s="188"/>
    </row>
    <row r="659">
      <c r="A659" s="273"/>
      <c r="B659" s="274"/>
      <c r="C659" s="200"/>
      <c r="D659" s="275"/>
      <c r="E659" s="200"/>
      <c r="F659" s="276"/>
      <c r="G659" s="275"/>
      <c r="H659" s="275"/>
      <c r="I659" s="273"/>
      <c r="J659" s="273"/>
      <c r="K659" s="273"/>
      <c r="L659" s="188"/>
      <c r="M659" s="188"/>
      <c r="N659" s="188"/>
      <c r="O659" s="188"/>
    </row>
    <row r="660">
      <c r="A660" s="273"/>
      <c r="B660" s="274"/>
      <c r="C660" s="200"/>
      <c r="D660" s="275"/>
      <c r="E660" s="200"/>
      <c r="F660" s="276"/>
      <c r="G660" s="275"/>
      <c r="H660" s="275"/>
      <c r="I660" s="273"/>
      <c r="J660" s="273"/>
      <c r="K660" s="273"/>
      <c r="L660" s="188"/>
      <c r="M660" s="188"/>
      <c r="N660" s="188"/>
      <c r="O660" s="188"/>
    </row>
    <row r="661">
      <c r="A661" s="273"/>
      <c r="B661" s="274"/>
      <c r="C661" s="200"/>
      <c r="D661" s="275"/>
      <c r="E661" s="200"/>
      <c r="F661" s="276"/>
      <c r="G661" s="275"/>
      <c r="H661" s="275"/>
      <c r="I661" s="273"/>
      <c r="J661" s="273"/>
      <c r="K661" s="273"/>
      <c r="L661" s="188"/>
      <c r="M661" s="188"/>
      <c r="N661" s="188"/>
      <c r="O661" s="188"/>
    </row>
    <row r="662">
      <c r="A662" s="273"/>
      <c r="B662" s="274"/>
      <c r="C662" s="200"/>
      <c r="D662" s="275"/>
      <c r="E662" s="200"/>
      <c r="F662" s="276"/>
      <c r="G662" s="275"/>
      <c r="H662" s="275"/>
      <c r="I662" s="273"/>
      <c r="J662" s="273"/>
      <c r="K662" s="273"/>
      <c r="L662" s="188"/>
      <c r="M662" s="188"/>
      <c r="N662" s="188"/>
      <c r="O662" s="188"/>
    </row>
    <row r="663">
      <c r="A663" s="273"/>
      <c r="B663" s="274"/>
      <c r="C663" s="200"/>
      <c r="D663" s="275"/>
      <c r="E663" s="200"/>
      <c r="F663" s="276"/>
      <c r="G663" s="275"/>
      <c r="H663" s="275"/>
      <c r="I663" s="273"/>
      <c r="J663" s="273"/>
      <c r="K663" s="273"/>
      <c r="L663" s="188"/>
      <c r="M663" s="188"/>
      <c r="N663" s="188"/>
      <c r="O663" s="188"/>
    </row>
    <row r="664">
      <c r="A664" s="273"/>
      <c r="B664" s="274"/>
      <c r="C664" s="200"/>
      <c r="D664" s="275"/>
      <c r="E664" s="200"/>
      <c r="F664" s="276"/>
      <c r="G664" s="275"/>
      <c r="H664" s="275"/>
      <c r="I664" s="273"/>
      <c r="J664" s="273"/>
      <c r="K664" s="273"/>
      <c r="L664" s="188"/>
      <c r="M664" s="188"/>
      <c r="N664" s="188"/>
      <c r="O664" s="188"/>
    </row>
    <row r="665">
      <c r="A665" s="273"/>
      <c r="B665" s="274"/>
      <c r="C665" s="200"/>
      <c r="D665" s="275"/>
      <c r="E665" s="200"/>
      <c r="F665" s="276"/>
      <c r="G665" s="275"/>
      <c r="H665" s="275"/>
      <c r="I665" s="273"/>
      <c r="J665" s="273"/>
      <c r="K665" s="273"/>
      <c r="L665" s="188"/>
      <c r="M665" s="188"/>
      <c r="N665" s="188"/>
      <c r="O665" s="188"/>
    </row>
    <row r="666">
      <c r="A666" s="273"/>
      <c r="B666" s="274"/>
      <c r="C666" s="200"/>
      <c r="D666" s="275"/>
      <c r="E666" s="200"/>
      <c r="F666" s="276"/>
      <c r="G666" s="275"/>
      <c r="H666" s="275"/>
      <c r="I666" s="273"/>
      <c r="J666" s="273"/>
      <c r="K666" s="273"/>
      <c r="L666" s="188"/>
      <c r="M666" s="188"/>
      <c r="N666" s="188"/>
      <c r="O666" s="188"/>
    </row>
    <row r="667">
      <c r="A667" s="273"/>
      <c r="B667" s="274"/>
      <c r="C667" s="200"/>
      <c r="D667" s="275"/>
      <c r="E667" s="200"/>
      <c r="F667" s="276"/>
      <c r="G667" s="275"/>
      <c r="H667" s="275"/>
      <c r="I667" s="273"/>
      <c r="J667" s="273"/>
      <c r="K667" s="273"/>
      <c r="L667" s="188"/>
      <c r="M667" s="188"/>
      <c r="N667" s="188"/>
      <c r="O667" s="188"/>
    </row>
    <row r="668">
      <c r="A668" s="273"/>
      <c r="B668" s="274"/>
      <c r="C668" s="200"/>
      <c r="D668" s="275"/>
      <c r="E668" s="200"/>
      <c r="F668" s="276"/>
      <c r="G668" s="275"/>
      <c r="H668" s="275"/>
      <c r="I668" s="273"/>
      <c r="J668" s="273"/>
      <c r="K668" s="273"/>
      <c r="L668" s="188"/>
      <c r="M668" s="188"/>
      <c r="N668" s="188"/>
      <c r="O668" s="188"/>
    </row>
    <row r="669">
      <c r="A669" s="273"/>
      <c r="B669" s="274"/>
      <c r="C669" s="200"/>
      <c r="D669" s="275"/>
      <c r="E669" s="200"/>
      <c r="F669" s="276"/>
      <c r="G669" s="275"/>
      <c r="H669" s="275"/>
      <c r="I669" s="273"/>
      <c r="J669" s="273"/>
      <c r="K669" s="273"/>
      <c r="L669" s="188"/>
      <c r="M669" s="188"/>
      <c r="N669" s="188"/>
      <c r="O669" s="188"/>
    </row>
    <row r="670">
      <c r="A670" s="273"/>
      <c r="B670" s="274"/>
      <c r="C670" s="200"/>
      <c r="D670" s="275"/>
      <c r="E670" s="200"/>
      <c r="F670" s="276"/>
      <c r="G670" s="275"/>
      <c r="H670" s="275"/>
      <c r="I670" s="273"/>
      <c r="J670" s="273"/>
      <c r="K670" s="273"/>
      <c r="L670" s="188"/>
      <c r="M670" s="188"/>
      <c r="N670" s="188"/>
      <c r="O670" s="188"/>
    </row>
    <row r="671">
      <c r="A671" s="273"/>
      <c r="B671" s="274"/>
      <c r="C671" s="200"/>
      <c r="D671" s="275"/>
      <c r="E671" s="200"/>
      <c r="F671" s="276"/>
      <c r="G671" s="275"/>
      <c r="H671" s="275"/>
      <c r="I671" s="273"/>
      <c r="J671" s="273"/>
      <c r="K671" s="273"/>
      <c r="L671" s="188"/>
      <c r="M671" s="188"/>
      <c r="N671" s="188"/>
      <c r="O671" s="188"/>
    </row>
    <row r="672">
      <c r="A672" s="273"/>
      <c r="B672" s="274"/>
      <c r="C672" s="200"/>
      <c r="D672" s="275"/>
      <c r="E672" s="200"/>
      <c r="F672" s="276"/>
      <c r="G672" s="275"/>
      <c r="H672" s="275"/>
      <c r="I672" s="273"/>
      <c r="J672" s="273"/>
      <c r="K672" s="273"/>
      <c r="L672" s="188"/>
      <c r="M672" s="188"/>
      <c r="N672" s="188"/>
      <c r="O672" s="188"/>
    </row>
    <row r="673">
      <c r="A673" s="273"/>
      <c r="B673" s="274"/>
      <c r="C673" s="200"/>
      <c r="D673" s="275"/>
      <c r="E673" s="200"/>
      <c r="F673" s="276"/>
      <c r="G673" s="275"/>
      <c r="H673" s="275"/>
      <c r="I673" s="273"/>
      <c r="J673" s="273"/>
      <c r="K673" s="273"/>
      <c r="L673" s="188"/>
      <c r="M673" s="188"/>
      <c r="N673" s="188"/>
      <c r="O673" s="188"/>
    </row>
    <row r="674">
      <c r="A674" s="273"/>
      <c r="B674" s="274"/>
      <c r="C674" s="200"/>
      <c r="D674" s="275"/>
      <c r="E674" s="200"/>
      <c r="F674" s="276"/>
      <c r="G674" s="275"/>
      <c r="H674" s="275"/>
      <c r="I674" s="273"/>
      <c r="J674" s="273"/>
      <c r="K674" s="273"/>
      <c r="L674" s="188"/>
      <c r="M674" s="188"/>
      <c r="N674" s="188"/>
      <c r="O674" s="188"/>
    </row>
    <row r="675">
      <c r="A675" s="273"/>
      <c r="B675" s="274"/>
      <c r="C675" s="200"/>
      <c r="D675" s="275"/>
      <c r="E675" s="200"/>
      <c r="F675" s="276"/>
      <c r="G675" s="275"/>
      <c r="H675" s="275"/>
      <c r="I675" s="273"/>
      <c r="J675" s="273"/>
      <c r="K675" s="273"/>
      <c r="L675" s="188"/>
      <c r="M675" s="188"/>
      <c r="N675" s="188"/>
      <c r="O675" s="188"/>
    </row>
    <row r="676">
      <c r="A676" s="273"/>
      <c r="B676" s="274"/>
      <c r="C676" s="200"/>
      <c r="D676" s="275"/>
      <c r="E676" s="200"/>
      <c r="F676" s="276"/>
      <c r="G676" s="275"/>
      <c r="H676" s="275"/>
      <c r="I676" s="273"/>
      <c r="J676" s="273"/>
      <c r="K676" s="273"/>
      <c r="L676" s="188"/>
      <c r="M676" s="188"/>
      <c r="N676" s="188"/>
      <c r="O676" s="188"/>
    </row>
    <row r="677">
      <c r="A677" s="273"/>
      <c r="B677" s="274"/>
      <c r="C677" s="200"/>
      <c r="D677" s="275"/>
      <c r="E677" s="200"/>
      <c r="F677" s="276"/>
      <c r="G677" s="275"/>
      <c r="H677" s="275"/>
      <c r="I677" s="273"/>
      <c r="J677" s="273"/>
      <c r="K677" s="273"/>
      <c r="L677" s="188"/>
      <c r="M677" s="188"/>
      <c r="N677" s="188"/>
      <c r="O677" s="188"/>
    </row>
    <row r="678">
      <c r="A678" s="273"/>
      <c r="B678" s="274"/>
      <c r="C678" s="200"/>
      <c r="D678" s="275"/>
      <c r="E678" s="200"/>
      <c r="F678" s="276"/>
      <c r="G678" s="275"/>
      <c r="H678" s="275"/>
      <c r="I678" s="273"/>
      <c r="J678" s="273"/>
      <c r="K678" s="273"/>
      <c r="L678" s="188"/>
      <c r="M678" s="188"/>
      <c r="N678" s="188"/>
      <c r="O678" s="188"/>
    </row>
    <row r="679">
      <c r="A679" s="273"/>
      <c r="B679" s="274"/>
      <c r="C679" s="200"/>
      <c r="D679" s="275"/>
      <c r="E679" s="200"/>
      <c r="F679" s="276"/>
      <c r="G679" s="275"/>
      <c r="H679" s="275"/>
      <c r="I679" s="273"/>
      <c r="J679" s="273"/>
      <c r="K679" s="273"/>
      <c r="L679" s="188"/>
      <c r="M679" s="188"/>
      <c r="N679" s="188"/>
      <c r="O679" s="188"/>
    </row>
    <row r="680">
      <c r="A680" s="273"/>
      <c r="B680" s="274"/>
      <c r="C680" s="200"/>
      <c r="D680" s="275"/>
      <c r="E680" s="200"/>
      <c r="F680" s="276"/>
      <c r="G680" s="275"/>
      <c r="H680" s="275"/>
      <c r="I680" s="273"/>
      <c r="J680" s="273"/>
      <c r="K680" s="273"/>
      <c r="L680" s="188"/>
      <c r="M680" s="188"/>
      <c r="N680" s="188"/>
      <c r="O680" s="188"/>
    </row>
    <row r="681">
      <c r="A681" s="273"/>
      <c r="B681" s="274"/>
      <c r="C681" s="200"/>
      <c r="D681" s="275"/>
      <c r="E681" s="200"/>
      <c r="F681" s="276"/>
      <c r="G681" s="275"/>
      <c r="H681" s="275"/>
      <c r="I681" s="273"/>
      <c r="J681" s="273"/>
      <c r="K681" s="273"/>
      <c r="L681" s="188"/>
      <c r="M681" s="188"/>
      <c r="N681" s="188"/>
      <c r="O681" s="188"/>
    </row>
    <row r="682">
      <c r="A682" s="273"/>
      <c r="B682" s="274"/>
      <c r="C682" s="200"/>
      <c r="D682" s="275"/>
      <c r="E682" s="200"/>
      <c r="F682" s="276"/>
      <c r="G682" s="275"/>
      <c r="H682" s="275"/>
      <c r="I682" s="273"/>
      <c r="J682" s="273"/>
      <c r="K682" s="273"/>
      <c r="L682" s="188"/>
      <c r="M682" s="188"/>
      <c r="N682" s="188"/>
      <c r="O682" s="188"/>
    </row>
    <row r="683">
      <c r="A683" s="273"/>
      <c r="B683" s="274"/>
      <c r="C683" s="200"/>
      <c r="D683" s="275"/>
      <c r="E683" s="200"/>
      <c r="F683" s="276"/>
      <c r="G683" s="275"/>
      <c r="H683" s="275"/>
      <c r="I683" s="273"/>
      <c r="J683" s="273"/>
      <c r="K683" s="273"/>
      <c r="L683" s="188"/>
      <c r="M683" s="188"/>
      <c r="N683" s="188"/>
      <c r="O683" s="188"/>
    </row>
    <row r="684">
      <c r="A684" s="273"/>
      <c r="B684" s="274"/>
      <c r="C684" s="200"/>
      <c r="D684" s="275"/>
      <c r="E684" s="200"/>
      <c r="F684" s="276"/>
      <c r="G684" s="275"/>
      <c r="H684" s="275"/>
      <c r="I684" s="273"/>
      <c r="J684" s="273"/>
      <c r="K684" s="273"/>
      <c r="L684" s="188"/>
      <c r="M684" s="188"/>
      <c r="N684" s="188"/>
      <c r="O684" s="188"/>
    </row>
    <row r="685">
      <c r="A685" s="273"/>
      <c r="B685" s="274"/>
      <c r="C685" s="200"/>
      <c r="D685" s="275"/>
      <c r="E685" s="200"/>
      <c r="F685" s="276"/>
      <c r="G685" s="275"/>
      <c r="H685" s="275"/>
      <c r="I685" s="273"/>
      <c r="J685" s="273"/>
      <c r="K685" s="273"/>
      <c r="L685" s="188"/>
      <c r="M685" s="188"/>
      <c r="N685" s="188"/>
      <c r="O685" s="188"/>
    </row>
    <row r="686">
      <c r="A686" s="273"/>
      <c r="B686" s="274"/>
      <c r="C686" s="200"/>
      <c r="D686" s="275"/>
      <c r="E686" s="200"/>
      <c r="F686" s="276"/>
      <c r="G686" s="275"/>
      <c r="H686" s="275"/>
      <c r="I686" s="273"/>
      <c r="J686" s="273"/>
      <c r="K686" s="273"/>
      <c r="L686" s="188"/>
      <c r="M686" s="188"/>
      <c r="N686" s="188"/>
      <c r="O686" s="188"/>
    </row>
    <row r="687">
      <c r="A687" s="273"/>
      <c r="B687" s="274"/>
      <c r="C687" s="200"/>
      <c r="D687" s="275"/>
      <c r="E687" s="200"/>
      <c r="F687" s="276"/>
      <c r="G687" s="275"/>
      <c r="H687" s="275"/>
      <c r="I687" s="273"/>
      <c r="J687" s="273"/>
      <c r="K687" s="273"/>
      <c r="L687" s="188"/>
      <c r="M687" s="188"/>
      <c r="N687" s="188"/>
      <c r="O687" s="188"/>
    </row>
    <row r="688">
      <c r="A688" s="273"/>
      <c r="B688" s="274"/>
      <c r="C688" s="200"/>
      <c r="D688" s="275"/>
      <c r="E688" s="200"/>
      <c r="F688" s="276"/>
      <c r="G688" s="275"/>
      <c r="H688" s="275"/>
      <c r="I688" s="273"/>
      <c r="J688" s="273"/>
      <c r="K688" s="273"/>
      <c r="L688" s="188"/>
      <c r="M688" s="188"/>
      <c r="N688" s="188"/>
      <c r="O688" s="188"/>
    </row>
    <row r="689">
      <c r="A689" s="273"/>
      <c r="B689" s="274"/>
      <c r="C689" s="200"/>
      <c r="D689" s="275"/>
      <c r="E689" s="200"/>
      <c r="F689" s="276"/>
      <c r="G689" s="275"/>
      <c r="H689" s="275"/>
      <c r="I689" s="273"/>
      <c r="J689" s="273"/>
      <c r="K689" s="273"/>
      <c r="L689" s="188"/>
      <c r="M689" s="188"/>
      <c r="N689" s="188"/>
      <c r="O689" s="188"/>
    </row>
    <row r="690">
      <c r="A690" s="273"/>
      <c r="B690" s="274"/>
      <c r="C690" s="200"/>
      <c r="D690" s="275"/>
      <c r="E690" s="200"/>
      <c r="F690" s="276"/>
      <c r="G690" s="275"/>
      <c r="H690" s="275"/>
      <c r="I690" s="273"/>
      <c r="J690" s="273"/>
      <c r="K690" s="273"/>
      <c r="L690" s="188"/>
      <c r="M690" s="188"/>
      <c r="N690" s="188"/>
      <c r="O690" s="188"/>
    </row>
    <row r="691">
      <c r="A691" s="273"/>
      <c r="B691" s="274"/>
      <c r="C691" s="200"/>
      <c r="D691" s="275"/>
      <c r="E691" s="200"/>
      <c r="F691" s="276"/>
      <c r="G691" s="275"/>
      <c r="H691" s="275"/>
      <c r="I691" s="273"/>
      <c r="J691" s="273"/>
      <c r="K691" s="273"/>
      <c r="L691" s="188"/>
      <c r="M691" s="188"/>
      <c r="N691" s="188"/>
      <c r="O691" s="188"/>
    </row>
    <row r="692">
      <c r="A692" s="273"/>
      <c r="B692" s="274"/>
      <c r="C692" s="200"/>
      <c r="D692" s="275"/>
      <c r="E692" s="200"/>
      <c r="F692" s="276"/>
      <c r="G692" s="275"/>
      <c r="H692" s="275"/>
      <c r="I692" s="273"/>
      <c r="J692" s="273"/>
      <c r="K692" s="273"/>
      <c r="L692" s="188"/>
      <c r="M692" s="188"/>
      <c r="N692" s="188"/>
      <c r="O692" s="188"/>
    </row>
    <row r="693">
      <c r="A693" s="273"/>
      <c r="B693" s="274"/>
      <c r="C693" s="200"/>
      <c r="D693" s="275"/>
      <c r="E693" s="200"/>
      <c r="F693" s="276"/>
      <c r="G693" s="275"/>
      <c r="H693" s="275"/>
      <c r="I693" s="273"/>
      <c r="J693" s="273"/>
      <c r="K693" s="273"/>
      <c r="L693" s="188"/>
      <c r="M693" s="188"/>
      <c r="N693" s="188"/>
      <c r="O693" s="188"/>
    </row>
    <row r="694">
      <c r="A694" s="273"/>
      <c r="B694" s="274"/>
      <c r="C694" s="200"/>
      <c r="D694" s="275"/>
      <c r="E694" s="200"/>
      <c r="F694" s="276"/>
      <c r="G694" s="275"/>
      <c r="H694" s="275"/>
      <c r="I694" s="273"/>
      <c r="J694" s="273"/>
      <c r="K694" s="273"/>
      <c r="L694" s="188"/>
      <c r="M694" s="188"/>
      <c r="N694" s="188"/>
      <c r="O694" s="188"/>
    </row>
    <row r="695">
      <c r="A695" s="273"/>
      <c r="B695" s="274"/>
      <c r="C695" s="200"/>
      <c r="D695" s="275"/>
      <c r="E695" s="200"/>
      <c r="F695" s="276"/>
      <c r="G695" s="275"/>
      <c r="H695" s="275"/>
      <c r="I695" s="273"/>
      <c r="J695" s="273"/>
      <c r="K695" s="273"/>
      <c r="L695" s="188"/>
      <c r="M695" s="188"/>
      <c r="N695" s="188"/>
      <c r="O695" s="188"/>
    </row>
    <row r="696">
      <c r="A696" s="273"/>
      <c r="B696" s="274"/>
      <c r="C696" s="200"/>
      <c r="D696" s="275"/>
      <c r="E696" s="200"/>
      <c r="F696" s="276"/>
      <c r="G696" s="275"/>
      <c r="H696" s="275"/>
      <c r="I696" s="273"/>
      <c r="J696" s="273"/>
      <c r="K696" s="273"/>
      <c r="L696" s="188"/>
      <c r="M696" s="188"/>
      <c r="N696" s="188"/>
      <c r="O696" s="188"/>
    </row>
    <row r="697">
      <c r="A697" s="273"/>
      <c r="B697" s="274"/>
      <c r="C697" s="200"/>
      <c r="D697" s="275"/>
      <c r="E697" s="200"/>
      <c r="F697" s="276"/>
      <c r="G697" s="275"/>
      <c r="H697" s="275"/>
      <c r="I697" s="273"/>
      <c r="J697" s="273"/>
      <c r="K697" s="273"/>
      <c r="L697" s="188"/>
      <c r="M697" s="188"/>
      <c r="N697" s="188"/>
      <c r="O697" s="188"/>
    </row>
    <row r="698">
      <c r="A698" s="273"/>
      <c r="B698" s="274"/>
      <c r="C698" s="200"/>
      <c r="D698" s="275"/>
      <c r="E698" s="200"/>
      <c r="F698" s="276"/>
      <c r="G698" s="275"/>
      <c r="H698" s="275"/>
      <c r="I698" s="273"/>
      <c r="J698" s="273"/>
      <c r="K698" s="273"/>
      <c r="L698" s="188"/>
      <c r="M698" s="188"/>
      <c r="N698" s="188"/>
      <c r="O698" s="188"/>
    </row>
    <row r="699">
      <c r="A699" s="273"/>
      <c r="B699" s="274"/>
      <c r="C699" s="200"/>
      <c r="D699" s="275"/>
      <c r="E699" s="200"/>
      <c r="F699" s="276"/>
      <c r="G699" s="275"/>
      <c r="H699" s="275"/>
      <c r="I699" s="273"/>
      <c r="J699" s="273"/>
      <c r="K699" s="273"/>
      <c r="L699" s="188"/>
      <c r="M699" s="188"/>
      <c r="N699" s="188"/>
      <c r="O699" s="188"/>
    </row>
    <row r="700">
      <c r="A700" s="273"/>
      <c r="B700" s="274"/>
      <c r="C700" s="200"/>
      <c r="D700" s="275"/>
      <c r="E700" s="200"/>
      <c r="F700" s="276"/>
      <c r="G700" s="275"/>
      <c r="H700" s="275"/>
      <c r="I700" s="273"/>
      <c r="J700" s="273"/>
      <c r="K700" s="273"/>
      <c r="L700" s="188"/>
      <c r="M700" s="188"/>
      <c r="N700" s="188"/>
      <c r="O700" s="188"/>
    </row>
    <row r="701">
      <c r="A701" s="273"/>
      <c r="B701" s="274"/>
      <c r="C701" s="200"/>
      <c r="D701" s="275"/>
      <c r="E701" s="200"/>
      <c r="F701" s="276"/>
      <c r="G701" s="275"/>
      <c r="H701" s="275"/>
      <c r="I701" s="273"/>
      <c r="J701" s="273"/>
      <c r="K701" s="273"/>
      <c r="L701" s="188"/>
      <c r="M701" s="188"/>
      <c r="N701" s="188"/>
      <c r="O701" s="188"/>
    </row>
    <row r="702">
      <c r="A702" s="273"/>
      <c r="B702" s="274"/>
      <c r="C702" s="200"/>
      <c r="D702" s="275"/>
      <c r="E702" s="200"/>
      <c r="F702" s="276"/>
      <c r="G702" s="275"/>
      <c r="H702" s="275"/>
      <c r="I702" s="273"/>
      <c r="J702" s="273"/>
      <c r="K702" s="273"/>
      <c r="L702" s="188"/>
      <c r="M702" s="188"/>
      <c r="N702" s="188"/>
      <c r="O702" s="188"/>
    </row>
    <row r="703">
      <c r="A703" s="273"/>
      <c r="B703" s="274"/>
      <c r="C703" s="200"/>
      <c r="D703" s="275"/>
      <c r="E703" s="200"/>
      <c r="F703" s="276"/>
      <c r="G703" s="275"/>
      <c r="H703" s="275"/>
      <c r="I703" s="273"/>
      <c r="J703" s="273"/>
      <c r="K703" s="273"/>
      <c r="L703" s="188"/>
      <c r="M703" s="188"/>
      <c r="N703" s="188"/>
      <c r="O703" s="188"/>
    </row>
    <row r="704">
      <c r="A704" s="273"/>
      <c r="B704" s="274"/>
      <c r="C704" s="200"/>
      <c r="D704" s="275"/>
      <c r="E704" s="200"/>
      <c r="F704" s="276"/>
      <c r="G704" s="275"/>
      <c r="H704" s="275"/>
      <c r="I704" s="273"/>
      <c r="J704" s="273"/>
      <c r="K704" s="273"/>
      <c r="L704" s="188"/>
      <c r="M704" s="188"/>
      <c r="N704" s="188"/>
      <c r="O704" s="188"/>
    </row>
    <row r="705">
      <c r="A705" s="273"/>
      <c r="B705" s="274"/>
      <c r="C705" s="200"/>
      <c r="D705" s="275"/>
      <c r="E705" s="200"/>
      <c r="F705" s="276"/>
      <c r="G705" s="275"/>
      <c r="H705" s="275"/>
      <c r="I705" s="273"/>
      <c r="J705" s="273"/>
      <c r="K705" s="273"/>
      <c r="L705" s="188"/>
      <c r="M705" s="188"/>
      <c r="N705" s="188"/>
      <c r="O705" s="188"/>
    </row>
    <row r="706">
      <c r="A706" s="273"/>
      <c r="B706" s="274"/>
      <c r="C706" s="200"/>
      <c r="D706" s="275"/>
      <c r="E706" s="200"/>
      <c r="F706" s="276"/>
      <c r="G706" s="275"/>
      <c r="H706" s="275"/>
      <c r="I706" s="273"/>
      <c r="J706" s="273"/>
      <c r="K706" s="273"/>
      <c r="L706" s="188"/>
      <c r="M706" s="188"/>
      <c r="N706" s="188"/>
      <c r="O706" s="188"/>
    </row>
    <row r="707">
      <c r="A707" s="273"/>
      <c r="B707" s="274"/>
      <c r="C707" s="200"/>
      <c r="D707" s="275"/>
      <c r="E707" s="200"/>
      <c r="F707" s="276"/>
      <c r="G707" s="275"/>
      <c r="H707" s="275"/>
      <c r="I707" s="273"/>
      <c r="J707" s="273"/>
      <c r="K707" s="273"/>
      <c r="L707" s="188"/>
      <c r="M707" s="188"/>
      <c r="N707" s="188"/>
      <c r="O707" s="188"/>
    </row>
    <row r="708">
      <c r="A708" s="273"/>
      <c r="B708" s="274"/>
      <c r="C708" s="200"/>
      <c r="D708" s="275"/>
      <c r="E708" s="200"/>
      <c r="F708" s="276"/>
      <c r="G708" s="275"/>
      <c r="H708" s="275"/>
      <c r="I708" s="273"/>
      <c r="J708" s="273"/>
      <c r="K708" s="273"/>
      <c r="L708" s="188"/>
      <c r="M708" s="188"/>
      <c r="N708" s="188"/>
      <c r="O708" s="188"/>
    </row>
    <row r="709">
      <c r="A709" s="273"/>
      <c r="B709" s="274"/>
      <c r="C709" s="200"/>
      <c r="D709" s="275"/>
      <c r="E709" s="200"/>
      <c r="F709" s="276"/>
      <c r="G709" s="275"/>
      <c r="H709" s="275"/>
      <c r="I709" s="273"/>
      <c r="J709" s="273"/>
      <c r="K709" s="273"/>
      <c r="L709" s="188"/>
      <c r="M709" s="188"/>
      <c r="N709" s="188"/>
      <c r="O709" s="188"/>
    </row>
    <row r="710">
      <c r="A710" s="273"/>
      <c r="B710" s="274"/>
      <c r="C710" s="200"/>
      <c r="D710" s="275"/>
      <c r="E710" s="200"/>
      <c r="F710" s="276"/>
      <c r="G710" s="275"/>
      <c r="H710" s="275"/>
      <c r="I710" s="273"/>
      <c r="J710" s="273"/>
      <c r="K710" s="273"/>
      <c r="L710" s="188"/>
      <c r="M710" s="188"/>
      <c r="N710" s="188"/>
      <c r="O710" s="188"/>
    </row>
    <row r="711">
      <c r="A711" s="273"/>
      <c r="B711" s="274"/>
      <c r="C711" s="200"/>
      <c r="D711" s="275"/>
      <c r="E711" s="200"/>
      <c r="F711" s="276"/>
      <c r="G711" s="275"/>
      <c r="H711" s="275"/>
      <c r="I711" s="273"/>
      <c r="J711" s="273"/>
      <c r="K711" s="273"/>
      <c r="L711" s="188"/>
      <c r="M711" s="188"/>
      <c r="N711" s="188"/>
      <c r="O711" s="188"/>
    </row>
    <row r="712">
      <c r="A712" s="273"/>
      <c r="B712" s="274"/>
      <c r="C712" s="200"/>
      <c r="D712" s="275"/>
      <c r="E712" s="200"/>
      <c r="F712" s="276"/>
      <c r="G712" s="275"/>
      <c r="H712" s="275"/>
      <c r="I712" s="273"/>
      <c r="J712" s="273"/>
      <c r="K712" s="273"/>
      <c r="L712" s="188"/>
      <c r="M712" s="188"/>
      <c r="N712" s="188"/>
      <c r="O712" s="188"/>
    </row>
    <row r="713">
      <c r="A713" s="273"/>
      <c r="B713" s="274"/>
      <c r="C713" s="200"/>
      <c r="D713" s="275"/>
      <c r="E713" s="200"/>
      <c r="F713" s="276"/>
      <c r="G713" s="275"/>
      <c r="H713" s="275"/>
      <c r="I713" s="273"/>
      <c r="J713" s="273"/>
      <c r="K713" s="273"/>
      <c r="L713" s="188"/>
      <c r="M713" s="188"/>
      <c r="N713" s="188"/>
      <c r="O713" s="188"/>
    </row>
    <row r="714">
      <c r="A714" s="273"/>
      <c r="B714" s="274"/>
      <c r="C714" s="200"/>
      <c r="D714" s="275"/>
      <c r="E714" s="200"/>
      <c r="F714" s="276"/>
      <c r="G714" s="275"/>
      <c r="H714" s="275"/>
      <c r="I714" s="273"/>
      <c r="J714" s="273"/>
      <c r="K714" s="273"/>
      <c r="L714" s="188"/>
      <c r="M714" s="188"/>
      <c r="N714" s="188"/>
      <c r="O714" s="188"/>
    </row>
    <row r="715">
      <c r="A715" s="273"/>
      <c r="B715" s="274"/>
      <c r="C715" s="200"/>
      <c r="D715" s="275"/>
      <c r="E715" s="200"/>
      <c r="F715" s="276"/>
      <c r="G715" s="275"/>
      <c r="H715" s="275"/>
      <c r="I715" s="273"/>
      <c r="J715" s="273"/>
      <c r="K715" s="273"/>
      <c r="L715" s="188"/>
      <c r="M715" s="188"/>
      <c r="N715" s="188"/>
      <c r="O715" s="188"/>
    </row>
    <row r="716">
      <c r="A716" s="273"/>
      <c r="B716" s="274"/>
      <c r="C716" s="200"/>
      <c r="D716" s="275"/>
      <c r="E716" s="200"/>
      <c r="F716" s="276"/>
      <c r="G716" s="275"/>
      <c r="H716" s="275"/>
      <c r="I716" s="273"/>
      <c r="J716" s="273"/>
      <c r="K716" s="273"/>
      <c r="L716" s="188"/>
      <c r="M716" s="188"/>
      <c r="N716" s="188"/>
      <c r="O716" s="188"/>
    </row>
    <row r="717">
      <c r="A717" s="273"/>
      <c r="B717" s="274"/>
      <c r="C717" s="200"/>
      <c r="D717" s="275"/>
      <c r="E717" s="200"/>
      <c r="F717" s="276"/>
      <c r="G717" s="275"/>
      <c r="H717" s="275"/>
      <c r="I717" s="273"/>
      <c r="J717" s="273"/>
      <c r="K717" s="273"/>
      <c r="L717" s="188"/>
      <c r="M717" s="188"/>
      <c r="N717" s="188"/>
      <c r="O717" s="188"/>
    </row>
    <row r="718">
      <c r="A718" s="273"/>
      <c r="B718" s="274"/>
      <c r="C718" s="200"/>
      <c r="D718" s="275"/>
      <c r="E718" s="200"/>
      <c r="F718" s="276"/>
      <c r="G718" s="275"/>
      <c r="H718" s="275"/>
      <c r="I718" s="273"/>
      <c r="J718" s="273"/>
      <c r="K718" s="273"/>
      <c r="L718" s="188"/>
      <c r="M718" s="188"/>
      <c r="N718" s="188"/>
      <c r="O718" s="188"/>
    </row>
    <row r="719">
      <c r="A719" s="273"/>
      <c r="B719" s="274"/>
      <c r="C719" s="200"/>
      <c r="D719" s="275"/>
      <c r="E719" s="200"/>
      <c r="F719" s="276"/>
      <c r="G719" s="275"/>
      <c r="H719" s="275"/>
      <c r="I719" s="273"/>
      <c r="J719" s="273"/>
      <c r="K719" s="273"/>
      <c r="L719" s="188"/>
      <c r="M719" s="188"/>
      <c r="N719" s="188"/>
      <c r="O719" s="188"/>
    </row>
    <row r="720">
      <c r="A720" s="273"/>
      <c r="B720" s="274"/>
      <c r="C720" s="200"/>
      <c r="D720" s="275"/>
      <c r="E720" s="200"/>
      <c r="F720" s="276"/>
      <c r="G720" s="275"/>
      <c r="H720" s="275"/>
      <c r="I720" s="273"/>
      <c r="J720" s="273"/>
      <c r="K720" s="273"/>
      <c r="L720" s="188"/>
      <c r="M720" s="188"/>
      <c r="N720" s="188"/>
      <c r="O720" s="188"/>
    </row>
    <row r="721">
      <c r="A721" s="273"/>
      <c r="B721" s="274"/>
      <c r="C721" s="200"/>
      <c r="D721" s="275"/>
      <c r="E721" s="200"/>
      <c r="F721" s="276"/>
      <c r="G721" s="275"/>
      <c r="H721" s="275"/>
      <c r="I721" s="273"/>
      <c r="J721" s="273"/>
      <c r="K721" s="273"/>
      <c r="L721" s="188"/>
      <c r="M721" s="188"/>
      <c r="N721" s="188"/>
      <c r="O721" s="188"/>
    </row>
    <row r="722">
      <c r="A722" s="273"/>
      <c r="B722" s="274"/>
      <c r="C722" s="200"/>
      <c r="D722" s="275"/>
      <c r="E722" s="200"/>
      <c r="F722" s="276"/>
      <c r="G722" s="275"/>
      <c r="H722" s="275"/>
      <c r="I722" s="273"/>
      <c r="J722" s="273"/>
      <c r="K722" s="273"/>
      <c r="L722" s="188"/>
      <c r="M722" s="188"/>
      <c r="N722" s="188"/>
      <c r="O722" s="188"/>
    </row>
    <row r="723">
      <c r="A723" s="273"/>
      <c r="B723" s="274"/>
      <c r="C723" s="200"/>
      <c r="D723" s="275"/>
      <c r="E723" s="200"/>
      <c r="F723" s="276"/>
      <c r="G723" s="275"/>
      <c r="H723" s="275"/>
      <c r="I723" s="273"/>
      <c r="J723" s="273"/>
      <c r="K723" s="273"/>
      <c r="L723" s="188"/>
      <c r="M723" s="188"/>
      <c r="N723" s="188"/>
      <c r="O723" s="188"/>
    </row>
    <row r="724">
      <c r="A724" s="273"/>
      <c r="B724" s="274"/>
      <c r="C724" s="200"/>
      <c r="D724" s="275"/>
      <c r="E724" s="200"/>
      <c r="F724" s="276"/>
      <c r="G724" s="275"/>
      <c r="H724" s="275"/>
      <c r="I724" s="273"/>
      <c r="J724" s="273"/>
      <c r="K724" s="273"/>
      <c r="L724" s="188"/>
      <c r="M724" s="188"/>
      <c r="N724" s="188"/>
      <c r="O724" s="188"/>
    </row>
    <row r="725">
      <c r="A725" s="273"/>
      <c r="B725" s="274"/>
      <c r="C725" s="200"/>
      <c r="D725" s="275"/>
      <c r="E725" s="200"/>
      <c r="F725" s="276"/>
      <c r="G725" s="275"/>
      <c r="H725" s="275"/>
      <c r="I725" s="273"/>
      <c r="J725" s="273"/>
      <c r="K725" s="273"/>
      <c r="L725" s="188"/>
      <c r="M725" s="188"/>
      <c r="N725" s="188"/>
      <c r="O725" s="188"/>
    </row>
    <row r="726">
      <c r="A726" s="273"/>
      <c r="B726" s="274"/>
      <c r="C726" s="200"/>
      <c r="D726" s="275"/>
      <c r="E726" s="200"/>
      <c r="F726" s="276"/>
      <c r="G726" s="275"/>
      <c r="H726" s="275"/>
      <c r="I726" s="273"/>
      <c r="J726" s="273"/>
      <c r="K726" s="273"/>
      <c r="L726" s="188"/>
      <c r="M726" s="188"/>
      <c r="N726" s="188"/>
      <c r="O726" s="188"/>
    </row>
    <row r="727">
      <c r="A727" s="273"/>
      <c r="B727" s="274"/>
      <c r="C727" s="200"/>
      <c r="D727" s="275"/>
      <c r="E727" s="200"/>
      <c r="F727" s="276"/>
      <c r="G727" s="275"/>
      <c r="H727" s="275"/>
      <c r="I727" s="273"/>
      <c r="J727" s="273"/>
      <c r="K727" s="273"/>
      <c r="L727" s="188"/>
      <c r="M727" s="188"/>
      <c r="N727" s="188"/>
      <c r="O727" s="188"/>
    </row>
    <row r="728">
      <c r="A728" s="273"/>
      <c r="B728" s="274"/>
      <c r="C728" s="200"/>
      <c r="D728" s="275"/>
      <c r="E728" s="200"/>
      <c r="F728" s="276"/>
      <c r="G728" s="275"/>
      <c r="H728" s="275"/>
      <c r="I728" s="273"/>
      <c r="J728" s="273"/>
      <c r="K728" s="273"/>
      <c r="L728" s="188"/>
      <c r="M728" s="188"/>
      <c r="N728" s="188"/>
      <c r="O728" s="188"/>
    </row>
    <row r="729">
      <c r="A729" s="273"/>
      <c r="B729" s="274"/>
      <c r="C729" s="200"/>
      <c r="D729" s="275"/>
      <c r="E729" s="200"/>
      <c r="F729" s="276"/>
      <c r="G729" s="275"/>
      <c r="H729" s="275"/>
      <c r="I729" s="273"/>
      <c r="J729" s="273"/>
      <c r="K729" s="273"/>
      <c r="L729" s="188"/>
      <c r="M729" s="188"/>
      <c r="N729" s="188"/>
      <c r="O729" s="188"/>
    </row>
    <row r="730">
      <c r="A730" s="273"/>
      <c r="B730" s="274"/>
      <c r="C730" s="200"/>
      <c r="D730" s="275"/>
      <c r="E730" s="200"/>
      <c r="F730" s="276"/>
      <c r="G730" s="275"/>
      <c r="H730" s="275"/>
      <c r="I730" s="273"/>
      <c r="J730" s="273"/>
      <c r="K730" s="273"/>
      <c r="L730" s="188"/>
      <c r="M730" s="188"/>
      <c r="N730" s="188"/>
      <c r="O730" s="188"/>
    </row>
    <row r="731">
      <c r="A731" s="273"/>
      <c r="B731" s="274"/>
      <c r="C731" s="200"/>
      <c r="D731" s="275"/>
      <c r="E731" s="200"/>
      <c r="F731" s="276"/>
      <c r="G731" s="275"/>
      <c r="H731" s="275"/>
      <c r="I731" s="273"/>
      <c r="J731" s="273"/>
      <c r="K731" s="273"/>
      <c r="L731" s="188"/>
      <c r="M731" s="188"/>
      <c r="N731" s="188"/>
      <c r="O731" s="188"/>
    </row>
    <row r="732">
      <c r="A732" s="273"/>
      <c r="B732" s="274"/>
      <c r="C732" s="200"/>
      <c r="D732" s="275"/>
      <c r="E732" s="200"/>
      <c r="F732" s="276"/>
      <c r="G732" s="275"/>
      <c r="H732" s="275"/>
      <c r="I732" s="273"/>
      <c r="J732" s="273"/>
      <c r="K732" s="273"/>
      <c r="L732" s="188"/>
      <c r="M732" s="188"/>
      <c r="N732" s="188"/>
      <c r="O732" s="188"/>
    </row>
    <row r="733">
      <c r="A733" s="273"/>
      <c r="B733" s="274"/>
      <c r="C733" s="200"/>
      <c r="D733" s="275"/>
      <c r="E733" s="200"/>
      <c r="F733" s="276"/>
      <c r="G733" s="275"/>
      <c r="H733" s="275"/>
      <c r="I733" s="273"/>
      <c r="J733" s="273"/>
      <c r="K733" s="273"/>
      <c r="L733" s="188"/>
      <c r="M733" s="188"/>
      <c r="N733" s="188"/>
      <c r="O733" s="188"/>
    </row>
    <row r="734">
      <c r="A734" s="273"/>
      <c r="B734" s="274"/>
      <c r="C734" s="200"/>
      <c r="D734" s="275"/>
      <c r="E734" s="200"/>
      <c r="F734" s="276"/>
      <c r="G734" s="275"/>
      <c r="H734" s="275"/>
      <c r="I734" s="273"/>
      <c r="J734" s="273"/>
      <c r="K734" s="273"/>
      <c r="L734" s="188"/>
      <c r="M734" s="188"/>
      <c r="N734" s="188"/>
      <c r="O734" s="188"/>
    </row>
    <row r="735">
      <c r="A735" s="273"/>
      <c r="B735" s="274"/>
      <c r="C735" s="200"/>
      <c r="D735" s="275"/>
      <c r="E735" s="200"/>
      <c r="F735" s="276"/>
      <c r="G735" s="275"/>
      <c r="H735" s="275"/>
      <c r="I735" s="273"/>
      <c r="J735" s="273"/>
      <c r="K735" s="273"/>
      <c r="L735" s="188"/>
      <c r="M735" s="188"/>
      <c r="N735" s="188"/>
      <c r="O735" s="188"/>
    </row>
    <row r="736">
      <c r="A736" s="273"/>
      <c r="B736" s="274"/>
      <c r="C736" s="200"/>
      <c r="D736" s="275"/>
      <c r="E736" s="200"/>
      <c r="F736" s="276"/>
      <c r="G736" s="275"/>
      <c r="H736" s="275"/>
      <c r="I736" s="273"/>
      <c r="J736" s="273"/>
      <c r="K736" s="273"/>
      <c r="L736" s="188"/>
      <c r="M736" s="188"/>
      <c r="N736" s="188"/>
      <c r="O736" s="188"/>
    </row>
    <row r="737">
      <c r="A737" s="273"/>
      <c r="B737" s="274"/>
      <c r="C737" s="200"/>
      <c r="D737" s="275"/>
      <c r="E737" s="200"/>
      <c r="F737" s="276"/>
      <c r="G737" s="275"/>
      <c r="H737" s="275"/>
      <c r="I737" s="273"/>
      <c r="J737" s="273"/>
      <c r="K737" s="273"/>
      <c r="L737" s="188"/>
      <c r="M737" s="188"/>
      <c r="N737" s="188"/>
      <c r="O737" s="188"/>
    </row>
    <row r="738">
      <c r="A738" s="273"/>
      <c r="B738" s="274"/>
      <c r="C738" s="200"/>
      <c r="D738" s="275"/>
      <c r="E738" s="200"/>
      <c r="F738" s="276"/>
      <c r="G738" s="275"/>
      <c r="H738" s="275"/>
      <c r="I738" s="273"/>
      <c r="J738" s="273"/>
      <c r="K738" s="273"/>
      <c r="L738" s="188"/>
      <c r="M738" s="188"/>
      <c r="N738" s="188"/>
      <c r="O738" s="188"/>
    </row>
    <row r="739">
      <c r="A739" s="273"/>
      <c r="B739" s="274"/>
      <c r="C739" s="200"/>
      <c r="D739" s="275"/>
      <c r="E739" s="200"/>
      <c r="F739" s="276"/>
      <c r="G739" s="275"/>
      <c r="H739" s="275"/>
      <c r="I739" s="273"/>
      <c r="J739" s="273"/>
      <c r="K739" s="273"/>
      <c r="L739" s="188"/>
      <c r="M739" s="188"/>
      <c r="N739" s="188"/>
      <c r="O739" s="188"/>
    </row>
    <row r="740">
      <c r="A740" s="273"/>
      <c r="B740" s="274"/>
      <c r="C740" s="200"/>
      <c r="D740" s="275"/>
      <c r="E740" s="200"/>
      <c r="F740" s="276"/>
      <c r="G740" s="275"/>
      <c r="H740" s="275"/>
      <c r="I740" s="273"/>
      <c r="J740" s="273"/>
      <c r="K740" s="273"/>
      <c r="L740" s="188"/>
      <c r="M740" s="188"/>
      <c r="N740" s="188"/>
      <c r="O740" s="188"/>
    </row>
    <row r="741">
      <c r="A741" s="273"/>
      <c r="B741" s="274"/>
      <c r="C741" s="200"/>
      <c r="D741" s="275"/>
      <c r="E741" s="200"/>
      <c r="F741" s="276"/>
      <c r="G741" s="275"/>
      <c r="H741" s="275"/>
      <c r="I741" s="273"/>
      <c r="J741" s="273"/>
      <c r="K741" s="273"/>
      <c r="L741" s="188"/>
      <c r="M741" s="188"/>
      <c r="N741" s="188"/>
      <c r="O741" s="188"/>
    </row>
    <row r="742">
      <c r="A742" s="273"/>
      <c r="B742" s="274"/>
      <c r="C742" s="200"/>
      <c r="D742" s="275"/>
      <c r="E742" s="200"/>
      <c r="F742" s="276"/>
      <c r="G742" s="275"/>
      <c r="H742" s="275"/>
      <c r="I742" s="273"/>
      <c r="J742" s="273"/>
      <c r="K742" s="273"/>
      <c r="L742" s="188"/>
      <c r="M742" s="188"/>
      <c r="N742" s="188"/>
      <c r="O742" s="188"/>
    </row>
    <row r="743">
      <c r="A743" s="273"/>
      <c r="B743" s="274"/>
      <c r="C743" s="200"/>
      <c r="D743" s="275"/>
      <c r="E743" s="200"/>
      <c r="F743" s="276"/>
      <c r="G743" s="275"/>
      <c r="H743" s="275"/>
      <c r="I743" s="273"/>
      <c r="J743" s="273"/>
      <c r="K743" s="273"/>
      <c r="L743" s="188"/>
      <c r="M743" s="188"/>
      <c r="N743" s="188"/>
      <c r="O743" s="188"/>
    </row>
    <row r="744">
      <c r="A744" s="273"/>
      <c r="B744" s="274"/>
      <c r="C744" s="200"/>
      <c r="D744" s="275"/>
      <c r="E744" s="200"/>
      <c r="F744" s="276"/>
      <c r="G744" s="275"/>
      <c r="H744" s="275"/>
      <c r="I744" s="273"/>
      <c r="J744" s="273"/>
      <c r="K744" s="273"/>
      <c r="L744" s="188"/>
      <c r="M744" s="188"/>
      <c r="N744" s="188"/>
      <c r="O744" s="188"/>
    </row>
    <row r="745">
      <c r="A745" s="273"/>
      <c r="B745" s="274"/>
      <c r="C745" s="200"/>
      <c r="D745" s="275"/>
      <c r="E745" s="200"/>
      <c r="F745" s="276"/>
      <c r="G745" s="275"/>
      <c r="H745" s="275"/>
      <c r="I745" s="273"/>
      <c r="J745" s="273"/>
      <c r="K745" s="273"/>
      <c r="L745" s="188"/>
      <c r="M745" s="188"/>
      <c r="N745" s="188"/>
      <c r="O745" s="188"/>
    </row>
    <row r="746">
      <c r="A746" s="273"/>
      <c r="B746" s="274"/>
      <c r="C746" s="200"/>
      <c r="D746" s="275"/>
      <c r="E746" s="200"/>
      <c r="F746" s="276"/>
      <c r="G746" s="275"/>
      <c r="H746" s="275"/>
      <c r="I746" s="273"/>
      <c r="J746" s="273"/>
      <c r="K746" s="273"/>
      <c r="L746" s="188"/>
      <c r="M746" s="188"/>
      <c r="N746" s="188"/>
      <c r="O746" s="188"/>
    </row>
    <row r="747">
      <c r="A747" s="273"/>
      <c r="B747" s="274"/>
      <c r="C747" s="200"/>
      <c r="D747" s="275"/>
      <c r="E747" s="200"/>
      <c r="F747" s="276"/>
      <c r="G747" s="275"/>
      <c r="H747" s="275"/>
      <c r="I747" s="273"/>
      <c r="J747" s="273"/>
      <c r="K747" s="273"/>
      <c r="L747" s="188"/>
      <c r="M747" s="188"/>
      <c r="N747" s="188"/>
      <c r="O747" s="188"/>
    </row>
    <row r="748">
      <c r="A748" s="273"/>
      <c r="B748" s="274"/>
      <c r="C748" s="200"/>
      <c r="D748" s="275"/>
      <c r="E748" s="200"/>
      <c r="F748" s="276"/>
      <c r="G748" s="275"/>
      <c r="H748" s="275"/>
      <c r="I748" s="273"/>
      <c r="J748" s="273"/>
      <c r="K748" s="273"/>
      <c r="L748" s="188"/>
      <c r="M748" s="188"/>
      <c r="N748" s="188"/>
      <c r="O748" s="188"/>
    </row>
    <row r="749">
      <c r="A749" s="273"/>
      <c r="B749" s="274"/>
      <c r="C749" s="200"/>
      <c r="D749" s="275"/>
      <c r="E749" s="200"/>
      <c r="F749" s="276"/>
      <c r="G749" s="275"/>
      <c r="H749" s="275"/>
      <c r="I749" s="273"/>
      <c r="J749" s="273"/>
      <c r="K749" s="273"/>
      <c r="L749" s="188"/>
      <c r="M749" s="188"/>
      <c r="N749" s="188"/>
      <c r="O749" s="188"/>
    </row>
    <row r="750">
      <c r="A750" s="273"/>
      <c r="B750" s="274"/>
      <c r="C750" s="200"/>
      <c r="D750" s="275"/>
      <c r="E750" s="200"/>
      <c r="F750" s="276"/>
      <c r="G750" s="275"/>
      <c r="H750" s="275"/>
      <c r="I750" s="273"/>
      <c r="J750" s="273"/>
      <c r="K750" s="273"/>
      <c r="L750" s="188"/>
      <c r="M750" s="188"/>
      <c r="N750" s="188"/>
      <c r="O750" s="188"/>
    </row>
    <row r="751">
      <c r="A751" s="273"/>
      <c r="B751" s="274"/>
      <c r="C751" s="200"/>
      <c r="D751" s="275"/>
      <c r="E751" s="200"/>
      <c r="F751" s="276"/>
      <c r="G751" s="275"/>
      <c r="H751" s="275"/>
      <c r="I751" s="273"/>
      <c r="J751" s="273"/>
      <c r="K751" s="273"/>
      <c r="L751" s="188"/>
      <c r="M751" s="188"/>
      <c r="N751" s="188"/>
      <c r="O751" s="188"/>
    </row>
    <row r="752">
      <c r="A752" s="273"/>
      <c r="B752" s="274"/>
      <c r="C752" s="200"/>
      <c r="D752" s="275"/>
      <c r="E752" s="200"/>
      <c r="F752" s="276"/>
      <c r="G752" s="275"/>
      <c r="H752" s="275"/>
      <c r="I752" s="273"/>
      <c r="J752" s="273"/>
      <c r="K752" s="273"/>
      <c r="L752" s="188"/>
      <c r="M752" s="188"/>
      <c r="N752" s="188"/>
      <c r="O752" s="188"/>
    </row>
    <row r="753">
      <c r="A753" s="273"/>
      <c r="B753" s="274"/>
      <c r="C753" s="200"/>
      <c r="D753" s="275"/>
      <c r="E753" s="200"/>
      <c r="F753" s="276"/>
      <c r="G753" s="275"/>
      <c r="H753" s="275"/>
      <c r="I753" s="273"/>
      <c r="J753" s="273"/>
      <c r="K753" s="273"/>
      <c r="L753" s="188"/>
      <c r="M753" s="188"/>
      <c r="N753" s="188"/>
      <c r="O753" s="188"/>
    </row>
    <row r="754">
      <c r="A754" s="273"/>
      <c r="B754" s="274"/>
      <c r="C754" s="200"/>
      <c r="D754" s="275"/>
      <c r="E754" s="200"/>
      <c r="F754" s="276"/>
      <c r="G754" s="275"/>
      <c r="H754" s="275"/>
      <c r="I754" s="273"/>
      <c r="J754" s="273"/>
      <c r="K754" s="273"/>
      <c r="L754" s="188"/>
      <c r="M754" s="188"/>
      <c r="N754" s="188"/>
      <c r="O754" s="188"/>
    </row>
    <row r="755">
      <c r="A755" s="273"/>
      <c r="B755" s="274"/>
      <c r="C755" s="200"/>
      <c r="D755" s="275"/>
      <c r="E755" s="200"/>
      <c r="F755" s="276"/>
      <c r="G755" s="275"/>
      <c r="H755" s="275"/>
      <c r="I755" s="273"/>
      <c r="J755" s="273"/>
      <c r="K755" s="273"/>
      <c r="L755" s="188"/>
      <c r="M755" s="188"/>
      <c r="N755" s="188"/>
      <c r="O755" s="188"/>
    </row>
    <row r="756">
      <c r="A756" s="273"/>
      <c r="B756" s="274"/>
      <c r="C756" s="200"/>
      <c r="D756" s="275"/>
      <c r="E756" s="200"/>
      <c r="F756" s="276"/>
      <c r="G756" s="275"/>
      <c r="H756" s="275"/>
      <c r="I756" s="273"/>
      <c r="J756" s="273"/>
      <c r="K756" s="273"/>
      <c r="L756" s="188"/>
      <c r="M756" s="188"/>
      <c r="N756" s="188"/>
      <c r="O756" s="188"/>
    </row>
    <row r="757">
      <c r="A757" s="273"/>
      <c r="B757" s="274"/>
      <c r="C757" s="200"/>
      <c r="D757" s="275"/>
      <c r="E757" s="200"/>
      <c r="F757" s="276"/>
      <c r="G757" s="275"/>
      <c r="H757" s="275"/>
      <c r="I757" s="273"/>
      <c r="J757" s="273"/>
      <c r="K757" s="273"/>
      <c r="L757" s="188"/>
      <c r="M757" s="188"/>
      <c r="N757" s="188"/>
      <c r="O757" s="188"/>
    </row>
    <row r="758">
      <c r="A758" s="273"/>
      <c r="B758" s="274"/>
      <c r="C758" s="200"/>
      <c r="D758" s="275"/>
      <c r="E758" s="200"/>
      <c r="F758" s="276"/>
      <c r="G758" s="275"/>
      <c r="H758" s="275"/>
      <c r="I758" s="273"/>
      <c r="J758" s="273"/>
      <c r="K758" s="273"/>
      <c r="L758" s="188"/>
      <c r="M758" s="188"/>
      <c r="N758" s="188"/>
      <c r="O758" s="188"/>
    </row>
    <row r="759">
      <c r="A759" s="273"/>
      <c r="B759" s="274"/>
      <c r="C759" s="200"/>
      <c r="D759" s="275"/>
      <c r="E759" s="200"/>
      <c r="F759" s="276"/>
      <c r="G759" s="275"/>
      <c r="H759" s="275"/>
      <c r="I759" s="273"/>
      <c r="J759" s="273"/>
      <c r="K759" s="273"/>
      <c r="L759" s="188"/>
      <c r="M759" s="188"/>
      <c r="N759" s="188"/>
      <c r="O759" s="188"/>
    </row>
    <row r="760">
      <c r="A760" s="273"/>
      <c r="B760" s="274"/>
      <c r="C760" s="200"/>
      <c r="D760" s="275"/>
      <c r="E760" s="200"/>
      <c r="F760" s="276"/>
      <c r="G760" s="275"/>
      <c r="H760" s="275"/>
      <c r="I760" s="273"/>
      <c r="J760" s="273"/>
      <c r="K760" s="273"/>
      <c r="L760" s="188"/>
      <c r="M760" s="188"/>
      <c r="N760" s="188"/>
      <c r="O760" s="188"/>
    </row>
    <row r="761">
      <c r="A761" s="273"/>
      <c r="B761" s="274"/>
      <c r="C761" s="200"/>
      <c r="D761" s="275"/>
      <c r="E761" s="200"/>
      <c r="F761" s="276"/>
      <c r="G761" s="275"/>
      <c r="H761" s="275"/>
      <c r="I761" s="273"/>
      <c r="J761" s="273"/>
      <c r="K761" s="273"/>
      <c r="L761" s="188"/>
      <c r="M761" s="188"/>
      <c r="N761" s="188"/>
      <c r="O761" s="188"/>
    </row>
    <row r="762">
      <c r="A762" s="273"/>
      <c r="B762" s="274"/>
      <c r="C762" s="200"/>
      <c r="D762" s="275"/>
      <c r="E762" s="200"/>
      <c r="F762" s="276"/>
      <c r="G762" s="275"/>
      <c r="H762" s="275"/>
      <c r="I762" s="273"/>
      <c r="J762" s="273"/>
      <c r="K762" s="273"/>
      <c r="L762" s="188"/>
      <c r="M762" s="188"/>
      <c r="N762" s="188"/>
      <c r="O762" s="188"/>
    </row>
    <row r="763">
      <c r="A763" s="273"/>
      <c r="B763" s="274"/>
      <c r="C763" s="200"/>
      <c r="D763" s="275"/>
      <c r="E763" s="200"/>
      <c r="F763" s="276"/>
      <c r="G763" s="275"/>
      <c r="H763" s="275"/>
      <c r="I763" s="273"/>
      <c r="J763" s="273"/>
      <c r="K763" s="273"/>
      <c r="L763" s="188"/>
      <c r="M763" s="188"/>
      <c r="N763" s="188"/>
      <c r="O763" s="188"/>
    </row>
    <row r="764">
      <c r="A764" s="273"/>
      <c r="B764" s="274"/>
      <c r="C764" s="200"/>
      <c r="D764" s="275"/>
      <c r="E764" s="200"/>
      <c r="F764" s="276"/>
      <c r="G764" s="275"/>
      <c r="H764" s="275"/>
      <c r="I764" s="273"/>
      <c r="J764" s="273"/>
      <c r="K764" s="273"/>
      <c r="L764" s="188"/>
      <c r="M764" s="188"/>
      <c r="N764" s="188"/>
      <c r="O764" s="188"/>
    </row>
    <row r="765">
      <c r="A765" s="273"/>
      <c r="B765" s="274"/>
      <c r="C765" s="200"/>
      <c r="D765" s="275"/>
      <c r="E765" s="200"/>
      <c r="F765" s="276"/>
      <c r="G765" s="275"/>
      <c r="H765" s="275"/>
      <c r="I765" s="273"/>
      <c r="J765" s="273"/>
      <c r="K765" s="273"/>
      <c r="L765" s="188"/>
      <c r="M765" s="188"/>
      <c r="N765" s="188"/>
      <c r="O765" s="188"/>
    </row>
    <row r="766">
      <c r="A766" s="273"/>
      <c r="B766" s="274"/>
      <c r="C766" s="200"/>
      <c r="D766" s="275"/>
      <c r="E766" s="200"/>
      <c r="F766" s="276"/>
      <c r="G766" s="275"/>
      <c r="H766" s="275"/>
      <c r="I766" s="273"/>
      <c r="J766" s="273"/>
      <c r="K766" s="273"/>
      <c r="L766" s="188"/>
      <c r="M766" s="188"/>
      <c r="N766" s="188"/>
      <c r="O766" s="188"/>
    </row>
    <row r="767">
      <c r="A767" s="273"/>
      <c r="B767" s="274"/>
      <c r="C767" s="200"/>
      <c r="D767" s="275"/>
      <c r="E767" s="200"/>
      <c r="F767" s="276"/>
      <c r="G767" s="275"/>
      <c r="H767" s="275"/>
      <c r="I767" s="273"/>
      <c r="J767" s="273"/>
      <c r="K767" s="273"/>
      <c r="L767" s="188"/>
      <c r="M767" s="188"/>
      <c r="N767" s="188"/>
      <c r="O767" s="188"/>
    </row>
    <row r="768">
      <c r="A768" s="273"/>
      <c r="B768" s="274"/>
      <c r="C768" s="200"/>
      <c r="D768" s="275"/>
      <c r="E768" s="200"/>
      <c r="F768" s="276"/>
      <c r="G768" s="275"/>
      <c r="H768" s="275"/>
      <c r="I768" s="273"/>
      <c r="J768" s="273"/>
      <c r="K768" s="273"/>
      <c r="L768" s="188"/>
      <c r="M768" s="188"/>
      <c r="N768" s="188"/>
      <c r="O768" s="188"/>
    </row>
    <row r="769">
      <c r="A769" s="273"/>
      <c r="B769" s="274"/>
      <c r="C769" s="200"/>
      <c r="D769" s="275"/>
      <c r="E769" s="200"/>
      <c r="F769" s="276"/>
      <c r="G769" s="275"/>
      <c r="H769" s="275"/>
      <c r="I769" s="273"/>
      <c r="J769" s="273"/>
      <c r="K769" s="273"/>
      <c r="L769" s="188"/>
      <c r="M769" s="188"/>
      <c r="N769" s="188"/>
      <c r="O769" s="188"/>
    </row>
    <row r="770">
      <c r="A770" s="273"/>
      <c r="B770" s="274"/>
      <c r="C770" s="200"/>
      <c r="D770" s="275"/>
      <c r="E770" s="200"/>
      <c r="F770" s="276"/>
      <c r="G770" s="275"/>
      <c r="H770" s="275"/>
      <c r="I770" s="273"/>
      <c r="J770" s="273"/>
      <c r="K770" s="273"/>
      <c r="L770" s="188"/>
      <c r="M770" s="188"/>
      <c r="N770" s="188"/>
      <c r="O770" s="188"/>
    </row>
    <row r="771">
      <c r="A771" s="273"/>
      <c r="B771" s="274"/>
      <c r="C771" s="200"/>
      <c r="D771" s="275"/>
      <c r="E771" s="200"/>
      <c r="F771" s="276"/>
      <c r="G771" s="275"/>
      <c r="H771" s="275"/>
      <c r="I771" s="273"/>
      <c r="J771" s="273"/>
      <c r="K771" s="273"/>
      <c r="L771" s="188"/>
      <c r="M771" s="188"/>
      <c r="N771" s="188"/>
      <c r="O771" s="188"/>
    </row>
    <row r="772">
      <c r="A772" s="273"/>
      <c r="B772" s="274"/>
      <c r="C772" s="200"/>
      <c r="D772" s="275"/>
      <c r="E772" s="200"/>
      <c r="F772" s="276"/>
      <c r="G772" s="275"/>
      <c r="H772" s="275"/>
      <c r="I772" s="273"/>
      <c r="J772" s="273"/>
      <c r="K772" s="273"/>
      <c r="L772" s="188"/>
      <c r="M772" s="188"/>
      <c r="N772" s="188"/>
      <c r="O772" s="188"/>
    </row>
    <row r="773">
      <c r="A773" s="273"/>
      <c r="B773" s="274"/>
      <c r="C773" s="200"/>
      <c r="D773" s="275"/>
      <c r="E773" s="200"/>
      <c r="F773" s="276"/>
      <c r="G773" s="275"/>
      <c r="H773" s="275"/>
      <c r="I773" s="273"/>
      <c r="J773" s="273"/>
      <c r="K773" s="273"/>
      <c r="L773" s="188"/>
      <c r="M773" s="188"/>
      <c r="N773" s="188"/>
      <c r="O773" s="188"/>
    </row>
    <row r="774">
      <c r="A774" s="273"/>
      <c r="B774" s="274"/>
      <c r="C774" s="200"/>
      <c r="D774" s="275"/>
      <c r="E774" s="200"/>
      <c r="F774" s="276"/>
      <c r="G774" s="275"/>
      <c r="H774" s="275"/>
      <c r="I774" s="273"/>
      <c r="J774" s="273"/>
      <c r="K774" s="273"/>
      <c r="L774" s="188"/>
      <c r="M774" s="188"/>
      <c r="N774" s="188"/>
      <c r="O774" s="188"/>
    </row>
    <row r="775">
      <c r="A775" s="273"/>
      <c r="B775" s="274"/>
      <c r="C775" s="200"/>
      <c r="D775" s="275"/>
      <c r="E775" s="200"/>
      <c r="F775" s="276"/>
      <c r="G775" s="275"/>
      <c r="H775" s="275"/>
      <c r="I775" s="273"/>
      <c r="J775" s="273"/>
      <c r="K775" s="273"/>
      <c r="L775" s="188"/>
      <c r="M775" s="188"/>
      <c r="N775" s="188"/>
      <c r="O775" s="188"/>
    </row>
    <row r="776">
      <c r="A776" s="273"/>
      <c r="B776" s="274"/>
      <c r="C776" s="200"/>
      <c r="D776" s="275"/>
      <c r="E776" s="200"/>
      <c r="F776" s="276"/>
      <c r="G776" s="275"/>
      <c r="H776" s="275"/>
      <c r="I776" s="273"/>
      <c r="J776" s="273"/>
      <c r="K776" s="273"/>
      <c r="L776" s="188"/>
      <c r="M776" s="188"/>
      <c r="N776" s="188"/>
      <c r="O776" s="188"/>
    </row>
    <row r="777">
      <c r="A777" s="273"/>
      <c r="B777" s="274"/>
      <c r="C777" s="200"/>
      <c r="D777" s="275"/>
      <c r="E777" s="200"/>
      <c r="F777" s="276"/>
      <c r="G777" s="275"/>
      <c r="H777" s="275"/>
      <c r="I777" s="273"/>
      <c r="J777" s="273"/>
      <c r="K777" s="273"/>
      <c r="L777" s="188"/>
      <c r="M777" s="188"/>
      <c r="N777" s="188"/>
      <c r="O777" s="188"/>
    </row>
    <row r="778">
      <c r="A778" s="273"/>
      <c r="B778" s="274"/>
      <c r="C778" s="200"/>
      <c r="D778" s="275"/>
      <c r="E778" s="200"/>
      <c r="F778" s="276"/>
      <c r="G778" s="275"/>
      <c r="H778" s="275"/>
      <c r="I778" s="273"/>
      <c r="J778" s="273"/>
      <c r="K778" s="273"/>
      <c r="L778" s="188"/>
      <c r="M778" s="188"/>
      <c r="N778" s="188"/>
      <c r="O778" s="188"/>
    </row>
    <row r="779">
      <c r="A779" s="273"/>
      <c r="B779" s="274"/>
      <c r="C779" s="200"/>
      <c r="D779" s="275"/>
      <c r="E779" s="200"/>
      <c r="F779" s="276"/>
      <c r="G779" s="275"/>
      <c r="H779" s="275"/>
      <c r="I779" s="273"/>
      <c r="J779" s="273"/>
      <c r="K779" s="273"/>
      <c r="L779" s="188"/>
      <c r="M779" s="188"/>
      <c r="N779" s="188"/>
      <c r="O779" s="188"/>
    </row>
    <row r="780">
      <c r="A780" s="273"/>
      <c r="B780" s="274"/>
      <c r="C780" s="200"/>
      <c r="D780" s="275"/>
      <c r="E780" s="200"/>
      <c r="F780" s="276"/>
      <c r="G780" s="275"/>
      <c r="H780" s="275"/>
      <c r="I780" s="273"/>
      <c r="J780" s="273"/>
      <c r="K780" s="273"/>
      <c r="L780" s="188"/>
      <c r="M780" s="188"/>
      <c r="N780" s="188"/>
      <c r="O780" s="188"/>
    </row>
    <row r="781">
      <c r="A781" s="273"/>
      <c r="B781" s="274"/>
      <c r="C781" s="200"/>
      <c r="D781" s="275"/>
      <c r="E781" s="200"/>
      <c r="F781" s="276"/>
      <c r="G781" s="275"/>
      <c r="H781" s="275"/>
      <c r="I781" s="273"/>
      <c r="J781" s="273"/>
      <c r="K781" s="273"/>
      <c r="L781" s="188"/>
      <c r="M781" s="188"/>
      <c r="N781" s="188"/>
      <c r="O781" s="188"/>
    </row>
    <row r="782">
      <c r="A782" s="273"/>
      <c r="B782" s="274"/>
      <c r="C782" s="200"/>
      <c r="D782" s="275"/>
      <c r="E782" s="200"/>
      <c r="F782" s="276"/>
      <c r="G782" s="275"/>
      <c r="H782" s="275"/>
      <c r="I782" s="273"/>
      <c r="J782" s="273"/>
      <c r="K782" s="273"/>
      <c r="L782" s="188"/>
      <c r="M782" s="188"/>
      <c r="N782" s="188"/>
      <c r="O782" s="188"/>
    </row>
    <row r="783">
      <c r="A783" s="273"/>
      <c r="B783" s="274"/>
      <c r="C783" s="200"/>
      <c r="D783" s="275"/>
      <c r="E783" s="200"/>
      <c r="F783" s="276"/>
      <c r="G783" s="275"/>
      <c r="H783" s="275"/>
      <c r="I783" s="273"/>
      <c r="J783" s="273"/>
      <c r="K783" s="273"/>
      <c r="L783" s="188"/>
      <c r="M783" s="188"/>
      <c r="N783" s="188"/>
      <c r="O783" s="188"/>
    </row>
    <row r="784">
      <c r="A784" s="273"/>
      <c r="B784" s="274"/>
      <c r="C784" s="200"/>
      <c r="D784" s="275"/>
      <c r="E784" s="200"/>
      <c r="F784" s="276"/>
      <c r="G784" s="275"/>
      <c r="H784" s="275"/>
      <c r="I784" s="273"/>
      <c r="J784" s="273"/>
      <c r="K784" s="273"/>
      <c r="L784" s="188"/>
      <c r="M784" s="188"/>
      <c r="N784" s="188"/>
      <c r="O784" s="188"/>
    </row>
    <row r="785">
      <c r="A785" s="273"/>
      <c r="B785" s="274"/>
      <c r="C785" s="200"/>
      <c r="D785" s="275"/>
      <c r="E785" s="200"/>
      <c r="F785" s="276"/>
      <c r="G785" s="275"/>
      <c r="H785" s="275"/>
      <c r="I785" s="273"/>
      <c r="J785" s="273"/>
      <c r="K785" s="273"/>
      <c r="L785" s="188"/>
      <c r="M785" s="188"/>
      <c r="N785" s="188"/>
      <c r="O785" s="188"/>
    </row>
    <row r="786">
      <c r="A786" s="273"/>
      <c r="B786" s="274"/>
      <c r="C786" s="200"/>
      <c r="D786" s="275"/>
      <c r="E786" s="200"/>
      <c r="F786" s="276"/>
      <c r="G786" s="275"/>
      <c r="H786" s="275"/>
      <c r="I786" s="273"/>
      <c r="J786" s="273"/>
      <c r="K786" s="273"/>
      <c r="L786" s="188"/>
      <c r="M786" s="188"/>
      <c r="N786" s="188"/>
      <c r="O786" s="188"/>
    </row>
    <row r="787">
      <c r="A787" s="273"/>
      <c r="B787" s="274"/>
      <c r="C787" s="200"/>
      <c r="D787" s="275"/>
      <c r="E787" s="200"/>
      <c r="F787" s="276"/>
      <c r="G787" s="275"/>
      <c r="H787" s="275"/>
      <c r="I787" s="273"/>
      <c r="J787" s="273"/>
      <c r="K787" s="273"/>
      <c r="L787" s="188"/>
      <c r="M787" s="188"/>
      <c r="N787" s="188"/>
      <c r="O787" s="188"/>
    </row>
    <row r="788">
      <c r="A788" s="273"/>
      <c r="B788" s="274"/>
      <c r="C788" s="200"/>
      <c r="D788" s="275"/>
      <c r="E788" s="200"/>
      <c r="F788" s="276"/>
      <c r="G788" s="275"/>
      <c r="H788" s="275"/>
      <c r="I788" s="273"/>
      <c r="J788" s="273"/>
      <c r="K788" s="273"/>
      <c r="L788" s="188"/>
      <c r="M788" s="188"/>
      <c r="N788" s="188"/>
      <c r="O788" s="188"/>
    </row>
    <row r="789">
      <c r="A789" s="273"/>
      <c r="B789" s="274"/>
      <c r="C789" s="200"/>
      <c r="D789" s="275"/>
      <c r="E789" s="200"/>
      <c r="F789" s="276"/>
      <c r="G789" s="275"/>
      <c r="H789" s="275"/>
      <c r="I789" s="273"/>
      <c r="J789" s="273"/>
      <c r="K789" s="273"/>
      <c r="L789" s="188"/>
      <c r="M789" s="188"/>
      <c r="N789" s="188"/>
      <c r="O789" s="188"/>
    </row>
    <row r="790">
      <c r="A790" s="273"/>
      <c r="B790" s="274"/>
      <c r="C790" s="200"/>
      <c r="D790" s="275"/>
      <c r="E790" s="200"/>
      <c r="F790" s="276"/>
      <c r="G790" s="275"/>
      <c r="H790" s="275"/>
      <c r="I790" s="273"/>
      <c r="J790" s="273"/>
      <c r="K790" s="273"/>
      <c r="L790" s="188"/>
      <c r="M790" s="188"/>
      <c r="N790" s="188"/>
      <c r="O790" s="188"/>
    </row>
    <row r="791">
      <c r="A791" s="273"/>
      <c r="B791" s="274"/>
      <c r="C791" s="200"/>
      <c r="D791" s="275"/>
      <c r="E791" s="200"/>
      <c r="F791" s="276"/>
      <c r="G791" s="275"/>
      <c r="H791" s="275"/>
      <c r="I791" s="273"/>
      <c r="J791" s="273"/>
      <c r="K791" s="273"/>
      <c r="L791" s="188"/>
      <c r="M791" s="188"/>
      <c r="N791" s="188"/>
      <c r="O791" s="188"/>
    </row>
    <row r="792">
      <c r="A792" s="273"/>
      <c r="B792" s="274"/>
      <c r="C792" s="200"/>
      <c r="D792" s="275"/>
      <c r="E792" s="200"/>
      <c r="F792" s="276"/>
      <c r="G792" s="275"/>
      <c r="H792" s="275"/>
      <c r="I792" s="273"/>
      <c r="J792" s="273"/>
      <c r="K792" s="273"/>
      <c r="L792" s="188"/>
      <c r="M792" s="188"/>
      <c r="N792" s="188"/>
      <c r="O792" s="188"/>
    </row>
    <row r="793">
      <c r="A793" s="273"/>
      <c r="B793" s="274"/>
      <c r="C793" s="200"/>
      <c r="D793" s="275"/>
      <c r="E793" s="200"/>
      <c r="F793" s="276"/>
      <c r="G793" s="275"/>
      <c r="H793" s="275"/>
      <c r="I793" s="273"/>
      <c r="J793" s="273"/>
      <c r="K793" s="273"/>
      <c r="L793" s="188"/>
      <c r="M793" s="188"/>
      <c r="N793" s="188"/>
      <c r="O793" s="188"/>
    </row>
    <row r="794">
      <c r="A794" s="273"/>
      <c r="B794" s="274"/>
      <c r="C794" s="200"/>
      <c r="D794" s="275"/>
      <c r="E794" s="200"/>
      <c r="F794" s="276"/>
      <c r="G794" s="275"/>
      <c r="H794" s="275"/>
      <c r="I794" s="273"/>
      <c r="J794" s="273"/>
      <c r="K794" s="273"/>
      <c r="L794" s="188"/>
      <c r="M794" s="188"/>
      <c r="N794" s="188"/>
      <c r="O794" s="188"/>
    </row>
    <row r="795">
      <c r="A795" s="273"/>
      <c r="B795" s="274"/>
      <c r="C795" s="200"/>
      <c r="D795" s="275"/>
      <c r="E795" s="200"/>
      <c r="F795" s="276"/>
      <c r="G795" s="275"/>
      <c r="H795" s="275"/>
      <c r="I795" s="273"/>
      <c r="J795" s="273"/>
      <c r="K795" s="273"/>
      <c r="L795" s="188"/>
      <c r="M795" s="188"/>
      <c r="N795" s="188"/>
      <c r="O795" s="188"/>
    </row>
    <row r="796">
      <c r="A796" s="273"/>
      <c r="B796" s="274"/>
      <c r="C796" s="200"/>
      <c r="D796" s="275"/>
      <c r="E796" s="200"/>
      <c r="F796" s="276"/>
      <c r="G796" s="275"/>
      <c r="H796" s="275"/>
      <c r="I796" s="273"/>
      <c r="J796" s="273"/>
      <c r="K796" s="273"/>
      <c r="L796" s="188"/>
      <c r="M796" s="188"/>
      <c r="N796" s="188"/>
      <c r="O796" s="188"/>
    </row>
    <row r="797">
      <c r="A797" s="273"/>
      <c r="B797" s="274"/>
      <c r="C797" s="200"/>
      <c r="D797" s="275"/>
      <c r="E797" s="200"/>
      <c r="F797" s="276"/>
      <c r="G797" s="275"/>
      <c r="H797" s="275"/>
      <c r="I797" s="273"/>
      <c r="J797" s="273"/>
      <c r="K797" s="273"/>
      <c r="L797" s="188"/>
      <c r="M797" s="188"/>
      <c r="N797" s="188"/>
      <c r="O797" s="188"/>
    </row>
    <row r="798">
      <c r="A798" s="273"/>
      <c r="B798" s="274"/>
      <c r="C798" s="200"/>
      <c r="D798" s="275"/>
      <c r="E798" s="200"/>
      <c r="F798" s="276"/>
      <c r="G798" s="275"/>
      <c r="H798" s="275"/>
      <c r="I798" s="273"/>
      <c r="J798" s="273"/>
      <c r="K798" s="273"/>
      <c r="L798" s="188"/>
      <c r="M798" s="188"/>
      <c r="N798" s="188"/>
      <c r="O798" s="188"/>
    </row>
    <row r="799">
      <c r="A799" s="273"/>
      <c r="B799" s="274"/>
      <c r="C799" s="200"/>
      <c r="D799" s="275"/>
      <c r="E799" s="200"/>
      <c r="F799" s="276"/>
      <c r="G799" s="275"/>
      <c r="H799" s="275"/>
      <c r="I799" s="273"/>
      <c r="J799" s="273"/>
      <c r="K799" s="273"/>
      <c r="L799" s="188"/>
      <c r="M799" s="188"/>
      <c r="N799" s="188"/>
      <c r="O799" s="188"/>
    </row>
    <row r="800">
      <c r="A800" s="273"/>
      <c r="B800" s="274"/>
      <c r="C800" s="200"/>
      <c r="D800" s="275"/>
      <c r="E800" s="200"/>
      <c r="F800" s="276"/>
      <c r="G800" s="275"/>
      <c r="H800" s="275"/>
      <c r="I800" s="273"/>
      <c r="J800" s="273"/>
      <c r="K800" s="273"/>
      <c r="L800" s="188"/>
      <c r="M800" s="188"/>
      <c r="N800" s="188"/>
      <c r="O800" s="188"/>
    </row>
    <row r="801">
      <c r="A801" s="273"/>
      <c r="B801" s="274"/>
      <c r="C801" s="200"/>
      <c r="D801" s="275"/>
      <c r="E801" s="200"/>
      <c r="F801" s="276"/>
      <c r="G801" s="275"/>
      <c r="H801" s="275"/>
      <c r="I801" s="273"/>
      <c r="J801" s="273"/>
      <c r="K801" s="273"/>
      <c r="L801" s="188"/>
      <c r="M801" s="188"/>
      <c r="N801" s="188"/>
      <c r="O801" s="188"/>
    </row>
    <row r="802">
      <c r="A802" s="273"/>
      <c r="B802" s="274"/>
      <c r="C802" s="200"/>
      <c r="D802" s="275"/>
      <c r="E802" s="200"/>
      <c r="F802" s="276"/>
      <c r="G802" s="275"/>
      <c r="H802" s="275"/>
      <c r="I802" s="273"/>
      <c r="J802" s="273"/>
      <c r="K802" s="273"/>
      <c r="L802" s="188"/>
      <c r="M802" s="188"/>
      <c r="N802" s="188"/>
      <c r="O802" s="188"/>
    </row>
    <row r="803">
      <c r="A803" s="273"/>
      <c r="B803" s="274"/>
      <c r="C803" s="200"/>
      <c r="D803" s="275"/>
      <c r="E803" s="200"/>
      <c r="F803" s="276"/>
      <c r="G803" s="275"/>
      <c r="H803" s="275"/>
      <c r="I803" s="273"/>
      <c r="J803" s="273"/>
      <c r="K803" s="273"/>
      <c r="L803" s="188"/>
      <c r="M803" s="188"/>
      <c r="N803" s="188"/>
      <c r="O803" s="188"/>
    </row>
    <row r="804">
      <c r="A804" s="273"/>
      <c r="B804" s="274"/>
      <c r="C804" s="200"/>
      <c r="D804" s="275"/>
      <c r="E804" s="200"/>
      <c r="F804" s="276"/>
      <c r="G804" s="275"/>
      <c r="H804" s="275"/>
      <c r="I804" s="273"/>
      <c r="J804" s="273"/>
      <c r="K804" s="273"/>
      <c r="L804" s="188"/>
      <c r="M804" s="188"/>
      <c r="N804" s="188"/>
      <c r="O804" s="188"/>
    </row>
    <row r="805">
      <c r="A805" s="273"/>
      <c r="B805" s="274"/>
      <c r="C805" s="200"/>
      <c r="D805" s="275"/>
      <c r="E805" s="200"/>
      <c r="F805" s="276"/>
      <c r="G805" s="275"/>
      <c r="H805" s="275"/>
      <c r="I805" s="273"/>
      <c r="J805" s="273"/>
      <c r="K805" s="273"/>
      <c r="L805" s="188"/>
      <c r="M805" s="188"/>
      <c r="N805" s="188"/>
      <c r="O805" s="188"/>
    </row>
    <row r="806">
      <c r="A806" s="273"/>
      <c r="B806" s="274"/>
      <c r="C806" s="200"/>
      <c r="D806" s="275"/>
      <c r="E806" s="200"/>
      <c r="F806" s="276"/>
      <c r="G806" s="275"/>
      <c r="H806" s="275"/>
      <c r="I806" s="273"/>
      <c r="J806" s="273"/>
      <c r="K806" s="273"/>
      <c r="L806" s="188"/>
      <c r="M806" s="188"/>
      <c r="N806" s="188"/>
      <c r="O806" s="188"/>
    </row>
    <row r="807">
      <c r="A807" s="273"/>
      <c r="B807" s="274"/>
      <c r="C807" s="200"/>
      <c r="D807" s="275"/>
      <c r="E807" s="200"/>
      <c r="F807" s="276"/>
      <c r="G807" s="275"/>
      <c r="H807" s="275"/>
      <c r="I807" s="273"/>
      <c r="J807" s="273"/>
      <c r="K807" s="273"/>
      <c r="L807" s="188"/>
      <c r="M807" s="188"/>
      <c r="N807" s="188"/>
      <c r="O807" s="188"/>
    </row>
    <row r="808">
      <c r="A808" s="273"/>
      <c r="B808" s="274"/>
      <c r="C808" s="200"/>
      <c r="D808" s="275"/>
      <c r="E808" s="200"/>
      <c r="F808" s="276"/>
      <c r="G808" s="275"/>
      <c r="H808" s="275"/>
      <c r="I808" s="273"/>
      <c r="J808" s="273"/>
      <c r="K808" s="273"/>
      <c r="L808" s="188"/>
      <c r="M808" s="188"/>
      <c r="N808" s="188"/>
      <c r="O808" s="188"/>
    </row>
    <row r="809">
      <c r="A809" s="273"/>
      <c r="B809" s="274"/>
      <c r="C809" s="200"/>
      <c r="D809" s="275"/>
      <c r="E809" s="200"/>
      <c r="F809" s="276"/>
      <c r="G809" s="275"/>
      <c r="H809" s="275"/>
      <c r="I809" s="273"/>
      <c r="J809" s="273"/>
      <c r="K809" s="273"/>
      <c r="L809" s="188"/>
      <c r="M809" s="188"/>
      <c r="N809" s="188"/>
      <c r="O809" s="188"/>
    </row>
    <row r="810">
      <c r="A810" s="273"/>
      <c r="B810" s="274"/>
      <c r="C810" s="200"/>
      <c r="D810" s="275"/>
      <c r="E810" s="200"/>
      <c r="F810" s="276"/>
      <c r="G810" s="275"/>
      <c r="H810" s="275"/>
      <c r="I810" s="273"/>
      <c r="J810" s="273"/>
      <c r="K810" s="273"/>
      <c r="L810" s="188"/>
      <c r="M810" s="188"/>
      <c r="N810" s="188"/>
      <c r="O810" s="188"/>
    </row>
    <row r="811">
      <c r="A811" s="273"/>
      <c r="B811" s="274"/>
      <c r="C811" s="200"/>
      <c r="D811" s="275"/>
      <c r="E811" s="200"/>
      <c r="F811" s="276"/>
      <c r="G811" s="275"/>
      <c r="H811" s="275"/>
      <c r="I811" s="273"/>
      <c r="J811" s="273"/>
      <c r="K811" s="273"/>
      <c r="L811" s="188"/>
      <c r="M811" s="188"/>
      <c r="N811" s="188"/>
      <c r="O811" s="188"/>
    </row>
    <row r="812">
      <c r="A812" s="273"/>
      <c r="B812" s="274"/>
      <c r="C812" s="200"/>
      <c r="D812" s="275"/>
      <c r="E812" s="200"/>
      <c r="F812" s="276"/>
      <c r="G812" s="275"/>
      <c r="H812" s="275"/>
      <c r="I812" s="273"/>
      <c r="J812" s="273"/>
      <c r="K812" s="273"/>
      <c r="L812" s="188"/>
      <c r="M812" s="188"/>
      <c r="N812" s="188"/>
      <c r="O812" s="188"/>
    </row>
    <row r="813">
      <c r="A813" s="273"/>
      <c r="B813" s="274"/>
      <c r="C813" s="200"/>
      <c r="D813" s="275"/>
      <c r="E813" s="200"/>
      <c r="F813" s="276"/>
      <c r="G813" s="275"/>
      <c r="H813" s="275"/>
      <c r="I813" s="273"/>
      <c r="J813" s="273"/>
      <c r="K813" s="273"/>
      <c r="L813" s="188"/>
      <c r="M813" s="188"/>
      <c r="N813" s="188"/>
      <c r="O813" s="188"/>
    </row>
    <row r="814">
      <c r="A814" s="273"/>
      <c r="B814" s="274"/>
      <c r="C814" s="200"/>
      <c r="D814" s="275"/>
      <c r="E814" s="200"/>
      <c r="F814" s="276"/>
      <c r="G814" s="275"/>
      <c r="H814" s="275"/>
      <c r="I814" s="273"/>
      <c r="J814" s="273"/>
      <c r="K814" s="273"/>
      <c r="L814" s="188"/>
      <c r="M814" s="188"/>
      <c r="N814" s="188"/>
      <c r="O814" s="188"/>
    </row>
    <row r="815">
      <c r="A815" s="273"/>
      <c r="B815" s="274"/>
      <c r="C815" s="200"/>
      <c r="D815" s="275"/>
      <c r="E815" s="200"/>
      <c r="F815" s="276"/>
      <c r="G815" s="275"/>
      <c r="H815" s="275"/>
      <c r="I815" s="273"/>
      <c r="J815" s="273"/>
      <c r="K815" s="273"/>
      <c r="L815" s="188"/>
      <c r="M815" s="188"/>
      <c r="N815" s="188"/>
      <c r="O815" s="188"/>
    </row>
    <row r="816">
      <c r="A816" s="273"/>
      <c r="B816" s="274"/>
      <c r="C816" s="200"/>
      <c r="D816" s="275"/>
      <c r="E816" s="200"/>
      <c r="F816" s="276"/>
      <c r="G816" s="275"/>
      <c r="H816" s="275"/>
      <c r="I816" s="273"/>
      <c r="J816" s="273"/>
      <c r="K816" s="273"/>
      <c r="L816" s="188"/>
      <c r="M816" s="188"/>
      <c r="N816" s="188"/>
      <c r="O816" s="188"/>
    </row>
    <row r="817">
      <c r="A817" s="273"/>
      <c r="B817" s="274"/>
      <c r="C817" s="200"/>
      <c r="D817" s="275"/>
      <c r="E817" s="200"/>
      <c r="F817" s="276"/>
      <c r="G817" s="275"/>
      <c r="H817" s="275"/>
      <c r="I817" s="273"/>
      <c r="J817" s="273"/>
      <c r="K817" s="273"/>
      <c r="L817" s="188"/>
      <c r="M817" s="188"/>
      <c r="N817" s="188"/>
      <c r="O817" s="188"/>
    </row>
    <row r="818">
      <c r="A818" s="273"/>
      <c r="B818" s="274"/>
      <c r="C818" s="200"/>
      <c r="D818" s="275"/>
      <c r="E818" s="200"/>
      <c r="F818" s="276"/>
      <c r="G818" s="275"/>
      <c r="H818" s="275"/>
      <c r="I818" s="273"/>
      <c r="J818" s="273"/>
      <c r="K818" s="273"/>
      <c r="L818" s="188"/>
      <c r="M818" s="188"/>
      <c r="N818" s="188"/>
      <c r="O818" s="188"/>
    </row>
    <row r="819">
      <c r="A819" s="273"/>
      <c r="B819" s="274"/>
      <c r="C819" s="200"/>
      <c r="D819" s="275"/>
      <c r="E819" s="200"/>
      <c r="F819" s="276"/>
      <c r="G819" s="275"/>
      <c r="H819" s="275"/>
      <c r="I819" s="273"/>
      <c r="J819" s="273"/>
      <c r="K819" s="273"/>
      <c r="L819" s="188"/>
      <c r="M819" s="188"/>
      <c r="N819" s="188"/>
      <c r="O819" s="188"/>
    </row>
    <row r="820">
      <c r="A820" s="273"/>
      <c r="B820" s="274"/>
      <c r="C820" s="200"/>
      <c r="D820" s="275"/>
      <c r="E820" s="200"/>
      <c r="F820" s="276"/>
      <c r="G820" s="275"/>
      <c r="H820" s="275"/>
      <c r="I820" s="273"/>
      <c r="J820" s="273"/>
      <c r="K820" s="273"/>
      <c r="L820" s="188"/>
      <c r="M820" s="188"/>
      <c r="N820" s="188"/>
      <c r="O820" s="188"/>
    </row>
    <row r="821">
      <c r="A821" s="273"/>
      <c r="B821" s="274"/>
      <c r="C821" s="200"/>
      <c r="D821" s="275"/>
      <c r="E821" s="200"/>
      <c r="F821" s="276"/>
      <c r="G821" s="275"/>
      <c r="H821" s="275"/>
      <c r="I821" s="273"/>
      <c r="J821" s="273"/>
      <c r="K821" s="273"/>
      <c r="L821" s="188"/>
      <c r="M821" s="188"/>
      <c r="N821" s="188"/>
      <c r="O821" s="188"/>
    </row>
    <row r="822">
      <c r="A822" s="273"/>
      <c r="B822" s="274"/>
      <c r="C822" s="200"/>
      <c r="D822" s="275"/>
      <c r="E822" s="200"/>
      <c r="F822" s="276"/>
      <c r="G822" s="275"/>
      <c r="H822" s="275"/>
      <c r="I822" s="273"/>
      <c r="J822" s="273"/>
      <c r="K822" s="273"/>
      <c r="L822" s="188"/>
      <c r="M822" s="188"/>
      <c r="N822" s="188"/>
      <c r="O822" s="188"/>
    </row>
    <row r="823">
      <c r="A823" s="273"/>
      <c r="B823" s="274"/>
      <c r="C823" s="200"/>
      <c r="D823" s="275"/>
      <c r="E823" s="200"/>
      <c r="F823" s="276"/>
      <c r="G823" s="275"/>
      <c r="H823" s="275"/>
      <c r="I823" s="273"/>
      <c r="J823" s="273"/>
      <c r="K823" s="273"/>
      <c r="L823" s="188"/>
      <c r="M823" s="188"/>
      <c r="N823" s="188"/>
      <c r="O823" s="188"/>
    </row>
    <row r="824">
      <c r="A824" s="273"/>
      <c r="B824" s="274"/>
      <c r="C824" s="200"/>
      <c r="D824" s="275"/>
      <c r="E824" s="200"/>
      <c r="F824" s="276"/>
      <c r="G824" s="275"/>
      <c r="H824" s="275"/>
      <c r="I824" s="273"/>
      <c r="J824" s="273"/>
      <c r="K824" s="273"/>
      <c r="L824" s="188"/>
      <c r="M824" s="188"/>
      <c r="N824" s="188"/>
      <c r="O824" s="188"/>
    </row>
    <row r="825">
      <c r="A825" s="273"/>
      <c r="B825" s="274"/>
      <c r="C825" s="200"/>
      <c r="D825" s="275"/>
      <c r="E825" s="200"/>
      <c r="F825" s="276"/>
      <c r="G825" s="275"/>
      <c r="H825" s="275"/>
      <c r="I825" s="273"/>
      <c r="J825" s="273"/>
      <c r="K825" s="273"/>
      <c r="L825" s="188"/>
      <c r="M825" s="188"/>
      <c r="N825" s="188"/>
      <c r="O825" s="188"/>
    </row>
    <row r="826">
      <c r="A826" s="273"/>
      <c r="B826" s="274"/>
      <c r="C826" s="200"/>
      <c r="D826" s="275"/>
      <c r="E826" s="200"/>
      <c r="F826" s="276"/>
      <c r="G826" s="275"/>
      <c r="H826" s="275"/>
      <c r="I826" s="273"/>
      <c r="J826" s="273"/>
      <c r="K826" s="273"/>
      <c r="L826" s="188"/>
      <c r="M826" s="188"/>
      <c r="N826" s="188"/>
      <c r="O826" s="188"/>
    </row>
    <row r="827">
      <c r="A827" s="273"/>
      <c r="B827" s="274"/>
      <c r="C827" s="200"/>
      <c r="D827" s="275"/>
      <c r="E827" s="200"/>
      <c r="F827" s="276"/>
      <c r="G827" s="275"/>
      <c r="H827" s="275"/>
      <c r="I827" s="273"/>
      <c r="J827" s="273"/>
      <c r="K827" s="273"/>
      <c r="L827" s="188"/>
      <c r="M827" s="188"/>
      <c r="N827" s="188"/>
      <c r="O827" s="188"/>
    </row>
    <row r="828">
      <c r="A828" s="273"/>
      <c r="B828" s="274"/>
      <c r="C828" s="200"/>
      <c r="D828" s="275"/>
      <c r="E828" s="200"/>
      <c r="F828" s="276"/>
      <c r="G828" s="275"/>
      <c r="H828" s="275"/>
      <c r="I828" s="273"/>
      <c r="J828" s="273"/>
      <c r="K828" s="273"/>
      <c r="L828" s="188"/>
      <c r="M828" s="188"/>
      <c r="N828" s="188"/>
      <c r="O828" s="188"/>
    </row>
    <row r="829">
      <c r="A829" s="273"/>
      <c r="B829" s="274"/>
      <c r="C829" s="200"/>
      <c r="D829" s="275"/>
      <c r="E829" s="200"/>
      <c r="F829" s="276"/>
      <c r="G829" s="275"/>
      <c r="H829" s="275"/>
      <c r="I829" s="273"/>
      <c r="J829" s="273"/>
      <c r="K829" s="273"/>
      <c r="L829" s="188"/>
      <c r="M829" s="188"/>
      <c r="N829" s="188"/>
      <c r="O829" s="188"/>
    </row>
    <row r="830">
      <c r="A830" s="273"/>
      <c r="B830" s="274"/>
      <c r="C830" s="200"/>
      <c r="D830" s="275"/>
      <c r="E830" s="200"/>
      <c r="F830" s="276"/>
      <c r="G830" s="275"/>
      <c r="H830" s="275"/>
      <c r="I830" s="273"/>
      <c r="J830" s="273"/>
      <c r="K830" s="273"/>
      <c r="L830" s="188"/>
      <c r="M830" s="188"/>
      <c r="N830" s="188"/>
      <c r="O830" s="188"/>
    </row>
    <row r="831">
      <c r="A831" s="273"/>
      <c r="B831" s="274"/>
      <c r="C831" s="200"/>
      <c r="D831" s="275"/>
      <c r="E831" s="200"/>
      <c r="F831" s="276"/>
      <c r="G831" s="275"/>
      <c r="H831" s="275"/>
      <c r="I831" s="273"/>
      <c r="J831" s="273"/>
      <c r="K831" s="273"/>
      <c r="L831" s="188"/>
      <c r="M831" s="188"/>
      <c r="N831" s="188"/>
      <c r="O831" s="188"/>
    </row>
    <row r="832">
      <c r="A832" s="273"/>
      <c r="B832" s="274"/>
      <c r="C832" s="200"/>
      <c r="D832" s="275"/>
      <c r="E832" s="200"/>
      <c r="F832" s="276"/>
      <c r="G832" s="275"/>
      <c r="H832" s="275"/>
      <c r="I832" s="273"/>
      <c r="J832" s="273"/>
      <c r="K832" s="273"/>
      <c r="L832" s="188"/>
      <c r="M832" s="188"/>
      <c r="N832" s="188"/>
      <c r="O832" s="188"/>
    </row>
    <row r="833">
      <c r="A833" s="273"/>
      <c r="B833" s="274"/>
      <c r="C833" s="200"/>
      <c r="D833" s="275"/>
      <c r="E833" s="200"/>
      <c r="F833" s="276"/>
      <c r="G833" s="275"/>
      <c r="H833" s="275"/>
      <c r="I833" s="273"/>
      <c r="J833" s="273"/>
      <c r="K833" s="273"/>
      <c r="L833" s="188"/>
      <c r="M833" s="188"/>
      <c r="N833" s="188"/>
      <c r="O833" s="188"/>
    </row>
    <row r="834">
      <c r="A834" s="273"/>
      <c r="B834" s="274"/>
      <c r="C834" s="200"/>
      <c r="D834" s="275"/>
      <c r="E834" s="200"/>
      <c r="F834" s="276"/>
      <c r="G834" s="275"/>
      <c r="H834" s="275"/>
      <c r="I834" s="273"/>
      <c r="J834" s="273"/>
      <c r="K834" s="273"/>
      <c r="L834" s="188"/>
      <c r="M834" s="188"/>
      <c r="N834" s="188"/>
      <c r="O834" s="188"/>
    </row>
    <row r="835">
      <c r="A835" s="273"/>
      <c r="B835" s="274"/>
      <c r="C835" s="200"/>
      <c r="D835" s="275"/>
      <c r="E835" s="200"/>
      <c r="F835" s="276"/>
      <c r="G835" s="275"/>
      <c r="H835" s="275"/>
      <c r="I835" s="273"/>
      <c r="J835" s="273"/>
      <c r="K835" s="273"/>
      <c r="L835" s="188"/>
      <c r="M835" s="188"/>
      <c r="N835" s="188"/>
      <c r="O835" s="188"/>
    </row>
    <row r="836">
      <c r="A836" s="273"/>
      <c r="B836" s="274"/>
      <c r="C836" s="200"/>
      <c r="D836" s="275"/>
      <c r="E836" s="200"/>
      <c r="F836" s="276"/>
      <c r="G836" s="275"/>
      <c r="H836" s="275"/>
      <c r="I836" s="273"/>
      <c r="J836" s="273"/>
      <c r="K836" s="273"/>
      <c r="L836" s="188"/>
      <c r="M836" s="188"/>
      <c r="N836" s="188"/>
      <c r="O836" s="188"/>
    </row>
    <row r="837">
      <c r="A837" s="273"/>
      <c r="B837" s="274"/>
      <c r="C837" s="200"/>
      <c r="D837" s="275"/>
      <c r="E837" s="200"/>
      <c r="F837" s="276"/>
      <c r="G837" s="275"/>
      <c r="H837" s="275"/>
      <c r="I837" s="273"/>
      <c r="J837" s="273"/>
      <c r="K837" s="273"/>
      <c r="L837" s="188"/>
      <c r="M837" s="188"/>
      <c r="N837" s="188"/>
      <c r="O837" s="188"/>
    </row>
    <row r="838">
      <c r="A838" s="273"/>
      <c r="B838" s="274"/>
      <c r="C838" s="200"/>
      <c r="D838" s="275"/>
      <c r="E838" s="200"/>
      <c r="F838" s="276"/>
      <c r="G838" s="275"/>
      <c r="H838" s="275"/>
      <c r="I838" s="273"/>
      <c r="J838" s="273"/>
      <c r="K838" s="273"/>
      <c r="L838" s="188"/>
      <c r="M838" s="188"/>
      <c r="N838" s="188"/>
      <c r="O838" s="188"/>
    </row>
    <row r="839">
      <c r="A839" s="273"/>
      <c r="B839" s="274"/>
      <c r="C839" s="200"/>
      <c r="D839" s="275"/>
      <c r="E839" s="200"/>
      <c r="F839" s="276"/>
      <c r="G839" s="275"/>
      <c r="H839" s="275"/>
      <c r="I839" s="273"/>
      <c r="J839" s="273"/>
      <c r="K839" s="273"/>
      <c r="L839" s="188"/>
      <c r="M839" s="188"/>
      <c r="N839" s="188"/>
      <c r="O839" s="188"/>
    </row>
    <row r="840">
      <c r="A840" s="273"/>
      <c r="B840" s="274"/>
      <c r="C840" s="200"/>
      <c r="D840" s="275"/>
      <c r="E840" s="200"/>
      <c r="F840" s="276"/>
      <c r="G840" s="275"/>
      <c r="H840" s="275"/>
      <c r="I840" s="273"/>
      <c r="J840" s="273"/>
      <c r="K840" s="273"/>
      <c r="L840" s="188"/>
      <c r="M840" s="188"/>
      <c r="N840" s="188"/>
      <c r="O840" s="188"/>
    </row>
    <row r="841">
      <c r="A841" s="273"/>
      <c r="B841" s="274"/>
      <c r="C841" s="200"/>
      <c r="D841" s="275"/>
      <c r="E841" s="200"/>
      <c r="F841" s="276"/>
      <c r="G841" s="275"/>
      <c r="H841" s="275"/>
      <c r="I841" s="273"/>
      <c r="J841" s="273"/>
      <c r="K841" s="273"/>
      <c r="L841" s="188"/>
      <c r="M841" s="188"/>
      <c r="N841" s="188"/>
      <c r="O841" s="188"/>
    </row>
    <row r="842">
      <c r="A842" s="273"/>
      <c r="B842" s="274"/>
      <c r="C842" s="200"/>
      <c r="D842" s="275"/>
      <c r="E842" s="200"/>
      <c r="F842" s="276"/>
      <c r="G842" s="275"/>
      <c r="H842" s="275"/>
      <c r="I842" s="273"/>
      <c r="J842" s="273"/>
      <c r="K842" s="273"/>
      <c r="L842" s="188"/>
      <c r="M842" s="188"/>
      <c r="N842" s="188"/>
      <c r="O842" s="188"/>
    </row>
    <row r="843">
      <c r="A843" s="273"/>
      <c r="B843" s="274"/>
      <c r="C843" s="200"/>
      <c r="D843" s="275"/>
      <c r="E843" s="200"/>
      <c r="F843" s="276"/>
      <c r="G843" s="275"/>
      <c r="H843" s="275"/>
      <c r="I843" s="273"/>
      <c r="J843" s="273"/>
      <c r="K843" s="273"/>
      <c r="L843" s="188"/>
      <c r="M843" s="188"/>
      <c r="N843" s="188"/>
      <c r="O843" s="188"/>
    </row>
    <row r="844">
      <c r="A844" s="273"/>
      <c r="B844" s="274"/>
      <c r="C844" s="200"/>
      <c r="D844" s="275"/>
      <c r="E844" s="200"/>
      <c r="F844" s="276"/>
      <c r="G844" s="275"/>
      <c r="H844" s="275"/>
      <c r="I844" s="273"/>
      <c r="J844" s="273"/>
      <c r="K844" s="273"/>
      <c r="L844" s="188"/>
      <c r="M844" s="188"/>
      <c r="N844" s="188"/>
      <c r="O844" s="188"/>
    </row>
    <row r="845">
      <c r="A845" s="273"/>
      <c r="B845" s="274"/>
      <c r="C845" s="200"/>
      <c r="D845" s="275"/>
      <c r="E845" s="200"/>
      <c r="F845" s="276"/>
      <c r="G845" s="275"/>
      <c r="H845" s="275"/>
      <c r="I845" s="273"/>
      <c r="J845" s="273"/>
      <c r="K845" s="273"/>
      <c r="L845" s="188"/>
      <c r="M845" s="188"/>
      <c r="N845" s="188"/>
      <c r="O845" s="188"/>
    </row>
    <row r="846">
      <c r="A846" s="273"/>
      <c r="B846" s="274"/>
      <c r="C846" s="200"/>
      <c r="D846" s="275"/>
      <c r="E846" s="200"/>
      <c r="F846" s="276"/>
      <c r="G846" s="275"/>
      <c r="H846" s="275"/>
      <c r="I846" s="273"/>
      <c r="J846" s="273"/>
      <c r="K846" s="273"/>
      <c r="L846" s="188"/>
      <c r="M846" s="188"/>
      <c r="N846" s="188"/>
      <c r="O846" s="188"/>
    </row>
    <row r="847">
      <c r="A847" s="273"/>
      <c r="B847" s="274"/>
      <c r="C847" s="200"/>
      <c r="D847" s="275"/>
      <c r="E847" s="200"/>
      <c r="F847" s="276"/>
      <c r="G847" s="275"/>
      <c r="H847" s="275"/>
      <c r="I847" s="273"/>
      <c r="J847" s="273"/>
      <c r="K847" s="273"/>
      <c r="L847" s="188"/>
      <c r="M847" s="188"/>
      <c r="N847" s="188"/>
      <c r="O847" s="188"/>
    </row>
    <row r="848">
      <c r="A848" s="273"/>
      <c r="B848" s="274"/>
      <c r="C848" s="200"/>
      <c r="D848" s="275"/>
      <c r="E848" s="200"/>
      <c r="F848" s="276"/>
      <c r="G848" s="275"/>
      <c r="H848" s="275"/>
      <c r="I848" s="273"/>
      <c r="J848" s="273"/>
      <c r="K848" s="273"/>
      <c r="L848" s="188"/>
      <c r="M848" s="188"/>
      <c r="N848" s="188"/>
      <c r="O848" s="188"/>
    </row>
    <row r="849">
      <c r="A849" s="273"/>
      <c r="B849" s="274"/>
      <c r="C849" s="200"/>
      <c r="D849" s="275"/>
      <c r="E849" s="200"/>
      <c r="F849" s="276"/>
      <c r="G849" s="275"/>
      <c r="H849" s="275"/>
      <c r="I849" s="273"/>
      <c r="J849" s="273"/>
      <c r="K849" s="273"/>
      <c r="L849" s="188"/>
      <c r="M849" s="188"/>
      <c r="N849" s="188"/>
      <c r="O849" s="188"/>
    </row>
    <row r="850">
      <c r="A850" s="273"/>
      <c r="B850" s="274"/>
      <c r="C850" s="200"/>
      <c r="D850" s="275"/>
      <c r="E850" s="200"/>
      <c r="F850" s="276"/>
      <c r="G850" s="275"/>
      <c r="H850" s="275"/>
      <c r="I850" s="273"/>
      <c r="J850" s="273"/>
      <c r="K850" s="273"/>
      <c r="L850" s="188"/>
      <c r="M850" s="188"/>
      <c r="N850" s="188"/>
      <c r="O850" s="188"/>
    </row>
    <row r="851">
      <c r="A851" s="273"/>
      <c r="B851" s="274"/>
      <c r="C851" s="200"/>
      <c r="D851" s="275"/>
      <c r="E851" s="200"/>
      <c r="F851" s="276"/>
      <c r="G851" s="275"/>
      <c r="H851" s="275"/>
      <c r="I851" s="273"/>
      <c r="J851" s="273"/>
      <c r="K851" s="273"/>
      <c r="L851" s="188"/>
      <c r="M851" s="188"/>
      <c r="N851" s="188"/>
      <c r="O851" s="188"/>
    </row>
    <row r="852">
      <c r="A852" s="273"/>
      <c r="B852" s="274"/>
      <c r="C852" s="200"/>
      <c r="D852" s="275"/>
      <c r="E852" s="200"/>
      <c r="F852" s="276"/>
      <c r="G852" s="275"/>
      <c r="H852" s="275"/>
      <c r="I852" s="273"/>
      <c r="J852" s="273"/>
      <c r="K852" s="273"/>
      <c r="L852" s="188"/>
      <c r="M852" s="188"/>
      <c r="N852" s="188"/>
      <c r="O852" s="188"/>
    </row>
    <row r="853">
      <c r="A853" s="273"/>
      <c r="B853" s="274"/>
      <c r="C853" s="200"/>
      <c r="D853" s="275"/>
      <c r="E853" s="200"/>
      <c r="F853" s="276"/>
      <c r="G853" s="275"/>
      <c r="H853" s="275"/>
      <c r="I853" s="273"/>
      <c r="J853" s="273"/>
      <c r="K853" s="273"/>
      <c r="L853" s="188"/>
      <c r="M853" s="188"/>
      <c r="N853" s="188"/>
      <c r="O853" s="188"/>
    </row>
    <row r="854">
      <c r="A854" s="273"/>
      <c r="B854" s="274"/>
      <c r="C854" s="200"/>
      <c r="D854" s="275"/>
      <c r="E854" s="200"/>
      <c r="F854" s="276"/>
      <c r="G854" s="275"/>
      <c r="H854" s="275"/>
      <c r="I854" s="273"/>
      <c r="J854" s="273"/>
      <c r="K854" s="273"/>
      <c r="L854" s="188"/>
      <c r="M854" s="188"/>
      <c r="N854" s="188"/>
      <c r="O854" s="188"/>
    </row>
    <row r="855">
      <c r="A855" s="273"/>
      <c r="B855" s="274"/>
      <c r="C855" s="200"/>
      <c r="D855" s="275"/>
      <c r="E855" s="200"/>
      <c r="F855" s="276"/>
      <c r="G855" s="275"/>
      <c r="H855" s="275"/>
      <c r="I855" s="273"/>
      <c r="J855" s="273"/>
      <c r="K855" s="273"/>
      <c r="L855" s="188"/>
      <c r="M855" s="188"/>
      <c r="N855" s="188"/>
      <c r="O855" s="188"/>
    </row>
    <row r="856">
      <c r="A856" s="273"/>
      <c r="B856" s="274"/>
      <c r="C856" s="200"/>
      <c r="D856" s="275"/>
      <c r="E856" s="200"/>
      <c r="F856" s="276"/>
      <c r="G856" s="275"/>
      <c r="H856" s="275"/>
      <c r="I856" s="273"/>
      <c r="J856" s="273"/>
      <c r="K856" s="273"/>
      <c r="L856" s="188"/>
      <c r="M856" s="188"/>
      <c r="N856" s="188"/>
      <c r="O856" s="188"/>
    </row>
    <row r="857">
      <c r="A857" s="273"/>
      <c r="B857" s="274"/>
      <c r="C857" s="200"/>
      <c r="D857" s="275"/>
      <c r="E857" s="200"/>
      <c r="F857" s="276"/>
      <c r="G857" s="275"/>
      <c r="H857" s="275"/>
      <c r="I857" s="273"/>
      <c r="J857" s="273"/>
      <c r="K857" s="273"/>
      <c r="L857" s="188"/>
      <c r="M857" s="188"/>
      <c r="N857" s="188"/>
      <c r="O857" s="188"/>
    </row>
    <row r="858">
      <c r="A858" s="273"/>
      <c r="B858" s="274"/>
      <c r="C858" s="200"/>
      <c r="D858" s="275"/>
      <c r="E858" s="200"/>
      <c r="F858" s="276"/>
      <c r="G858" s="275"/>
      <c r="H858" s="275"/>
      <c r="I858" s="273"/>
      <c r="J858" s="273"/>
      <c r="K858" s="273"/>
      <c r="L858" s="188"/>
      <c r="M858" s="188"/>
      <c r="N858" s="188"/>
      <c r="O858" s="188"/>
    </row>
    <row r="859">
      <c r="A859" s="273"/>
      <c r="B859" s="274"/>
      <c r="C859" s="200"/>
      <c r="D859" s="275"/>
      <c r="E859" s="200"/>
      <c r="F859" s="276"/>
      <c r="G859" s="275"/>
      <c r="H859" s="275"/>
      <c r="I859" s="273"/>
      <c r="J859" s="273"/>
      <c r="K859" s="273"/>
      <c r="L859" s="188"/>
      <c r="M859" s="188"/>
      <c r="N859" s="188"/>
      <c r="O859" s="188"/>
    </row>
    <row r="860">
      <c r="A860" s="273"/>
      <c r="B860" s="274"/>
      <c r="C860" s="200"/>
      <c r="D860" s="275"/>
      <c r="E860" s="200"/>
      <c r="F860" s="276"/>
      <c r="G860" s="275"/>
      <c r="H860" s="275"/>
      <c r="I860" s="273"/>
      <c r="J860" s="273"/>
      <c r="K860" s="273"/>
      <c r="L860" s="188"/>
      <c r="M860" s="188"/>
      <c r="N860" s="188"/>
      <c r="O860" s="188"/>
    </row>
    <row r="861">
      <c r="A861" s="273"/>
      <c r="B861" s="274"/>
      <c r="C861" s="200"/>
      <c r="D861" s="275"/>
      <c r="E861" s="200"/>
      <c r="F861" s="276"/>
      <c r="G861" s="275"/>
      <c r="H861" s="275"/>
      <c r="I861" s="273"/>
      <c r="J861" s="273"/>
      <c r="K861" s="273"/>
      <c r="L861" s="188"/>
      <c r="M861" s="188"/>
      <c r="N861" s="188"/>
      <c r="O861" s="188"/>
    </row>
    <row r="862">
      <c r="A862" s="273"/>
      <c r="B862" s="274"/>
      <c r="C862" s="200"/>
      <c r="D862" s="275"/>
      <c r="E862" s="200"/>
      <c r="F862" s="276"/>
      <c r="G862" s="275"/>
      <c r="H862" s="275"/>
      <c r="I862" s="273"/>
      <c r="J862" s="273"/>
      <c r="K862" s="273"/>
      <c r="L862" s="188"/>
      <c r="M862" s="188"/>
      <c r="N862" s="188"/>
      <c r="O862" s="188"/>
    </row>
    <row r="863">
      <c r="A863" s="273"/>
      <c r="B863" s="274"/>
      <c r="C863" s="200"/>
      <c r="D863" s="275"/>
      <c r="E863" s="200"/>
      <c r="F863" s="276"/>
      <c r="G863" s="275"/>
      <c r="H863" s="275"/>
      <c r="I863" s="273"/>
      <c r="J863" s="273"/>
      <c r="K863" s="273"/>
      <c r="L863" s="188"/>
      <c r="M863" s="188"/>
      <c r="N863" s="188"/>
      <c r="O863" s="188"/>
    </row>
    <row r="864">
      <c r="A864" s="273"/>
      <c r="B864" s="274"/>
      <c r="C864" s="200"/>
      <c r="D864" s="275"/>
      <c r="E864" s="200"/>
      <c r="F864" s="276"/>
      <c r="G864" s="275"/>
      <c r="H864" s="275"/>
      <c r="I864" s="273"/>
      <c r="J864" s="273"/>
      <c r="K864" s="273"/>
      <c r="L864" s="188"/>
      <c r="M864" s="188"/>
      <c r="N864" s="188"/>
      <c r="O864" s="188"/>
    </row>
    <row r="865">
      <c r="A865" s="273"/>
      <c r="B865" s="274"/>
      <c r="C865" s="200"/>
      <c r="D865" s="275"/>
      <c r="E865" s="200"/>
      <c r="F865" s="276"/>
      <c r="G865" s="275"/>
      <c r="H865" s="275"/>
      <c r="I865" s="273"/>
      <c r="J865" s="273"/>
      <c r="K865" s="273"/>
      <c r="L865" s="188"/>
      <c r="M865" s="188"/>
      <c r="N865" s="188"/>
      <c r="O865" s="188"/>
    </row>
    <row r="866">
      <c r="A866" s="273"/>
      <c r="B866" s="274"/>
      <c r="C866" s="200"/>
      <c r="D866" s="275"/>
      <c r="E866" s="200"/>
      <c r="F866" s="276"/>
      <c r="G866" s="275"/>
      <c r="H866" s="275"/>
      <c r="I866" s="273"/>
      <c r="J866" s="273"/>
      <c r="K866" s="273"/>
      <c r="L866" s="188"/>
      <c r="M866" s="188"/>
      <c r="N866" s="188"/>
      <c r="O866" s="188"/>
    </row>
    <row r="867">
      <c r="A867" s="273"/>
      <c r="B867" s="274"/>
      <c r="C867" s="200"/>
      <c r="D867" s="275"/>
      <c r="E867" s="200"/>
      <c r="F867" s="276"/>
      <c r="G867" s="275"/>
      <c r="H867" s="275"/>
      <c r="I867" s="273"/>
      <c r="J867" s="273"/>
      <c r="K867" s="273"/>
      <c r="L867" s="188"/>
      <c r="M867" s="188"/>
      <c r="N867" s="188"/>
      <c r="O867" s="188"/>
    </row>
    <row r="868">
      <c r="A868" s="273"/>
      <c r="B868" s="274"/>
      <c r="C868" s="200"/>
      <c r="D868" s="275"/>
      <c r="E868" s="200"/>
      <c r="F868" s="276"/>
      <c r="G868" s="275"/>
      <c r="H868" s="275"/>
      <c r="I868" s="273"/>
      <c r="J868" s="273"/>
      <c r="K868" s="273"/>
      <c r="L868" s="188"/>
      <c r="M868" s="188"/>
      <c r="N868" s="188"/>
      <c r="O868" s="188"/>
    </row>
    <row r="869">
      <c r="A869" s="273"/>
      <c r="B869" s="274"/>
      <c r="C869" s="200"/>
      <c r="D869" s="275"/>
      <c r="E869" s="200"/>
      <c r="F869" s="276"/>
      <c r="G869" s="275"/>
      <c r="H869" s="275"/>
      <c r="I869" s="273"/>
      <c r="J869" s="273"/>
      <c r="K869" s="273"/>
      <c r="L869" s="188"/>
      <c r="M869" s="188"/>
      <c r="N869" s="188"/>
      <c r="O869" s="188"/>
    </row>
    <row r="870">
      <c r="A870" s="273"/>
      <c r="B870" s="274"/>
      <c r="C870" s="200"/>
      <c r="D870" s="275"/>
      <c r="E870" s="200"/>
      <c r="F870" s="276"/>
      <c r="G870" s="275"/>
      <c r="H870" s="275"/>
      <c r="I870" s="273"/>
      <c r="J870" s="273"/>
      <c r="K870" s="273"/>
      <c r="L870" s="188"/>
      <c r="M870" s="188"/>
      <c r="N870" s="188"/>
      <c r="O870" s="188"/>
    </row>
    <row r="871">
      <c r="A871" s="273"/>
      <c r="B871" s="274"/>
      <c r="C871" s="200"/>
      <c r="D871" s="275"/>
      <c r="E871" s="200"/>
      <c r="F871" s="276"/>
      <c r="G871" s="275"/>
      <c r="H871" s="275"/>
      <c r="I871" s="273"/>
      <c r="J871" s="273"/>
      <c r="K871" s="273"/>
      <c r="L871" s="188"/>
      <c r="M871" s="188"/>
      <c r="N871" s="188"/>
      <c r="O871" s="188"/>
    </row>
    <row r="872">
      <c r="A872" s="273"/>
      <c r="B872" s="274"/>
      <c r="C872" s="200"/>
      <c r="D872" s="275"/>
      <c r="E872" s="200"/>
      <c r="F872" s="276"/>
      <c r="G872" s="275"/>
      <c r="H872" s="275"/>
      <c r="I872" s="273"/>
      <c r="J872" s="273"/>
      <c r="K872" s="273"/>
      <c r="L872" s="188"/>
      <c r="M872" s="188"/>
      <c r="N872" s="188"/>
      <c r="O872" s="188"/>
    </row>
    <row r="873">
      <c r="A873" s="273"/>
      <c r="B873" s="274"/>
      <c r="C873" s="200"/>
      <c r="D873" s="275"/>
      <c r="E873" s="200"/>
      <c r="F873" s="276"/>
      <c r="G873" s="275"/>
      <c r="H873" s="275"/>
      <c r="I873" s="273"/>
      <c r="J873" s="273"/>
      <c r="K873" s="273"/>
      <c r="L873" s="188"/>
      <c r="M873" s="188"/>
      <c r="N873" s="188"/>
      <c r="O873" s="188"/>
    </row>
    <row r="874">
      <c r="A874" s="273"/>
      <c r="B874" s="274"/>
      <c r="C874" s="200"/>
      <c r="D874" s="275"/>
      <c r="E874" s="200"/>
      <c r="F874" s="276"/>
      <c r="G874" s="275"/>
      <c r="H874" s="275"/>
      <c r="I874" s="273"/>
      <c r="J874" s="273"/>
      <c r="K874" s="273"/>
      <c r="L874" s="188"/>
      <c r="M874" s="188"/>
      <c r="N874" s="188"/>
      <c r="O874" s="188"/>
    </row>
    <row r="875">
      <c r="A875" s="273"/>
      <c r="B875" s="274"/>
      <c r="C875" s="200"/>
      <c r="D875" s="275"/>
      <c r="E875" s="200"/>
      <c r="F875" s="276"/>
      <c r="G875" s="275"/>
      <c r="H875" s="275"/>
      <c r="I875" s="273"/>
      <c r="J875" s="273"/>
      <c r="K875" s="273"/>
      <c r="L875" s="188"/>
      <c r="M875" s="188"/>
      <c r="N875" s="188"/>
      <c r="O875" s="188"/>
    </row>
    <row r="876">
      <c r="A876" s="273"/>
      <c r="B876" s="274"/>
      <c r="C876" s="200"/>
      <c r="D876" s="275"/>
      <c r="E876" s="200"/>
      <c r="F876" s="276"/>
      <c r="G876" s="275"/>
      <c r="H876" s="275"/>
      <c r="I876" s="273"/>
      <c r="J876" s="273"/>
      <c r="K876" s="273"/>
      <c r="L876" s="188"/>
      <c r="M876" s="188"/>
      <c r="N876" s="188"/>
      <c r="O876" s="188"/>
    </row>
    <row r="877">
      <c r="A877" s="273"/>
      <c r="B877" s="274"/>
      <c r="C877" s="200"/>
      <c r="D877" s="275"/>
      <c r="E877" s="200"/>
      <c r="F877" s="276"/>
      <c r="G877" s="275"/>
      <c r="H877" s="275"/>
      <c r="I877" s="273"/>
      <c r="J877" s="273"/>
      <c r="K877" s="273"/>
      <c r="L877" s="188"/>
      <c r="M877" s="188"/>
      <c r="N877" s="188"/>
      <c r="O877" s="188"/>
    </row>
    <row r="878">
      <c r="A878" s="273"/>
      <c r="B878" s="274"/>
      <c r="C878" s="200"/>
      <c r="D878" s="275"/>
      <c r="E878" s="200"/>
      <c r="F878" s="276"/>
      <c r="G878" s="275"/>
      <c r="H878" s="275"/>
      <c r="I878" s="273"/>
      <c r="J878" s="273"/>
      <c r="K878" s="273"/>
      <c r="L878" s="188"/>
      <c r="M878" s="188"/>
      <c r="N878" s="188"/>
      <c r="O878" s="188"/>
    </row>
    <row r="879">
      <c r="A879" s="273"/>
      <c r="B879" s="274"/>
      <c r="C879" s="200"/>
      <c r="D879" s="275"/>
      <c r="E879" s="200"/>
      <c r="F879" s="276"/>
      <c r="G879" s="275"/>
      <c r="H879" s="275"/>
      <c r="I879" s="273"/>
      <c r="J879" s="273"/>
      <c r="K879" s="273"/>
      <c r="L879" s="188"/>
      <c r="M879" s="188"/>
      <c r="N879" s="188"/>
      <c r="O879" s="188"/>
    </row>
    <row r="880">
      <c r="A880" s="273"/>
      <c r="B880" s="274"/>
      <c r="C880" s="200"/>
      <c r="D880" s="275"/>
      <c r="E880" s="200"/>
      <c r="F880" s="276"/>
      <c r="G880" s="275"/>
      <c r="H880" s="275"/>
      <c r="I880" s="273"/>
      <c r="J880" s="273"/>
      <c r="K880" s="273"/>
      <c r="L880" s="188"/>
      <c r="M880" s="188"/>
      <c r="N880" s="188"/>
      <c r="O880" s="188"/>
    </row>
    <row r="881">
      <c r="A881" s="273"/>
      <c r="B881" s="274"/>
      <c r="C881" s="200"/>
      <c r="D881" s="275"/>
      <c r="E881" s="200"/>
      <c r="F881" s="276"/>
      <c r="G881" s="275"/>
      <c r="H881" s="275"/>
      <c r="I881" s="273"/>
      <c r="J881" s="273"/>
      <c r="K881" s="273"/>
      <c r="L881" s="188"/>
      <c r="M881" s="188"/>
      <c r="N881" s="188"/>
      <c r="O881" s="188"/>
    </row>
    <row r="882">
      <c r="A882" s="273"/>
      <c r="B882" s="274"/>
      <c r="C882" s="200"/>
      <c r="D882" s="275"/>
      <c r="E882" s="200"/>
      <c r="F882" s="276"/>
      <c r="G882" s="275"/>
      <c r="H882" s="275"/>
      <c r="I882" s="273"/>
      <c r="J882" s="273"/>
      <c r="K882" s="273"/>
      <c r="L882" s="188"/>
      <c r="M882" s="188"/>
      <c r="N882" s="188"/>
      <c r="O882" s="188"/>
    </row>
    <row r="883">
      <c r="A883" s="273"/>
      <c r="B883" s="274"/>
      <c r="C883" s="200"/>
      <c r="D883" s="275"/>
      <c r="E883" s="200"/>
      <c r="F883" s="276"/>
      <c r="G883" s="275"/>
      <c r="H883" s="275"/>
      <c r="I883" s="273"/>
      <c r="J883" s="273"/>
      <c r="K883" s="273"/>
      <c r="L883" s="188"/>
      <c r="M883" s="188"/>
      <c r="N883" s="188"/>
      <c r="O883" s="188"/>
    </row>
    <row r="884">
      <c r="A884" s="273"/>
      <c r="B884" s="274"/>
      <c r="C884" s="200"/>
      <c r="D884" s="275"/>
      <c r="E884" s="200"/>
      <c r="F884" s="276"/>
      <c r="G884" s="275"/>
      <c r="H884" s="275"/>
      <c r="I884" s="273"/>
      <c r="J884" s="273"/>
      <c r="K884" s="273"/>
      <c r="L884" s="188"/>
      <c r="M884" s="188"/>
      <c r="N884" s="188"/>
      <c r="O884" s="188"/>
    </row>
    <row r="885">
      <c r="A885" s="273"/>
      <c r="B885" s="274"/>
      <c r="C885" s="200"/>
      <c r="D885" s="275"/>
      <c r="E885" s="200"/>
      <c r="F885" s="276"/>
      <c r="G885" s="275"/>
      <c r="H885" s="275"/>
      <c r="I885" s="273"/>
      <c r="J885" s="273"/>
      <c r="K885" s="273"/>
      <c r="L885" s="188"/>
      <c r="M885" s="188"/>
      <c r="N885" s="188"/>
      <c r="O885" s="188"/>
    </row>
    <row r="886">
      <c r="A886" s="273"/>
      <c r="B886" s="274"/>
      <c r="C886" s="200"/>
      <c r="D886" s="275"/>
      <c r="E886" s="200"/>
      <c r="F886" s="276"/>
      <c r="G886" s="275"/>
      <c r="H886" s="275"/>
      <c r="I886" s="273"/>
      <c r="J886" s="273"/>
      <c r="K886" s="273"/>
      <c r="L886" s="188"/>
      <c r="M886" s="188"/>
      <c r="N886" s="188"/>
      <c r="O886" s="188"/>
    </row>
    <row r="887">
      <c r="A887" s="273"/>
      <c r="B887" s="274"/>
      <c r="C887" s="200"/>
      <c r="D887" s="275"/>
      <c r="E887" s="200"/>
      <c r="F887" s="276"/>
      <c r="G887" s="275"/>
      <c r="H887" s="275"/>
      <c r="I887" s="273"/>
      <c r="J887" s="273"/>
      <c r="K887" s="273"/>
      <c r="L887" s="188"/>
      <c r="M887" s="188"/>
      <c r="N887" s="188"/>
      <c r="O887" s="188"/>
    </row>
    <row r="888">
      <c r="A888" s="273"/>
      <c r="B888" s="274"/>
      <c r="C888" s="200"/>
      <c r="D888" s="275"/>
      <c r="E888" s="200"/>
      <c r="F888" s="276"/>
      <c r="G888" s="275"/>
      <c r="H888" s="275"/>
      <c r="I888" s="273"/>
      <c r="J888" s="273"/>
      <c r="K888" s="273"/>
      <c r="L888" s="188"/>
      <c r="M888" s="188"/>
      <c r="N888" s="188"/>
      <c r="O888" s="188"/>
    </row>
    <row r="889">
      <c r="A889" s="273"/>
      <c r="B889" s="274"/>
      <c r="C889" s="200"/>
      <c r="D889" s="275"/>
      <c r="E889" s="200"/>
      <c r="F889" s="276"/>
      <c r="G889" s="275"/>
      <c r="H889" s="275"/>
      <c r="I889" s="273"/>
      <c r="J889" s="273"/>
      <c r="K889" s="273"/>
      <c r="L889" s="188"/>
      <c r="M889" s="188"/>
      <c r="N889" s="188"/>
      <c r="O889" s="188"/>
    </row>
    <row r="890">
      <c r="A890" s="273"/>
      <c r="B890" s="274"/>
      <c r="C890" s="200"/>
      <c r="D890" s="275"/>
      <c r="E890" s="200"/>
      <c r="F890" s="276"/>
      <c r="G890" s="275"/>
      <c r="H890" s="275"/>
      <c r="I890" s="273"/>
      <c r="J890" s="273"/>
      <c r="K890" s="273"/>
      <c r="L890" s="188"/>
      <c r="M890" s="188"/>
      <c r="N890" s="188"/>
      <c r="O890" s="188"/>
    </row>
    <row r="891">
      <c r="A891" s="273"/>
      <c r="B891" s="274"/>
      <c r="C891" s="200"/>
      <c r="D891" s="275"/>
      <c r="E891" s="200"/>
      <c r="F891" s="276"/>
      <c r="G891" s="275"/>
      <c r="H891" s="275"/>
      <c r="I891" s="273"/>
      <c r="J891" s="273"/>
      <c r="K891" s="273"/>
      <c r="L891" s="188"/>
      <c r="M891" s="188"/>
      <c r="N891" s="188"/>
      <c r="O891" s="188"/>
    </row>
    <row r="892">
      <c r="A892" s="273"/>
      <c r="B892" s="274"/>
      <c r="C892" s="200"/>
      <c r="D892" s="275"/>
      <c r="E892" s="200"/>
      <c r="F892" s="276"/>
      <c r="G892" s="275"/>
      <c r="H892" s="275"/>
      <c r="I892" s="273"/>
      <c r="J892" s="273"/>
      <c r="K892" s="273"/>
      <c r="L892" s="188"/>
      <c r="M892" s="188"/>
      <c r="N892" s="188"/>
      <c r="O892" s="188"/>
    </row>
    <row r="893">
      <c r="A893" s="273"/>
      <c r="B893" s="274"/>
      <c r="C893" s="200"/>
      <c r="D893" s="275"/>
      <c r="E893" s="200"/>
      <c r="F893" s="276"/>
      <c r="G893" s="275"/>
      <c r="H893" s="275"/>
      <c r="I893" s="273"/>
      <c r="J893" s="273"/>
      <c r="K893" s="273"/>
      <c r="L893" s="188"/>
      <c r="M893" s="188"/>
      <c r="N893" s="188"/>
      <c r="O893" s="188"/>
    </row>
    <row r="894">
      <c r="A894" s="273"/>
      <c r="B894" s="274"/>
      <c r="C894" s="200"/>
      <c r="D894" s="275"/>
      <c r="E894" s="200"/>
      <c r="F894" s="276"/>
      <c r="G894" s="275"/>
      <c r="H894" s="275"/>
      <c r="I894" s="273"/>
      <c r="J894" s="273"/>
      <c r="K894" s="273"/>
      <c r="L894" s="188"/>
      <c r="M894" s="188"/>
      <c r="N894" s="188"/>
      <c r="O894" s="188"/>
    </row>
    <row r="895">
      <c r="A895" s="273"/>
      <c r="B895" s="274"/>
      <c r="C895" s="200"/>
      <c r="D895" s="275"/>
      <c r="E895" s="200"/>
      <c r="F895" s="276"/>
      <c r="G895" s="275"/>
      <c r="H895" s="275"/>
      <c r="I895" s="273"/>
      <c r="J895" s="273"/>
      <c r="K895" s="273"/>
      <c r="L895" s="188"/>
      <c r="M895" s="188"/>
      <c r="N895" s="188"/>
      <c r="O895" s="188"/>
    </row>
    <row r="896">
      <c r="A896" s="273"/>
      <c r="B896" s="274"/>
      <c r="C896" s="200"/>
      <c r="D896" s="275"/>
      <c r="E896" s="200"/>
      <c r="F896" s="276"/>
      <c r="G896" s="275"/>
      <c r="H896" s="275"/>
      <c r="I896" s="273"/>
      <c r="J896" s="273"/>
      <c r="K896" s="273"/>
      <c r="L896" s="188"/>
      <c r="M896" s="188"/>
      <c r="N896" s="188"/>
      <c r="O896" s="188"/>
    </row>
    <row r="897">
      <c r="A897" s="273"/>
      <c r="B897" s="274"/>
      <c r="C897" s="200"/>
      <c r="D897" s="275"/>
      <c r="E897" s="200"/>
      <c r="F897" s="276"/>
      <c r="G897" s="275"/>
      <c r="H897" s="275"/>
      <c r="I897" s="273"/>
      <c r="J897" s="273"/>
      <c r="K897" s="273"/>
      <c r="L897" s="188"/>
      <c r="M897" s="188"/>
      <c r="N897" s="188"/>
      <c r="O897" s="188"/>
    </row>
    <row r="898">
      <c r="A898" s="273"/>
      <c r="B898" s="274"/>
      <c r="C898" s="200"/>
      <c r="D898" s="275"/>
      <c r="E898" s="200"/>
      <c r="F898" s="276"/>
      <c r="G898" s="275"/>
      <c r="H898" s="275"/>
      <c r="I898" s="273"/>
      <c r="J898" s="273"/>
      <c r="K898" s="273"/>
      <c r="L898" s="188"/>
      <c r="M898" s="188"/>
      <c r="N898" s="188"/>
      <c r="O898" s="188"/>
    </row>
    <row r="899">
      <c r="A899" s="273"/>
      <c r="B899" s="274"/>
      <c r="C899" s="200"/>
      <c r="D899" s="275"/>
      <c r="E899" s="200"/>
      <c r="F899" s="276"/>
      <c r="G899" s="275"/>
      <c r="H899" s="275"/>
      <c r="I899" s="273"/>
      <c r="J899" s="273"/>
      <c r="K899" s="273"/>
      <c r="L899" s="188"/>
      <c r="M899" s="188"/>
      <c r="N899" s="188"/>
      <c r="O899" s="188"/>
    </row>
    <row r="900">
      <c r="A900" s="273"/>
      <c r="B900" s="274"/>
      <c r="C900" s="200"/>
      <c r="D900" s="275"/>
      <c r="E900" s="200"/>
      <c r="F900" s="276"/>
      <c r="G900" s="275"/>
      <c r="H900" s="275"/>
      <c r="I900" s="273"/>
      <c r="J900" s="273"/>
      <c r="K900" s="273"/>
      <c r="L900" s="188"/>
      <c r="M900" s="188"/>
      <c r="N900" s="188"/>
      <c r="O900" s="188"/>
    </row>
    <row r="901">
      <c r="A901" s="273"/>
      <c r="B901" s="274"/>
      <c r="C901" s="200"/>
      <c r="D901" s="275"/>
      <c r="E901" s="200"/>
      <c r="F901" s="276"/>
      <c r="G901" s="275"/>
      <c r="H901" s="275"/>
      <c r="I901" s="273"/>
      <c r="J901" s="273"/>
      <c r="K901" s="273"/>
      <c r="L901" s="188"/>
      <c r="M901" s="188"/>
      <c r="N901" s="188"/>
      <c r="O901" s="188"/>
    </row>
    <row r="902">
      <c r="A902" s="273"/>
      <c r="B902" s="274"/>
      <c r="C902" s="200"/>
      <c r="D902" s="275"/>
      <c r="E902" s="200"/>
      <c r="F902" s="276"/>
      <c r="G902" s="275"/>
      <c r="H902" s="275"/>
      <c r="I902" s="273"/>
      <c r="J902" s="273"/>
      <c r="K902" s="273"/>
      <c r="L902" s="188"/>
      <c r="M902" s="188"/>
      <c r="N902" s="188"/>
      <c r="O902" s="188"/>
    </row>
    <row r="903">
      <c r="A903" s="273"/>
      <c r="B903" s="274"/>
      <c r="C903" s="200"/>
      <c r="D903" s="275"/>
      <c r="E903" s="200"/>
      <c r="F903" s="276"/>
      <c r="G903" s="275"/>
      <c r="H903" s="275"/>
      <c r="I903" s="273"/>
      <c r="J903" s="273"/>
      <c r="K903" s="273"/>
      <c r="L903" s="188"/>
      <c r="M903" s="188"/>
      <c r="N903" s="188"/>
      <c r="O903" s="188"/>
    </row>
    <row r="904">
      <c r="A904" s="273"/>
      <c r="B904" s="274"/>
      <c r="C904" s="200"/>
      <c r="D904" s="275"/>
      <c r="E904" s="200"/>
      <c r="F904" s="276"/>
      <c r="G904" s="275"/>
      <c r="H904" s="275"/>
      <c r="I904" s="273"/>
      <c r="J904" s="273"/>
      <c r="K904" s="273"/>
      <c r="L904" s="188"/>
      <c r="M904" s="188"/>
      <c r="N904" s="188"/>
      <c r="O904" s="188"/>
    </row>
    <row r="905">
      <c r="A905" s="273"/>
      <c r="B905" s="274"/>
      <c r="C905" s="200"/>
      <c r="D905" s="275"/>
      <c r="E905" s="200"/>
      <c r="F905" s="276"/>
      <c r="G905" s="275"/>
      <c r="H905" s="275"/>
      <c r="I905" s="273"/>
      <c r="J905" s="273"/>
      <c r="K905" s="273"/>
      <c r="L905" s="188"/>
      <c r="M905" s="188"/>
      <c r="N905" s="188"/>
      <c r="O905" s="188"/>
    </row>
    <row r="906">
      <c r="A906" s="273"/>
      <c r="B906" s="274"/>
      <c r="C906" s="200"/>
      <c r="D906" s="275"/>
      <c r="E906" s="200"/>
      <c r="F906" s="276"/>
      <c r="G906" s="275"/>
      <c r="H906" s="275"/>
      <c r="I906" s="273"/>
      <c r="J906" s="273"/>
      <c r="K906" s="273"/>
      <c r="L906" s="188"/>
      <c r="M906" s="188"/>
      <c r="N906" s="188"/>
      <c r="O906" s="188"/>
    </row>
    <row r="907">
      <c r="A907" s="273"/>
      <c r="B907" s="274"/>
      <c r="C907" s="200"/>
      <c r="D907" s="275"/>
      <c r="E907" s="200"/>
      <c r="F907" s="276"/>
      <c r="G907" s="275"/>
      <c r="H907" s="275"/>
      <c r="I907" s="273"/>
      <c r="J907" s="273"/>
      <c r="K907" s="273"/>
      <c r="L907" s="188"/>
      <c r="M907" s="188"/>
      <c r="N907" s="188"/>
      <c r="O907" s="188"/>
    </row>
    <row r="908">
      <c r="A908" s="273"/>
      <c r="B908" s="274"/>
      <c r="C908" s="200"/>
      <c r="D908" s="275"/>
      <c r="E908" s="200"/>
      <c r="F908" s="276"/>
      <c r="G908" s="275"/>
      <c r="H908" s="275"/>
      <c r="I908" s="273"/>
      <c r="J908" s="273"/>
      <c r="K908" s="273"/>
      <c r="L908" s="188"/>
      <c r="M908" s="188"/>
      <c r="N908" s="188"/>
      <c r="O908" s="188"/>
    </row>
    <row r="909">
      <c r="A909" s="273"/>
      <c r="B909" s="274"/>
      <c r="C909" s="200"/>
      <c r="D909" s="275"/>
      <c r="E909" s="200"/>
      <c r="F909" s="276"/>
      <c r="G909" s="275"/>
      <c r="H909" s="275"/>
      <c r="I909" s="273"/>
      <c r="J909" s="273"/>
      <c r="K909" s="273"/>
      <c r="L909" s="188"/>
      <c r="M909" s="188"/>
      <c r="N909" s="188"/>
      <c r="O909" s="188"/>
    </row>
    <row r="910">
      <c r="A910" s="273"/>
      <c r="B910" s="274"/>
      <c r="C910" s="200"/>
      <c r="D910" s="275"/>
      <c r="E910" s="200"/>
      <c r="F910" s="276"/>
      <c r="G910" s="275"/>
      <c r="H910" s="275"/>
      <c r="I910" s="273"/>
      <c r="J910" s="273"/>
      <c r="K910" s="273"/>
      <c r="L910" s="188"/>
      <c r="M910" s="188"/>
      <c r="N910" s="188"/>
      <c r="O910" s="188"/>
    </row>
    <row r="911">
      <c r="A911" s="273"/>
      <c r="B911" s="274"/>
      <c r="C911" s="200"/>
      <c r="D911" s="275"/>
      <c r="E911" s="200"/>
      <c r="F911" s="276"/>
      <c r="G911" s="275"/>
      <c r="H911" s="275"/>
      <c r="I911" s="273"/>
      <c r="J911" s="273"/>
      <c r="K911" s="273"/>
      <c r="L911" s="188"/>
      <c r="M911" s="188"/>
      <c r="N911" s="188"/>
      <c r="O911" s="188"/>
    </row>
    <row r="912">
      <c r="A912" s="273"/>
      <c r="B912" s="274"/>
      <c r="C912" s="200"/>
      <c r="D912" s="275"/>
      <c r="E912" s="200"/>
      <c r="F912" s="276"/>
      <c r="G912" s="275"/>
      <c r="H912" s="275"/>
      <c r="I912" s="273"/>
      <c r="J912" s="273"/>
      <c r="K912" s="273"/>
      <c r="L912" s="188"/>
      <c r="M912" s="188"/>
      <c r="N912" s="188"/>
      <c r="O912" s="188"/>
    </row>
    <row r="913">
      <c r="A913" s="273"/>
      <c r="B913" s="274"/>
      <c r="C913" s="200"/>
      <c r="D913" s="275"/>
      <c r="E913" s="200"/>
      <c r="F913" s="276"/>
      <c r="G913" s="275"/>
      <c r="H913" s="275"/>
      <c r="I913" s="273"/>
      <c r="J913" s="273"/>
      <c r="K913" s="273"/>
      <c r="L913" s="188"/>
      <c r="M913" s="188"/>
      <c r="N913" s="188"/>
      <c r="O913" s="188"/>
    </row>
    <row r="914">
      <c r="A914" s="273"/>
      <c r="B914" s="274"/>
      <c r="C914" s="200"/>
      <c r="D914" s="275"/>
      <c r="E914" s="200"/>
      <c r="F914" s="276"/>
      <c r="G914" s="275"/>
      <c r="H914" s="275"/>
      <c r="I914" s="273"/>
      <c r="J914" s="273"/>
      <c r="K914" s="273"/>
      <c r="L914" s="188"/>
      <c r="M914" s="188"/>
      <c r="N914" s="188"/>
      <c r="O914" s="188"/>
    </row>
    <row r="915">
      <c r="A915" s="273"/>
      <c r="B915" s="274"/>
      <c r="C915" s="200"/>
      <c r="D915" s="275"/>
      <c r="E915" s="200"/>
      <c r="F915" s="276"/>
      <c r="G915" s="275"/>
      <c r="H915" s="275"/>
      <c r="I915" s="273"/>
      <c r="J915" s="273"/>
      <c r="K915" s="273"/>
      <c r="L915" s="188"/>
      <c r="M915" s="188"/>
      <c r="N915" s="188"/>
      <c r="O915" s="188"/>
    </row>
    <row r="916">
      <c r="A916" s="273"/>
      <c r="B916" s="274"/>
      <c r="C916" s="200"/>
      <c r="D916" s="275"/>
      <c r="E916" s="200"/>
      <c r="F916" s="276"/>
      <c r="G916" s="275"/>
      <c r="H916" s="275"/>
      <c r="I916" s="273"/>
      <c r="J916" s="273"/>
      <c r="K916" s="273"/>
      <c r="L916" s="188"/>
      <c r="M916" s="188"/>
      <c r="N916" s="188"/>
      <c r="O916" s="188"/>
    </row>
    <row r="917">
      <c r="A917" s="273"/>
      <c r="B917" s="274"/>
      <c r="C917" s="200"/>
      <c r="D917" s="275"/>
      <c r="E917" s="200"/>
      <c r="F917" s="276"/>
      <c r="G917" s="275"/>
      <c r="H917" s="275"/>
      <c r="I917" s="273"/>
      <c r="J917" s="273"/>
      <c r="K917" s="273"/>
      <c r="L917" s="188"/>
      <c r="M917" s="188"/>
      <c r="N917" s="188"/>
      <c r="O917" s="188"/>
    </row>
    <row r="918">
      <c r="A918" s="273"/>
      <c r="B918" s="274"/>
      <c r="C918" s="200"/>
      <c r="D918" s="275"/>
      <c r="E918" s="200"/>
      <c r="F918" s="276"/>
      <c r="G918" s="275"/>
      <c r="H918" s="275"/>
      <c r="I918" s="273"/>
      <c r="J918" s="273"/>
      <c r="K918" s="273"/>
      <c r="L918" s="188"/>
      <c r="M918" s="188"/>
      <c r="N918" s="188"/>
      <c r="O918" s="188"/>
    </row>
    <row r="919">
      <c r="A919" s="273"/>
      <c r="B919" s="274"/>
      <c r="C919" s="200"/>
      <c r="D919" s="275"/>
      <c r="E919" s="200"/>
      <c r="F919" s="276"/>
      <c r="G919" s="275"/>
      <c r="H919" s="275"/>
      <c r="I919" s="273"/>
      <c r="J919" s="273"/>
      <c r="K919" s="273"/>
      <c r="L919" s="188"/>
      <c r="M919" s="188"/>
      <c r="N919" s="188"/>
      <c r="O919" s="188"/>
    </row>
    <row r="920">
      <c r="A920" s="273"/>
      <c r="B920" s="274"/>
      <c r="C920" s="200"/>
      <c r="D920" s="275"/>
      <c r="E920" s="200"/>
      <c r="F920" s="276"/>
      <c r="G920" s="275"/>
      <c r="H920" s="275"/>
      <c r="I920" s="273"/>
      <c r="J920" s="273"/>
      <c r="K920" s="273"/>
      <c r="L920" s="188"/>
      <c r="M920" s="188"/>
      <c r="N920" s="188"/>
      <c r="O920" s="188"/>
    </row>
    <row r="921">
      <c r="A921" s="273"/>
      <c r="B921" s="274"/>
      <c r="C921" s="200"/>
      <c r="D921" s="275"/>
      <c r="E921" s="200"/>
      <c r="F921" s="276"/>
      <c r="G921" s="275"/>
      <c r="H921" s="275"/>
      <c r="I921" s="273"/>
      <c r="J921" s="273"/>
      <c r="K921" s="273"/>
      <c r="L921" s="188"/>
      <c r="M921" s="188"/>
      <c r="N921" s="188"/>
      <c r="O921" s="188"/>
    </row>
    <row r="922">
      <c r="A922" s="273"/>
      <c r="B922" s="274"/>
      <c r="C922" s="200"/>
      <c r="D922" s="275"/>
      <c r="E922" s="200"/>
      <c r="F922" s="276"/>
      <c r="G922" s="275"/>
      <c r="H922" s="275"/>
      <c r="I922" s="273"/>
      <c r="J922" s="273"/>
      <c r="K922" s="273"/>
      <c r="L922" s="188"/>
      <c r="M922" s="188"/>
      <c r="N922" s="188"/>
      <c r="O922" s="188"/>
    </row>
    <row r="923">
      <c r="A923" s="273"/>
      <c r="B923" s="274"/>
      <c r="C923" s="200"/>
      <c r="D923" s="275"/>
      <c r="E923" s="200"/>
      <c r="F923" s="276"/>
      <c r="G923" s="275"/>
      <c r="H923" s="275"/>
      <c r="I923" s="273"/>
      <c r="J923" s="273"/>
      <c r="K923" s="273"/>
      <c r="L923" s="188"/>
      <c r="M923" s="188"/>
      <c r="N923" s="188"/>
      <c r="O923" s="188"/>
    </row>
    <row r="924">
      <c r="A924" s="273"/>
      <c r="B924" s="274"/>
      <c r="C924" s="200"/>
      <c r="D924" s="275"/>
      <c r="E924" s="200"/>
      <c r="F924" s="276"/>
      <c r="G924" s="275"/>
      <c r="H924" s="275"/>
      <c r="I924" s="273"/>
      <c r="J924" s="273"/>
      <c r="K924" s="273"/>
      <c r="L924" s="188"/>
      <c r="M924" s="188"/>
      <c r="N924" s="188"/>
      <c r="O924" s="188"/>
    </row>
    <row r="925">
      <c r="A925" s="273"/>
      <c r="B925" s="274"/>
      <c r="C925" s="200"/>
      <c r="D925" s="275"/>
      <c r="E925" s="200"/>
      <c r="F925" s="276"/>
      <c r="G925" s="275"/>
      <c r="H925" s="275"/>
      <c r="I925" s="273"/>
      <c r="J925" s="273"/>
      <c r="K925" s="273"/>
      <c r="L925" s="188"/>
      <c r="M925" s="188"/>
      <c r="N925" s="188"/>
      <c r="O925" s="188"/>
    </row>
    <row r="926">
      <c r="A926" s="273"/>
      <c r="B926" s="274"/>
      <c r="C926" s="200"/>
      <c r="D926" s="275"/>
      <c r="E926" s="200"/>
      <c r="F926" s="276"/>
      <c r="G926" s="275"/>
      <c r="H926" s="275"/>
      <c r="I926" s="273"/>
      <c r="J926" s="273"/>
      <c r="K926" s="273"/>
      <c r="L926" s="188"/>
      <c r="M926" s="188"/>
      <c r="N926" s="188"/>
      <c r="O926" s="188"/>
    </row>
    <row r="927">
      <c r="A927" s="273"/>
      <c r="B927" s="274"/>
      <c r="C927" s="200"/>
      <c r="D927" s="275"/>
      <c r="E927" s="200"/>
      <c r="F927" s="276"/>
      <c r="G927" s="275"/>
      <c r="H927" s="275"/>
      <c r="I927" s="273"/>
      <c r="J927" s="273"/>
      <c r="K927" s="273"/>
      <c r="L927" s="188"/>
      <c r="M927" s="188"/>
      <c r="N927" s="188"/>
      <c r="O927" s="188"/>
    </row>
    <row r="928">
      <c r="A928" s="273"/>
      <c r="B928" s="274"/>
      <c r="C928" s="200"/>
      <c r="D928" s="275"/>
      <c r="E928" s="200"/>
      <c r="F928" s="276"/>
      <c r="G928" s="275"/>
      <c r="H928" s="275"/>
      <c r="I928" s="273"/>
      <c r="J928" s="273"/>
      <c r="K928" s="273"/>
      <c r="L928" s="188"/>
      <c r="M928" s="188"/>
      <c r="N928" s="188"/>
      <c r="O928" s="188"/>
    </row>
    <row r="929">
      <c r="A929" s="273"/>
      <c r="B929" s="274"/>
      <c r="C929" s="200"/>
      <c r="D929" s="275"/>
      <c r="E929" s="200"/>
      <c r="F929" s="276"/>
      <c r="G929" s="275"/>
      <c r="H929" s="275"/>
      <c r="I929" s="273"/>
      <c r="J929" s="273"/>
      <c r="K929" s="273"/>
      <c r="L929" s="188"/>
      <c r="M929" s="188"/>
      <c r="N929" s="188"/>
      <c r="O929" s="188"/>
    </row>
    <row r="930">
      <c r="A930" s="273"/>
      <c r="B930" s="274"/>
      <c r="C930" s="200"/>
      <c r="D930" s="275"/>
      <c r="E930" s="200"/>
      <c r="F930" s="276"/>
      <c r="G930" s="275"/>
      <c r="H930" s="275"/>
      <c r="I930" s="273"/>
      <c r="J930" s="273"/>
      <c r="K930" s="273"/>
      <c r="L930" s="188"/>
      <c r="M930" s="188"/>
      <c r="N930" s="188"/>
      <c r="O930" s="188"/>
    </row>
    <row r="931">
      <c r="A931" s="273"/>
      <c r="B931" s="274"/>
      <c r="C931" s="200"/>
      <c r="D931" s="275"/>
      <c r="E931" s="200"/>
      <c r="F931" s="276"/>
      <c r="G931" s="275"/>
      <c r="H931" s="275"/>
      <c r="I931" s="273"/>
      <c r="J931" s="273"/>
      <c r="K931" s="273"/>
      <c r="L931" s="188"/>
      <c r="M931" s="188"/>
      <c r="N931" s="188"/>
      <c r="O931" s="188"/>
    </row>
    <row r="932">
      <c r="A932" s="273"/>
      <c r="B932" s="274"/>
      <c r="C932" s="200"/>
      <c r="D932" s="275"/>
      <c r="E932" s="200"/>
      <c r="F932" s="276"/>
      <c r="G932" s="275"/>
      <c r="H932" s="275"/>
      <c r="I932" s="273"/>
      <c r="J932" s="273"/>
      <c r="K932" s="273"/>
      <c r="L932" s="188"/>
      <c r="M932" s="188"/>
      <c r="N932" s="188"/>
      <c r="O932" s="188"/>
    </row>
    <row r="933">
      <c r="A933" s="273"/>
      <c r="B933" s="274"/>
      <c r="C933" s="200"/>
      <c r="D933" s="275"/>
      <c r="E933" s="200"/>
      <c r="F933" s="276"/>
      <c r="G933" s="275"/>
      <c r="H933" s="275"/>
      <c r="I933" s="273"/>
      <c r="J933" s="273"/>
      <c r="K933" s="273"/>
      <c r="L933" s="188"/>
      <c r="M933" s="188"/>
      <c r="N933" s="188"/>
      <c r="O933" s="188"/>
    </row>
    <row r="934">
      <c r="A934" s="273"/>
      <c r="B934" s="274"/>
      <c r="C934" s="200"/>
      <c r="D934" s="275"/>
      <c r="E934" s="200"/>
      <c r="F934" s="276"/>
      <c r="G934" s="275"/>
      <c r="H934" s="275"/>
      <c r="I934" s="273"/>
      <c r="J934" s="273"/>
      <c r="K934" s="273"/>
      <c r="L934" s="188"/>
      <c r="M934" s="188"/>
      <c r="N934" s="188"/>
      <c r="O934" s="188"/>
    </row>
    <row r="935">
      <c r="A935" s="273"/>
      <c r="B935" s="274"/>
      <c r="C935" s="200"/>
      <c r="D935" s="275"/>
      <c r="E935" s="200"/>
      <c r="F935" s="276"/>
      <c r="G935" s="275"/>
      <c r="H935" s="275"/>
      <c r="I935" s="273"/>
      <c r="J935" s="273"/>
      <c r="K935" s="273"/>
      <c r="L935" s="188"/>
      <c r="M935" s="188"/>
      <c r="N935" s="188"/>
      <c r="O935" s="188"/>
    </row>
    <row r="936">
      <c r="A936" s="273"/>
      <c r="B936" s="274"/>
      <c r="C936" s="200"/>
      <c r="D936" s="275"/>
      <c r="E936" s="200"/>
      <c r="F936" s="276"/>
      <c r="G936" s="275"/>
      <c r="H936" s="275"/>
      <c r="I936" s="273"/>
      <c r="J936" s="273"/>
      <c r="K936" s="273"/>
      <c r="L936" s="188"/>
      <c r="M936" s="188"/>
      <c r="N936" s="188"/>
      <c r="O936" s="188"/>
    </row>
    <row r="937">
      <c r="A937" s="273"/>
      <c r="B937" s="274"/>
      <c r="C937" s="200"/>
      <c r="D937" s="275"/>
      <c r="E937" s="200"/>
      <c r="F937" s="276"/>
      <c r="G937" s="275"/>
      <c r="H937" s="275"/>
      <c r="I937" s="273"/>
      <c r="J937" s="273"/>
      <c r="K937" s="273"/>
      <c r="L937" s="188"/>
      <c r="M937" s="188"/>
      <c r="N937" s="188"/>
      <c r="O937" s="188"/>
    </row>
    <row r="938">
      <c r="A938" s="273"/>
      <c r="B938" s="274"/>
      <c r="C938" s="200"/>
      <c r="D938" s="275"/>
      <c r="E938" s="200"/>
      <c r="F938" s="276"/>
      <c r="G938" s="275"/>
      <c r="H938" s="275"/>
      <c r="I938" s="273"/>
      <c r="J938" s="273"/>
      <c r="K938" s="273"/>
      <c r="L938" s="188"/>
      <c r="M938" s="188"/>
      <c r="N938" s="188"/>
      <c r="O938" s="188"/>
    </row>
    <row r="939">
      <c r="A939" s="273"/>
      <c r="B939" s="274"/>
      <c r="C939" s="200"/>
      <c r="D939" s="275"/>
      <c r="E939" s="200"/>
      <c r="F939" s="276"/>
      <c r="G939" s="275"/>
      <c r="H939" s="275"/>
      <c r="I939" s="273"/>
      <c r="J939" s="273"/>
      <c r="K939" s="273"/>
      <c r="L939" s="188"/>
      <c r="M939" s="188"/>
      <c r="N939" s="188"/>
      <c r="O939" s="188"/>
    </row>
    <row r="940">
      <c r="A940" s="273"/>
      <c r="B940" s="274"/>
      <c r="C940" s="200"/>
      <c r="D940" s="275"/>
      <c r="E940" s="200"/>
      <c r="F940" s="276"/>
      <c r="G940" s="275"/>
      <c r="H940" s="275"/>
      <c r="I940" s="273"/>
      <c r="J940" s="273"/>
      <c r="K940" s="273"/>
      <c r="L940" s="188"/>
      <c r="M940" s="188"/>
      <c r="N940" s="188"/>
      <c r="O940" s="188"/>
    </row>
    <row r="941">
      <c r="A941" s="273"/>
      <c r="B941" s="274"/>
      <c r="C941" s="200"/>
      <c r="D941" s="275"/>
      <c r="E941" s="200"/>
      <c r="F941" s="276"/>
      <c r="G941" s="275"/>
      <c r="H941" s="275"/>
      <c r="I941" s="273"/>
      <c r="J941" s="273"/>
      <c r="K941" s="273"/>
      <c r="L941" s="188"/>
      <c r="M941" s="188"/>
      <c r="N941" s="188"/>
      <c r="O941" s="188"/>
    </row>
    <row r="942">
      <c r="A942" s="273"/>
      <c r="B942" s="274"/>
      <c r="C942" s="200"/>
      <c r="D942" s="275"/>
      <c r="E942" s="200"/>
      <c r="F942" s="276"/>
      <c r="G942" s="275"/>
      <c r="H942" s="275"/>
      <c r="I942" s="273"/>
      <c r="J942" s="273"/>
      <c r="K942" s="273"/>
      <c r="L942" s="188"/>
      <c r="M942" s="188"/>
      <c r="N942" s="188"/>
      <c r="O942" s="188"/>
    </row>
    <row r="943">
      <c r="A943" s="273"/>
      <c r="B943" s="274"/>
      <c r="C943" s="200"/>
      <c r="D943" s="275"/>
      <c r="E943" s="200"/>
      <c r="F943" s="276"/>
      <c r="G943" s="275"/>
      <c r="H943" s="275"/>
      <c r="I943" s="273"/>
      <c r="J943" s="273"/>
      <c r="K943" s="273"/>
      <c r="L943" s="188"/>
      <c r="M943" s="188"/>
      <c r="N943" s="188"/>
      <c r="O943" s="188"/>
    </row>
    <row r="944">
      <c r="A944" s="273"/>
      <c r="B944" s="274"/>
      <c r="C944" s="200"/>
      <c r="D944" s="275"/>
      <c r="E944" s="200"/>
      <c r="F944" s="276"/>
      <c r="G944" s="275"/>
      <c r="H944" s="275"/>
      <c r="I944" s="273"/>
      <c r="J944" s="273"/>
      <c r="K944" s="273"/>
      <c r="L944" s="188"/>
      <c r="M944" s="188"/>
      <c r="N944" s="188"/>
      <c r="O944" s="188"/>
    </row>
    <row r="945">
      <c r="A945" s="273"/>
      <c r="B945" s="274"/>
      <c r="C945" s="200"/>
      <c r="D945" s="275"/>
      <c r="E945" s="200"/>
      <c r="F945" s="276"/>
      <c r="G945" s="275"/>
      <c r="H945" s="275"/>
      <c r="I945" s="273"/>
      <c r="J945" s="273"/>
      <c r="K945" s="273"/>
      <c r="L945" s="188"/>
      <c r="M945" s="188"/>
      <c r="N945" s="188"/>
      <c r="O945" s="188"/>
    </row>
    <row r="946">
      <c r="A946" s="273"/>
      <c r="B946" s="274"/>
      <c r="C946" s="200"/>
      <c r="D946" s="275"/>
      <c r="E946" s="200"/>
      <c r="F946" s="276"/>
      <c r="G946" s="275"/>
      <c r="H946" s="275"/>
      <c r="I946" s="273"/>
      <c r="J946" s="273"/>
      <c r="K946" s="273"/>
      <c r="L946" s="188"/>
      <c r="M946" s="188"/>
      <c r="N946" s="188"/>
      <c r="O946" s="188"/>
    </row>
    <row r="947">
      <c r="A947" s="273"/>
      <c r="B947" s="274"/>
      <c r="C947" s="200"/>
      <c r="D947" s="275"/>
      <c r="E947" s="200"/>
      <c r="F947" s="276"/>
      <c r="G947" s="275"/>
      <c r="H947" s="275"/>
      <c r="I947" s="273"/>
      <c r="J947" s="273"/>
      <c r="K947" s="273"/>
      <c r="L947" s="188"/>
      <c r="M947" s="188"/>
      <c r="N947" s="188"/>
      <c r="O947" s="188"/>
    </row>
    <row r="948">
      <c r="A948" s="273"/>
      <c r="B948" s="274"/>
      <c r="C948" s="200"/>
      <c r="D948" s="275"/>
      <c r="E948" s="200"/>
      <c r="F948" s="276"/>
      <c r="G948" s="275"/>
      <c r="H948" s="275"/>
      <c r="I948" s="273"/>
      <c r="J948" s="273"/>
      <c r="K948" s="273"/>
      <c r="L948" s="188"/>
      <c r="M948" s="188"/>
      <c r="N948" s="188"/>
      <c r="O948" s="188"/>
    </row>
    <row r="949">
      <c r="A949" s="273"/>
      <c r="B949" s="274"/>
      <c r="C949" s="200"/>
      <c r="D949" s="275"/>
      <c r="E949" s="200"/>
      <c r="F949" s="276"/>
      <c r="G949" s="275"/>
      <c r="H949" s="275"/>
      <c r="I949" s="273"/>
      <c r="J949" s="273"/>
      <c r="K949" s="273"/>
      <c r="L949" s="188"/>
      <c r="M949" s="188"/>
      <c r="N949" s="188"/>
      <c r="O949" s="188"/>
    </row>
    <row r="950">
      <c r="A950" s="273"/>
      <c r="B950" s="274"/>
      <c r="C950" s="200"/>
      <c r="D950" s="275"/>
      <c r="E950" s="200"/>
      <c r="F950" s="276"/>
      <c r="G950" s="275"/>
      <c r="H950" s="275"/>
      <c r="I950" s="273"/>
      <c r="J950" s="273"/>
      <c r="K950" s="273"/>
      <c r="L950" s="188"/>
      <c r="M950" s="188"/>
      <c r="N950" s="188"/>
      <c r="O950" s="188"/>
    </row>
    <row r="951">
      <c r="A951" s="273"/>
      <c r="B951" s="274"/>
      <c r="C951" s="200"/>
      <c r="D951" s="275"/>
      <c r="E951" s="200"/>
      <c r="F951" s="276"/>
      <c r="G951" s="275"/>
      <c r="H951" s="275"/>
      <c r="I951" s="273"/>
      <c r="J951" s="273"/>
      <c r="K951" s="273"/>
      <c r="L951" s="188"/>
      <c r="M951" s="188"/>
      <c r="N951" s="188"/>
      <c r="O951" s="188"/>
    </row>
    <row r="952">
      <c r="A952" s="273"/>
      <c r="B952" s="274"/>
      <c r="C952" s="200"/>
      <c r="D952" s="275"/>
      <c r="E952" s="200"/>
      <c r="F952" s="276"/>
      <c r="G952" s="275"/>
      <c r="H952" s="275"/>
      <c r="I952" s="273"/>
      <c r="J952" s="273"/>
      <c r="K952" s="273"/>
      <c r="L952" s="188"/>
      <c r="M952" s="188"/>
      <c r="N952" s="188"/>
      <c r="O952" s="188"/>
    </row>
    <row r="953">
      <c r="A953" s="273"/>
      <c r="B953" s="274"/>
      <c r="C953" s="200"/>
      <c r="D953" s="275"/>
      <c r="E953" s="200"/>
      <c r="F953" s="276"/>
      <c r="G953" s="275"/>
      <c r="H953" s="275"/>
      <c r="I953" s="273"/>
      <c r="J953" s="273"/>
      <c r="K953" s="273"/>
      <c r="L953" s="188"/>
      <c r="M953" s="188"/>
      <c r="N953" s="188"/>
      <c r="O953" s="188"/>
    </row>
    <row r="954">
      <c r="A954" s="273"/>
      <c r="B954" s="274"/>
      <c r="C954" s="200"/>
      <c r="D954" s="275"/>
      <c r="E954" s="200"/>
      <c r="F954" s="276"/>
      <c r="G954" s="275"/>
      <c r="H954" s="275"/>
      <c r="I954" s="273"/>
      <c r="J954" s="273"/>
      <c r="K954" s="273"/>
      <c r="L954" s="188"/>
      <c r="M954" s="188"/>
      <c r="N954" s="188"/>
      <c r="O954" s="188"/>
    </row>
    <row r="955">
      <c r="A955" s="273"/>
      <c r="B955" s="274"/>
      <c r="C955" s="200"/>
      <c r="D955" s="275"/>
      <c r="E955" s="200"/>
      <c r="F955" s="276"/>
      <c r="G955" s="275"/>
      <c r="H955" s="275"/>
      <c r="I955" s="273"/>
      <c r="J955" s="273"/>
      <c r="K955" s="273"/>
      <c r="L955" s="188"/>
      <c r="M955" s="188"/>
      <c r="N955" s="188"/>
      <c r="O955" s="188"/>
    </row>
    <row r="956">
      <c r="A956" s="273"/>
      <c r="B956" s="274"/>
      <c r="C956" s="200"/>
      <c r="D956" s="275"/>
      <c r="E956" s="200"/>
      <c r="F956" s="276"/>
      <c r="G956" s="275"/>
      <c r="H956" s="275"/>
      <c r="I956" s="273"/>
      <c r="J956" s="273"/>
      <c r="K956" s="273"/>
      <c r="L956" s="188"/>
      <c r="M956" s="188"/>
      <c r="N956" s="188"/>
      <c r="O956" s="188"/>
    </row>
    <row r="957">
      <c r="A957" s="273"/>
      <c r="B957" s="274"/>
      <c r="C957" s="200"/>
      <c r="D957" s="275"/>
      <c r="E957" s="200"/>
      <c r="F957" s="276"/>
      <c r="G957" s="275"/>
      <c r="H957" s="275"/>
      <c r="I957" s="273"/>
      <c r="J957" s="273"/>
      <c r="K957" s="273"/>
      <c r="L957" s="188"/>
      <c r="M957" s="188"/>
      <c r="N957" s="188"/>
      <c r="O957" s="188"/>
    </row>
    <row r="958">
      <c r="A958" s="273"/>
      <c r="B958" s="274"/>
      <c r="C958" s="200"/>
      <c r="D958" s="275"/>
      <c r="E958" s="200"/>
      <c r="F958" s="276"/>
      <c r="G958" s="275"/>
      <c r="H958" s="275"/>
      <c r="I958" s="273"/>
      <c r="J958" s="273"/>
      <c r="K958" s="273"/>
      <c r="L958" s="188"/>
      <c r="M958" s="188"/>
      <c r="N958" s="188"/>
      <c r="O958" s="188"/>
    </row>
    <row r="959">
      <c r="A959" s="273"/>
      <c r="B959" s="274"/>
      <c r="C959" s="200"/>
      <c r="D959" s="275"/>
      <c r="E959" s="200"/>
      <c r="F959" s="276"/>
      <c r="G959" s="275"/>
      <c r="H959" s="275"/>
      <c r="I959" s="273"/>
      <c r="J959" s="273"/>
      <c r="K959" s="273"/>
      <c r="L959" s="188"/>
      <c r="M959" s="188"/>
      <c r="N959" s="188"/>
      <c r="O959" s="188"/>
    </row>
    <row r="960">
      <c r="A960" s="273"/>
      <c r="B960" s="274"/>
      <c r="C960" s="200"/>
      <c r="D960" s="275"/>
      <c r="E960" s="200"/>
      <c r="F960" s="276"/>
      <c r="G960" s="275"/>
      <c r="H960" s="275"/>
      <c r="I960" s="273"/>
      <c r="J960" s="273"/>
      <c r="K960" s="273"/>
      <c r="L960" s="188"/>
      <c r="M960" s="188"/>
      <c r="N960" s="188"/>
      <c r="O960" s="188"/>
    </row>
    <row r="961">
      <c r="A961" s="273"/>
      <c r="B961" s="274"/>
      <c r="C961" s="200"/>
      <c r="D961" s="275"/>
      <c r="E961" s="200"/>
      <c r="F961" s="276"/>
      <c r="G961" s="275"/>
      <c r="H961" s="275"/>
      <c r="I961" s="273"/>
      <c r="J961" s="273"/>
      <c r="K961" s="273"/>
      <c r="L961" s="188"/>
      <c r="M961" s="188"/>
      <c r="N961" s="188"/>
      <c r="O961" s="188"/>
    </row>
    <row r="962">
      <c r="A962" s="273"/>
      <c r="B962" s="274"/>
      <c r="C962" s="200"/>
      <c r="D962" s="275"/>
      <c r="E962" s="200"/>
      <c r="F962" s="276"/>
      <c r="G962" s="275"/>
      <c r="H962" s="275"/>
      <c r="I962" s="273"/>
      <c r="J962" s="273"/>
      <c r="K962" s="273"/>
      <c r="L962" s="188"/>
      <c r="M962" s="188"/>
      <c r="N962" s="188"/>
      <c r="O962" s="188"/>
    </row>
    <row r="963">
      <c r="A963" s="273"/>
      <c r="B963" s="274"/>
      <c r="C963" s="200"/>
      <c r="D963" s="275"/>
      <c r="E963" s="200"/>
      <c r="F963" s="276"/>
      <c r="G963" s="275"/>
      <c r="H963" s="275"/>
      <c r="I963" s="273"/>
      <c r="J963" s="273"/>
      <c r="K963" s="273"/>
      <c r="L963" s="188"/>
      <c r="M963" s="188"/>
      <c r="N963" s="188"/>
      <c r="O963" s="188"/>
    </row>
    <row r="964">
      <c r="A964" s="273"/>
      <c r="B964" s="274"/>
      <c r="C964" s="200"/>
      <c r="D964" s="275"/>
      <c r="E964" s="200"/>
      <c r="F964" s="276"/>
      <c r="G964" s="275"/>
      <c r="H964" s="275"/>
      <c r="I964" s="273"/>
      <c r="J964" s="273"/>
      <c r="K964" s="273"/>
      <c r="L964" s="188"/>
      <c r="M964" s="188"/>
      <c r="N964" s="188"/>
      <c r="O964" s="188"/>
    </row>
    <row r="965">
      <c r="A965" s="273"/>
      <c r="B965" s="274"/>
      <c r="C965" s="200"/>
      <c r="D965" s="275"/>
      <c r="E965" s="200"/>
      <c r="F965" s="276"/>
      <c r="G965" s="275"/>
      <c r="H965" s="275"/>
      <c r="I965" s="273"/>
      <c r="J965" s="273"/>
      <c r="K965" s="273"/>
      <c r="L965" s="188"/>
      <c r="M965" s="188"/>
      <c r="N965" s="188"/>
      <c r="O965" s="188"/>
    </row>
    <row r="966">
      <c r="A966" s="273"/>
      <c r="B966" s="274"/>
      <c r="C966" s="200"/>
      <c r="D966" s="275"/>
      <c r="E966" s="200"/>
      <c r="F966" s="276"/>
      <c r="G966" s="275"/>
      <c r="H966" s="275"/>
      <c r="I966" s="273"/>
      <c r="J966" s="273"/>
      <c r="K966" s="273"/>
      <c r="L966" s="188"/>
      <c r="M966" s="188"/>
      <c r="N966" s="188"/>
      <c r="O966" s="188"/>
    </row>
    <row r="967">
      <c r="A967" s="273"/>
      <c r="B967" s="274"/>
      <c r="C967" s="200"/>
      <c r="D967" s="275"/>
      <c r="E967" s="200"/>
      <c r="F967" s="276"/>
      <c r="G967" s="275"/>
      <c r="H967" s="275"/>
      <c r="I967" s="273"/>
      <c r="J967" s="273"/>
      <c r="K967" s="273"/>
      <c r="L967" s="188"/>
      <c r="M967" s="188"/>
      <c r="N967" s="188"/>
      <c r="O967" s="188"/>
    </row>
    <row r="968">
      <c r="A968" s="273"/>
      <c r="B968" s="274"/>
      <c r="C968" s="200"/>
      <c r="D968" s="275"/>
      <c r="E968" s="200"/>
      <c r="F968" s="276"/>
      <c r="G968" s="275"/>
      <c r="H968" s="275"/>
      <c r="I968" s="273"/>
      <c r="J968" s="273"/>
      <c r="K968" s="273"/>
      <c r="L968" s="188"/>
      <c r="M968" s="188"/>
      <c r="N968" s="188"/>
      <c r="O968" s="188"/>
    </row>
    <row r="969">
      <c r="A969" s="273"/>
      <c r="B969" s="274"/>
      <c r="C969" s="200"/>
      <c r="D969" s="275"/>
      <c r="E969" s="200"/>
      <c r="F969" s="276"/>
      <c r="G969" s="275"/>
      <c r="H969" s="275"/>
      <c r="I969" s="273"/>
      <c r="J969" s="273"/>
      <c r="K969" s="273"/>
      <c r="L969" s="188"/>
      <c r="M969" s="188"/>
      <c r="N969" s="188"/>
      <c r="O969" s="188"/>
    </row>
    <row r="970">
      <c r="A970" s="273"/>
      <c r="B970" s="274"/>
      <c r="C970" s="200"/>
      <c r="D970" s="275"/>
      <c r="E970" s="200"/>
      <c r="F970" s="276"/>
      <c r="G970" s="275"/>
      <c r="H970" s="275"/>
      <c r="I970" s="273"/>
      <c r="J970" s="273"/>
      <c r="K970" s="273"/>
      <c r="L970" s="188"/>
      <c r="M970" s="188"/>
      <c r="N970" s="188"/>
      <c r="O970" s="188"/>
    </row>
    <row r="971">
      <c r="A971" s="273"/>
      <c r="B971" s="274"/>
      <c r="C971" s="200"/>
      <c r="D971" s="275"/>
      <c r="E971" s="200"/>
      <c r="F971" s="276"/>
      <c r="G971" s="275"/>
      <c r="H971" s="275"/>
      <c r="I971" s="273"/>
      <c r="J971" s="273"/>
      <c r="K971" s="273"/>
      <c r="L971" s="188"/>
      <c r="M971" s="188"/>
      <c r="N971" s="188"/>
      <c r="O971" s="188"/>
    </row>
  </sheetData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 outlineLevelCol="1"/>
  <cols>
    <col customWidth="1" min="1" max="1" width="2.43"/>
    <col customWidth="1" min="2" max="2" width="8.14"/>
    <col customWidth="1" min="3" max="3" width="44.0"/>
    <col customWidth="1" min="4" max="4" width="47.0"/>
    <col customWidth="1" min="5" max="5" width="13.43"/>
    <col customWidth="1" min="6" max="6" width="14.43"/>
    <col customWidth="1" min="7" max="7" width="19.71"/>
    <col customWidth="1" min="8" max="8" width="19.86"/>
    <col customWidth="1" min="9" max="9" width="18.0"/>
    <col customWidth="1" hidden="1" min="10" max="10" width="14.43"/>
    <col hidden="1" min="11" max="11" width="14.43"/>
  </cols>
  <sheetData>
    <row r="1" ht="12.75" customHeight="1">
      <c r="A1" s="282"/>
      <c r="B1" s="107"/>
      <c r="C1" s="107"/>
      <c r="D1" s="107"/>
      <c r="E1" s="107"/>
      <c r="F1" s="107"/>
      <c r="G1" s="283"/>
      <c r="H1" s="104"/>
      <c r="I1" s="105"/>
      <c r="J1" s="157"/>
      <c r="K1" s="157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</row>
    <row r="2" ht="33.0" customHeight="1">
      <c r="A2" s="107"/>
      <c r="B2" s="98" t="s">
        <v>2272</v>
      </c>
      <c r="C2" s="98" t="s">
        <v>878</v>
      </c>
      <c r="D2" s="98" t="s">
        <v>879</v>
      </c>
      <c r="E2" s="98" t="s">
        <v>2273</v>
      </c>
      <c r="F2" s="98" t="s">
        <v>2274</v>
      </c>
      <c r="G2" s="261" t="s">
        <v>836</v>
      </c>
      <c r="H2" s="261" t="s">
        <v>837</v>
      </c>
      <c r="I2" s="105" t="s">
        <v>838</v>
      </c>
      <c r="J2" s="285" t="s">
        <v>2275</v>
      </c>
      <c r="K2" s="265" t="s">
        <v>2276</v>
      </c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</row>
    <row r="3" ht="26.25" customHeight="1">
      <c r="A3" s="286"/>
      <c r="B3" s="287"/>
      <c r="C3" s="176" t="s">
        <v>2279</v>
      </c>
      <c r="D3" s="288"/>
      <c r="E3" s="289"/>
      <c r="F3" s="289"/>
      <c r="G3" s="290"/>
      <c r="H3" s="291"/>
      <c r="I3" s="248"/>
      <c r="J3" s="3"/>
      <c r="K3" s="3"/>
    </row>
    <row r="4" ht="22.5" customHeight="1">
      <c r="A4" s="292"/>
      <c r="B4" s="293">
        <v>1.0</v>
      </c>
      <c r="C4" s="294" t="s">
        <v>2282</v>
      </c>
      <c r="D4" s="295" t="s">
        <v>2283</v>
      </c>
      <c r="E4" s="296" t="s">
        <v>2284</v>
      </c>
      <c r="F4" s="296" t="s">
        <v>2285</v>
      </c>
      <c r="G4" s="137">
        <v>1360.0</v>
      </c>
      <c r="H4" s="297">
        <v>1470.0</v>
      </c>
      <c r="I4" s="248">
        <f t="shared" ref="I4:I18" si="1">IFERROR(DIVIDE(MINUS(H4,G4),G4),)</f>
        <v>0.08088235294</v>
      </c>
      <c r="J4" s="265">
        <v>3.8</v>
      </c>
      <c r="K4" s="298">
        <f t="shared" ref="K4:K18" si="2">IFERROR(G4/J4,"")</f>
        <v>357.8947368</v>
      </c>
      <c r="L4" s="284"/>
      <c r="M4" s="284"/>
      <c r="N4" s="284"/>
      <c r="O4" s="284"/>
      <c r="P4" s="284"/>
      <c r="Q4" s="284"/>
      <c r="R4" s="284"/>
      <c r="S4" s="284"/>
      <c r="T4" s="284"/>
      <c r="U4" s="284"/>
      <c r="V4" s="284"/>
    </row>
    <row r="5" ht="22.5" customHeight="1">
      <c r="A5" s="292"/>
      <c r="B5" s="40">
        <v>2.0</v>
      </c>
      <c r="C5" s="294" t="s">
        <v>2289</v>
      </c>
      <c r="D5" s="294" t="s">
        <v>2290</v>
      </c>
      <c r="E5" s="299" t="s">
        <v>2284</v>
      </c>
      <c r="F5" s="299" t="s">
        <v>2285</v>
      </c>
      <c r="G5" s="52">
        <v>1360.0</v>
      </c>
      <c r="H5" s="297">
        <v>1470.0</v>
      </c>
      <c r="I5" s="248">
        <f t="shared" si="1"/>
        <v>0.08088235294</v>
      </c>
      <c r="J5" s="265">
        <v>3.8</v>
      </c>
      <c r="K5" s="298">
        <f t="shared" si="2"/>
        <v>357.8947368</v>
      </c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</row>
    <row r="6" ht="22.5" customHeight="1">
      <c r="A6" s="292"/>
      <c r="B6" s="40">
        <v>3.0</v>
      </c>
      <c r="C6" s="294" t="s">
        <v>2292</v>
      </c>
      <c r="D6" s="294" t="s">
        <v>2293</v>
      </c>
      <c r="E6" s="299" t="s">
        <v>2284</v>
      </c>
      <c r="F6" s="299" t="s">
        <v>2285</v>
      </c>
      <c r="G6" s="52">
        <v>1360.0</v>
      </c>
      <c r="H6" s="297">
        <v>1470.0</v>
      </c>
      <c r="I6" s="248">
        <f t="shared" si="1"/>
        <v>0.08088235294</v>
      </c>
      <c r="J6" s="265">
        <v>3.8</v>
      </c>
      <c r="K6" s="298">
        <f t="shared" si="2"/>
        <v>357.8947368</v>
      </c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</row>
    <row r="7" ht="22.5" customHeight="1">
      <c r="A7" s="292"/>
      <c r="B7" s="40">
        <v>4.0</v>
      </c>
      <c r="C7" s="294" t="s">
        <v>2295</v>
      </c>
      <c r="D7" s="294" t="s">
        <v>2296</v>
      </c>
      <c r="E7" s="299" t="s">
        <v>2284</v>
      </c>
      <c r="F7" s="299" t="s">
        <v>2285</v>
      </c>
      <c r="G7" s="52">
        <v>1360.0</v>
      </c>
      <c r="H7" s="297">
        <v>1470.0</v>
      </c>
      <c r="I7" s="248">
        <f t="shared" si="1"/>
        <v>0.08088235294</v>
      </c>
      <c r="J7" s="265">
        <v>3.8</v>
      </c>
      <c r="K7" s="298">
        <f t="shared" si="2"/>
        <v>357.8947368</v>
      </c>
      <c r="L7" s="284"/>
      <c r="M7" s="284"/>
      <c r="N7" s="284"/>
      <c r="O7" s="284"/>
      <c r="P7" s="284"/>
      <c r="Q7" s="284"/>
      <c r="R7" s="284"/>
      <c r="S7" s="284"/>
      <c r="T7" s="284"/>
      <c r="U7" s="284"/>
      <c r="V7" s="284"/>
    </row>
    <row r="8" ht="22.5" customHeight="1">
      <c r="A8" s="292"/>
      <c r="B8" s="40">
        <v>5.0</v>
      </c>
      <c r="C8" s="294" t="s">
        <v>2297</v>
      </c>
      <c r="D8" s="294" t="s">
        <v>2299</v>
      </c>
      <c r="E8" s="299" t="s">
        <v>2284</v>
      </c>
      <c r="F8" s="299" t="s">
        <v>2285</v>
      </c>
      <c r="G8" s="52">
        <v>1360.0</v>
      </c>
      <c r="H8" s="297">
        <v>1470.0</v>
      </c>
      <c r="I8" s="248">
        <f t="shared" si="1"/>
        <v>0.08088235294</v>
      </c>
      <c r="J8" s="265">
        <v>3.8</v>
      </c>
      <c r="K8" s="298">
        <f t="shared" si="2"/>
        <v>357.8947368</v>
      </c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</row>
    <row r="9" ht="22.5" customHeight="1">
      <c r="A9" s="292"/>
      <c r="B9" s="293">
        <v>6.0</v>
      </c>
      <c r="C9" s="294" t="s">
        <v>2301</v>
      </c>
      <c r="D9" s="294" t="s">
        <v>2283</v>
      </c>
      <c r="E9" s="299" t="s">
        <v>2284</v>
      </c>
      <c r="F9" s="299" t="s">
        <v>2302</v>
      </c>
      <c r="G9" s="52">
        <v>1990.0</v>
      </c>
      <c r="H9" s="297">
        <v>2150.0</v>
      </c>
      <c r="I9" s="248">
        <f t="shared" si="1"/>
        <v>0.08040201005</v>
      </c>
      <c r="J9" s="265">
        <v>5.5</v>
      </c>
      <c r="K9" s="298">
        <f t="shared" si="2"/>
        <v>361.8181818</v>
      </c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</row>
    <row r="10" ht="22.5" customHeight="1">
      <c r="A10" s="292"/>
      <c r="B10" s="40">
        <v>7.0</v>
      </c>
      <c r="C10" s="294" t="s">
        <v>2304</v>
      </c>
      <c r="D10" s="294" t="s">
        <v>2290</v>
      </c>
      <c r="E10" s="299" t="s">
        <v>2284</v>
      </c>
      <c r="F10" s="299" t="s">
        <v>2302</v>
      </c>
      <c r="G10" s="52">
        <v>1990.0</v>
      </c>
      <c r="H10" s="297">
        <v>2150.0</v>
      </c>
      <c r="I10" s="248">
        <f t="shared" si="1"/>
        <v>0.08040201005</v>
      </c>
      <c r="J10" s="265">
        <v>5.5</v>
      </c>
      <c r="K10" s="298">
        <f t="shared" si="2"/>
        <v>361.8181818</v>
      </c>
      <c r="L10" s="284"/>
      <c r="M10" s="284"/>
      <c r="N10" s="284"/>
      <c r="O10" s="284"/>
      <c r="P10" s="284"/>
      <c r="Q10" s="284"/>
      <c r="R10" s="284"/>
      <c r="S10" s="284"/>
      <c r="T10" s="284"/>
      <c r="U10" s="284"/>
      <c r="V10" s="284"/>
    </row>
    <row r="11" ht="22.5" customHeight="1">
      <c r="A11" s="292"/>
      <c r="B11" s="40">
        <v>8.0</v>
      </c>
      <c r="C11" s="294" t="s">
        <v>2306</v>
      </c>
      <c r="D11" s="294" t="s">
        <v>2293</v>
      </c>
      <c r="E11" s="299" t="s">
        <v>2284</v>
      </c>
      <c r="F11" s="299" t="s">
        <v>2302</v>
      </c>
      <c r="G11" s="52">
        <v>1990.0</v>
      </c>
      <c r="H11" s="297">
        <v>2150.0</v>
      </c>
      <c r="I11" s="248">
        <f t="shared" si="1"/>
        <v>0.08040201005</v>
      </c>
      <c r="J11" s="265">
        <v>5.5</v>
      </c>
      <c r="K11" s="298">
        <f t="shared" si="2"/>
        <v>361.8181818</v>
      </c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</row>
    <row r="12" ht="22.5" customHeight="1">
      <c r="A12" s="292"/>
      <c r="B12" s="40">
        <v>9.0</v>
      </c>
      <c r="C12" s="294" t="s">
        <v>2308</v>
      </c>
      <c r="D12" s="294" t="s">
        <v>2296</v>
      </c>
      <c r="E12" s="299" t="s">
        <v>2284</v>
      </c>
      <c r="F12" s="299" t="s">
        <v>2302</v>
      </c>
      <c r="G12" s="52">
        <v>1990.0</v>
      </c>
      <c r="H12" s="297">
        <v>2150.0</v>
      </c>
      <c r="I12" s="248">
        <f t="shared" si="1"/>
        <v>0.08040201005</v>
      </c>
      <c r="J12" s="265">
        <v>5.5</v>
      </c>
      <c r="K12" s="298">
        <f t="shared" si="2"/>
        <v>361.8181818</v>
      </c>
      <c r="L12" s="284"/>
      <c r="M12" s="284"/>
      <c r="N12" s="284"/>
      <c r="O12" s="284"/>
      <c r="P12" s="284"/>
      <c r="Q12" s="284"/>
      <c r="R12" s="284"/>
      <c r="S12" s="284"/>
      <c r="T12" s="284"/>
      <c r="U12" s="284"/>
      <c r="V12" s="284"/>
    </row>
    <row r="13" ht="22.5" customHeight="1">
      <c r="A13" s="292"/>
      <c r="B13" s="40">
        <v>10.0</v>
      </c>
      <c r="C13" s="294" t="s">
        <v>2309</v>
      </c>
      <c r="D13" s="294" t="s">
        <v>2299</v>
      </c>
      <c r="E13" s="299" t="s">
        <v>2284</v>
      </c>
      <c r="F13" s="299" t="s">
        <v>2302</v>
      </c>
      <c r="G13" s="52">
        <v>1990.0</v>
      </c>
      <c r="H13" s="297">
        <v>2150.0</v>
      </c>
      <c r="I13" s="248">
        <f t="shared" si="1"/>
        <v>0.08040201005</v>
      </c>
      <c r="J13" s="265">
        <v>5.5</v>
      </c>
      <c r="K13" s="298">
        <f t="shared" si="2"/>
        <v>361.8181818</v>
      </c>
      <c r="L13" s="284"/>
      <c r="M13" s="284"/>
      <c r="N13" s="284"/>
      <c r="O13" s="284"/>
      <c r="P13" s="284"/>
      <c r="Q13" s="284"/>
      <c r="R13" s="284"/>
      <c r="S13" s="284"/>
      <c r="T13" s="284"/>
      <c r="U13" s="284"/>
      <c r="V13" s="284"/>
    </row>
    <row r="14" ht="22.5" customHeight="1">
      <c r="A14" s="292"/>
      <c r="B14" s="293">
        <v>11.0</v>
      </c>
      <c r="C14" s="294" t="s">
        <v>2311</v>
      </c>
      <c r="D14" s="294" t="s">
        <v>2283</v>
      </c>
      <c r="E14" s="299" t="s">
        <v>2284</v>
      </c>
      <c r="F14" s="299" t="s">
        <v>2312</v>
      </c>
      <c r="G14" s="52">
        <v>2790.0</v>
      </c>
      <c r="H14" s="297">
        <v>3010.0</v>
      </c>
      <c r="I14" s="248">
        <f t="shared" si="1"/>
        <v>0.07885304659</v>
      </c>
      <c r="J14" s="265">
        <v>7.5</v>
      </c>
      <c r="K14" s="298">
        <f t="shared" si="2"/>
        <v>372</v>
      </c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</row>
    <row r="15" ht="22.5" customHeight="1">
      <c r="A15" s="292"/>
      <c r="B15" s="40">
        <v>12.0</v>
      </c>
      <c r="C15" s="294" t="s">
        <v>2314</v>
      </c>
      <c r="D15" s="294" t="s">
        <v>2293</v>
      </c>
      <c r="E15" s="299" t="s">
        <v>2284</v>
      </c>
      <c r="F15" s="299" t="s">
        <v>2312</v>
      </c>
      <c r="G15" s="52">
        <v>2790.0</v>
      </c>
      <c r="H15" s="297">
        <v>3010.0</v>
      </c>
      <c r="I15" s="248">
        <f t="shared" si="1"/>
        <v>0.07885304659</v>
      </c>
      <c r="J15" s="265">
        <v>7.5</v>
      </c>
      <c r="K15" s="298">
        <f t="shared" si="2"/>
        <v>372</v>
      </c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</row>
    <row r="16" ht="22.5" customHeight="1">
      <c r="A16" s="292"/>
      <c r="B16" s="40">
        <v>13.0</v>
      </c>
      <c r="C16" s="294" t="s">
        <v>2316</v>
      </c>
      <c r="D16" s="294" t="s">
        <v>2296</v>
      </c>
      <c r="E16" s="299" t="s">
        <v>2284</v>
      </c>
      <c r="F16" s="299" t="s">
        <v>2312</v>
      </c>
      <c r="G16" s="52">
        <v>2790.0</v>
      </c>
      <c r="H16" s="297">
        <v>3010.0</v>
      </c>
      <c r="I16" s="248">
        <f t="shared" si="1"/>
        <v>0.07885304659</v>
      </c>
      <c r="J16" s="265">
        <v>7.5</v>
      </c>
      <c r="K16" s="298">
        <f t="shared" si="2"/>
        <v>372</v>
      </c>
      <c r="L16" s="284"/>
      <c r="M16" s="284"/>
      <c r="N16" s="284"/>
      <c r="O16" s="284"/>
      <c r="P16" s="284"/>
      <c r="Q16" s="284"/>
      <c r="R16" s="284"/>
      <c r="S16" s="284"/>
      <c r="T16" s="284"/>
      <c r="U16" s="284"/>
      <c r="V16" s="284"/>
    </row>
    <row r="17" ht="22.5" customHeight="1">
      <c r="A17" s="292"/>
      <c r="B17" s="40">
        <v>14.0</v>
      </c>
      <c r="C17" s="294" t="s">
        <v>2318</v>
      </c>
      <c r="D17" s="294" t="s">
        <v>2299</v>
      </c>
      <c r="E17" s="299" t="s">
        <v>2284</v>
      </c>
      <c r="F17" s="299" t="s">
        <v>2312</v>
      </c>
      <c r="G17" s="52">
        <v>2790.0</v>
      </c>
      <c r="H17" s="297">
        <v>3010.0</v>
      </c>
      <c r="I17" s="248">
        <f t="shared" si="1"/>
        <v>0.07885304659</v>
      </c>
      <c r="J17" s="265">
        <v>7.5</v>
      </c>
      <c r="K17" s="298">
        <f t="shared" si="2"/>
        <v>372</v>
      </c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</row>
    <row r="18" ht="22.5" customHeight="1">
      <c r="A18" s="292"/>
      <c r="B18" s="40">
        <v>15.0</v>
      </c>
      <c r="C18" s="300" t="s">
        <v>2320</v>
      </c>
      <c r="D18" s="300" t="s">
        <v>2283</v>
      </c>
      <c r="E18" s="301" t="s">
        <v>2284</v>
      </c>
      <c r="F18" s="301" t="s">
        <v>2321</v>
      </c>
      <c r="G18" s="125">
        <v>4490.0</v>
      </c>
      <c r="H18" s="297">
        <v>4850.0</v>
      </c>
      <c r="I18" s="248">
        <f t="shared" si="1"/>
        <v>0.08017817372</v>
      </c>
      <c r="J18" s="265">
        <v>11.5</v>
      </c>
      <c r="K18" s="298">
        <f t="shared" si="2"/>
        <v>390.4347826</v>
      </c>
      <c r="L18" s="284"/>
      <c r="M18" s="284"/>
      <c r="N18" s="284"/>
      <c r="O18" s="284"/>
      <c r="P18" s="284"/>
      <c r="Q18" s="284"/>
      <c r="R18" s="284"/>
      <c r="S18" s="284"/>
      <c r="T18" s="284"/>
      <c r="U18" s="284"/>
      <c r="V18" s="284"/>
    </row>
    <row r="19">
      <c r="A19" s="292"/>
      <c r="B19" s="302"/>
      <c r="C19" s="303"/>
      <c r="D19" s="303"/>
      <c r="E19" s="304"/>
      <c r="F19" s="304"/>
      <c r="G19" s="151"/>
      <c r="H19" s="304"/>
      <c r="I19" s="284"/>
      <c r="J19" s="157"/>
      <c r="K19" s="157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</row>
    <row r="20" ht="26.25" customHeight="1">
      <c r="A20" s="292"/>
      <c r="B20" s="305"/>
      <c r="C20" s="176" t="s">
        <v>2324</v>
      </c>
      <c r="D20" s="306"/>
      <c r="E20" s="307"/>
      <c r="F20" s="307"/>
      <c r="G20" s="143"/>
      <c r="H20" s="307"/>
      <c r="I20" s="284"/>
      <c r="J20" s="157"/>
      <c r="K20" s="157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</row>
    <row r="21" ht="22.5" customHeight="1">
      <c r="A21" s="292"/>
      <c r="B21" s="293">
        <v>1.0</v>
      </c>
      <c r="C21" s="294" t="s">
        <v>2326</v>
      </c>
      <c r="D21" s="294" t="s">
        <v>2327</v>
      </c>
      <c r="E21" s="299" t="s">
        <v>2284</v>
      </c>
      <c r="F21" s="299" t="s">
        <v>2285</v>
      </c>
      <c r="G21" s="52">
        <v>1360.0</v>
      </c>
      <c r="H21" s="297">
        <v>1470.0</v>
      </c>
      <c r="I21" s="248">
        <f t="shared" ref="I21:I35" si="3">IFERROR(DIVIDE(MINUS(H21,G21),G21),)</f>
        <v>0.08088235294</v>
      </c>
      <c r="J21" s="265"/>
      <c r="K21" s="157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</row>
    <row r="22" ht="22.5" customHeight="1">
      <c r="A22" s="292"/>
      <c r="B22" s="40">
        <v>2.0</v>
      </c>
      <c r="C22" s="294" t="s">
        <v>2330</v>
      </c>
      <c r="D22" s="294" t="s">
        <v>2331</v>
      </c>
      <c r="E22" s="299" t="s">
        <v>2284</v>
      </c>
      <c r="F22" s="299" t="s">
        <v>2285</v>
      </c>
      <c r="G22" s="52">
        <v>1360.0</v>
      </c>
      <c r="H22" s="297">
        <v>1470.0</v>
      </c>
      <c r="I22" s="248">
        <f t="shared" si="3"/>
        <v>0.08088235294</v>
      </c>
      <c r="J22" s="265"/>
      <c r="K22" s="157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</row>
    <row r="23" ht="22.5" customHeight="1">
      <c r="A23" s="292"/>
      <c r="B23" s="40">
        <v>3.0</v>
      </c>
      <c r="C23" s="294" t="s">
        <v>2332</v>
      </c>
      <c r="D23" s="294" t="s">
        <v>2333</v>
      </c>
      <c r="E23" s="299" t="s">
        <v>2284</v>
      </c>
      <c r="F23" s="299" t="s">
        <v>2285</v>
      </c>
      <c r="G23" s="52">
        <v>1360.0</v>
      </c>
      <c r="H23" s="297">
        <v>1470.0</v>
      </c>
      <c r="I23" s="248">
        <f t="shared" si="3"/>
        <v>0.08088235294</v>
      </c>
      <c r="J23" s="265"/>
      <c r="K23" s="157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</row>
    <row r="24" ht="22.5" customHeight="1">
      <c r="A24" s="292"/>
      <c r="B24" s="40">
        <v>4.0</v>
      </c>
      <c r="C24" s="294" t="s">
        <v>2334</v>
      </c>
      <c r="D24" s="294" t="s">
        <v>2335</v>
      </c>
      <c r="E24" s="299" t="s">
        <v>2284</v>
      </c>
      <c r="F24" s="299" t="s">
        <v>2285</v>
      </c>
      <c r="G24" s="52">
        <v>1360.0</v>
      </c>
      <c r="H24" s="297">
        <v>1470.0</v>
      </c>
      <c r="I24" s="248">
        <f t="shared" si="3"/>
        <v>0.08088235294</v>
      </c>
      <c r="J24" s="265"/>
      <c r="K24" s="157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</row>
    <row r="25" ht="22.5" customHeight="1">
      <c r="A25" s="292"/>
      <c r="B25" s="40">
        <v>5.0</v>
      </c>
      <c r="C25" s="294" t="s">
        <v>2337</v>
      </c>
      <c r="D25" s="294" t="s">
        <v>2338</v>
      </c>
      <c r="E25" s="299" t="s">
        <v>2284</v>
      </c>
      <c r="F25" s="299" t="s">
        <v>2285</v>
      </c>
      <c r="G25" s="52">
        <v>1360.0</v>
      </c>
      <c r="H25" s="297">
        <v>1470.0</v>
      </c>
      <c r="I25" s="248">
        <f t="shared" si="3"/>
        <v>0.08088235294</v>
      </c>
      <c r="J25" s="265"/>
      <c r="K25" s="157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</row>
    <row r="26" ht="22.5" customHeight="1">
      <c r="A26" s="292"/>
      <c r="B26" s="293">
        <v>6.0</v>
      </c>
      <c r="C26" s="294" t="s">
        <v>2340</v>
      </c>
      <c r="D26" s="294" t="s">
        <v>2341</v>
      </c>
      <c r="E26" s="299" t="s">
        <v>2284</v>
      </c>
      <c r="F26" s="299" t="s">
        <v>2302</v>
      </c>
      <c r="G26" s="52">
        <v>1990.0</v>
      </c>
      <c r="H26" s="297">
        <v>2150.0</v>
      </c>
      <c r="I26" s="248">
        <f t="shared" si="3"/>
        <v>0.08040201005</v>
      </c>
      <c r="J26" s="265"/>
      <c r="K26" s="157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</row>
    <row r="27" ht="22.5" customHeight="1">
      <c r="A27" s="292"/>
      <c r="B27" s="40">
        <v>7.0</v>
      </c>
      <c r="C27" s="294" t="s">
        <v>2343</v>
      </c>
      <c r="D27" s="294" t="s">
        <v>2333</v>
      </c>
      <c r="E27" s="299" t="s">
        <v>2284</v>
      </c>
      <c r="F27" s="299" t="s">
        <v>2302</v>
      </c>
      <c r="G27" s="52">
        <v>1990.0</v>
      </c>
      <c r="H27" s="297">
        <v>2150.0</v>
      </c>
      <c r="I27" s="248">
        <f t="shared" si="3"/>
        <v>0.08040201005</v>
      </c>
      <c r="J27" s="157"/>
      <c r="K27" s="157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</row>
    <row r="28" ht="22.5" customHeight="1">
      <c r="A28" s="292"/>
      <c r="B28" s="40">
        <v>8.0</v>
      </c>
      <c r="C28" s="294" t="s">
        <v>2345</v>
      </c>
      <c r="D28" s="294" t="s">
        <v>2335</v>
      </c>
      <c r="E28" s="299" t="s">
        <v>2284</v>
      </c>
      <c r="F28" s="299" t="s">
        <v>2302</v>
      </c>
      <c r="G28" s="52">
        <v>1990.0</v>
      </c>
      <c r="H28" s="297">
        <v>2150.0</v>
      </c>
      <c r="I28" s="248">
        <f t="shared" si="3"/>
        <v>0.08040201005</v>
      </c>
      <c r="J28" s="157"/>
      <c r="K28" s="157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</row>
    <row r="29" ht="22.5" customHeight="1">
      <c r="A29" s="292"/>
      <c r="B29" s="40">
        <v>9.0</v>
      </c>
      <c r="C29" s="294" t="s">
        <v>2347</v>
      </c>
      <c r="D29" s="294" t="s">
        <v>2338</v>
      </c>
      <c r="E29" s="299" t="s">
        <v>2284</v>
      </c>
      <c r="F29" s="299" t="s">
        <v>2302</v>
      </c>
      <c r="G29" s="52">
        <v>1990.0</v>
      </c>
      <c r="H29" s="297">
        <v>2150.0</v>
      </c>
      <c r="I29" s="248">
        <f t="shared" si="3"/>
        <v>0.08040201005</v>
      </c>
      <c r="J29" s="157"/>
      <c r="K29" s="157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</row>
    <row r="30" ht="22.5" customHeight="1">
      <c r="A30" s="292"/>
      <c r="B30" s="40">
        <v>10.0</v>
      </c>
      <c r="C30" s="40" t="s">
        <v>2348</v>
      </c>
      <c r="D30" s="294" t="s">
        <v>2331</v>
      </c>
      <c r="E30" s="299" t="s">
        <v>2284</v>
      </c>
      <c r="F30" s="299" t="s">
        <v>2302</v>
      </c>
      <c r="G30" s="52">
        <v>1990.0</v>
      </c>
      <c r="H30" s="297">
        <v>2150.0</v>
      </c>
      <c r="I30" s="248">
        <f t="shared" si="3"/>
        <v>0.08040201005</v>
      </c>
      <c r="J30" s="157"/>
      <c r="K30" s="157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</row>
    <row r="31" ht="22.5" customHeight="1">
      <c r="A31" s="292"/>
      <c r="B31" s="293">
        <v>11.0</v>
      </c>
      <c r="C31" s="294" t="s">
        <v>2349</v>
      </c>
      <c r="D31" s="294" t="s">
        <v>2341</v>
      </c>
      <c r="E31" s="299" t="s">
        <v>2284</v>
      </c>
      <c r="F31" s="299" t="s">
        <v>2312</v>
      </c>
      <c r="G31" s="52">
        <v>2790.0</v>
      </c>
      <c r="H31" s="297">
        <v>3010.0</v>
      </c>
      <c r="I31" s="248">
        <f t="shared" si="3"/>
        <v>0.07885304659</v>
      </c>
      <c r="J31" s="157"/>
      <c r="K31" s="157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</row>
    <row r="32" ht="22.5" customHeight="1">
      <c r="A32" s="292"/>
      <c r="B32" s="40">
        <v>12.0</v>
      </c>
      <c r="C32" s="294" t="s">
        <v>2351</v>
      </c>
      <c r="D32" s="294" t="s">
        <v>2333</v>
      </c>
      <c r="E32" s="299" t="s">
        <v>2284</v>
      </c>
      <c r="F32" s="299" t="s">
        <v>2312</v>
      </c>
      <c r="G32" s="52">
        <v>2790.0</v>
      </c>
      <c r="H32" s="297">
        <v>3010.0</v>
      </c>
      <c r="I32" s="248">
        <f t="shared" si="3"/>
        <v>0.07885304659</v>
      </c>
      <c r="J32" s="157"/>
      <c r="K32" s="157"/>
      <c r="L32" s="284"/>
      <c r="M32" s="284"/>
      <c r="N32" s="284"/>
      <c r="O32" s="284"/>
      <c r="P32" s="284"/>
      <c r="Q32" s="284"/>
      <c r="R32" s="284"/>
      <c r="S32" s="284"/>
      <c r="T32" s="284"/>
      <c r="U32" s="284"/>
      <c r="V32" s="284"/>
    </row>
    <row r="33" ht="22.5" customHeight="1">
      <c r="A33" s="292"/>
      <c r="B33" s="40">
        <v>13.0</v>
      </c>
      <c r="C33" s="294" t="s">
        <v>2352</v>
      </c>
      <c r="D33" s="294" t="s">
        <v>2335</v>
      </c>
      <c r="E33" s="299" t="s">
        <v>2284</v>
      </c>
      <c r="F33" s="299" t="s">
        <v>2312</v>
      </c>
      <c r="G33" s="52">
        <v>2790.0</v>
      </c>
      <c r="H33" s="297">
        <v>3010.0</v>
      </c>
      <c r="I33" s="248">
        <f t="shared" si="3"/>
        <v>0.07885304659</v>
      </c>
      <c r="J33" s="157"/>
      <c r="K33" s="157"/>
      <c r="L33" s="284"/>
      <c r="M33" s="284"/>
      <c r="N33" s="284"/>
      <c r="O33" s="284"/>
      <c r="P33" s="284"/>
      <c r="Q33" s="284"/>
      <c r="R33" s="284"/>
      <c r="S33" s="284"/>
      <c r="T33" s="284"/>
      <c r="U33" s="284"/>
      <c r="V33" s="284"/>
    </row>
    <row r="34" ht="22.5" customHeight="1">
      <c r="A34" s="292"/>
      <c r="B34" s="40">
        <v>14.0</v>
      </c>
      <c r="C34" s="294" t="s">
        <v>2353</v>
      </c>
      <c r="D34" s="294" t="s">
        <v>2338</v>
      </c>
      <c r="E34" s="299" t="s">
        <v>2284</v>
      </c>
      <c r="F34" s="299" t="s">
        <v>2312</v>
      </c>
      <c r="G34" s="52">
        <v>2790.0</v>
      </c>
      <c r="H34" s="297">
        <v>3010.0</v>
      </c>
      <c r="I34" s="248">
        <f t="shared" si="3"/>
        <v>0.07885304659</v>
      </c>
      <c r="J34" s="157"/>
      <c r="K34" s="157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</row>
    <row r="35" ht="22.5" customHeight="1">
      <c r="A35" s="292"/>
      <c r="B35" s="40">
        <v>15.0</v>
      </c>
      <c r="C35" s="294" t="s">
        <v>2354</v>
      </c>
      <c r="D35" s="294" t="s">
        <v>2341</v>
      </c>
      <c r="E35" s="299" t="s">
        <v>2284</v>
      </c>
      <c r="F35" s="299" t="s">
        <v>2321</v>
      </c>
      <c r="G35" s="52">
        <v>4490.0</v>
      </c>
      <c r="H35" s="297">
        <v>4850.0</v>
      </c>
      <c r="I35" s="248">
        <f t="shared" si="3"/>
        <v>0.08017817372</v>
      </c>
      <c r="J35" s="157"/>
      <c r="K35" s="157"/>
      <c r="L35" s="284"/>
      <c r="M35" s="284"/>
      <c r="N35" s="284"/>
      <c r="O35" s="284"/>
      <c r="P35" s="284"/>
      <c r="Q35" s="284"/>
      <c r="R35" s="284"/>
      <c r="S35" s="284"/>
      <c r="T35" s="284"/>
      <c r="U35" s="284"/>
      <c r="V35" s="284"/>
    </row>
    <row r="36">
      <c r="A36" s="292"/>
      <c r="B36" s="302"/>
      <c r="C36" s="303"/>
      <c r="D36" s="303"/>
      <c r="E36" s="304"/>
      <c r="F36" s="304"/>
      <c r="G36" s="271"/>
      <c r="H36" s="304"/>
      <c r="I36" s="248"/>
      <c r="J36" s="157"/>
      <c r="K36" s="157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</row>
    <row r="37" ht="26.25" customHeight="1">
      <c r="A37" s="292"/>
      <c r="B37" s="305"/>
      <c r="C37" s="176" t="s">
        <v>2357</v>
      </c>
      <c r="D37" s="306"/>
      <c r="E37" s="307"/>
      <c r="F37" s="307"/>
      <c r="G37" s="257"/>
      <c r="H37" s="307"/>
      <c r="I37" s="284"/>
      <c r="J37" s="157"/>
      <c r="K37" s="157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</row>
    <row r="38" ht="22.5" customHeight="1">
      <c r="A38" s="292"/>
      <c r="B38" s="293">
        <v>1.0</v>
      </c>
      <c r="C38" s="294" t="s">
        <v>2358</v>
      </c>
      <c r="D38" s="294" t="s">
        <v>2359</v>
      </c>
      <c r="E38" s="299" t="s">
        <v>2284</v>
      </c>
      <c r="F38" s="299" t="s">
        <v>2285</v>
      </c>
      <c r="G38" s="52">
        <v>1620.0</v>
      </c>
      <c r="H38" s="297">
        <v>1750.0</v>
      </c>
      <c r="I38" s="248">
        <f t="shared" ref="I38:I43" si="4">IFERROR(DIVIDE(MINUS(H38,G38),G38),)</f>
        <v>0.08024691358</v>
      </c>
      <c r="J38" s="265">
        <v>4.5</v>
      </c>
      <c r="K38" s="298">
        <f t="shared" ref="K38:K43" si="5">IFERROR(G38/J38,"")</f>
        <v>360</v>
      </c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</row>
    <row r="39" ht="22.5" customHeight="1">
      <c r="A39" s="292"/>
      <c r="B39" s="40">
        <v>2.0</v>
      </c>
      <c r="C39" s="294" t="s">
        <v>2362</v>
      </c>
      <c r="D39" s="294" t="s">
        <v>2363</v>
      </c>
      <c r="E39" s="299" t="s">
        <v>2284</v>
      </c>
      <c r="F39" s="299" t="s">
        <v>2285</v>
      </c>
      <c r="G39" s="52">
        <v>1620.0</v>
      </c>
      <c r="H39" s="297">
        <v>1750.0</v>
      </c>
      <c r="I39" s="248">
        <f t="shared" si="4"/>
        <v>0.08024691358</v>
      </c>
      <c r="J39" s="265">
        <v>4.5</v>
      </c>
      <c r="K39" s="298">
        <f t="shared" si="5"/>
        <v>360</v>
      </c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</row>
    <row r="40" ht="22.5" customHeight="1">
      <c r="A40" s="292"/>
      <c r="B40" s="40">
        <v>3.0</v>
      </c>
      <c r="C40" s="294" t="s">
        <v>2364</v>
      </c>
      <c r="D40" s="294" t="s">
        <v>2359</v>
      </c>
      <c r="E40" s="299" t="s">
        <v>2284</v>
      </c>
      <c r="F40" s="299" t="s">
        <v>2302</v>
      </c>
      <c r="G40" s="52">
        <v>2330.0</v>
      </c>
      <c r="H40" s="297">
        <v>2520.0</v>
      </c>
      <c r="I40" s="248">
        <f t="shared" si="4"/>
        <v>0.08154506438</v>
      </c>
      <c r="J40" s="265">
        <v>6.5</v>
      </c>
      <c r="K40" s="298">
        <f t="shared" si="5"/>
        <v>358.4615385</v>
      </c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</row>
    <row r="41" ht="22.5" customHeight="1">
      <c r="A41" s="292"/>
      <c r="B41" s="40">
        <v>4.0</v>
      </c>
      <c r="C41" s="294" t="s">
        <v>2366</v>
      </c>
      <c r="D41" s="294" t="s">
        <v>2363</v>
      </c>
      <c r="E41" s="299" t="s">
        <v>2284</v>
      </c>
      <c r="F41" s="299" t="s">
        <v>2302</v>
      </c>
      <c r="G41" s="52">
        <v>2330.0</v>
      </c>
      <c r="H41" s="297">
        <v>2520.0</v>
      </c>
      <c r="I41" s="248">
        <f t="shared" si="4"/>
        <v>0.08154506438</v>
      </c>
      <c r="J41" s="265">
        <v>6.5</v>
      </c>
      <c r="K41" s="298">
        <f t="shared" si="5"/>
        <v>358.4615385</v>
      </c>
      <c r="L41" s="284"/>
      <c r="M41" s="284"/>
      <c r="N41" s="284"/>
      <c r="O41" s="284"/>
      <c r="P41" s="284"/>
      <c r="Q41" s="284"/>
      <c r="R41" s="284"/>
      <c r="S41" s="284"/>
      <c r="T41" s="284"/>
      <c r="U41" s="284"/>
      <c r="V41" s="284"/>
    </row>
    <row r="42" ht="22.5" customHeight="1">
      <c r="A42" s="292"/>
      <c r="B42" s="40">
        <v>5.0</v>
      </c>
      <c r="C42" s="294" t="s">
        <v>2368</v>
      </c>
      <c r="D42" s="294" t="s">
        <v>2359</v>
      </c>
      <c r="E42" s="299" t="s">
        <v>2284</v>
      </c>
      <c r="F42" s="299" t="s">
        <v>2312</v>
      </c>
      <c r="G42" s="164">
        <v>3049.8</v>
      </c>
      <c r="H42" s="297">
        <v>3290.0</v>
      </c>
      <c r="I42" s="248">
        <f t="shared" si="4"/>
        <v>0.0787592629</v>
      </c>
      <c r="J42" s="265">
        <v>8.5</v>
      </c>
      <c r="K42" s="298">
        <f t="shared" si="5"/>
        <v>358.8</v>
      </c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</row>
    <row r="43" ht="22.5" customHeight="1">
      <c r="A43" s="292"/>
      <c r="B43" s="293">
        <v>6.0</v>
      </c>
      <c r="C43" s="294" t="s">
        <v>2370</v>
      </c>
      <c r="D43" s="294" t="s">
        <v>2363</v>
      </c>
      <c r="E43" s="299" t="s">
        <v>2284</v>
      </c>
      <c r="F43" s="299" t="s">
        <v>2312</v>
      </c>
      <c r="G43" s="164">
        <v>3049.8</v>
      </c>
      <c r="H43" s="297">
        <v>3290.0</v>
      </c>
      <c r="I43" s="248">
        <f t="shared" si="4"/>
        <v>0.0787592629</v>
      </c>
      <c r="J43" s="265">
        <v>8.5</v>
      </c>
      <c r="K43" s="298">
        <f t="shared" si="5"/>
        <v>358.8</v>
      </c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</row>
    <row r="44">
      <c r="A44" s="308"/>
      <c r="B44" s="308"/>
      <c r="C44" s="308"/>
      <c r="D44" s="308"/>
      <c r="E44" s="241"/>
      <c r="F44" s="241"/>
      <c r="G44" s="309"/>
      <c r="H44" s="241"/>
      <c r="J44" s="3"/>
      <c r="K44" s="3"/>
    </row>
    <row r="45" ht="26.25" customHeight="1">
      <c r="A45" s="308"/>
      <c r="B45" s="308"/>
      <c r="C45" s="176" t="s">
        <v>2373</v>
      </c>
      <c r="D45" s="308"/>
      <c r="E45" s="241"/>
      <c r="F45" s="241"/>
      <c r="G45" s="309"/>
      <c r="H45" s="241"/>
      <c r="J45" s="3"/>
      <c r="K45" s="285"/>
    </row>
    <row r="46" ht="22.5" customHeight="1">
      <c r="A46" s="292"/>
      <c r="B46" s="40">
        <v>1.0</v>
      </c>
      <c r="C46" s="40" t="s">
        <v>2374</v>
      </c>
      <c r="D46" s="40" t="s">
        <v>2375</v>
      </c>
      <c r="E46" s="299" t="s">
        <v>2284</v>
      </c>
      <c r="F46" s="299" t="s">
        <v>2285</v>
      </c>
      <c r="G46" s="52">
        <v>1590.0</v>
      </c>
      <c r="H46" s="310">
        <v>1720.0</v>
      </c>
      <c r="I46" s="248">
        <f t="shared" ref="I46:I48" si="6">IFERROR(DIVIDE(MINUS(H46,G46),G46),)</f>
        <v>0.08176100629</v>
      </c>
      <c r="J46" s="265">
        <v>4.0</v>
      </c>
      <c r="K46" s="298">
        <f t="shared" ref="K46:K48" si="7">IFERROR(H46/J46,"")</f>
        <v>430</v>
      </c>
    </row>
    <row r="47" ht="22.5" customHeight="1">
      <c r="A47" s="292"/>
      <c r="B47" s="40">
        <v>2.0</v>
      </c>
      <c r="C47" s="40" t="s">
        <v>2379</v>
      </c>
      <c r="D47" s="40" t="s">
        <v>2375</v>
      </c>
      <c r="E47" s="299" t="s">
        <v>2284</v>
      </c>
      <c r="F47" s="299" t="s">
        <v>2302</v>
      </c>
      <c r="G47" s="52">
        <v>2240.0</v>
      </c>
      <c r="H47" s="297">
        <v>2420.0</v>
      </c>
      <c r="I47" s="248">
        <f t="shared" si="6"/>
        <v>0.08035714286</v>
      </c>
      <c r="J47" s="265">
        <v>5.75</v>
      </c>
      <c r="K47" s="298">
        <f t="shared" si="7"/>
        <v>420.8695652</v>
      </c>
    </row>
    <row r="48" ht="22.5" customHeight="1">
      <c r="A48" s="292"/>
      <c r="B48" s="311">
        <v>3.0</v>
      </c>
      <c r="C48" s="311" t="s">
        <v>2381</v>
      </c>
      <c r="D48" s="40" t="s">
        <v>2375</v>
      </c>
      <c r="E48" s="301" t="s">
        <v>2284</v>
      </c>
      <c r="F48" s="301" t="s">
        <v>2312</v>
      </c>
      <c r="G48" s="312">
        <v>3039.6</v>
      </c>
      <c r="H48" s="297">
        <v>3280.0</v>
      </c>
      <c r="I48" s="248">
        <f t="shared" si="6"/>
        <v>0.07908935386</v>
      </c>
      <c r="J48" s="265">
        <v>7.8</v>
      </c>
      <c r="K48" s="298">
        <f t="shared" si="7"/>
        <v>420.5128205</v>
      </c>
    </row>
    <row r="49">
      <c r="A49" s="126"/>
      <c r="B49" s="175"/>
      <c r="C49" s="175"/>
      <c r="D49" s="175"/>
      <c r="E49" s="271"/>
      <c r="F49" s="271"/>
      <c r="G49" s="271"/>
      <c r="H49" s="271"/>
      <c r="J49" s="3"/>
      <c r="K49" s="3"/>
    </row>
    <row r="50" ht="26.25" customHeight="1">
      <c r="A50" s="126"/>
      <c r="B50" s="313"/>
      <c r="C50" s="176" t="s">
        <v>2382</v>
      </c>
      <c r="D50" s="313"/>
      <c r="E50" s="257"/>
      <c r="F50" s="257"/>
      <c r="G50" s="257"/>
      <c r="H50" s="257"/>
      <c r="J50" s="3"/>
      <c r="K50" s="285"/>
    </row>
    <row r="51" ht="22.5" customHeight="1">
      <c r="A51" s="292"/>
      <c r="B51" s="293">
        <v>1.0</v>
      </c>
      <c r="C51" s="293" t="s">
        <v>2383</v>
      </c>
      <c r="D51" s="293" t="s">
        <v>2384</v>
      </c>
      <c r="E51" s="296" t="s">
        <v>2284</v>
      </c>
      <c r="F51" s="296" t="s">
        <v>2285</v>
      </c>
      <c r="G51" s="137">
        <v>2410.0</v>
      </c>
      <c r="H51" s="297">
        <v>2590.0</v>
      </c>
      <c r="I51" s="248">
        <f t="shared" ref="I51:I53" si="8">IFERROR(DIVIDE(MINUS(H51,G51),G51),)</f>
        <v>0.07468879668</v>
      </c>
      <c r="J51" s="265">
        <v>5.4</v>
      </c>
      <c r="K51" s="298">
        <f t="shared" ref="K51:K53" si="9">IFERROR(H51/J51,"")</f>
        <v>479.6296296</v>
      </c>
    </row>
    <row r="52" ht="22.5" customHeight="1">
      <c r="A52" s="292"/>
      <c r="B52" s="40">
        <v>2.0</v>
      </c>
      <c r="C52" s="40" t="s">
        <v>2386</v>
      </c>
      <c r="D52" s="293" t="s">
        <v>2384</v>
      </c>
      <c r="E52" s="299" t="s">
        <v>2284</v>
      </c>
      <c r="F52" s="299" t="s">
        <v>2302</v>
      </c>
      <c r="G52" s="52">
        <v>3350.0</v>
      </c>
      <c r="H52" s="297">
        <v>3620.0</v>
      </c>
      <c r="I52" s="248">
        <f t="shared" si="8"/>
        <v>0.08059701493</v>
      </c>
      <c r="J52" s="265">
        <v>7.5</v>
      </c>
      <c r="K52" s="298">
        <f t="shared" si="9"/>
        <v>482.6666667</v>
      </c>
    </row>
    <row r="53" ht="22.5" customHeight="1">
      <c r="A53" s="292"/>
      <c r="B53" s="293">
        <v>3.0</v>
      </c>
      <c r="C53" s="40" t="s">
        <v>2388</v>
      </c>
      <c r="D53" s="293" t="s">
        <v>2384</v>
      </c>
      <c r="E53" s="299" t="s">
        <v>2284</v>
      </c>
      <c r="F53" s="299" t="s">
        <v>2312</v>
      </c>
      <c r="G53" s="52">
        <v>4270.0</v>
      </c>
      <c r="H53" s="297">
        <v>4610.0</v>
      </c>
      <c r="I53" s="248">
        <f t="shared" si="8"/>
        <v>0.07962529274</v>
      </c>
      <c r="J53" s="265">
        <v>9.5</v>
      </c>
      <c r="K53" s="298">
        <f t="shared" si="9"/>
        <v>485.2631579</v>
      </c>
    </row>
    <row r="54">
      <c r="A54" s="308"/>
      <c r="B54" s="308"/>
      <c r="C54" s="308"/>
      <c r="D54" s="308"/>
      <c r="E54" s="241"/>
      <c r="F54" s="241"/>
      <c r="G54" s="314"/>
      <c r="H54" s="315"/>
      <c r="J54" s="3"/>
      <c r="K54" s="3"/>
    </row>
    <row r="55" ht="26.25" customHeight="1">
      <c r="A55" s="308"/>
      <c r="B55" s="308"/>
      <c r="C55" s="176" t="s">
        <v>2390</v>
      </c>
      <c r="D55" s="308"/>
      <c r="E55" s="241"/>
      <c r="F55" s="241"/>
      <c r="G55" s="309"/>
      <c r="H55" s="241"/>
      <c r="J55" s="3"/>
      <c r="K55" s="285"/>
    </row>
    <row r="56" ht="22.5" customHeight="1">
      <c r="A56" s="292"/>
      <c r="B56" s="40">
        <v>1.0</v>
      </c>
      <c r="C56" s="40" t="s">
        <v>2391</v>
      </c>
      <c r="D56" s="40" t="s">
        <v>2392</v>
      </c>
      <c r="E56" s="299" t="s">
        <v>2284</v>
      </c>
      <c r="F56" s="299" t="s">
        <v>2285</v>
      </c>
      <c r="G56" s="164">
        <v>2019.6</v>
      </c>
      <c r="H56" s="310">
        <v>2180.0</v>
      </c>
      <c r="I56" s="248">
        <f t="shared" ref="I56:I58" si="10">IFERROR(DIVIDE(MINUS(H56,G56),G56),)</f>
        <v>0.07942166766</v>
      </c>
      <c r="J56" s="265">
        <v>4.7</v>
      </c>
      <c r="K56" s="298">
        <f t="shared" ref="K56:K58" si="11">IFERROR(H56/J56,"")</f>
        <v>463.8297872</v>
      </c>
    </row>
    <row r="57" ht="22.5" customHeight="1">
      <c r="A57" s="292"/>
      <c r="B57" s="40">
        <v>2.0</v>
      </c>
      <c r="C57" s="40" t="s">
        <v>2394</v>
      </c>
      <c r="D57" s="40" t="s">
        <v>2392</v>
      </c>
      <c r="E57" s="299" t="s">
        <v>2284</v>
      </c>
      <c r="F57" s="299" t="s">
        <v>2302</v>
      </c>
      <c r="G57" s="52">
        <v>2840.0</v>
      </c>
      <c r="H57" s="297">
        <v>3060.0</v>
      </c>
      <c r="I57" s="248">
        <f t="shared" si="10"/>
        <v>0.07746478873</v>
      </c>
      <c r="J57" s="265">
        <v>6.7</v>
      </c>
      <c r="K57" s="298">
        <f t="shared" si="11"/>
        <v>456.7164179</v>
      </c>
    </row>
    <row r="58" ht="22.5" customHeight="1">
      <c r="A58" s="292"/>
      <c r="B58" s="40">
        <v>3.0</v>
      </c>
      <c r="C58" s="40" t="s">
        <v>2395</v>
      </c>
      <c r="D58" s="40" t="s">
        <v>2392</v>
      </c>
      <c r="E58" s="299" t="s">
        <v>2284</v>
      </c>
      <c r="F58" s="299" t="s">
        <v>2312</v>
      </c>
      <c r="G58" s="164">
        <v>3549.6</v>
      </c>
      <c r="H58" s="297">
        <v>3840.0</v>
      </c>
      <c r="I58" s="248">
        <f t="shared" si="10"/>
        <v>0.08181203516</v>
      </c>
      <c r="J58" s="265">
        <v>8.5</v>
      </c>
      <c r="K58" s="298">
        <f t="shared" si="11"/>
        <v>451.7647059</v>
      </c>
    </row>
    <row r="59">
      <c r="A59" s="308"/>
      <c r="B59" s="308"/>
      <c r="C59" s="308"/>
      <c r="D59" s="308"/>
      <c r="E59" s="241"/>
      <c r="F59" s="241"/>
      <c r="G59" s="309"/>
      <c r="H59" s="241"/>
      <c r="J59" s="3"/>
      <c r="K59" s="3"/>
    </row>
    <row r="60">
      <c r="A60" s="308"/>
      <c r="B60" s="308"/>
      <c r="C60" s="308"/>
      <c r="D60" s="308"/>
      <c r="E60" s="241"/>
      <c r="F60" s="241"/>
      <c r="G60" s="309"/>
      <c r="H60" s="241"/>
      <c r="J60" s="3"/>
      <c r="K60" s="3"/>
    </row>
    <row r="61">
      <c r="A61" s="308"/>
      <c r="B61" s="308"/>
      <c r="C61" s="308"/>
      <c r="D61" s="308"/>
      <c r="E61" s="241"/>
      <c r="F61" s="241"/>
      <c r="G61" s="309"/>
      <c r="H61" s="241"/>
      <c r="J61" s="3"/>
      <c r="K61" s="3"/>
    </row>
    <row r="62">
      <c r="A62" s="308"/>
      <c r="B62" s="308"/>
      <c r="C62" s="308"/>
      <c r="D62" s="308"/>
      <c r="E62" s="241"/>
      <c r="F62" s="241"/>
      <c r="G62" s="309"/>
      <c r="H62" s="241"/>
      <c r="J62" s="3"/>
      <c r="K62" s="3"/>
    </row>
    <row r="63">
      <c r="A63" s="308"/>
      <c r="B63" s="308"/>
      <c r="C63" s="308"/>
      <c r="D63" s="308"/>
      <c r="E63" s="241"/>
      <c r="F63" s="241"/>
      <c r="G63" s="309"/>
      <c r="H63" s="241"/>
      <c r="J63" s="3"/>
      <c r="K63" s="3"/>
    </row>
    <row r="64">
      <c r="A64" s="308"/>
      <c r="B64" s="308"/>
      <c r="C64" s="308"/>
      <c r="D64" s="308"/>
      <c r="E64" s="241"/>
      <c r="F64" s="241"/>
      <c r="G64" s="309"/>
      <c r="H64" s="241"/>
      <c r="J64" s="3"/>
      <c r="K64" s="3"/>
    </row>
    <row r="65">
      <c r="A65" s="308"/>
      <c r="B65" s="308"/>
      <c r="C65" s="308"/>
      <c r="D65" s="308"/>
      <c r="E65" s="241"/>
      <c r="F65" s="241"/>
      <c r="G65" s="309"/>
      <c r="H65" s="241"/>
      <c r="J65" s="3"/>
      <c r="K65" s="3"/>
    </row>
    <row r="66">
      <c r="A66" s="308"/>
      <c r="B66" s="308"/>
      <c r="C66" s="308"/>
      <c r="D66" s="308"/>
      <c r="E66" s="241"/>
      <c r="F66" s="241"/>
      <c r="G66" s="309"/>
      <c r="H66" s="241"/>
      <c r="J66" s="3"/>
      <c r="K66" s="3"/>
    </row>
    <row r="67">
      <c r="A67" s="308"/>
      <c r="B67" s="308"/>
      <c r="C67" s="308"/>
      <c r="D67" s="308"/>
      <c r="E67" s="241"/>
      <c r="F67" s="241"/>
      <c r="G67" s="309"/>
      <c r="H67" s="241"/>
      <c r="J67" s="3"/>
      <c r="K67" s="3"/>
    </row>
    <row r="68">
      <c r="A68" s="308"/>
      <c r="B68" s="308"/>
      <c r="C68" s="308"/>
      <c r="D68" s="308"/>
      <c r="E68" s="241"/>
      <c r="F68" s="241"/>
      <c r="G68" s="309"/>
      <c r="H68" s="241"/>
      <c r="J68" s="3"/>
      <c r="K68" s="3"/>
    </row>
    <row r="69">
      <c r="A69" s="308"/>
      <c r="B69" s="308"/>
      <c r="C69" s="308"/>
      <c r="D69" s="308"/>
      <c r="E69" s="241"/>
      <c r="F69" s="241"/>
      <c r="G69" s="309"/>
      <c r="H69" s="241"/>
      <c r="J69" s="3"/>
      <c r="K69" s="3"/>
    </row>
    <row r="70">
      <c r="A70" s="308"/>
      <c r="B70" s="308"/>
      <c r="C70" s="308"/>
      <c r="D70" s="308"/>
      <c r="E70" s="241"/>
      <c r="F70" s="241"/>
      <c r="G70" s="309"/>
      <c r="H70" s="241"/>
      <c r="J70" s="3"/>
      <c r="K70" s="3"/>
    </row>
    <row r="71">
      <c r="A71" s="308"/>
      <c r="B71" s="308"/>
      <c r="C71" s="308"/>
      <c r="D71" s="308"/>
      <c r="E71" s="241"/>
      <c r="F71" s="241"/>
      <c r="G71" s="309"/>
      <c r="H71" s="241"/>
      <c r="J71" s="3"/>
      <c r="K71" s="3"/>
    </row>
    <row r="72">
      <c r="A72" s="308"/>
      <c r="B72" s="308"/>
      <c r="C72" s="308"/>
      <c r="D72" s="308"/>
      <c r="E72" s="241"/>
      <c r="F72" s="241"/>
      <c r="G72" s="309"/>
      <c r="H72" s="241"/>
      <c r="J72" s="3"/>
      <c r="K72" s="3"/>
    </row>
    <row r="73">
      <c r="A73" s="308"/>
      <c r="B73" s="308"/>
      <c r="C73" s="308"/>
      <c r="D73" s="308"/>
      <c r="E73" s="241"/>
      <c r="F73" s="241"/>
      <c r="G73" s="309"/>
      <c r="H73" s="241"/>
      <c r="J73" s="3"/>
      <c r="K73" s="3"/>
    </row>
    <row r="74">
      <c r="A74" s="308"/>
      <c r="B74" s="308"/>
      <c r="C74" s="308"/>
      <c r="D74" s="308"/>
      <c r="E74" s="241"/>
      <c r="F74" s="241"/>
      <c r="G74" s="309"/>
      <c r="H74" s="241"/>
      <c r="J74" s="3"/>
      <c r="K74" s="3"/>
    </row>
    <row r="75">
      <c r="A75" s="308"/>
      <c r="B75" s="308"/>
      <c r="C75" s="308"/>
      <c r="D75" s="308"/>
      <c r="E75" s="241"/>
      <c r="F75" s="241"/>
      <c r="G75" s="309"/>
      <c r="H75" s="241"/>
      <c r="J75" s="3"/>
      <c r="K75" s="3"/>
    </row>
    <row r="76">
      <c r="A76" s="308"/>
      <c r="B76" s="308"/>
      <c r="C76" s="308"/>
      <c r="D76" s="308"/>
      <c r="E76" s="241"/>
      <c r="F76" s="241"/>
      <c r="G76" s="309"/>
      <c r="H76" s="241"/>
      <c r="J76" s="3"/>
      <c r="K76" s="3"/>
    </row>
    <row r="77">
      <c r="A77" s="308"/>
      <c r="B77" s="308"/>
      <c r="C77" s="308"/>
      <c r="D77" s="308"/>
      <c r="E77" s="241"/>
      <c r="F77" s="241"/>
      <c r="G77" s="309"/>
      <c r="H77" s="241"/>
      <c r="J77" s="3"/>
      <c r="K77" s="3"/>
    </row>
    <row r="78">
      <c r="A78" s="308"/>
      <c r="B78" s="308"/>
      <c r="C78" s="308"/>
      <c r="D78" s="308"/>
      <c r="E78" s="241"/>
      <c r="F78" s="241"/>
      <c r="G78" s="309"/>
      <c r="H78" s="241"/>
      <c r="J78" s="3"/>
      <c r="K78" s="3"/>
    </row>
    <row r="79">
      <c r="A79" s="308"/>
      <c r="B79" s="308"/>
      <c r="C79" s="308"/>
      <c r="D79" s="308"/>
      <c r="E79" s="241"/>
      <c r="F79" s="241"/>
      <c r="G79" s="309"/>
      <c r="H79" s="241"/>
      <c r="J79" s="3"/>
      <c r="K79" s="3"/>
    </row>
    <row r="80">
      <c r="A80" s="308"/>
      <c r="B80" s="308"/>
      <c r="C80" s="308"/>
      <c r="D80" s="308"/>
      <c r="E80" s="241"/>
      <c r="F80" s="241"/>
      <c r="G80" s="309"/>
      <c r="H80" s="241"/>
      <c r="J80" s="3"/>
      <c r="K80" s="3"/>
    </row>
    <row r="81">
      <c r="A81" s="308"/>
      <c r="B81" s="308"/>
      <c r="C81" s="308"/>
      <c r="D81" s="308"/>
      <c r="E81" s="241"/>
      <c r="F81" s="241"/>
      <c r="G81" s="309"/>
      <c r="H81" s="241"/>
      <c r="J81" s="3"/>
      <c r="K81" s="3"/>
    </row>
    <row r="82">
      <c r="A82" s="308"/>
      <c r="B82" s="308"/>
      <c r="C82" s="308"/>
      <c r="D82" s="308"/>
      <c r="E82" s="241"/>
      <c r="F82" s="241"/>
      <c r="G82" s="309"/>
      <c r="H82" s="241"/>
      <c r="J82" s="3"/>
      <c r="K82" s="3"/>
    </row>
    <row r="83">
      <c r="A83" s="308"/>
      <c r="B83" s="308"/>
      <c r="C83" s="308"/>
      <c r="D83" s="308"/>
      <c r="E83" s="241"/>
      <c r="F83" s="241"/>
      <c r="G83" s="309"/>
      <c r="H83" s="241"/>
      <c r="J83" s="3"/>
      <c r="K83" s="3"/>
    </row>
    <row r="84">
      <c r="A84" s="308"/>
      <c r="B84" s="308"/>
      <c r="C84" s="308"/>
      <c r="D84" s="308"/>
      <c r="E84" s="241"/>
      <c r="F84" s="241"/>
      <c r="G84" s="309"/>
      <c r="H84" s="241"/>
      <c r="J84" s="3"/>
      <c r="K84" s="3"/>
    </row>
    <row r="85">
      <c r="A85" s="308"/>
      <c r="B85" s="308"/>
      <c r="C85" s="308"/>
      <c r="D85" s="308"/>
      <c r="E85" s="241"/>
      <c r="F85" s="241"/>
      <c r="G85" s="309"/>
      <c r="H85" s="241"/>
      <c r="J85" s="3"/>
      <c r="K85" s="3"/>
    </row>
    <row r="86">
      <c r="A86" s="308"/>
      <c r="B86" s="308"/>
      <c r="C86" s="308"/>
      <c r="D86" s="308"/>
      <c r="E86" s="241"/>
      <c r="F86" s="241"/>
      <c r="G86" s="309"/>
      <c r="H86" s="241"/>
      <c r="J86" s="3"/>
      <c r="K86" s="3"/>
    </row>
    <row r="87">
      <c r="A87" s="308"/>
      <c r="B87" s="308"/>
      <c r="C87" s="308"/>
      <c r="D87" s="308"/>
      <c r="E87" s="241"/>
      <c r="F87" s="241"/>
      <c r="G87" s="309"/>
      <c r="H87" s="241"/>
      <c r="J87" s="3"/>
      <c r="K87" s="3"/>
    </row>
    <row r="88">
      <c r="A88" s="308"/>
      <c r="B88" s="308"/>
      <c r="C88" s="308"/>
      <c r="D88" s="308"/>
      <c r="E88" s="241"/>
      <c r="F88" s="241"/>
      <c r="G88" s="309"/>
      <c r="H88" s="241"/>
      <c r="J88" s="3"/>
      <c r="K88" s="3"/>
    </row>
    <row r="89">
      <c r="A89" s="308"/>
      <c r="B89" s="308"/>
      <c r="C89" s="308"/>
      <c r="D89" s="308"/>
      <c r="E89" s="241"/>
      <c r="F89" s="241"/>
      <c r="G89" s="309"/>
      <c r="H89" s="241"/>
      <c r="J89" s="3"/>
      <c r="K89" s="3"/>
    </row>
    <row r="90">
      <c r="A90" s="308"/>
      <c r="B90" s="308"/>
      <c r="C90" s="308"/>
      <c r="D90" s="308"/>
      <c r="E90" s="241"/>
      <c r="F90" s="241"/>
      <c r="G90" s="309"/>
      <c r="H90" s="241"/>
      <c r="J90" s="3"/>
      <c r="K90" s="3"/>
    </row>
    <row r="91">
      <c r="A91" s="308"/>
      <c r="B91" s="308"/>
      <c r="C91" s="308"/>
      <c r="D91" s="308"/>
      <c r="E91" s="241"/>
      <c r="F91" s="241"/>
      <c r="G91" s="309"/>
      <c r="H91" s="241"/>
      <c r="J91" s="3"/>
      <c r="K91" s="3"/>
    </row>
    <row r="92">
      <c r="A92" s="308"/>
      <c r="B92" s="308"/>
      <c r="C92" s="308"/>
      <c r="D92" s="308"/>
      <c r="E92" s="241"/>
      <c r="F92" s="241"/>
      <c r="G92" s="309"/>
      <c r="H92" s="241"/>
      <c r="J92" s="3"/>
      <c r="K92" s="3"/>
    </row>
    <row r="93">
      <c r="A93" s="308"/>
      <c r="B93" s="308"/>
      <c r="C93" s="308"/>
      <c r="D93" s="308"/>
      <c r="E93" s="241"/>
      <c r="F93" s="241"/>
      <c r="G93" s="309"/>
      <c r="H93" s="241"/>
      <c r="J93" s="3"/>
      <c r="K93" s="3"/>
    </row>
    <row r="94">
      <c r="A94" s="308"/>
      <c r="B94" s="308"/>
      <c r="C94" s="308"/>
      <c r="D94" s="308"/>
      <c r="E94" s="241"/>
      <c r="F94" s="241"/>
      <c r="G94" s="309"/>
      <c r="H94" s="241"/>
      <c r="J94" s="3"/>
      <c r="K94" s="3"/>
    </row>
    <row r="95">
      <c r="A95" s="308"/>
      <c r="B95" s="308"/>
      <c r="C95" s="308"/>
      <c r="D95" s="308"/>
      <c r="E95" s="241"/>
      <c r="F95" s="241"/>
      <c r="G95" s="309"/>
      <c r="H95" s="241"/>
      <c r="J95" s="3"/>
      <c r="K95" s="3"/>
    </row>
    <row r="96">
      <c r="A96" s="308"/>
      <c r="B96" s="308"/>
      <c r="C96" s="308"/>
      <c r="D96" s="308"/>
      <c r="E96" s="241"/>
      <c r="F96" s="241"/>
      <c r="G96" s="309"/>
      <c r="H96" s="241"/>
      <c r="J96" s="3"/>
      <c r="K96" s="3"/>
    </row>
    <row r="97">
      <c r="A97" s="308"/>
      <c r="B97" s="308"/>
      <c r="C97" s="308"/>
      <c r="D97" s="308"/>
      <c r="E97" s="241"/>
      <c r="F97" s="241"/>
      <c r="G97" s="309"/>
      <c r="H97" s="241"/>
      <c r="J97" s="3"/>
      <c r="K97" s="3"/>
    </row>
    <row r="98">
      <c r="A98" s="308"/>
      <c r="B98" s="308"/>
      <c r="C98" s="308"/>
      <c r="D98" s="308"/>
      <c r="E98" s="241"/>
      <c r="F98" s="241"/>
      <c r="G98" s="309"/>
      <c r="H98" s="241"/>
      <c r="J98" s="3"/>
      <c r="K98" s="3"/>
    </row>
    <row r="99">
      <c r="A99" s="308"/>
      <c r="B99" s="308"/>
      <c r="C99" s="308"/>
      <c r="D99" s="308"/>
      <c r="E99" s="241"/>
      <c r="F99" s="241"/>
      <c r="G99" s="309"/>
      <c r="H99" s="241"/>
      <c r="J99" s="3"/>
      <c r="K99" s="3"/>
    </row>
    <row r="100">
      <c r="A100" s="308"/>
      <c r="B100" s="308"/>
      <c r="C100" s="308"/>
      <c r="D100" s="308"/>
      <c r="E100" s="241"/>
      <c r="F100" s="241"/>
      <c r="G100" s="309"/>
      <c r="H100" s="241"/>
      <c r="J100" s="3"/>
      <c r="K100" s="3"/>
    </row>
    <row r="101">
      <c r="A101" s="308"/>
      <c r="B101" s="308"/>
      <c r="C101" s="308"/>
      <c r="D101" s="308"/>
      <c r="E101" s="241"/>
      <c r="F101" s="241"/>
      <c r="G101" s="309"/>
      <c r="H101" s="241"/>
      <c r="J101" s="3"/>
      <c r="K101" s="3"/>
    </row>
    <row r="102">
      <c r="A102" s="308"/>
      <c r="B102" s="308"/>
      <c r="C102" s="308"/>
      <c r="D102" s="308"/>
      <c r="E102" s="241"/>
      <c r="F102" s="241"/>
      <c r="G102" s="309"/>
      <c r="H102" s="241"/>
      <c r="J102" s="3"/>
      <c r="K102" s="3"/>
    </row>
    <row r="103">
      <c r="A103" s="308"/>
      <c r="B103" s="308"/>
      <c r="C103" s="308"/>
      <c r="D103" s="308"/>
      <c r="E103" s="241"/>
      <c r="F103" s="241"/>
      <c r="G103" s="309"/>
      <c r="H103" s="241"/>
      <c r="J103" s="3"/>
      <c r="K103" s="3"/>
    </row>
    <row r="104">
      <c r="A104" s="308"/>
      <c r="B104" s="308"/>
      <c r="C104" s="308"/>
      <c r="D104" s="308"/>
      <c r="E104" s="241"/>
      <c r="F104" s="241"/>
      <c r="G104" s="309"/>
      <c r="H104" s="241"/>
      <c r="J104" s="3"/>
      <c r="K104" s="3"/>
    </row>
    <row r="105">
      <c r="A105" s="308"/>
      <c r="B105" s="308"/>
      <c r="C105" s="308"/>
      <c r="D105" s="308"/>
      <c r="E105" s="241"/>
      <c r="F105" s="241"/>
      <c r="G105" s="309"/>
      <c r="H105" s="241"/>
      <c r="J105" s="3"/>
      <c r="K105" s="3"/>
    </row>
    <row r="106">
      <c r="A106" s="308"/>
      <c r="B106" s="308"/>
      <c r="C106" s="308"/>
      <c r="D106" s="308"/>
      <c r="E106" s="241"/>
      <c r="F106" s="241"/>
      <c r="G106" s="309"/>
      <c r="H106" s="241"/>
      <c r="J106" s="3"/>
      <c r="K106" s="3"/>
    </row>
    <row r="107">
      <c r="A107" s="308"/>
      <c r="B107" s="308"/>
      <c r="C107" s="308"/>
      <c r="D107" s="308"/>
      <c r="E107" s="241"/>
      <c r="F107" s="241"/>
      <c r="G107" s="309"/>
      <c r="H107" s="241"/>
      <c r="J107" s="3"/>
      <c r="K107" s="3"/>
    </row>
    <row r="108">
      <c r="A108" s="308"/>
      <c r="B108" s="308"/>
      <c r="C108" s="308"/>
      <c r="D108" s="308"/>
      <c r="E108" s="241"/>
      <c r="F108" s="241"/>
      <c r="G108" s="309"/>
      <c r="H108" s="241"/>
      <c r="J108" s="3"/>
      <c r="K108" s="3"/>
    </row>
    <row r="109">
      <c r="A109" s="308"/>
      <c r="B109" s="308"/>
      <c r="C109" s="308"/>
      <c r="D109" s="308"/>
      <c r="E109" s="241"/>
      <c r="F109" s="241"/>
      <c r="G109" s="309"/>
      <c r="H109" s="241"/>
      <c r="J109" s="3"/>
      <c r="K109" s="3"/>
    </row>
    <row r="110">
      <c r="A110" s="308"/>
      <c r="B110" s="308"/>
      <c r="C110" s="308"/>
      <c r="D110" s="308"/>
      <c r="E110" s="241"/>
      <c r="F110" s="241"/>
      <c r="G110" s="309"/>
      <c r="H110" s="241"/>
      <c r="J110" s="3"/>
      <c r="K110" s="3"/>
    </row>
    <row r="111">
      <c r="A111" s="308"/>
      <c r="B111" s="308"/>
      <c r="C111" s="308"/>
      <c r="D111" s="308"/>
      <c r="E111" s="241"/>
      <c r="F111" s="241"/>
      <c r="G111" s="309"/>
      <c r="H111" s="241"/>
      <c r="J111" s="3"/>
      <c r="K111" s="3"/>
    </row>
    <row r="112">
      <c r="A112" s="308"/>
      <c r="B112" s="308"/>
      <c r="C112" s="308"/>
      <c r="D112" s="308"/>
      <c r="E112" s="241"/>
      <c r="F112" s="241"/>
      <c r="G112" s="309"/>
      <c r="H112" s="241"/>
      <c r="J112" s="3"/>
      <c r="K112" s="3"/>
    </row>
    <row r="113">
      <c r="A113" s="308"/>
      <c r="B113" s="308"/>
      <c r="C113" s="308"/>
      <c r="D113" s="308"/>
      <c r="E113" s="241"/>
      <c r="F113" s="241"/>
      <c r="G113" s="309"/>
      <c r="H113" s="241"/>
      <c r="J113" s="3"/>
      <c r="K113" s="3"/>
    </row>
    <row r="114">
      <c r="A114" s="308"/>
      <c r="B114" s="308"/>
      <c r="C114" s="308"/>
      <c r="D114" s="308"/>
      <c r="E114" s="241"/>
      <c r="F114" s="241"/>
      <c r="G114" s="309"/>
      <c r="H114" s="241"/>
      <c r="J114" s="3"/>
      <c r="K114" s="3"/>
    </row>
    <row r="115">
      <c r="A115" s="308"/>
      <c r="B115" s="308"/>
      <c r="C115" s="308"/>
      <c r="D115" s="308"/>
      <c r="E115" s="241"/>
      <c r="F115" s="241"/>
      <c r="G115" s="309"/>
      <c r="H115" s="241"/>
      <c r="J115" s="3"/>
      <c r="K115" s="3"/>
    </row>
    <row r="116">
      <c r="A116" s="308"/>
      <c r="B116" s="308"/>
      <c r="C116" s="308"/>
      <c r="D116" s="308"/>
      <c r="E116" s="241"/>
      <c r="F116" s="241"/>
      <c r="G116" s="309"/>
      <c r="H116" s="241"/>
      <c r="J116" s="3"/>
      <c r="K116" s="3"/>
    </row>
    <row r="117">
      <c r="A117" s="308"/>
      <c r="B117" s="308"/>
      <c r="C117" s="308"/>
      <c r="D117" s="308"/>
      <c r="E117" s="241"/>
      <c r="F117" s="241"/>
      <c r="G117" s="309"/>
      <c r="H117" s="241"/>
      <c r="J117" s="3"/>
      <c r="K117" s="3"/>
    </row>
    <row r="118">
      <c r="A118" s="308"/>
      <c r="B118" s="308"/>
      <c r="C118" s="308"/>
      <c r="D118" s="308"/>
      <c r="E118" s="241"/>
      <c r="F118" s="241"/>
      <c r="G118" s="309"/>
      <c r="H118" s="241"/>
      <c r="J118" s="3"/>
      <c r="K118" s="3"/>
    </row>
    <row r="119">
      <c r="A119" s="308"/>
      <c r="B119" s="308"/>
      <c r="C119" s="308"/>
      <c r="D119" s="308"/>
      <c r="E119" s="241"/>
      <c r="F119" s="241"/>
      <c r="G119" s="309"/>
      <c r="H119" s="241"/>
      <c r="J119" s="3"/>
      <c r="K119" s="3"/>
    </row>
    <row r="120">
      <c r="A120" s="308"/>
      <c r="B120" s="308"/>
      <c r="C120" s="308"/>
      <c r="D120" s="308"/>
      <c r="E120" s="241"/>
      <c r="F120" s="241"/>
      <c r="G120" s="309"/>
      <c r="H120" s="241"/>
      <c r="J120" s="3"/>
      <c r="K120" s="3"/>
    </row>
    <row r="121">
      <c r="A121" s="308"/>
      <c r="B121" s="308"/>
      <c r="C121" s="308"/>
      <c r="D121" s="308"/>
      <c r="E121" s="241"/>
      <c r="F121" s="241"/>
      <c r="G121" s="309"/>
      <c r="H121" s="241"/>
      <c r="J121" s="3"/>
      <c r="K121" s="3"/>
    </row>
    <row r="122">
      <c r="A122" s="308"/>
      <c r="B122" s="308"/>
      <c r="C122" s="308"/>
      <c r="D122" s="308"/>
      <c r="E122" s="241"/>
      <c r="F122" s="241"/>
      <c r="G122" s="309"/>
      <c r="H122" s="241"/>
      <c r="J122" s="3"/>
      <c r="K122" s="3"/>
    </row>
    <row r="123">
      <c r="A123" s="308"/>
      <c r="B123" s="308"/>
      <c r="C123" s="308"/>
      <c r="D123" s="308"/>
      <c r="E123" s="241"/>
      <c r="F123" s="241"/>
      <c r="G123" s="309"/>
      <c r="H123" s="241"/>
      <c r="J123" s="3"/>
      <c r="K123" s="3"/>
    </row>
    <row r="124">
      <c r="A124" s="308"/>
      <c r="B124" s="308"/>
      <c r="C124" s="308"/>
      <c r="D124" s="308"/>
      <c r="E124" s="241"/>
      <c r="F124" s="241"/>
      <c r="G124" s="309"/>
      <c r="H124" s="241"/>
      <c r="J124" s="3"/>
      <c r="K124" s="3"/>
    </row>
    <row r="125">
      <c r="A125" s="308"/>
      <c r="B125" s="308"/>
      <c r="C125" s="308"/>
      <c r="D125" s="308"/>
      <c r="E125" s="241"/>
      <c r="F125" s="241"/>
      <c r="G125" s="309"/>
      <c r="H125" s="241"/>
      <c r="J125" s="3"/>
      <c r="K125" s="3"/>
    </row>
    <row r="126">
      <c r="A126" s="308"/>
      <c r="B126" s="308"/>
      <c r="C126" s="308"/>
      <c r="D126" s="308"/>
      <c r="E126" s="241"/>
      <c r="F126" s="241"/>
      <c r="G126" s="309"/>
      <c r="H126" s="241"/>
      <c r="J126" s="3"/>
      <c r="K126" s="3"/>
    </row>
    <row r="127">
      <c r="A127" s="308"/>
      <c r="B127" s="308"/>
      <c r="C127" s="308"/>
      <c r="D127" s="308"/>
      <c r="E127" s="241"/>
      <c r="F127" s="241"/>
      <c r="G127" s="309"/>
      <c r="H127" s="241"/>
      <c r="J127" s="3"/>
      <c r="K127" s="3"/>
    </row>
    <row r="128">
      <c r="A128" s="308"/>
      <c r="B128" s="308"/>
      <c r="C128" s="308"/>
      <c r="D128" s="308"/>
      <c r="E128" s="241"/>
      <c r="F128" s="241"/>
      <c r="G128" s="309"/>
      <c r="H128" s="241"/>
      <c r="J128" s="3"/>
      <c r="K128" s="3"/>
    </row>
    <row r="129">
      <c r="A129" s="308"/>
      <c r="B129" s="308"/>
      <c r="C129" s="308"/>
      <c r="D129" s="308"/>
      <c r="E129" s="241"/>
      <c r="F129" s="241"/>
      <c r="G129" s="309"/>
      <c r="H129" s="241"/>
      <c r="J129" s="3"/>
      <c r="K129" s="3"/>
    </row>
    <row r="130">
      <c r="A130" s="308"/>
      <c r="B130" s="308"/>
      <c r="C130" s="308"/>
      <c r="D130" s="308"/>
      <c r="E130" s="241"/>
      <c r="F130" s="241"/>
      <c r="G130" s="309"/>
      <c r="H130" s="241"/>
      <c r="J130" s="3"/>
      <c r="K130" s="3"/>
    </row>
    <row r="131">
      <c r="A131" s="308"/>
      <c r="B131" s="308"/>
      <c r="C131" s="308"/>
      <c r="D131" s="308"/>
      <c r="E131" s="241"/>
      <c r="F131" s="241"/>
      <c r="G131" s="309"/>
      <c r="H131" s="241"/>
      <c r="J131" s="3"/>
      <c r="K131" s="3"/>
    </row>
    <row r="132">
      <c r="A132" s="308"/>
      <c r="B132" s="308"/>
      <c r="C132" s="308"/>
      <c r="D132" s="308"/>
      <c r="E132" s="241"/>
      <c r="F132" s="241"/>
      <c r="G132" s="309"/>
      <c r="H132" s="241"/>
      <c r="J132" s="3"/>
      <c r="K132" s="3"/>
    </row>
    <row r="133">
      <c r="A133" s="308"/>
      <c r="B133" s="308"/>
      <c r="C133" s="308"/>
      <c r="D133" s="308"/>
      <c r="E133" s="241"/>
      <c r="F133" s="241"/>
      <c r="G133" s="309"/>
      <c r="H133" s="241"/>
      <c r="J133" s="3"/>
      <c r="K133" s="3"/>
    </row>
    <row r="134">
      <c r="A134" s="308"/>
      <c r="B134" s="308"/>
      <c r="C134" s="308"/>
      <c r="D134" s="308"/>
      <c r="E134" s="241"/>
      <c r="F134" s="241"/>
      <c r="G134" s="309"/>
      <c r="H134" s="241"/>
      <c r="J134" s="3"/>
      <c r="K134" s="3"/>
    </row>
    <row r="135">
      <c r="A135" s="308"/>
      <c r="B135" s="308"/>
      <c r="C135" s="308"/>
      <c r="D135" s="308"/>
      <c r="E135" s="241"/>
      <c r="F135" s="241"/>
      <c r="G135" s="309"/>
      <c r="H135" s="241"/>
      <c r="J135" s="3"/>
      <c r="K135" s="3"/>
    </row>
    <row r="136">
      <c r="A136" s="308"/>
      <c r="B136" s="308"/>
      <c r="C136" s="308"/>
      <c r="D136" s="308"/>
      <c r="E136" s="241"/>
      <c r="F136" s="241"/>
      <c r="G136" s="309"/>
      <c r="H136" s="241"/>
      <c r="J136" s="3"/>
      <c r="K136" s="3"/>
    </row>
    <row r="137">
      <c r="A137" s="308"/>
      <c r="B137" s="308"/>
      <c r="C137" s="308"/>
      <c r="D137" s="308"/>
      <c r="E137" s="241"/>
      <c r="F137" s="241"/>
      <c r="G137" s="309"/>
      <c r="H137" s="241"/>
      <c r="J137" s="3"/>
      <c r="K137" s="3"/>
    </row>
    <row r="138">
      <c r="A138" s="308"/>
      <c r="B138" s="308"/>
      <c r="C138" s="308"/>
      <c r="D138" s="308"/>
      <c r="E138" s="241"/>
      <c r="F138" s="241"/>
      <c r="G138" s="309"/>
      <c r="H138" s="241"/>
      <c r="J138" s="3"/>
      <c r="K138" s="3"/>
    </row>
    <row r="139">
      <c r="A139" s="308"/>
      <c r="B139" s="308"/>
      <c r="C139" s="308"/>
      <c r="D139" s="308"/>
      <c r="E139" s="241"/>
      <c r="F139" s="241"/>
      <c r="G139" s="309"/>
      <c r="H139" s="241"/>
      <c r="J139" s="3"/>
      <c r="K139" s="3"/>
    </row>
    <row r="140">
      <c r="A140" s="308"/>
      <c r="B140" s="308"/>
      <c r="C140" s="308"/>
      <c r="D140" s="308"/>
      <c r="E140" s="241"/>
      <c r="F140" s="241"/>
      <c r="G140" s="309"/>
      <c r="H140" s="241"/>
      <c r="J140" s="3"/>
      <c r="K140" s="3"/>
    </row>
    <row r="141">
      <c r="A141" s="308"/>
      <c r="B141" s="308"/>
      <c r="C141" s="308"/>
      <c r="D141" s="308"/>
      <c r="E141" s="241"/>
      <c r="F141" s="241"/>
      <c r="G141" s="309"/>
      <c r="H141" s="241"/>
      <c r="J141" s="3"/>
      <c r="K141" s="3"/>
    </row>
    <row r="142">
      <c r="A142" s="308"/>
      <c r="B142" s="308"/>
      <c r="C142" s="308"/>
      <c r="D142" s="308"/>
      <c r="E142" s="241"/>
      <c r="F142" s="241"/>
      <c r="G142" s="309"/>
      <c r="H142" s="241"/>
      <c r="J142" s="3"/>
      <c r="K142" s="3"/>
    </row>
    <row r="143">
      <c r="A143" s="308"/>
      <c r="B143" s="308"/>
      <c r="C143" s="308"/>
      <c r="D143" s="308"/>
      <c r="E143" s="241"/>
      <c r="F143" s="241"/>
      <c r="G143" s="309"/>
      <c r="H143" s="241"/>
      <c r="J143" s="3"/>
      <c r="K143" s="3"/>
    </row>
    <row r="144">
      <c r="A144" s="308"/>
      <c r="B144" s="308"/>
      <c r="C144" s="308"/>
      <c r="D144" s="308"/>
      <c r="E144" s="241"/>
      <c r="F144" s="241"/>
      <c r="G144" s="309"/>
      <c r="H144" s="241"/>
      <c r="J144" s="3"/>
      <c r="K144" s="3"/>
    </row>
    <row r="145">
      <c r="A145" s="308"/>
      <c r="B145" s="308"/>
      <c r="C145" s="308"/>
      <c r="D145" s="308"/>
      <c r="E145" s="241"/>
      <c r="F145" s="241"/>
      <c r="G145" s="309"/>
      <c r="H145" s="241"/>
      <c r="J145" s="3"/>
      <c r="K145" s="3"/>
    </row>
    <row r="146">
      <c r="A146" s="308"/>
      <c r="B146" s="308"/>
      <c r="C146" s="308"/>
      <c r="D146" s="308"/>
      <c r="E146" s="241"/>
      <c r="F146" s="241"/>
      <c r="G146" s="309"/>
      <c r="H146" s="241"/>
      <c r="J146" s="3"/>
      <c r="K146" s="3"/>
    </row>
    <row r="147">
      <c r="A147" s="308"/>
      <c r="B147" s="308"/>
      <c r="C147" s="308"/>
      <c r="D147" s="308"/>
      <c r="E147" s="241"/>
      <c r="F147" s="241"/>
      <c r="G147" s="309"/>
      <c r="H147" s="241"/>
      <c r="J147" s="3"/>
      <c r="K147" s="3"/>
    </row>
    <row r="148">
      <c r="A148" s="308"/>
      <c r="B148" s="308"/>
      <c r="C148" s="308"/>
      <c r="D148" s="308"/>
      <c r="E148" s="241"/>
      <c r="F148" s="241"/>
      <c r="G148" s="309"/>
      <c r="H148" s="241"/>
      <c r="J148" s="3"/>
      <c r="K148" s="3"/>
    </row>
    <row r="149">
      <c r="A149" s="308"/>
      <c r="B149" s="308"/>
      <c r="C149" s="308"/>
      <c r="D149" s="308"/>
      <c r="E149" s="241"/>
      <c r="F149" s="241"/>
      <c r="G149" s="309"/>
      <c r="H149" s="241"/>
      <c r="J149" s="3"/>
      <c r="K149" s="3"/>
    </row>
    <row r="150">
      <c r="A150" s="308"/>
      <c r="B150" s="308"/>
      <c r="C150" s="308"/>
      <c r="D150" s="308"/>
      <c r="E150" s="241"/>
      <c r="F150" s="241"/>
      <c r="G150" s="309"/>
      <c r="H150" s="241"/>
      <c r="J150" s="3"/>
      <c r="K150" s="3"/>
    </row>
    <row r="151">
      <c r="A151" s="308"/>
      <c r="B151" s="308"/>
      <c r="C151" s="308"/>
      <c r="D151" s="308"/>
      <c r="E151" s="241"/>
      <c r="F151" s="241"/>
      <c r="G151" s="309"/>
      <c r="H151" s="241"/>
      <c r="J151" s="3"/>
      <c r="K151" s="3"/>
    </row>
    <row r="152">
      <c r="A152" s="308"/>
      <c r="B152" s="308"/>
      <c r="C152" s="308"/>
      <c r="D152" s="308"/>
      <c r="E152" s="241"/>
      <c r="F152" s="241"/>
      <c r="G152" s="309"/>
      <c r="H152" s="241"/>
      <c r="J152" s="3"/>
      <c r="K152" s="3"/>
    </row>
    <row r="153">
      <c r="A153" s="308"/>
      <c r="B153" s="308"/>
      <c r="C153" s="308"/>
      <c r="D153" s="308"/>
      <c r="E153" s="241"/>
      <c r="F153" s="241"/>
      <c r="G153" s="309"/>
      <c r="H153" s="241"/>
      <c r="J153" s="3"/>
      <c r="K153" s="3"/>
    </row>
    <row r="154">
      <c r="A154" s="308"/>
      <c r="B154" s="308"/>
      <c r="C154" s="308"/>
      <c r="D154" s="308"/>
      <c r="E154" s="241"/>
      <c r="F154" s="241"/>
      <c r="G154" s="309"/>
      <c r="H154" s="241"/>
      <c r="J154" s="3"/>
      <c r="K154" s="3"/>
    </row>
    <row r="155">
      <c r="A155" s="308"/>
      <c r="B155" s="308"/>
      <c r="C155" s="308"/>
      <c r="D155" s="308"/>
      <c r="E155" s="241"/>
      <c r="F155" s="241"/>
      <c r="G155" s="309"/>
      <c r="H155" s="241"/>
      <c r="J155" s="3"/>
      <c r="K155" s="3"/>
    </row>
    <row r="156">
      <c r="A156" s="308"/>
      <c r="B156" s="308"/>
      <c r="C156" s="308"/>
      <c r="D156" s="308"/>
      <c r="E156" s="241"/>
      <c r="F156" s="241"/>
      <c r="G156" s="309"/>
      <c r="H156" s="241"/>
      <c r="J156" s="3"/>
      <c r="K156" s="3"/>
    </row>
    <row r="157">
      <c r="A157" s="308"/>
      <c r="B157" s="308"/>
      <c r="C157" s="308"/>
      <c r="D157" s="308"/>
      <c r="E157" s="241"/>
      <c r="F157" s="241"/>
      <c r="G157" s="309"/>
      <c r="H157" s="241"/>
      <c r="J157" s="3"/>
      <c r="K157" s="3"/>
    </row>
    <row r="158">
      <c r="A158" s="308"/>
      <c r="B158" s="308"/>
      <c r="C158" s="308"/>
      <c r="D158" s="308"/>
      <c r="E158" s="241"/>
      <c r="F158" s="241"/>
      <c r="G158" s="309"/>
      <c r="H158" s="241"/>
      <c r="J158" s="3"/>
      <c r="K158" s="3"/>
    </row>
    <row r="159">
      <c r="A159" s="308"/>
      <c r="B159" s="308"/>
      <c r="C159" s="308"/>
      <c r="D159" s="308"/>
      <c r="E159" s="241"/>
      <c r="F159" s="241"/>
      <c r="G159" s="309"/>
      <c r="H159" s="241"/>
      <c r="J159" s="3"/>
      <c r="K159" s="3"/>
    </row>
    <row r="160">
      <c r="A160" s="308"/>
      <c r="B160" s="308"/>
      <c r="C160" s="308"/>
      <c r="D160" s="308"/>
      <c r="E160" s="241"/>
      <c r="F160" s="241"/>
      <c r="G160" s="309"/>
      <c r="H160" s="241"/>
      <c r="J160" s="3"/>
      <c r="K160" s="3"/>
    </row>
    <row r="161">
      <c r="A161" s="308"/>
      <c r="B161" s="308"/>
      <c r="C161" s="308"/>
      <c r="D161" s="308"/>
      <c r="E161" s="241"/>
      <c r="F161" s="241"/>
      <c r="G161" s="309"/>
      <c r="H161" s="241"/>
      <c r="J161" s="3"/>
      <c r="K161" s="3"/>
    </row>
    <row r="162">
      <c r="A162" s="308"/>
      <c r="B162" s="308"/>
      <c r="C162" s="308"/>
      <c r="D162" s="308"/>
      <c r="E162" s="241"/>
      <c r="F162" s="241"/>
      <c r="G162" s="309"/>
      <c r="H162" s="241"/>
      <c r="J162" s="3"/>
      <c r="K162" s="3"/>
    </row>
    <row r="163">
      <c r="A163" s="308"/>
      <c r="B163" s="308"/>
      <c r="C163" s="308"/>
      <c r="D163" s="308"/>
      <c r="E163" s="241"/>
      <c r="F163" s="241"/>
      <c r="G163" s="309"/>
      <c r="H163" s="241"/>
      <c r="J163" s="3"/>
      <c r="K163" s="3"/>
    </row>
    <row r="164">
      <c r="A164" s="308"/>
      <c r="B164" s="308"/>
      <c r="C164" s="308"/>
      <c r="D164" s="308"/>
      <c r="E164" s="241"/>
      <c r="F164" s="241"/>
      <c r="G164" s="309"/>
      <c r="H164" s="241"/>
      <c r="J164" s="3"/>
      <c r="K164" s="3"/>
    </row>
    <row r="165">
      <c r="A165" s="308"/>
      <c r="B165" s="308"/>
      <c r="C165" s="308"/>
      <c r="D165" s="308"/>
      <c r="E165" s="241"/>
      <c r="F165" s="241"/>
      <c r="G165" s="309"/>
      <c r="H165" s="241"/>
      <c r="J165" s="3"/>
      <c r="K165" s="3"/>
    </row>
    <row r="166">
      <c r="A166" s="308"/>
      <c r="B166" s="308"/>
      <c r="C166" s="308"/>
      <c r="D166" s="308"/>
      <c r="E166" s="241"/>
      <c r="F166" s="241"/>
      <c r="G166" s="309"/>
      <c r="H166" s="241"/>
      <c r="J166" s="3"/>
      <c r="K166" s="3"/>
    </row>
    <row r="167">
      <c r="A167" s="308"/>
      <c r="B167" s="308"/>
      <c r="C167" s="308"/>
      <c r="D167" s="308"/>
      <c r="E167" s="241"/>
      <c r="F167" s="241"/>
      <c r="G167" s="309"/>
      <c r="H167" s="241"/>
      <c r="J167" s="3"/>
      <c r="K167" s="3"/>
    </row>
    <row r="168">
      <c r="A168" s="308"/>
      <c r="B168" s="308"/>
      <c r="C168" s="308"/>
      <c r="D168" s="308"/>
      <c r="E168" s="241"/>
      <c r="F168" s="241"/>
      <c r="G168" s="309"/>
      <c r="H168" s="241"/>
      <c r="J168" s="3"/>
      <c r="K168" s="3"/>
    </row>
    <row r="169">
      <c r="A169" s="308"/>
      <c r="B169" s="308"/>
      <c r="C169" s="308"/>
      <c r="D169" s="308"/>
      <c r="E169" s="241"/>
      <c r="F169" s="241"/>
      <c r="G169" s="309"/>
      <c r="H169" s="241"/>
      <c r="J169" s="3"/>
      <c r="K169" s="3"/>
    </row>
    <row r="170">
      <c r="A170" s="308"/>
      <c r="B170" s="308"/>
      <c r="C170" s="308"/>
      <c r="D170" s="308"/>
      <c r="E170" s="241"/>
      <c r="F170" s="241"/>
      <c r="G170" s="309"/>
      <c r="H170" s="241"/>
      <c r="J170" s="3"/>
      <c r="K170" s="3"/>
    </row>
    <row r="171">
      <c r="A171" s="308"/>
      <c r="B171" s="308"/>
      <c r="C171" s="308"/>
      <c r="D171" s="308"/>
      <c r="E171" s="241"/>
      <c r="F171" s="241"/>
      <c r="G171" s="309"/>
      <c r="H171" s="241"/>
      <c r="J171" s="3"/>
      <c r="K171" s="3"/>
    </row>
    <row r="172">
      <c r="A172" s="308"/>
      <c r="B172" s="308"/>
      <c r="C172" s="308"/>
      <c r="D172" s="308"/>
      <c r="E172" s="241"/>
      <c r="F172" s="241"/>
      <c r="G172" s="309"/>
      <c r="H172" s="241"/>
      <c r="J172" s="3"/>
      <c r="K172" s="3"/>
    </row>
    <row r="173">
      <c r="A173" s="308"/>
      <c r="B173" s="308"/>
      <c r="C173" s="308"/>
      <c r="D173" s="308"/>
      <c r="E173" s="241"/>
      <c r="F173" s="241"/>
      <c r="G173" s="309"/>
      <c r="H173" s="241"/>
      <c r="J173" s="3"/>
      <c r="K173" s="3"/>
    </row>
    <row r="174">
      <c r="A174" s="308"/>
      <c r="B174" s="308"/>
      <c r="C174" s="308"/>
      <c r="D174" s="308"/>
      <c r="E174" s="241"/>
      <c r="F174" s="241"/>
      <c r="G174" s="309"/>
      <c r="H174" s="241"/>
      <c r="J174" s="3"/>
      <c r="K174" s="3"/>
    </row>
    <row r="175">
      <c r="A175" s="308"/>
      <c r="B175" s="308"/>
      <c r="C175" s="308"/>
      <c r="D175" s="308"/>
      <c r="E175" s="241"/>
      <c r="F175" s="241"/>
      <c r="G175" s="309"/>
      <c r="H175" s="241"/>
      <c r="J175" s="3"/>
      <c r="K175" s="3"/>
    </row>
    <row r="176">
      <c r="A176" s="308"/>
      <c r="B176" s="308"/>
      <c r="C176" s="308"/>
      <c r="D176" s="308"/>
      <c r="E176" s="241"/>
      <c r="F176" s="241"/>
      <c r="G176" s="309"/>
      <c r="H176" s="241"/>
      <c r="J176" s="3"/>
      <c r="K176" s="3"/>
    </row>
    <row r="177">
      <c r="A177" s="308"/>
      <c r="B177" s="308"/>
      <c r="C177" s="308"/>
      <c r="D177" s="308"/>
      <c r="E177" s="241"/>
      <c r="F177" s="241"/>
      <c r="G177" s="309"/>
      <c r="H177" s="241"/>
      <c r="J177" s="3"/>
      <c r="K177" s="3"/>
    </row>
    <row r="178">
      <c r="A178" s="308"/>
      <c r="B178" s="308"/>
      <c r="C178" s="308"/>
      <c r="D178" s="308"/>
      <c r="E178" s="241"/>
      <c r="F178" s="241"/>
      <c r="G178" s="309"/>
      <c r="H178" s="241"/>
      <c r="J178" s="3"/>
      <c r="K178" s="3"/>
    </row>
    <row r="179">
      <c r="A179" s="308"/>
      <c r="B179" s="308"/>
      <c r="C179" s="308"/>
      <c r="D179" s="308"/>
      <c r="E179" s="241"/>
      <c r="F179" s="241"/>
      <c r="G179" s="309"/>
      <c r="H179" s="241"/>
      <c r="J179" s="3"/>
      <c r="K179" s="3"/>
    </row>
    <row r="180">
      <c r="A180" s="308"/>
      <c r="B180" s="308"/>
      <c r="C180" s="308"/>
      <c r="D180" s="308"/>
      <c r="E180" s="241"/>
      <c r="F180" s="241"/>
      <c r="G180" s="309"/>
      <c r="H180" s="241"/>
      <c r="J180" s="3"/>
      <c r="K180" s="3"/>
    </row>
    <row r="181">
      <c r="A181" s="308"/>
      <c r="B181" s="308"/>
      <c r="C181" s="308"/>
      <c r="D181" s="308"/>
      <c r="E181" s="241"/>
      <c r="F181" s="241"/>
      <c r="G181" s="309"/>
      <c r="H181" s="241"/>
      <c r="J181" s="3"/>
      <c r="K181" s="3"/>
    </row>
    <row r="182">
      <c r="A182" s="308"/>
      <c r="B182" s="308"/>
      <c r="C182" s="308"/>
      <c r="D182" s="308"/>
      <c r="E182" s="241"/>
      <c r="F182" s="241"/>
      <c r="G182" s="309"/>
      <c r="H182" s="241"/>
      <c r="J182" s="3"/>
      <c r="K182" s="3"/>
    </row>
    <row r="183">
      <c r="A183" s="308"/>
      <c r="B183" s="308"/>
      <c r="C183" s="308"/>
      <c r="D183" s="308"/>
      <c r="E183" s="241"/>
      <c r="F183" s="241"/>
      <c r="G183" s="309"/>
      <c r="H183" s="241"/>
      <c r="J183" s="3"/>
      <c r="K183" s="3"/>
    </row>
    <row r="184">
      <c r="A184" s="308"/>
      <c r="B184" s="308"/>
      <c r="C184" s="308"/>
      <c r="D184" s="308"/>
      <c r="E184" s="241"/>
      <c r="F184" s="241"/>
      <c r="G184" s="309"/>
      <c r="H184" s="241"/>
      <c r="J184" s="3"/>
      <c r="K184" s="3"/>
    </row>
    <row r="185">
      <c r="A185" s="308"/>
      <c r="B185" s="308"/>
      <c r="C185" s="308"/>
      <c r="D185" s="308"/>
      <c r="E185" s="241"/>
      <c r="F185" s="241"/>
      <c r="G185" s="309"/>
      <c r="H185" s="241"/>
      <c r="J185" s="3"/>
      <c r="K185" s="3"/>
    </row>
    <row r="186">
      <c r="A186" s="308"/>
      <c r="B186" s="308"/>
      <c r="C186" s="308"/>
      <c r="D186" s="308"/>
      <c r="E186" s="241"/>
      <c r="F186" s="241"/>
      <c r="G186" s="309"/>
      <c r="H186" s="241"/>
      <c r="J186" s="3"/>
      <c r="K186" s="3"/>
    </row>
    <row r="187">
      <c r="A187" s="308"/>
      <c r="B187" s="308"/>
      <c r="C187" s="308"/>
      <c r="D187" s="308"/>
      <c r="E187" s="241"/>
      <c r="F187" s="241"/>
      <c r="G187" s="309"/>
      <c r="H187" s="241"/>
      <c r="J187" s="3"/>
      <c r="K187" s="3"/>
    </row>
    <row r="188">
      <c r="A188" s="308"/>
      <c r="B188" s="308"/>
      <c r="C188" s="308"/>
      <c r="D188" s="308"/>
      <c r="E188" s="241"/>
      <c r="F188" s="241"/>
      <c r="G188" s="309"/>
      <c r="H188" s="241"/>
      <c r="J188" s="3"/>
      <c r="K188" s="3"/>
    </row>
    <row r="189">
      <c r="A189" s="308"/>
      <c r="B189" s="308"/>
      <c r="C189" s="308"/>
      <c r="D189" s="308"/>
      <c r="E189" s="241"/>
      <c r="F189" s="241"/>
      <c r="G189" s="309"/>
      <c r="H189" s="241"/>
      <c r="J189" s="3"/>
      <c r="K189" s="3"/>
    </row>
    <row r="190">
      <c r="A190" s="308"/>
      <c r="B190" s="308"/>
      <c r="C190" s="308"/>
      <c r="D190" s="308"/>
      <c r="E190" s="241"/>
      <c r="F190" s="241"/>
      <c r="G190" s="309"/>
      <c r="H190" s="241"/>
      <c r="J190" s="3"/>
      <c r="K190" s="3"/>
    </row>
    <row r="191">
      <c r="A191" s="308"/>
      <c r="B191" s="308"/>
      <c r="C191" s="308"/>
      <c r="D191" s="308"/>
      <c r="E191" s="241"/>
      <c r="F191" s="241"/>
      <c r="G191" s="309"/>
      <c r="H191" s="241"/>
      <c r="J191" s="3"/>
      <c r="K191" s="3"/>
    </row>
    <row r="192">
      <c r="A192" s="308"/>
      <c r="B192" s="308"/>
      <c r="C192" s="308"/>
      <c r="D192" s="308"/>
      <c r="E192" s="241"/>
      <c r="F192" s="241"/>
      <c r="G192" s="309"/>
      <c r="H192" s="241"/>
      <c r="J192" s="3"/>
      <c r="K192" s="3"/>
    </row>
    <row r="193">
      <c r="A193" s="308"/>
      <c r="B193" s="308"/>
      <c r="C193" s="308"/>
      <c r="D193" s="308"/>
      <c r="E193" s="241"/>
      <c r="F193" s="241"/>
      <c r="G193" s="309"/>
      <c r="H193" s="241"/>
      <c r="J193" s="3"/>
      <c r="K193" s="3"/>
    </row>
    <row r="194">
      <c r="A194" s="308"/>
      <c r="B194" s="308"/>
      <c r="C194" s="308"/>
      <c r="D194" s="308"/>
      <c r="E194" s="241"/>
      <c r="F194" s="241"/>
      <c r="G194" s="309"/>
      <c r="H194" s="241"/>
      <c r="J194" s="3"/>
      <c r="K194" s="3"/>
    </row>
    <row r="195">
      <c r="A195" s="308"/>
      <c r="B195" s="308"/>
      <c r="C195" s="308"/>
      <c r="D195" s="308"/>
      <c r="E195" s="241"/>
      <c r="F195" s="241"/>
      <c r="G195" s="309"/>
      <c r="H195" s="241"/>
      <c r="J195" s="3"/>
      <c r="K195" s="3"/>
    </row>
    <row r="196">
      <c r="A196" s="308"/>
      <c r="B196" s="308"/>
      <c r="C196" s="308"/>
      <c r="D196" s="308"/>
      <c r="E196" s="241"/>
      <c r="F196" s="241"/>
      <c r="G196" s="309"/>
      <c r="H196" s="241"/>
      <c r="J196" s="3"/>
      <c r="K196" s="3"/>
    </row>
    <row r="197">
      <c r="A197" s="308"/>
      <c r="B197" s="308"/>
      <c r="C197" s="308"/>
      <c r="D197" s="308"/>
      <c r="E197" s="241"/>
      <c r="F197" s="241"/>
      <c r="G197" s="309"/>
      <c r="H197" s="241"/>
      <c r="J197" s="3"/>
      <c r="K197" s="3"/>
    </row>
    <row r="198">
      <c r="A198" s="308"/>
      <c r="B198" s="308"/>
      <c r="C198" s="308"/>
      <c r="D198" s="308"/>
      <c r="E198" s="241"/>
      <c r="F198" s="241"/>
      <c r="G198" s="309"/>
      <c r="H198" s="241"/>
      <c r="J198" s="3"/>
      <c r="K198" s="3"/>
    </row>
    <row r="199">
      <c r="A199" s="308"/>
      <c r="B199" s="308"/>
      <c r="C199" s="308"/>
      <c r="D199" s="308"/>
      <c r="E199" s="241"/>
      <c r="F199" s="241"/>
      <c r="G199" s="309"/>
      <c r="H199" s="241"/>
      <c r="J199" s="3"/>
      <c r="K199" s="3"/>
    </row>
    <row r="200">
      <c r="A200" s="308"/>
      <c r="B200" s="308"/>
      <c r="C200" s="308"/>
      <c r="D200" s="308"/>
      <c r="E200" s="241"/>
      <c r="F200" s="241"/>
      <c r="G200" s="309"/>
      <c r="H200" s="241"/>
      <c r="J200" s="3"/>
      <c r="K200" s="3"/>
    </row>
    <row r="201">
      <c r="A201" s="308"/>
      <c r="B201" s="308"/>
      <c r="C201" s="308"/>
      <c r="D201" s="308"/>
      <c r="E201" s="241"/>
      <c r="F201" s="241"/>
      <c r="G201" s="309"/>
      <c r="H201" s="241"/>
      <c r="J201" s="3"/>
      <c r="K201" s="3"/>
    </row>
    <row r="202">
      <c r="A202" s="308"/>
      <c r="B202" s="308"/>
      <c r="C202" s="308"/>
      <c r="D202" s="308"/>
      <c r="E202" s="241"/>
      <c r="F202" s="241"/>
      <c r="G202" s="309"/>
      <c r="H202" s="241"/>
      <c r="J202" s="3"/>
      <c r="K202" s="3"/>
    </row>
    <row r="203">
      <c r="A203" s="308"/>
      <c r="B203" s="308"/>
      <c r="C203" s="308"/>
      <c r="D203" s="308"/>
      <c r="E203" s="241"/>
      <c r="F203" s="241"/>
      <c r="G203" s="309"/>
      <c r="H203" s="241"/>
      <c r="J203" s="3"/>
      <c r="K203" s="3"/>
    </row>
    <row r="204">
      <c r="A204" s="308"/>
      <c r="B204" s="308"/>
      <c r="C204" s="308"/>
      <c r="D204" s="308"/>
      <c r="E204" s="241"/>
      <c r="F204" s="241"/>
      <c r="G204" s="309"/>
      <c r="H204" s="241"/>
      <c r="J204" s="3"/>
      <c r="K204" s="3"/>
    </row>
    <row r="205">
      <c r="A205" s="308"/>
      <c r="B205" s="308"/>
      <c r="C205" s="308"/>
      <c r="D205" s="308"/>
      <c r="E205" s="241"/>
      <c r="F205" s="241"/>
      <c r="G205" s="309"/>
      <c r="H205" s="241"/>
      <c r="J205" s="3"/>
      <c r="K205" s="3"/>
    </row>
    <row r="206">
      <c r="A206" s="308"/>
      <c r="B206" s="308"/>
      <c r="C206" s="308"/>
      <c r="D206" s="308"/>
      <c r="E206" s="241"/>
      <c r="F206" s="241"/>
      <c r="G206" s="309"/>
      <c r="H206" s="241"/>
      <c r="J206" s="3"/>
      <c r="K206" s="3"/>
    </row>
    <row r="207">
      <c r="A207" s="308"/>
      <c r="B207" s="308"/>
      <c r="C207" s="308"/>
      <c r="D207" s="308"/>
      <c r="E207" s="241"/>
      <c r="F207" s="241"/>
      <c r="G207" s="309"/>
      <c r="H207" s="241"/>
      <c r="J207" s="3"/>
      <c r="K207" s="3"/>
    </row>
    <row r="208">
      <c r="A208" s="308"/>
      <c r="B208" s="308"/>
      <c r="C208" s="308"/>
      <c r="D208" s="308"/>
      <c r="E208" s="241"/>
      <c r="F208" s="241"/>
      <c r="G208" s="309"/>
      <c r="H208" s="241"/>
      <c r="J208" s="3"/>
      <c r="K208" s="3"/>
    </row>
    <row r="209">
      <c r="A209" s="308"/>
      <c r="B209" s="308"/>
      <c r="C209" s="308"/>
      <c r="D209" s="308"/>
      <c r="E209" s="241"/>
      <c r="F209" s="241"/>
      <c r="G209" s="309"/>
      <c r="H209" s="241"/>
      <c r="J209" s="3"/>
      <c r="K209" s="3"/>
    </row>
    <row r="210">
      <c r="A210" s="308"/>
      <c r="B210" s="308"/>
      <c r="C210" s="308"/>
      <c r="D210" s="308"/>
      <c r="E210" s="241"/>
      <c r="F210" s="241"/>
      <c r="G210" s="309"/>
      <c r="H210" s="241"/>
      <c r="J210" s="3"/>
      <c r="K210" s="3"/>
    </row>
    <row r="211">
      <c r="A211" s="308"/>
      <c r="B211" s="308"/>
      <c r="C211" s="308"/>
      <c r="D211" s="308"/>
      <c r="E211" s="241"/>
      <c r="F211" s="241"/>
      <c r="G211" s="309"/>
      <c r="H211" s="241"/>
      <c r="J211" s="3"/>
      <c r="K211" s="3"/>
    </row>
    <row r="212">
      <c r="A212" s="308"/>
      <c r="B212" s="308"/>
      <c r="C212" s="308"/>
      <c r="D212" s="308"/>
      <c r="E212" s="241"/>
      <c r="F212" s="241"/>
      <c r="G212" s="309"/>
      <c r="H212" s="241"/>
      <c r="J212" s="3"/>
      <c r="K212" s="3"/>
    </row>
    <row r="213">
      <c r="A213" s="308"/>
      <c r="B213" s="308"/>
      <c r="C213" s="308"/>
      <c r="D213" s="308"/>
      <c r="E213" s="241"/>
      <c r="F213" s="241"/>
      <c r="G213" s="309"/>
      <c r="H213" s="241"/>
      <c r="J213" s="3"/>
      <c r="K213" s="3"/>
    </row>
    <row r="214">
      <c r="A214" s="308"/>
      <c r="B214" s="308"/>
      <c r="C214" s="308"/>
      <c r="D214" s="308"/>
      <c r="E214" s="241"/>
      <c r="F214" s="241"/>
      <c r="G214" s="309"/>
      <c r="H214" s="241"/>
      <c r="J214" s="3"/>
      <c r="K214" s="3"/>
    </row>
    <row r="215">
      <c r="A215" s="308"/>
      <c r="B215" s="308"/>
      <c r="C215" s="308"/>
      <c r="D215" s="308"/>
      <c r="E215" s="241"/>
      <c r="F215" s="241"/>
      <c r="G215" s="309"/>
      <c r="H215" s="241"/>
      <c r="J215" s="3"/>
      <c r="K215" s="3"/>
    </row>
    <row r="216">
      <c r="A216" s="308"/>
      <c r="B216" s="308"/>
      <c r="C216" s="308"/>
      <c r="D216" s="308"/>
      <c r="E216" s="241"/>
      <c r="F216" s="241"/>
      <c r="G216" s="309"/>
      <c r="H216" s="241"/>
      <c r="J216" s="3"/>
      <c r="K216" s="3"/>
    </row>
    <row r="217">
      <c r="A217" s="308"/>
      <c r="B217" s="308"/>
      <c r="C217" s="308"/>
      <c r="D217" s="308"/>
      <c r="E217" s="241"/>
      <c r="F217" s="241"/>
      <c r="G217" s="309"/>
      <c r="H217" s="241"/>
      <c r="J217" s="3"/>
      <c r="K217" s="3"/>
    </row>
    <row r="218">
      <c r="A218" s="308"/>
      <c r="B218" s="308"/>
      <c r="C218" s="308"/>
      <c r="D218" s="308"/>
      <c r="E218" s="241"/>
      <c r="F218" s="241"/>
      <c r="G218" s="309"/>
      <c r="H218" s="241"/>
      <c r="J218" s="3"/>
      <c r="K218" s="3"/>
    </row>
    <row r="219">
      <c r="A219" s="308"/>
      <c r="B219" s="308"/>
      <c r="C219" s="308"/>
      <c r="D219" s="308"/>
      <c r="E219" s="241"/>
      <c r="F219" s="241"/>
      <c r="G219" s="309"/>
      <c r="H219" s="241"/>
      <c r="J219" s="3"/>
      <c r="K219" s="3"/>
    </row>
    <row r="220">
      <c r="A220" s="308"/>
      <c r="B220" s="308"/>
      <c r="C220" s="308"/>
      <c r="D220" s="308"/>
      <c r="E220" s="241"/>
      <c r="F220" s="241"/>
      <c r="G220" s="309"/>
      <c r="H220" s="241"/>
      <c r="J220" s="3"/>
      <c r="K220" s="3"/>
    </row>
    <row r="221">
      <c r="A221" s="308"/>
      <c r="B221" s="308"/>
      <c r="C221" s="308"/>
      <c r="D221" s="308"/>
      <c r="E221" s="241"/>
      <c r="F221" s="241"/>
      <c r="G221" s="309"/>
      <c r="H221" s="241"/>
      <c r="J221" s="3"/>
      <c r="K221" s="3"/>
    </row>
    <row r="222">
      <c r="A222" s="308"/>
      <c r="B222" s="308"/>
      <c r="C222" s="308"/>
      <c r="D222" s="308"/>
      <c r="E222" s="241"/>
      <c r="F222" s="241"/>
      <c r="G222" s="309"/>
      <c r="H222" s="241"/>
      <c r="J222" s="3"/>
      <c r="K222" s="3"/>
    </row>
    <row r="223">
      <c r="A223" s="308"/>
      <c r="B223" s="308"/>
      <c r="C223" s="308"/>
      <c r="D223" s="308"/>
      <c r="E223" s="241"/>
      <c r="F223" s="241"/>
      <c r="G223" s="309"/>
      <c r="H223" s="241"/>
      <c r="J223" s="3"/>
      <c r="K223" s="3"/>
    </row>
    <row r="224">
      <c r="A224" s="308"/>
      <c r="B224" s="308"/>
      <c r="C224" s="308"/>
      <c r="D224" s="308"/>
      <c r="E224" s="241"/>
      <c r="F224" s="241"/>
      <c r="G224" s="309"/>
      <c r="H224" s="241"/>
      <c r="J224" s="3"/>
      <c r="K224" s="3"/>
    </row>
    <row r="225">
      <c r="A225" s="308"/>
      <c r="B225" s="308"/>
      <c r="C225" s="308"/>
      <c r="D225" s="308"/>
      <c r="E225" s="241"/>
      <c r="F225" s="241"/>
      <c r="G225" s="309"/>
      <c r="H225" s="241"/>
      <c r="J225" s="3"/>
      <c r="K225" s="3"/>
    </row>
    <row r="226">
      <c r="A226" s="308"/>
      <c r="B226" s="308"/>
      <c r="C226" s="308"/>
      <c r="D226" s="308"/>
      <c r="E226" s="241"/>
      <c r="F226" s="241"/>
      <c r="G226" s="309"/>
      <c r="H226" s="241"/>
      <c r="J226" s="3"/>
      <c r="K226" s="3"/>
    </row>
    <row r="227">
      <c r="A227" s="308"/>
      <c r="B227" s="308"/>
      <c r="C227" s="308"/>
      <c r="D227" s="308"/>
      <c r="E227" s="241"/>
      <c r="F227" s="241"/>
      <c r="G227" s="309"/>
      <c r="H227" s="241"/>
      <c r="J227" s="3"/>
      <c r="K227" s="3"/>
    </row>
    <row r="228">
      <c r="A228" s="308"/>
      <c r="B228" s="308"/>
      <c r="C228" s="308"/>
      <c r="D228" s="308"/>
      <c r="E228" s="241"/>
      <c r="F228" s="241"/>
      <c r="G228" s="309"/>
      <c r="H228" s="241"/>
      <c r="J228" s="3"/>
      <c r="K228" s="3"/>
    </row>
    <row r="229">
      <c r="A229" s="308"/>
      <c r="B229" s="308"/>
      <c r="C229" s="308"/>
      <c r="D229" s="308"/>
      <c r="E229" s="241"/>
      <c r="F229" s="241"/>
      <c r="G229" s="309"/>
      <c r="H229" s="241"/>
      <c r="J229" s="3"/>
      <c r="K229" s="3"/>
    </row>
    <row r="230">
      <c r="A230" s="308"/>
      <c r="B230" s="308"/>
      <c r="C230" s="308"/>
      <c r="D230" s="308"/>
      <c r="E230" s="241"/>
      <c r="F230" s="241"/>
      <c r="G230" s="309"/>
      <c r="H230" s="241"/>
      <c r="J230" s="3"/>
      <c r="K230" s="3"/>
    </row>
    <row r="231">
      <c r="A231" s="308"/>
      <c r="B231" s="308"/>
      <c r="C231" s="308"/>
      <c r="D231" s="308"/>
      <c r="E231" s="241"/>
      <c r="F231" s="241"/>
      <c r="G231" s="309"/>
      <c r="H231" s="241"/>
      <c r="J231" s="3"/>
      <c r="K231" s="3"/>
    </row>
    <row r="232">
      <c r="A232" s="308"/>
      <c r="B232" s="308"/>
      <c r="C232" s="308"/>
      <c r="D232" s="308"/>
      <c r="E232" s="241"/>
      <c r="F232" s="241"/>
      <c r="G232" s="309"/>
      <c r="H232" s="241"/>
      <c r="J232" s="3"/>
      <c r="K232" s="3"/>
    </row>
    <row r="233">
      <c r="A233" s="308"/>
      <c r="B233" s="308"/>
      <c r="C233" s="308"/>
      <c r="D233" s="308"/>
      <c r="E233" s="241"/>
      <c r="F233" s="241"/>
      <c r="G233" s="309"/>
      <c r="H233" s="241"/>
      <c r="J233" s="3"/>
      <c r="K233" s="3"/>
    </row>
    <row r="234">
      <c r="A234" s="308"/>
      <c r="B234" s="308"/>
      <c r="C234" s="308"/>
      <c r="D234" s="308"/>
      <c r="E234" s="241"/>
      <c r="F234" s="241"/>
      <c r="G234" s="309"/>
      <c r="H234" s="241"/>
      <c r="J234" s="3"/>
      <c r="K234" s="3"/>
    </row>
    <row r="235">
      <c r="A235" s="308"/>
      <c r="B235" s="308"/>
      <c r="C235" s="308"/>
      <c r="D235" s="308"/>
      <c r="E235" s="241"/>
      <c r="F235" s="241"/>
      <c r="G235" s="309"/>
      <c r="H235" s="241"/>
      <c r="J235" s="3"/>
      <c r="K235" s="3"/>
    </row>
    <row r="236">
      <c r="A236" s="308"/>
      <c r="B236" s="308"/>
      <c r="C236" s="308"/>
      <c r="D236" s="308"/>
      <c r="E236" s="241"/>
      <c r="F236" s="241"/>
      <c r="G236" s="309"/>
      <c r="H236" s="241"/>
      <c r="J236" s="3"/>
      <c r="K236" s="3"/>
    </row>
    <row r="237">
      <c r="A237" s="308"/>
      <c r="B237" s="308"/>
      <c r="C237" s="308"/>
      <c r="D237" s="308"/>
      <c r="E237" s="241"/>
      <c r="F237" s="241"/>
      <c r="G237" s="309"/>
      <c r="H237" s="241"/>
      <c r="J237" s="3"/>
      <c r="K237" s="3"/>
    </row>
    <row r="238">
      <c r="A238" s="308"/>
      <c r="B238" s="308"/>
      <c r="C238" s="308"/>
      <c r="D238" s="308"/>
      <c r="E238" s="241"/>
      <c r="F238" s="241"/>
      <c r="G238" s="309"/>
      <c r="H238" s="241"/>
      <c r="J238" s="3"/>
      <c r="K238" s="3"/>
    </row>
    <row r="239">
      <c r="A239" s="308"/>
      <c r="B239" s="308"/>
      <c r="C239" s="308"/>
      <c r="D239" s="308"/>
      <c r="E239" s="241"/>
      <c r="F239" s="241"/>
      <c r="G239" s="309"/>
      <c r="H239" s="241"/>
      <c r="J239" s="3"/>
      <c r="K239" s="3"/>
    </row>
    <row r="240">
      <c r="A240" s="308"/>
      <c r="B240" s="308"/>
      <c r="C240" s="308"/>
      <c r="D240" s="308"/>
      <c r="E240" s="241"/>
      <c r="F240" s="241"/>
      <c r="G240" s="309"/>
      <c r="H240" s="241"/>
      <c r="J240" s="3"/>
      <c r="K240" s="3"/>
    </row>
    <row r="241">
      <c r="A241" s="308"/>
      <c r="B241" s="308"/>
      <c r="C241" s="308"/>
      <c r="D241" s="308"/>
      <c r="E241" s="241"/>
      <c r="F241" s="241"/>
      <c r="G241" s="309"/>
      <c r="H241" s="241"/>
      <c r="J241" s="3"/>
      <c r="K241" s="3"/>
    </row>
    <row r="242">
      <c r="A242" s="308"/>
      <c r="B242" s="308"/>
      <c r="C242" s="308"/>
      <c r="D242" s="308"/>
      <c r="E242" s="241"/>
      <c r="F242" s="241"/>
      <c r="G242" s="309"/>
      <c r="H242" s="241"/>
      <c r="J242" s="3"/>
      <c r="K242" s="3"/>
    </row>
    <row r="243">
      <c r="A243" s="308"/>
      <c r="B243" s="308"/>
      <c r="C243" s="308"/>
      <c r="D243" s="308"/>
      <c r="E243" s="241"/>
      <c r="F243" s="241"/>
      <c r="G243" s="309"/>
      <c r="H243" s="241"/>
      <c r="J243" s="3"/>
      <c r="K243" s="3"/>
    </row>
    <row r="244">
      <c r="A244" s="308"/>
      <c r="B244" s="308"/>
      <c r="C244" s="308"/>
      <c r="D244" s="308"/>
      <c r="E244" s="241"/>
      <c r="F244" s="241"/>
      <c r="G244" s="309"/>
      <c r="H244" s="241"/>
      <c r="J244" s="3"/>
      <c r="K244" s="3"/>
    </row>
    <row r="245">
      <c r="A245" s="308"/>
      <c r="B245" s="308"/>
      <c r="C245" s="308"/>
      <c r="D245" s="308"/>
      <c r="E245" s="241"/>
      <c r="F245" s="241"/>
      <c r="G245" s="309"/>
      <c r="H245" s="241"/>
      <c r="J245" s="3"/>
      <c r="K245" s="3"/>
    </row>
    <row r="246">
      <c r="A246" s="308"/>
      <c r="B246" s="308"/>
      <c r="C246" s="308"/>
      <c r="D246" s="308"/>
      <c r="E246" s="241"/>
      <c r="F246" s="241"/>
      <c r="G246" s="309"/>
      <c r="H246" s="241"/>
      <c r="J246" s="3"/>
      <c r="K246" s="3"/>
    </row>
    <row r="247">
      <c r="A247" s="308"/>
      <c r="B247" s="308"/>
      <c r="C247" s="308"/>
      <c r="D247" s="308"/>
      <c r="E247" s="241"/>
      <c r="F247" s="241"/>
      <c r="G247" s="309"/>
      <c r="H247" s="241"/>
      <c r="J247" s="3"/>
      <c r="K247" s="3"/>
    </row>
    <row r="248">
      <c r="A248" s="308"/>
      <c r="B248" s="308"/>
      <c r="C248" s="308"/>
      <c r="D248" s="308"/>
      <c r="E248" s="241"/>
      <c r="F248" s="241"/>
      <c r="G248" s="309"/>
      <c r="H248" s="241"/>
      <c r="J248" s="3"/>
      <c r="K248" s="3"/>
    </row>
    <row r="249">
      <c r="A249" s="308"/>
      <c r="B249" s="308"/>
      <c r="C249" s="308"/>
      <c r="D249" s="308"/>
      <c r="E249" s="241"/>
      <c r="F249" s="241"/>
      <c r="G249" s="309"/>
      <c r="H249" s="241"/>
      <c r="J249" s="3"/>
      <c r="K249" s="3"/>
    </row>
    <row r="250">
      <c r="A250" s="308"/>
      <c r="B250" s="308"/>
      <c r="C250" s="308"/>
      <c r="D250" s="308"/>
      <c r="E250" s="241"/>
      <c r="F250" s="241"/>
      <c r="G250" s="309"/>
      <c r="H250" s="241"/>
      <c r="J250" s="3"/>
      <c r="K250" s="3"/>
    </row>
    <row r="251">
      <c r="A251" s="308"/>
      <c r="B251" s="308"/>
      <c r="C251" s="308"/>
      <c r="D251" s="308"/>
      <c r="E251" s="241"/>
      <c r="F251" s="241"/>
      <c r="G251" s="309"/>
      <c r="H251" s="241"/>
      <c r="J251" s="3"/>
      <c r="K251" s="3"/>
    </row>
    <row r="252">
      <c r="A252" s="308"/>
      <c r="B252" s="308"/>
      <c r="C252" s="308"/>
      <c r="D252" s="308"/>
      <c r="E252" s="241"/>
      <c r="F252" s="241"/>
      <c r="G252" s="309"/>
      <c r="H252" s="241"/>
      <c r="J252" s="3"/>
      <c r="K252" s="3"/>
    </row>
    <row r="253">
      <c r="A253" s="308"/>
      <c r="B253" s="308"/>
      <c r="C253" s="308"/>
      <c r="D253" s="308"/>
      <c r="E253" s="241"/>
      <c r="F253" s="241"/>
      <c r="G253" s="309"/>
      <c r="H253" s="241"/>
      <c r="J253" s="3"/>
      <c r="K253" s="3"/>
    </row>
    <row r="254">
      <c r="A254" s="308"/>
      <c r="B254" s="308"/>
      <c r="C254" s="308"/>
      <c r="D254" s="308"/>
      <c r="E254" s="241"/>
      <c r="F254" s="241"/>
      <c r="G254" s="309"/>
      <c r="H254" s="241"/>
      <c r="J254" s="3"/>
      <c r="K254" s="3"/>
    </row>
    <row r="255">
      <c r="A255" s="308"/>
      <c r="B255" s="308"/>
      <c r="C255" s="308"/>
      <c r="D255" s="308"/>
      <c r="E255" s="241"/>
      <c r="F255" s="241"/>
      <c r="G255" s="309"/>
      <c r="H255" s="241"/>
      <c r="J255" s="3"/>
      <c r="K255" s="3"/>
    </row>
    <row r="256">
      <c r="A256" s="308"/>
      <c r="B256" s="308"/>
      <c r="C256" s="308"/>
      <c r="D256" s="308"/>
      <c r="E256" s="241"/>
      <c r="F256" s="241"/>
      <c r="G256" s="309"/>
      <c r="H256" s="241"/>
      <c r="J256" s="3"/>
      <c r="K256" s="3"/>
    </row>
    <row r="257">
      <c r="A257" s="308"/>
      <c r="B257" s="308"/>
      <c r="C257" s="308"/>
      <c r="D257" s="308"/>
      <c r="E257" s="241"/>
      <c r="F257" s="241"/>
      <c r="G257" s="309"/>
      <c r="H257" s="241"/>
      <c r="J257" s="3"/>
      <c r="K257" s="3"/>
    </row>
    <row r="258">
      <c r="A258" s="308"/>
      <c r="B258" s="308"/>
      <c r="C258" s="308"/>
      <c r="D258" s="308"/>
      <c r="E258" s="241"/>
      <c r="F258" s="241"/>
      <c r="G258" s="309"/>
      <c r="H258" s="241"/>
      <c r="J258" s="3"/>
      <c r="K258" s="3"/>
    </row>
    <row r="259">
      <c r="A259" s="308"/>
      <c r="B259" s="308"/>
      <c r="C259" s="308"/>
      <c r="D259" s="308"/>
      <c r="E259" s="241"/>
      <c r="F259" s="241"/>
      <c r="G259" s="309"/>
      <c r="H259" s="241"/>
      <c r="J259" s="3"/>
      <c r="K259" s="3"/>
    </row>
    <row r="260">
      <c r="A260" s="308"/>
      <c r="B260" s="308"/>
      <c r="C260" s="308"/>
      <c r="D260" s="308"/>
      <c r="E260" s="241"/>
      <c r="F260" s="241"/>
      <c r="G260" s="309"/>
      <c r="H260" s="241"/>
      <c r="J260" s="3"/>
      <c r="K260" s="3"/>
    </row>
    <row r="261">
      <c r="A261" s="308"/>
      <c r="B261" s="308"/>
      <c r="C261" s="308"/>
      <c r="D261" s="308"/>
      <c r="E261" s="241"/>
      <c r="F261" s="241"/>
      <c r="G261" s="309"/>
      <c r="H261" s="241"/>
      <c r="J261" s="3"/>
      <c r="K261" s="3"/>
    </row>
    <row r="262">
      <c r="A262" s="308"/>
      <c r="B262" s="308"/>
      <c r="C262" s="308"/>
      <c r="D262" s="308"/>
      <c r="E262" s="241"/>
      <c r="F262" s="241"/>
      <c r="G262" s="309"/>
      <c r="H262" s="241"/>
      <c r="J262" s="3"/>
      <c r="K262" s="3"/>
    </row>
    <row r="263">
      <c r="A263" s="308"/>
      <c r="B263" s="308"/>
      <c r="C263" s="308"/>
      <c r="D263" s="308"/>
      <c r="E263" s="241"/>
      <c r="F263" s="241"/>
      <c r="G263" s="309"/>
      <c r="H263" s="241"/>
      <c r="J263" s="3"/>
      <c r="K263" s="3"/>
    </row>
    <row r="264">
      <c r="A264" s="308"/>
      <c r="B264" s="308"/>
      <c r="C264" s="308"/>
      <c r="D264" s="308"/>
      <c r="E264" s="241"/>
      <c r="F264" s="241"/>
      <c r="G264" s="309"/>
      <c r="H264" s="241"/>
      <c r="J264" s="3"/>
      <c r="K264" s="3"/>
    </row>
    <row r="265">
      <c r="A265" s="308"/>
      <c r="B265" s="308"/>
      <c r="C265" s="308"/>
      <c r="D265" s="308"/>
      <c r="E265" s="241"/>
      <c r="F265" s="241"/>
      <c r="G265" s="309"/>
      <c r="H265" s="241"/>
      <c r="J265" s="3"/>
      <c r="K265" s="3"/>
    </row>
    <row r="266">
      <c r="A266" s="308"/>
      <c r="B266" s="308"/>
      <c r="C266" s="308"/>
      <c r="D266" s="308"/>
      <c r="E266" s="241"/>
      <c r="F266" s="241"/>
      <c r="G266" s="309"/>
      <c r="H266" s="241"/>
      <c r="J266" s="3"/>
      <c r="K266" s="3"/>
    </row>
    <row r="267">
      <c r="A267" s="308"/>
      <c r="B267" s="308"/>
      <c r="C267" s="308"/>
      <c r="D267" s="308"/>
      <c r="E267" s="241"/>
      <c r="F267" s="241"/>
      <c r="G267" s="309"/>
      <c r="H267" s="241"/>
      <c r="J267" s="3"/>
      <c r="K267" s="3"/>
    </row>
    <row r="268">
      <c r="A268" s="308"/>
      <c r="B268" s="308"/>
      <c r="C268" s="308"/>
      <c r="D268" s="308"/>
      <c r="E268" s="241"/>
      <c r="F268" s="241"/>
      <c r="G268" s="309"/>
      <c r="H268" s="241"/>
      <c r="J268" s="3"/>
      <c r="K268" s="3"/>
    </row>
    <row r="269">
      <c r="A269" s="308"/>
      <c r="B269" s="308"/>
      <c r="C269" s="308"/>
      <c r="D269" s="308"/>
      <c r="E269" s="241"/>
      <c r="F269" s="241"/>
      <c r="G269" s="309"/>
      <c r="H269" s="241"/>
      <c r="J269" s="3"/>
      <c r="K269" s="3"/>
    </row>
    <row r="270">
      <c r="A270" s="308"/>
      <c r="B270" s="308"/>
      <c r="C270" s="308"/>
      <c r="D270" s="308"/>
      <c r="E270" s="241"/>
      <c r="F270" s="241"/>
      <c r="G270" s="309"/>
      <c r="H270" s="241"/>
      <c r="J270" s="3"/>
      <c r="K270" s="3"/>
    </row>
    <row r="271">
      <c r="A271" s="308"/>
      <c r="B271" s="308"/>
      <c r="C271" s="308"/>
      <c r="D271" s="308"/>
      <c r="E271" s="241"/>
      <c r="F271" s="241"/>
      <c r="G271" s="309"/>
      <c r="H271" s="241"/>
      <c r="J271" s="3"/>
      <c r="K271" s="3"/>
    </row>
    <row r="272">
      <c r="A272" s="308"/>
      <c r="B272" s="308"/>
      <c r="C272" s="308"/>
      <c r="D272" s="308"/>
      <c r="E272" s="241"/>
      <c r="F272" s="241"/>
      <c r="G272" s="309"/>
      <c r="H272" s="241"/>
      <c r="J272" s="3"/>
      <c r="K272" s="3"/>
    </row>
    <row r="273">
      <c r="A273" s="308"/>
      <c r="B273" s="308"/>
      <c r="C273" s="308"/>
      <c r="D273" s="308"/>
      <c r="E273" s="241"/>
      <c r="F273" s="241"/>
      <c r="G273" s="309"/>
      <c r="H273" s="241"/>
      <c r="J273" s="3"/>
      <c r="K273" s="3"/>
    </row>
    <row r="274">
      <c r="A274" s="308"/>
      <c r="B274" s="308"/>
      <c r="C274" s="308"/>
      <c r="D274" s="308"/>
      <c r="E274" s="241"/>
      <c r="F274" s="241"/>
      <c r="G274" s="309"/>
      <c r="H274" s="241"/>
      <c r="J274" s="3"/>
      <c r="K274" s="3"/>
    </row>
    <row r="275">
      <c r="A275" s="308"/>
      <c r="B275" s="308"/>
      <c r="C275" s="308"/>
      <c r="D275" s="308"/>
      <c r="E275" s="241"/>
      <c r="F275" s="241"/>
      <c r="G275" s="309"/>
      <c r="H275" s="241"/>
      <c r="J275" s="3"/>
      <c r="K275" s="3"/>
    </row>
    <row r="276">
      <c r="A276" s="308"/>
      <c r="B276" s="308"/>
      <c r="C276" s="308"/>
      <c r="D276" s="308"/>
      <c r="E276" s="241"/>
      <c r="F276" s="241"/>
      <c r="G276" s="309"/>
      <c r="H276" s="241"/>
      <c r="J276" s="3"/>
      <c r="K276" s="3"/>
    </row>
    <row r="277">
      <c r="A277" s="308"/>
      <c r="B277" s="308"/>
      <c r="C277" s="308"/>
      <c r="D277" s="308"/>
      <c r="E277" s="241"/>
      <c r="F277" s="241"/>
      <c r="G277" s="309"/>
      <c r="H277" s="241"/>
      <c r="J277" s="3"/>
      <c r="K277" s="3"/>
    </row>
    <row r="278">
      <c r="A278" s="308"/>
      <c r="B278" s="308"/>
      <c r="C278" s="308"/>
      <c r="D278" s="308"/>
      <c r="E278" s="241"/>
      <c r="F278" s="241"/>
      <c r="G278" s="309"/>
      <c r="H278" s="241"/>
      <c r="J278" s="3"/>
      <c r="K278" s="3"/>
    </row>
    <row r="279">
      <c r="A279" s="308"/>
      <c r="B279" s="308"/>
      <c r="C279" s="308"/>
      <c r="D279" s="308"/>
      <c r="E279" s="241"/>
      <c r="F279" s="241"/>
      <c r="G279" s="309"/>
      <c r="H279" s="241"/>
      <c r="J279" s="3"/>
      <c r="K279" s="3"/>
    </row>
    <row r="280">
      <c r="A280" s="308"/>
      <c r="B280" s="308"/>
      <c r="C280" s="308"/>
      <c r="D280" s="308"/>
      <c r="E280" s="241"/>
      <c r="F280" s="241"/>
      <c r="G280" s="309"/>
      <c r="H280" s="241"/>
      <c r="J280" s="3"/>
      <c r="K280" s="3"/>
    </row>
    <row r="281">
      <c r="A281" s="308"/>
      <c r="B281" s="308"/>
      <c r="C281" s="308"/>
      <c r="D281" s="308"/>
      <c r="E281" s="241"/>
      <c r="F281" s="241"/>
      <c r="G281" s="309"/>
      <c r="H281" s="241"/>
      <c r="J281" s="3"/>
      <c r="K281" s="3"/>
    </row>
    <row r="282">
      <c r="A282" s="308"/>
      <c r="B282" s="308"/>
      <c r="C282" s="308"/>
      <c r="D282" s="308"/>
      <c r="E282" s="241"/>
      <c r="F282" s="241"/>
      <c r="G282" s="309"/>
      <c r="H282" s="241"/>
      <c r="J282" s="3"/>
      <c r="K282" s="3"/>
    </row>
    <row r="283">
      <c r="A283" s="308"/>
      <c r="B283" s="308"/>
      <c r="C283" s="308"/>
      <c r="D283" s="308"/>
      <c r="E283" s="241"/>
      <c r="F283" s="241"/>
      <c r="G283" s="309"/>
      <c r="H283" s="241"/>
      <c r="J283" s="3"/>
      <c r="K283" s="3"/>
    </row>
    <row r="284">
      <c r="A284" s="308"/>
      <c r="B284" s="308"/>
      <c r="C284" s="308"/>
      <c r="D284" s="308"/>
      <c r="E284" s="241"/>
      <c r="F284" s="241"/>
      <c r="G284" s="309"/>
      <c r="H284" s="241"/>
      <c r="J284" s="3"/>
      <c r="K284" s="3"/>
    </row>
    <row r="285">
      <c r="A285" s="308"/>
      <c r="B285" s="308"/>
      <c r="C285" s="308"/>
      <c r="D285" s="308"/>
      <c r="E285" s="241"/>
      <c r="F285" s="241"/>
      <c r="G285" s="309"/>
      <c r="H285" s="241"/>
      <c r="J285" s="3"/>
      <c r="K285" s="3"/>
    </row>
    <row r="286">
      <c r="A286" s="308"/>
      <c r="B286" s="308"/>
      <c r="C286" s="308"/>
      <c r="D286" s="308"/>
      <c r="E286" s="241"/>
      <c r="F286" s="241"/>
      <c r="G286" s="309"/>
      <c r="H286" s="241"/>
      <c r="J286" s="3"/>
      <c r="K286" s="3"/>
    </row>
    <row r="287">
      <c r="A287" s="308"/>
      <c r="B287" s="308"/>
      <c r="C287" s="308"/>
      <c r="D287" s="308"/>
      <c r="E287" s="241"/>
      <c r="F287" s="241"/>
      <c r="G287" s="309"/>
      <c r="H287" s="241"/>
      <c r="J287" s="3"/>
      <c r="K287" s="3"/>
    </row>
    <row r="288">
      <c r="A288" s="308"/>
      <c r="B288" s="308"/>
      <c r="C288" s="308"/>
      <c r="D288" s="308"/>
      <c r="E288" s="241"/>
      <c r="F288" s="241"/>
      <c r="G288" s="309"/>
      <c r="H288" s="241"/>
      <c r="J288" s="3"/>
      <c r="K288" s="3"/>
    </row>
    <row r="289">
      <c r="A289" s="308"/>
      <c r="B289" s="308"/>
      <c r="C289" s="308"/>
      <c r="D289" s="308"/>
      <c r="E289" s="241"/>
      <c r="F289" s="241"/>
      <c r="G289" s="309"/>
      <c r="H289" s="241"/>
      <c r="J289" s="3"/>
      <c r="K289" s="3"/>
    </row>
    <row r="290">
      <c r="A290" s="308"/>
      <c r="B290" s="308"/>
      <c r="C290" s="308"/>
      <c r="D290" s="308"/>
      <c r="E290" s="241"/>
      <c r="F290" s="241"/>
      <c r="G290" s="309"/>
      <c r="H290" s="241"/>
      <c r="J290" s="3"/>
      <c r="K290" s="3"/>
    </row>
    <row r="291">
      <c r="A291" s="308"/>
      <c r="B291" s="308"/>
      <c r="C291" s="308"/>
      <c r="D291" s="308"/>
      <c r="E291" s="241"/>
      <c r="F291" s="241"/>
      <c r="G291" s="309"/>
      <c r="H291" s="241"/>
      <c r="J291" s="3"/>
      <c r="K291" s="3"/>
    </row>
    <row r="292">
      <c r="A292" s="308"/>
      <c r="B292" s="308"/>
      <c r="C292" s="308"/>
      <c r="D292" s="308"/>
      <c r="E292" s="241"/>
      <c r="F292" s="241"/>
      <c r="G292" s="309"/>
      <c r="H292" s="241"/>
      <c r="J292" s="3"/>
      <c r="K292" s="3"/>
    </row>
    <row r="293">
      <c r="A293" s="308"/>
      <c r="B293" s="308"/>
      <c r="C293" s="308"/>
      <c r="D293" s="308"/>
      <c r="E293" s="241"/>
      <c r="F293" s="241"/>
      <c r="G293" s="309"/>
      <c r="H293" s="241"/>
      <c r="J293" s="3"/>
      <c r="K293" s="3"/>
    </row>
    <row r="294">
      <c r="A294" s="308"/>
      <c r="B294" s="308"/>
      <c r="C294" s="308"/>
      <c r="D294" s="308"/>
      <c r="E294" s="241"/>
      <c r="F294" s="241"/>
      <c r="G294" s="309"/>
      <c r="H294" s="241"/>
      <c r="J294" s="3"/>
      <c r="K294" s="3"/>
    </row>
    <row r="295">
      <c r="A295" s="308"/>
      <c r="B295" s="308"/>
      <c r="C295" s="308"/>
      <c r="D295" s="308"/>
      <c r="E295" s="241"/>
      <c r="F295" s="241"/>
      <c r="G295" s="309"/>
      <c r="H295" s="241"/>
      <c r="J295" s="3"/>
      <c r="K295" s="3"/>
    </row>
    <row r="296">
      <c r="A296" s="308"/>
      <c r="B296" s="308"/>
      <c r="C296" s="308"/>
      <c r="D296" s="308"/>
      <c r="E296" s="241"/>
      <c r="F296" s="241"/>
      <c r="G296" s="309"/>
      <c r="H296" s="241"/>
      <c r="J296" s="3"/>
      <c r="K296" s="3"/>
    </row>
    <row r="297">
      <c r="A297" s="308"/>
      <c r="B297" s="308"/>
      <c r="C297" s="308"/>
      <c r="D297" s="308"/>
      <c r="E297" s="241"/>
      <c r="F297" s="241"/>
      <c r="G297" s="309"/>
      <c r="H297" s="241"/>
      <c r="J297" s="3"/>
      <c r="K297" s="3"/>
    </row>
    <row r="298">
      <c r="A298" s="308"/>
      <c r="B298" s="308"/>
      <c r="C298" s="308"/>
      <c r="D298" s="308"/>
      <c r="E298" s="241"/>
      <c r="F298" s="241"/>
      <c r="G298" s="309"/>
      <c r="H298" s="241"/>
      <c r="J298" s="3"/>
      <c r="K298" s="3"/>
    </row>
    <row r="299">
      <c r="A299" s="308"/>
      <c r="B299" s="308"/>
      <c r="C299" s="308"/>
      <c r="D299" s="308"/>
      <c r="E299" s="241"/>
      <c r="F299" s="241"/>
      <c r="G299" s="309"/>
      <c r="H299" s="241"/>
      <c r="J299" s="3"/>
      <c r="K299" s="3"/>
    </row>
    <row r="300">
      <c r="A300" s="308"/>
      <c r="B300" s="308"/>
      <c r="C300" s="308"/>
      <c r="D300" s="308"/>
      <c r="E300" s="241"/>
      <c r="F300" s="241"/>
      <c r="G300" s="309"/>
      <c r="H300" s="241"/>
      <c r="J300" s="3"/>
      <c r="K300" s="3"/>
    </row>
    <row r="301">
      <c r="A301" s="308"/>
      <c r="B301" s="308"/>
      <c r="C301" s="308"/>
      <c r="D301" s="308"/>
      <c r="E301" s="241"/>
      <c r="F301" s="241"/>
      <c r="G301" s="309"/>
      <c r="H301" s="241"/>
      <c r="J301" s="3"/>
      <c r="K301" s="3"/>
    </row>
    <row r="302">
      <c r="A302" s="308"/>
      <c r="B302" s="308"/>
      <c r="C302" s="308"/>
      <c r="D302" s="308"/>
      <c r="E302" s="241"/>
      <c r="F302" s="241"/>
      <c r="G302" s="309"/>
      <c r="H302" s="241"/>
      <c r="J302" s="3"/>
      <c r="K302" s="3"/>
    </row>
    <row r="303">
      <c r="A303" s="308"/>
      <c r="B303" s="308"/>
      <c r="C303" s="308"/>
      <c r="D303" s="308"/>
      <c r="E303" s="241"/>
      <c r="F303" s="241"/>
      <c r="G303" s="309"/>
      <c r="H303" s="241"/>
      <c r="J303" s="3"/>
      <c r="K303" s="3"/>
    </row>
    <row r="304">
      <c r="A304" s="308"/>
      <c r="B304" s="308"/>
      <c r="C304" s="308"/>
      <c r="D304" s="308"/>
      <c r="E304" s="241"/>
      <c r="F304" s="241"/>
      <c r="G304" s="309"/>
      <c r="H304" s="241"/>
      <c r="J304" s="3"/>
      <c r="K304" s="3"/>
    </row>
    <row r="305">
      <c r="A305" s="308"/>
      <c r="B305" s="308"/>
      <c r="C305" s="308"/>
      <c r="D305" s="308"/>
      <c r="E305" s="241"/>
      <c r="F305" s="241"/>
      <c r="G305" s="309"/>
      <c r="H305" s="241"/>
      <c r="J305" s="3"/>
      <c r="K305" s="3"/>
    </row>
    <row r="306">
      <c r="A306" s="308"/>
      <c r="B306" s="308"/>
      <c r="C306" s="308"/>
      <c r="D306" s="308"/>
      <c r="E306" s="241"/>
      <c r="F306" s="241"/>
      <c r="G306" s="309"/>
      <c r="H306" s="241"/>
      <c r="J306" s="3"/>
      <c r="K306" s="3"/>
    </row>
    <row r="307">
      <c r="A307" s="308"/>
      <c r="B307" s="308"/>
      <c r="C307" s="308"/>
      <c r="D307" s="308"/>
      <c r="E307" s="241"/>
      <c r="F307" s="241"/>
      <c r="G307" s="309"/>
      <c r="H307" s="241"/>
      <c r="J307" s="3"/>
      <c r="K307" s="3"/>
    </row>
    <row r="308">
      <c r="A308" s="308"/>
      <c r="B308" s="308"/>
      <c r="C308" s="308"/>
      <c r="D308" s="308"/>
      <c r="E308" s="241"/>
      <c r="F308" s="241"/>
      <c r="G308" s="309"/>
      <c r="H308" s="241"/>
      <c r="J308" s="3"/>
      <c r="K308" s="3"/>
    </row>
    <row r="309">
      <c r="A309" s="308"/>
      <c r="B309" s="308"/>
      <c r="C309" s="308"/>
      <c r="D309" s="308"/>
      <c r="E309" s="241"/>
      <c r="F309" s="241"/>
      <c r="G309" s="309"/>
      <c r="H309" s="241"/>
      <c r="J309" s="3"/>
      <c r="K309" s="3"/>
    </row>
    <row r="310">
      <c r="A310" s="308"/>
      <c r="B310" s="308"/>
      <c r="C310" s="308"/>
      <c r="D310" s="308"/>
      <c r="E310" s="241"/>
      <c r="F310" s="241"/>
      <c r="G310" s="309"/>
      <c r="H310" s="241"/>
      <c r="J310" s="3"/>
      <c r="K310" s="3"/>
    </row>
    <row r="311">
      <c r="A311" s="308"/>
      <c r="B311" s="308"/>
      <c r="C311" s="308"/>
      <c r="D311" s="308"/>
      <c r="E311" s="241"/>
      <c r="F311" s="241"/>
      <c r="G311" s="309"/>
      <c r="H311" s="241"/>
      <c r="J311" s="3"/>
      <c r="K311" s="3"/>
    </row>
    <row r="312">
      <c r="A312" s="308"/>
      <c r="B312" s="308"/>
      <c r="C312" s="308"/>
      <c r="D312" s="308"/>
      <c r="E312" s="241"/>
      <c r="F312" s="241"/>
      <c r="G312" s="309"/>
      <c r="H312" s="241"/>
      <c r="J312" s="3"/>
      <c r="K312" s="3"/>
    </row>
    <row r="313">
      <c r="A313" s="308"/>
      <c r="B313" s="308"/>
      <c r="C313" s="308"/>
      <c r="D313" s="308"/>
      <c r="E313" s="241"/>
      <c r="F313" s="241"/>
      <c r="G313" s="309"/>
      <c r="H313" s="241"/>
      <c r="J313" s="3"/>
      <c r="K313" s="3"/>
    </row>
    <row r="314">
      <c r="A314" s="308"/>
      <c r="B314" s="308"/>
      <c r="C314" s="308"/>
      <c r="D314" s="308"/>
      <c r="E314" s="241"/>
      <c r="F314" s="241"/>
      <c r="G314" s="309"/>
      <c r="H314" s="241"/>
      <c r="J314" s="3"/>
      <c r="K314" s="3"/>
    </row>
    <row r="315">
      <c r="A315" s="308"/>
      <c r="B315" s="308"/>
      <c r="C315" s="308"/>
      <c r="D315" s="308"/>
      <c r="E315" s="241"/>
      <c r="F315" s="241"/>
      <c r="G315" s="309"/>
      <c r="H315" s="241"/>
      <c r="J315" s="3"/>
      <c r="K315" s="3"/>
    </row>
    <row r="316">
      <c r="A316" s="308"/>
      <c r="B316" s="308"/>
      <c r="C316" s="308"/>
      <c r="D316" s="308"/>
      <c r="E316" s="241"/>
      <c r="F316" s="241"/>
      <c r="G316" s="309"/>
      <c r="H316" s="241"/>
      <c r="J316" s="3"/>
      <c r="K316" s="3"/>
    </row>
    <row r="317">
      <c r="A317" s="308"/>
      <c r="B317" s="308"/>
      <c r="C317" s="308"/>
      <c r="D317" s="308"/>
      <c r="E317" s="241"/>
      <c r="F317" s="241"/>
      <c r="G317" s="309"/>
      <c r="H317" s="241"/>
      <c r="J317" s="3"/>
      <c r="K317" s="3"/>
    </row>
    <row r="318">
      <c r="A318" s="308"/>
      <c r="B318" s="308"/>
      <c r="C318" s="308"/>
      <c r="D318" s="308"/>
      <c r="E318" s="241"/>
      <c r="F318" s="241"/>
      <c r="G318" s="309"/>
      <c r="H318" s="241"/>
      <c r="J318" s="3"/>
      <c r="K318" s="3"/>
    </row>
    <row r="319">
      <c r="A319" s="308"/>
      <c r="B319" s="308"/>
      <c r="C319" s="308"/>
      <c r="D319" s="308"/>
      <c r="E319" s="241"/>
      <c r="F319" s="241"/>
      <c r="G319" s="309"/>
      <c r="H319" s="241"/>
      <c r="J319" s="3"/>
      <c r="K319" s="3"/>
    </row>
    <row r="320">
      <c r="A320" s="308"/>
      <c r="B320" s="308"/>
      <c r="C320" s="308"/>
      <c r="D320" s="308"/>
      <c r="E320" s="241"/>
      <c r="F320" s="241"/>
      <c r="G320" s="309"/>
      <c r="H320" s="241"/>
      <c r="J320" s="3"/>
      <c r="K320" s="3"/>
    </row>
    <row r="321">
      <c r="A321" s="308"/>
      <c r="B321" s="308"/>
      <c r="C321" s="308"/>
      <c r="D321" s="308"/>
      <c r="E321" s="241"/>
      <c r="F321" s="241"/>
      <c r="G321" s="309"/>
      <c r="H321" s="241"/>
      <c r="J321" s="3"/>
      <c r="K321" s="3"/>
    </row>
    <row r="322">
      <c r="A322" s="308"/>
      <c r="B322" s="308"/>
      <c r="C322" s="308"/>
      <c r="D322" s="308"/>
      <c r="E322" s="241"/>
      <c r="F322" s="241"/>
      <c r="G322" s="309"/>
      <c r="H322" s="241"/>
      <c r="J322" s="3"/>
      <c r="K322" s="3"/>
    </row>
    <row r="323">
      <c r="A323" s="308"/>
      <c r="B323" s="308"/>
      <c r="C323" s="308"/>
      <c r="D323" s="308"/>
      <c r="E323" s="241"/>
      <c r="F323" s="241"/>
      <c r="G323" s="309"/>
      <c r="H323" s="241"/>
      <c r="J323" s="3"/>
      <c r="K323" s="3"/>
    </row>
    <row r="324">
      <c r="A324" s="308"/>
      <c r="B324" s="308"/>
      <c r="C324" s="308"/>
      <c r="D324" s="308"/>
      <c r="E324" s="241"/>
      <c r="F324" s="241"/>
      <c r="G324" s="309"/>
      <c r="H324" s="241"/>
      <c r="J324" s="3"/>
      <c r="K324" s="3"/>
    </row>
    <row r="325">
      <c r="A325" s="308"/>
      <c r="B325" s="308"/>
      <c r="C325" s="308"/>
      <c r="D325" s="308"/>
      <c r="E325" s="241"/>
      <c r="F325" s="241"/>
      <c r="G325" s="309"/>
      <c r="H325" s="241"/>
      <c r="J325" s="3"/>
      <c r="K325" s="3"/>
    </row>
    <row r="326">
      <c r="A326" s="308"/>
      <c r="B326" s="308"/>
      <c r="C326" s="308"/>
      <c r="D326" s="308"/>
      <c r="E326" s="241"/>
      <c r="F326" s="241"/>
      <c r="G326" s="309"/>
      <c r="H326" s="241"/>
      <c r="J326" s="3"/>
      <c r="K326" s="3"/>
    </row>
    <row r="327">
      <c r="A327" s="308"/>
      <c r="B327" s="308"/>
      <c r="C327" s="308"/>
      <c r="D327" s="308"/>
      <c r="E327" s="241"/>
      <c r="F327" s="241"/>
      <c r="G327" s="309"/>
      <c r="H327" s="241"/>
      <c r="J327" s="3"/>
      <c r="K327" s="3"/>
    </row>
    <row r="328">
      <c r="A328" s="308"/>
      <c r="B328" s="308"/>
      <c r="C328" s="308"/>
      <c r="D328" s="308"/>
      <c r="E328" s="241"/>
      <c r="F328" s="241"/>
      <c r="G328" s="309"/>
      <c r="H328" s="241"/>
      <c r="J328" s="3"/>
      <c r="K328" s="3"/>
    </row>
    <row r="329">
      <c r="A329" s="308"/>
      <c r="B329" s="308"/>
      <c r="C329" s="308"/>
      <c r="D329" s="308"/>
      <c r="E329" s="241"/>
      <c r="F329" s="241"/>
      <c r="G329" s="309"/>
      <c r="H329" s="241"/>
      <c r="J329" s="3"/>
      <c r="K329" s="3"/>
    </row>
    <row r="330">
      <c r="A330" s="308"/>
      <c r="B330" s="308"/>
      <c r="C330" s="308"/>
      <c r="D330" s="308"/>
      <c r="E330" s="241"/>
      <c r="F330" s="241"/>
      <c r="G330" s="309"/>
      <c r="H330" s="241"/>
      <c r="J330" s="3"/>
      <c r="K330" s="3"/>
    </row>
    <row r="331">
      <c r="A331" s="308"/>
      <c r="B331" s="308"/>
      <c r="C331" s="308"/>
      <c r="D331" s="308"/>
      <c r="E331" s="241"/>
      <c r="F331" s="241"/>
      <c r="G331" s="309"/>
      <c r="H331" s="241"/>
      <c r="J331" s="3"/>
      <c r="K331" s="3"/>
    </row>
    <row r="332">
      <c r="A332" s="308"/>
      <c r="B332" s="308"/>
      <c r="C332" s="308"/>
      <c r="D332" s="308"/>
      <c r="E332" s="241"/>
      <c r="F332" s="241"/>
      <c r="G332" s="309"/>
      <c r="H332" s="241"/>
      <c r="J332" s="3"/>
      <c r="K332" s="3"/>
    </row>
    <row r="333">
      <c r="A333" s="308"/>
      <c r="B333" s="308"/>
      <c r="C333" s="308"/>
      <c r="D333" s="308"/>
      <c r="E333" s="241"/>
      <c r="F333" s="241"/>
      <c r="G333" s="309"/>
      <c r="H333" s="241"/>
      <c r="J333" s="3"/>
      <c r="K333" s="3"/>
    </row>
    <row r="334">
      <c r="A334" s="308"/>
      <c r="B334" s="308"/>
      <c r="C334" s="308"/>
      <c r="D334" s="308"/>
      <c r="E334" s="241"/>
      <c r="F334" s="241"/>
      <c r="G334" s="309"/>
      <c r="H334" s="241"/>
      <c r="J334" s="3"/>
      <c r="K334" s="3"/>
    </row>
    <row r="335">
      <c r="A335" s="308"/>
      <c r="B335" s="308"/>
      <c r="C335" s="308"/>
      <c r="D335" s="308"/>
      <c r="E335" s="241"/>
      <c r="F335" s="241"/>
      <c r="G335" s="309"/>
      <c r="H335" s="241"/>
      <c r="J335" s="3"/>
      <c r="K335" s="3"/>
    </row>
    <row r="336">
      <c r="A336" s="308"/>
      <c r="B336" s="308"/>
      <c r="C336" s="308"/>
      <c r="D336" s="308"/>
      <c r="E336" s="241"/>
      <c r="F336" s="241"/>
      <c r="G336" s="309"/>
      <c r="H336" s="241"/>
      <c r="J336" s="3"/>
      <c r="K336" s="3"/>
    </row>
    <row r="337">
      <c r="A337" s="308"/>
      <c r="B337" s="308"/>
      <c r="C337" s="308"/>
      <c r="D337" s="308"/>
      <c r="E337" s="241"/>
      <c r="F337" s="241"/>
      <c r="G337" s="309"/>
      <c r="H337" s="241"/>
      <c r="J337" s="3"/>
      <c r="K337" s="3"/>
    </row>
    <row r="338">
      <c r="A338" s="308"/>
      <c r="B338" s="308"/>
      <c r="C338" s="308"/>
      <c r="D338" s="308"/>
      <c r="E338" s="241"/>
      <c r="F338" s="241"/>
      <c r="G338" s="309"/>
      <c r="H338" s="241"/>
      <c r="J338" s="3"/>
      <c r="K338" s="3"/>
    </row>
    <row r="339">
      <c r="A339" s="308"/>
      <c r="B339" s="308"/>
      <c r="C339" s="308"/>
      <c r="D339" s="308"/>
      <c r="E339" s="241"/>
      <c r="F339" s="241"/>
      <c r="G339" s="309"/>
      <c r="H339" s="241"/>
      <c r="J339" s="3"/>
      <c r="K339" s="3"/>
    </row>
    <row r="340">
      <c r="A340" s="308"/>
      <c r="B340" s="308"/>
      <c r="C340" s="308"/>
      <c r="D340" s="308"/>
      <c r="E340" s="241"/>
      <c r="F340" s="241"/>
      <c r="G340" s="309"/>
      <c r="H340" s="241"/>
      <c r="J340" s="3"/>
      <c r="K340" s="3"/>
    </row>
    <row r="341">
      <c r="A341" s="308"/>
      <c r="B341" s="308"/>
      <c r="C341" s="308"/>
      <c r="D341" s="308"/>
      <c r="E341" s="241"/>
      <c r="F341" s="241"/>
      <c r="G341" s="309"/>
      <c r="H341" s="241"/>
      <c r="J341" s="3"/>
      <c r="K341" s="3"/>
    </row>
    <row r="342">
      <c r="A342" s="308"/>
      <c r="B342" s="308"/>
      <c r="C342" s="308"/>
      <c r="D342" s="308"/>
      <c r="E342" s="241"/>
      <c r="F342" s="241"/>
      <c r="G342" s="309"/>
      <c r="H342" s="241"/>
      <c r="J342" s="3"/>
      <c r="K342" s="3"/>
    </row>
    <row r="343">
      <c r="A343" s="308"/>
      <c r="B343" s="308"/>
      <c r="C343" s="308"/>
      <c r="D343" s="308"/>
      <c r="E343" s="241"/>
      <c r="F343" s="241"/>
      <c r="G343" s="309"/>
      <c r="H343" s="241"/>
      <c r="J343" s="3"/>
      <c r="K343" s="3"/>
    </row>
    <row r="344">
      <c r="A344" s="308"/>
      <c r="B344" s="308"/>
      <c r="C344" s="308"/>
      <c r="D344" s="308"/>
      <c r="E344" s="241"/>
      <c r="F344" s="241"/>
      <c r="G344" s="309"/>
      <c r="H344" s="241"/>
      <c r="J344" s="3"/>
      <c r="K344" s="3"/>
    </row>
    <row r="345">
      <c r="A345" s="308"/>
      <c r="B345" s="308"/>
      <c r="C345" s="308"/>
      <c r="D345" s="308"/>
      <c r="E345" s="241"/>
      <c r="F345" s="241"/>
      <c r="G345" s="309"/>
      <c r="H345" s="241"/>
      <c r="J345" s="3"/>
      <c r="K345" s="3"/>
    </row>
    <row r="346">
      <c r="A346" s="308"/>
      <c r="B346" s="308"/>
      <c r="C346" s="308"/>
      <c r="D346" s="308"/>
      <c r="E346" s="241"/>
      <c r="F346" s="241"/>
      <c r="G346" s="309"/>
      <c r="H346" s="241"/>
      <c r="J346" s="3"/>
      <c r="K346" s="3"/>
    </row>
    <row r="347">
      <c r="A347" s="308"/>
      <c r="B347" s="308"/>
      <c r="C347" s="308"/>
      <c r="D347" s="308"/>
      <c r="E347" s="241"/>
      <c r="F347" s="241"/>
      <c r="G347" s="309"/>
      <c r="H347" s="241"/>
      <c r="J347" s="3"/>
      <c r="K347" s="3"/>
    </row>
    <row r="348">
      <c r="A348" s="308"/>
      <c r="B348" s="308"/>
      <c r="C348" s="308"/>
      <c r="D348" s="308"/>
      <c r="E348" s="241"/>
      <c r="F348" s="241"/>
      <c r="G348" s="309"/>
      <c r="H348" s="241"/>
      <c r="J348" s="3"/>
      <c r="K348" s="3"/>
    </row>
    <row r="349">
      <c r="A349" s="308"/>
      <c r="B349" s="308"/>
      <c r="C349" s="308"/>
      <c r="D349" s="308"/>
      <c r="E349" s="241"/>
      <c r="F349" s="241"/>
      <c r="G349" s="309"/>
      <c r="H349" s="241"/>
      <c r="J349" s="3"/>
      <c r="K349" s="3"/>
    </row>
    <row r="350">
      <c r="A350" s="308"/>
      <c r="B350" s="308"/>
      <c r="C350" s="308"/>
      <c r="D350" s="308"/>
      <c r="E350" s="241"/>
      <c r="F350" s="241"/>
      <c r="G350" s="309"/>
      <c r="H350" s="241"/>
      <c r="J350" s="3"/>
      <c r="K350" s="3"/>
    </row>
    <row r="351">
      <c r="A351" s="308"/>
      <c r="B351" s="308"/>
      <c r="C351" s="308"/>
      <c r="D351" s="308"/>
      <c r="E351" s="241"/>
      <c r="F351" s="241"/>
      <c r="G351" s="309"/>
      <c r="H351" s="241"/>
      <c r="J351" s="3"/>
      <c r="K351" s="3"/>
    </row>
    <row r="352">
      <c r="A352" s="308"/>
      <c r="B352" s="308"/>
      <c r="C352" s="308"/>
      <c r="D352" s="308"/>
      <c r="E352" s="241"/>
      <c r="F352" s="241"/>
      <c r="G352" s="309"/>
      <c r="H352" s="241"/>
      <c r="J352" s="3"/>
      <c r="K352" s="3"/>
    </row>
    <row r="353">
      <c r="A353" s="308"/>
      <c r="B353" s="308"/>
      <c r="C353" s="308"/>
      <c r="D353" s="308"/>
      <c r="E353" s="241"/>
      <c r="F353" s="241"/>
      <c r="G353" s="309"/>
      <c r="H353" s="241"/>
      <c r="J353" s="3"/>
      <c r="K353" s="3"/>
    </row>
    <row r="354">
      <c r="A354" s="308"/>
      <c r="B354" s="308"/>
      <c r="C354" s="308"/>
      <c r="D354" s="308"/>
      <c r="E354" s="241"/>
      <c r="F354" s="241"/>
      <c r="G354" s="309"/>
      <c r="H354" s="241"/>
      <c r="J354" s="3"/>
      <c r="K354" s="3"/>
    </row>
    <row r="355">
      <c r="A355" s="308"/>
      <c r="B355" s="308"/>
      <c r="C355" s="308"/>
      <c r="D355" s="308"/>
      <c r="E355" s="241"/>
      <c r="F355" s="241"/>
      <c r="G355" s="309"/>
      <c r="H355" s="241"/>
      <c r="J355" s="3"/>
      <c r="K355" s="3"/>
    </row>
    <row r="356">
      <c r="A356" s="308"/>
      <c r="B356" s="308"/>
      <c r="C356" s="308"/>
      <c r="D356" s="308"/>
      <c r="E356" s="241"/>
      <c r="F356" s="241"/>
      <c r="G356" s="309"/>
      <c r="H356" s="241"/>
      <c r="J356" s="3"/>
      <c r="K356" s="3"/>
    </row>
    <row r="357">
      <c r="A357" s="308"/>
      <c r="B357" s="308"/>
      <c r="C357" s="308"/>
      <c r="D357" s="308"/>
      <c r="E357" s="241"/>
      <c r="F357" s="241"/>
      <c r="G357" s="309"/>
      <c r="H357" s="241"/>
      <c r="J357" s="3"/>
      <c r="K357" s="3"/>
    </row>
    <row r="358">
      <c r="A358" s="308"/>
      <c r="B358" s="308"/>
      <c r="C358" s="308"/>
      <c r="D358" s="308"/>
      <c r="E358" s="241"/>
      <c r="F358" s="241"/>
      <c r="G358" s="309"/>
      <c r="H358" s="241"/>
      <c r="J358" s="3"/>
      <c r="K358" s="3"/>
    </row>
    <row r="359">
      <c r="A359" s="308"/>
      <c r="B359" s="308"/>
      <c r="C359" s="308"/>
      <c r="D359" s="308"/>
      <c r="E359" s="241"/>
      <c r="F359" s="241"/>
      <c r="G359" s="309"/>
      <c r="H359" s="241"/>
      <c r="J359" s="3"/>
      <c r="K359" s="3"/>
    </row>
    <row r="360">
      <c r="A360" s="308"/>
      <c r="B360" s="308"/>
      <c r="C360" s="308"/>
      <c r="D360" s="308"/>
      <c r="E360" s="241"/>
      <c r="F360" s="241"/>
      <c r="G360" s="309"/>
      <c r="H360" s="241"/>
      <c r="J360" s="3"/>
      <c r="K360" s="3"/>
    </row>
    <row r="361">
      <c r="A361" s="308"/>
      <c r="B361" s="308"/>
      <c r="C361" s="308"/>
      <c r="D361" s="308"/>
      <c r="E361" s="241"/>
      <c r="F361" s="241"/>
      <c r="G361" s="309"/>
      <c r="H361" s="241"/>
      <c r="J361" s="3"/>
      <c r="K361" s="3"/>
    </row>
    <row r="362">
      <c r="A362" s="308"/>
      <c r="B362" s="308"/>
      <c r="C362" s="308"/>
      <c r="D362" s="308"/>
      <c r="E362" s="241"/>
      <c r="F362" s="241"/>
      <c r="G362" s="309"/>
      <c r="H362" s="241"/>
      <c r="J362" s="3"/>
      <c r="K362" s="3"/>
    </row>
    <row r="363">
      <c r="A363" s="308"/>
      <c r="B363" s="308"/>
      <c r="C363" s="308"/>
      <c r="D363" s="308"/>
      <c r="E363" s="241"/>
      <c r="F363" s="241"/>
      <c r="G363" s="309"/>
      <c r="H363" s="241"/>
      <c r="J363" s="3"/>
      <c r="K363" s="3"/>
    </row>
    <row r="364">
      <c r="A364" s="308"/>
      <c r="B364" s="308"/>
      <c r="C364" s="308"/>
      <c r="D364" s="308"/>
      <c r="E364" s="241"/>
      <c r="F364" s="241"/>
      <c r="G364" s="309"/>
      <c r="H364" s="241"/>
      <c r="J364" s="3"/>
      <c r="K364" s="3"/>
    </row>
    <row r="365">
      <c r="A365" s="308"/>
      <c r="B365" s="308"/>
      <c r="C365" s="308"/>
      <c r="D365" s="308"/>
      <c r="E365" s="241"/>
      <c r="F365" s="241"/>
      <c r="G365" s="309"/>
      <c r="H365" s="241"/>
      <c r="J365" s="3"/>
      <c r="K365" s="3"/>
    </row>
    <row r="366">
      <c r="A366" s="308"/>
      <c r="B366" s="308"/>
      <c r="C366" s="308"/>
      <c r="D366" s="308"/>
      <c r="E366" s="241"/>
      <c r="F366" s="241"/>
      <c r="G366" s="309"/>
      <c r="H366" s="241"/>
      <c r="J366" s="3"/>
      <c r="K366" s="3"/>
    </row>
    <row r="367">
      <c r="A367" s="308"/>
      <c r="B367" s="308"/>
      <c r="C367" s="308"/>
      <c r="D367" s="308"/>
      <c r="E367" s="241"/>
      <c r="F367" s="241"/>
      <c r="G367" s="309"/>
      <c r="H367" s="241"/>
      <c r="J367" s="3"/>
      <c r="K367" s="3"/>
    </row>
    <row r="368">
      <c r="A368" s="308"/>
      <c r="B368" s="308"/>
      <c r="C368" s="308"/>
      <c r="D368" s="308"/>
      <c r="E368" s="241"/>
      <c r="F368" s="241"/>
      <c r="G368" s="309"/>
      <c r="H368" s="241"/>
      <c r="J368" s="3"/>
      <c r="K368" s="3"/>
    </row>
    <row r="369">
      <c r="A369" s="308"/>
      <c r="B369" s="308"/>
      <c r="C369" s="308"/>
      <c r="D369" s="308"/>
      <c r="E369" s="241"/>
      <c r="F369" s="241"/>
      <c r="G369" s="309"/>
      <c r="H369" s="241"/>
      <c r="J369" s="3"/>
      <c r="K369" s="3"/>
    </row>
    <row r="370">
      <c r="A370" s="308"/>
      <c r="B370" s="308"/>
      <c r="C370" s="308"/>
      <c r="D370" s="308"/>
      <c r="E370" s="241"/>
      <c r="F370" s="241"/>
      <c r="G370" s="309"/>
      <c r="H370" s="241"/>
      <c r="J370" s="3"/>
      <c r="K370" s="3"/>
    </row>
    <row r="371">
      <c r="A371" s="308"/>
      <c r="B371" s="308"/>
      <c r="C371" s="308"/>
      <c r="D371" s="308"/>
      <c r="E371" s="241"/>
      <c r="F371" s="241"/>
      <c r="G371" s="309"/>
      <c r="H371" s="241"/>
      <c r="J371" s="3"/>
      <c r="K371" s="3"/>
    </row>
    <row r="372">
      <c r="A372" s="308"/>
      <c r="B372" s="308"/>
      <c r="C372" s="308"/>
      <c r="D372" s="308"/>
      <c r="E372" s="241"/>
      <c r="F372" s="241"/>
      <c r="G372" s="309"/>
      <c r="H372" s="241"/>
      <c r="J372" s="3"/>
      <c r="K372" s="3"/>
    </row>
    <row r="373">
      <c r="A373" s="308"/>
      <c r="B373" s="308"/>
      <c r="C373" s="308"/>
      <c r="D373" s="308"/>
      <c r="E373" s="241"/>
      <c r="F373" s="241"/>
      <c r="G373" s="309"/>
      <c r="H373" s="241"/>
      <c r="J373" s="3"/>
      <c r="K373" s="3"/>
    </row>
    <row r="374">
      <c r="A374" s="308"/>
      <c r="B374" s="308"/>
      <c r="C374" s="308"/>
      <c r="D374" s="308"/>
      <c r="E374" s="241"/>
      <c r="F374" s="241"/>
      <c r="G374" s="309"/>
      <c r="H374" s="241"/>
      <c r="J374" s="3"/>
      <c r="K374" s="3"/>
    </row>
    <row r="375">
      <c r="A375" s="308"/>
      <c r="B375" s="308"/>
      <c r="C375" s="308"/>
      <c r="D375" s="308"/>
      <c r="E375" s="241"/>
      <c r="F375" s="241"/>
      <c r="G375" s="309"/>
      <c r="H375" s="241"/>
      <c r="J375" s="3"/>
      <c r="K375" s="3"/>
    </row>
    <row r="376">
      <c r="A376" s="308"/>
      <c r="B376" s="308"/>
      <c r="C376" s="308"/>
      <c r="D376" s="308"/>
      <c r="E376" s="241"/>
      <c r="F376" s="241"/>
      <c r="G376" s="309"/>
      <c r="H376" s="241"/>
      <c r="J376" s="3"/>
      <c r="K376" s="3"/>
    </row>
    <row r="377">
      <c r="A377" s="308"/>
      <c r="B377" s="308"/>
      <c r="C377" s="308"/>
      <c r="D377" s="308"/>
      <c r="E377" s="241"/>
      <c r="F377" s="241"/>
      <c r="G377" s="309"/>
      <c r="H377" s="241"/>
      <c r="J377" s="3"/>
      <c r="K377" s="3"/>
    </row>
    <row r="378">
      <c r="A378" s="308"/>
      <c r="B378" s="308"/>
      <c r="C378" s="308"/>
      <c r="D378" s="308"/>
      <c r="E378" s="241"/>
      <c r="F378" s="241"/>
      <c r="G378" s="309"/>
      <c r="H378" s="241"/>
      <c r="J378" s="3"/>
      <c r="K378" s="3"/>
    </row>
    <row r="379">
      <c r="A379" s="308"/>
      <c r="B379" s="308"/>
      <c r="C379" s="308"/>
      <c r="D379" s="308"/>
      <c r="E379" s="241"/>
      <c r="F379" s="241"/>
      <c r="G379" s="309"/>
      <c r="H379" s="241"/>
      <c r="J379" s="3"/>
      <c r="K379" s="3"/>
    </row>
    <row r="380">
      <c r="A380" s="308"/>
      <c r="B380" s="308"/>
      <c r="C380" s="308"/>
      <c r="D380" s="308"/>
      <c r="E380" s="241"/>
      <c r="F380" s="241"/>
      <c r="G380" s="309"/>
      <c r="H380" s="241"/>
      <c r="J380" s="3"/>
      <c r="K380" s="3"/>
    </row>
    <row r="381">
      <c r="A381" s="308"/>
      <c r="B381" s="308"/>
      <c r="C381" s="308"/>
      <c r="D381" s="308"/>
      <c r="E381" s="241"/>
      <c r="F381" s="241"/>
      <c r="G381" s="309"/>
      <c r="H381" s="241"/>
      <c r="J381" s="3"/>
      <c r="K381" s="3"/>
    </row>
    <row r="382">
      <c r="A382" s="308"/>
      <c r="B382" s="308"/>
      <c r="C382" s="308"/>
      <c r="D382" s="308"/>
      <c r="E382" s="241"/>
      <c r="F382" s="241"/>
      <c r="G382" s="309"/>
      <c r="H382" s="241"/>
      <c r="J382" s="3"/>
      <c r="K382" s="3"/>
    </row>
    <row r="383">
      <c r="A383" s="308"/>
      <c r="B383" s="308"/>
      <c r="C383" s="308"/>
      <c r="D383" s="308"/>
      <c r="E383" s="241"/>
      <c r="F383" s="241"/>
      <c r="G383" s="309"/>
      <c r="H383" s="241"/>
      <c r="J383" s="3"/>
      <c r="K383" s="3"/>
    </row>
    <row r="384">
      <c r="A384" s="308"/>
      <c r="B384" s="308"/>
      <c r="C384" s="308"/>
      <c r="D384" s="308"/>
      <c r="E384" s="241"/>
      <c r="F384" s="241"/>
      <c r="G384" s="309"/>
      <c r="H384" s="241"/>
      <c r="J384" s="3"/>
      <c r="K384" s="3"/>
    </row>
    <row r="385">
      <c r="A385" s="308"/>
      <c r="B385" s="308"/>
      <c r="C385" s="308"/>
      <c r="D385" s="308"/>
      <c r="E385" s="241"/>
      <c r="F385" s="241"/>
      <c r="G385" s="309"/>
      <c r="H385" s="241"/>
      <c r="J385" s="3"/>
      <c r="K385" s="3"/>
    </row>
    <row r="386">
      <c r="A386" s="308"/>
      <c r="B386" s="308"/>
      <c r="C386" s="308"/>
      <c r="D386" s="308"/>
      <c r="E386" s="241"/>
      <c r="F386" s="241"/>
      <c r="G386" s="309"/>
      <c r="H386" s="241"/>
      <c r="J386" s="3"/>
      <c r="K386" s="3"/>
    </row>
    <row r="387">
      <c r="A387" s="308"/>
      <c r="B387" s="308"/>
      <c r="C387" s="308"/>
      <c r="D387" s="308"/>
      <c r="E387" s="241"/>
      <c r="F387" s="241"/>
      <c r="G387" s="309"/>
      <c r="H387" s="241"/>
      <c r="J387" s="3"/>
      <c r="K387" s="3"/>
    </row>
    <row r="388">
      <c r="A388" s="308"/>
      <c r="B388" s="308"/>
      <c r="C388" s="308"/>
      <c r="D388" s="308"/>
      <c r="E388" s="241"/>
      <c r="F388" s="241"/>
      <c r="G388" s="309"/>
      <c r="H388" s="241"/>
      <c r="J388" s="3"/>
      <c r="K388" s="3"/>
    </row>
    <row r="389">
      <c r="A389" s="308"/>
      <c r="B389" s="308"/>
      <c r="C389" s="308"/>
      <c r="D389" s="308"/>
      <c r="E389" s="241"/>
      <c r="F389" s="241"/>
      <c r="G389" s="309"/>
      <c r="H389" s="241"/>
      <c r="J389" s="3"/>
      <c r="K389" s="3"/>
    </row>
    <row r="390">
      <c r="A390" s="308"/>
      <c r="B390" s="308"/>
      <c r="C390" s="308"/>
      <c r="D390" s="308"/>
      <c r="E390" s="241"/>
      <c r="F390" s="241"/>
      <c r="G390" s="309"/>
      <c r="H390" s="241"/>
      <c r="J390" s="3"/>
      <c r="K390" s="3"/>
    </row>
    <row r="391">
      <c r="A391" s="308"/>
      <c r="B391" s="308"/>
      <c r="C391" s="308"/>
      <c r="D391" s="308"/>
      <c r="E391" s="241"/>
      <c r="F391" s="241"/>
      <c r="G391" s="309"/>
      <c r="H391" s="241"/>
      <c r="J391" s="3"/>
      <c r="K391" s="3"/>
    </row>
    <row r="392">
      <c r="A392" s="308"/>
      <c r="B392" s="308"/>
      <c r="C392" s="308"/>
      <c r="D392" s="308"/>
      <c r="E392" s="241"/>
      <c r="F392" s="241"/>
      <c r="G392" s="309"/>
      <c r="H392" s="241"/>
      <c r="J392" s="3"/>
      <c r="K392" s="3"/>
    </row>
    <row r="393">
      <c r="A393" s="308"/>
      <c r="B393" s="308"/>
      <c r="C393" s="308"/>
      <c r="D393" s="308"/>
      <c r="E393" s="241"/>
      <c r="F393" s="241"/>
      <c r="G393" s="309"/>
      <c r="H393" s="241"/>
      <c r="J393" s="3"/>
      <c r="K393" s="3"/>
    </row>
    <row r="394">
      <c r="A394" s="308"/>
      <c r="B394" s="308"/>
      <c r="C394" s="308"/>
      <c r="D394" s="308"/>
      <c r="E394" s="241"/>
      <c r="F394" s="241"/>
      <c r="G394" s="309"/>
      <c r="H394" s="241"/>
      <c r="J394" s="3"/>
      <c r="K394" s="3"/>
    </row>
    <row r="395">
      <c r="A395" s="308"/>
      <c r="B395" s="308"/>
      <c r="C395" s="308"/>
      <c r="D395" s="308"/>
      <c r="E395" s="241"/>
      <c r="F395" s="241"/>
      <c r="G395" s="309"/>
      <c r="H395" s="241"/>
      <c r="J395" s="3"/>
      <c r="K395" s="3"/>
    </row>
    <row r="396">
      <c r="A396" s="308"/>
      <c r="B396" s="308"/>
      <c r="C396" s="308"/>
      <c r="D396" s="308"/>
      <c r="E396" s="241"/>
      <c r="F396" s="241"/>
      <c r="G396" s="309"/>
      <c r="H396" s="241"/>
      <c r="J396" s="3"/>
      <c r="K396" s="3"/>
    </row>
    <row r="397">
      <c r="A397" s="308"/>
      <c r="B397" s="308"/>
      <c r="C397" s="308"/>
      <c r="D397" s="308"/>
      <c r="E397" s="241"/>
      <c r="F397" s="241"/>
      <c r="G397" s="309"/>
      <c r="H397" s="241"/>
      <c r="J397" s="3"/>
      <c r="K397" s="3"/>
    </row>
    <row r="398">
      <c r="A398" s="308"/>
      <c r="B398" s="308"/>
      <c r="C398" s="308"/>
      <c r="D398" s="308"/>
      <c r="E398" s="241"/>
      <c r="F398" s="241"/>
      <c r="G398" s="309"/>
      <c r="H398" s="241"/>
      <c r="J398" s="3"/>
      <c r="K398" s="3"/>
    </row>
    <row r="399">
      <c r="A399" s="308"/>
      <c r="B399" s="308"/>
      <c r="C399" s="308"/>
      <c r="D399" s="308"/>
      <c r="E399" s="241"/>
      <c r="F399" s="241"/>
      <c r="G399" s="309"/>
      <c r="H399" s="241"/>
      <c r="J399" s="3"/>
      <c r="K399" s="3"/>
    </row>
    <row r="400">
      <c r="A400" s="308"/>
      <c r="B400" s="308"/>
      <c r="C400" s="308"/>
      <c r="D400" s="308"/>
      <c r="E400" s="241"/>
      <c r="F400" s="241"/>
      <c r="G400" s="309"/>
      <c r="H400" s="241"/>
      <c r="J400" s="3"/>
      <c r="K400" s="3"/>
    </row>
    <row r="401">
      <c r="A401" s="308"/>
      <c r="B401" s="308"/>
      <c r="C401" s="308"/>
      <c r="D401" s="308"/>
      <c r="E401" s="241"/>
      <c r="F401" s="241"/>
      <c r="G401" s="309"/>
      <c r="H401" s="241"/>
      <c r="J401" s="3"/>
      <c r="K401" s="3"/>
    </row>
    <row r="402">
      <c r="A402" s="308"/>
      <c r="B402" s="308"/>
      <c r="C402" s="308"/>
      <c r="D402" s="308"/>
      <c r="E402" s="241"/>
      <c r="F402" s="241"/>
      <c r="G402" s="309"/>
      <c r="H402" s="241"/>
      <c r="J402" s="3"/>
      <c r="K402" s="3"/>
    </row>
    <row r="403">
      <c r="A403" s="308"/>
      <c r="B403" s="308"/>
      <c r="C403" s="308"/>
      <c r="D403" s="308"/>
      <c r="E403" s="241"/>
      <c r="F403" s="241"/>
      <c r="G403" s="309"/>
      <c r="H403" s="241"/>
      <c r="J403" s="3"/>
      <c r="K403" s="3"/>
    </row>
    <row r="404">
      <c r="A404" s="308"/>
      <c r="B404" s="308"/>
      <c r="C404" s="308"/>
      <c r="D404" s="308"/>
      <c r="E404" s="241"/>
      <c r="F404" s="241"/>
      <c r="G404" s="309"/>
      <c r="H404" s="241"/>
      <c r="J404" s="3"/>
      <c r="K404" s="3"/>
    </row>
    <row r="405">
      <c r="A405" s="308"/>
      <c r="B405" s="308"/>
      <c r="C405" s="308"/>
      <c r="D405" s="308"/>
      <c r="E405" s="241"/>
      <c r="F405" s="241"/>
      <c r="G405" s="309"/>
      <c r="H405" s="241"/>
      <c r="J405" s="3"/>
      <c r="K405" s="3"/>
    </row>
    <row r="406">
      <c r="A406" s="308"/>
      <c r="B406" s="308"/>
      <c r="C406" s="308"/>
      <c r="D406" s="308"/>
      <c r="E406" s="241"/>
      <c r="F406" s="241"/>
      <c r="G406" s="309"/>
      <c r="H406" s="241"/>
      <c r="J406" s="3"/>
      <c r="K406" s="3"/>
    </row>
    <row r="407">
      <c r="A407" s="308"/>
      <c r="B407" s="308"/>
      <c r="C407" s="308"/>
      <c r="D407" s="308"/>
      <c r="E407" s="241"/>
      <c r="F407" s="241"/>
      <c r="G407" s="309"/>
      <c r="H407" s="241"/>
      <c r="J407" s="3"/>
      <c r="K407" s="3"/>
    </row>
    <row r="408">
      <c r="A408" s="308"/>
      <c r="B408" s="308"/>
      <c r="C408" s="308"/>
      <c r="D408" s="308"/>
      <c r="E408" s="241"/>
      <c r="F408" s="241"/>
      <c r="G408" s="309"/>
      <c r="H408" s="241"/>
      <c r="J408" s="3"/>
      <c r="K408" s="3"/>
    </row>
    <row r="409">
      <c r="A409" s="308"/>
      <c r="B409" s="308"/>
      <c r="C409" s="308"/>
      <c r="D409" s="308"/>
      <c r="E409" s="241"/>
      <c r="F409" s="241"/>
      <c r="G409" s="309"/>
      <c r="H409" s="241"/>
      <c r="J409" s="3"/>
      <c r="K409" s="3"/>
    </row>
    <row r="410">
      <c r="A410" s="308"/>
      <c r="B410" s="308"/>
      <c r="C410" s="308"/>
      <c r="D410" s="308"/>
      <c r="E410" s="241"/>
      <c r="F410" s="241"/>
      <c r="G410" s="309"/>
      <c r="H410" s="241"/>
      <c r="J410" s="3"/>
      <c r="K410" s="3"/>
    </row>
    <row r="411">
      <c r="A411" s="308"/>
      <c r="B411" s="308"/>
      <c r="C411" s="308"/>
      <c r="D411" s="308"/>
      <c r="E411" s="241"/>
      <c r="F411" s="241"/>
      <c r="G411" s="309"/>
      <c r="H411" s="241"/>
      <c r="J411" s="3"/>
      <c r="K411" s="3"/>
    </row>
    <row r="412">
      <c r="A412" s="308"/>
      <c r="B412" s="308"/>
      <c r="C412" s="308"/>
      <c r="D412" s="308"/>
      <c r="E412" s="241"/>
      <c r="F412" s="241"/>
      <c r="G412" s="309"/>
      <c r="H412" s="241"/>
      <c r="J412" s="3"/>
      <c r="K412" s="3"/>
    </row>
    <row r="413">
      <c r="A413" s="308"/>
      <c r="B413" s="308"/>
      <c r="C413" s="308"/>
      <c r="D413" s="308"/>
      <c r="E413" s="241"/>
      <c r="F413" s="241"/>
      <c r="G413" s="309"/>
      <c r="H413" s="241"/>
      <c r="J413" s="3"/>
      <c r="K413" s="3"/>
    </row>
    <row r="414">
      <c r="A414" s="308"/>
      <c r="B414" s="308"/>
      <c r="C414" s="308"/>
      <c r="D414" s="308"/>
      <c r="E414" s="241"/>
      <c r="F414" s="241"/>
      <c r="G414" s="309"/>
      <c r="H414" s="241"/>
      <c r="J414" s="3"/>
      <c r="K414" s="3"/>
    </row>
    <row r="415">
      <c r="A415" s="308"/>
      <c r="B415" s="308"/>
      <c r="C415" s="308"/>
      <c r="D415" s="308"/>
      <c r="E415" s="241"/>
      <c r="F415" s="241"/>
      <c r="G415" s="309"/>
      <c r="H415" s="241"/>
      <c r="J415" s="3"/>
      <c r="K415" s="3"/>
    </row>
    <row r="416">
      <c r="A416" s="308"/>
      <c r="B416" s="308"/>
      <c r="C416" s="308"/>
      <c r="D416" s="308"/>
      <c r="E416" s="241"/>
      <c r="F416" s="241"/>
      <c r="G416" s="309"/>
      <c r="H416" s="241"/>
      <c r="J416" s="3"/>
      <c r="K416" s="3"/>
    </row>
    <row r="417">
      <c r="A417" s="308"/>
      <c r="B417" s="308"/>
      <c r="C417" s="308"/>
      <c r="D417" s="308"/>
      <c r="E417" s="241"/>
      <c r="F417" s="241"/>
      <c r="G417" s="309"/>
      <c r="H417" s="241"/>
      <c r="J417" s="3"/>
      <c r="K417" s="3"/>
    </row>
    <row r="418">
      <c r="A418" s="308"/>
      <c r="B418" s="308"/>
      <c r="C418" s="308"/>
      <c r="D418" s="308"/>
      <c r="E418" s="241"/>
      <c r="F418" s="241"/>
      <c r="G418" s="309"/>
      <c r="H418" s="241"/>
      <c r="J418" s="3"/>
      <c r="K418" s="3"/>
    </row>
    <row r="419">
      <c r="A419" s="308"/>
      <c r="B419" s="308"/>
      <c r="C419" s="308"/>
      <c r="D419" s="308"/>
      <c r="E419" s="241"/>
      <c r="F419" s="241"/>
      <c r="G419" s="309"/>
      <c r="H419" s="241"/>
      <c r="J419" s="3"/>
      <c r="K419" s="3"/>
    </row>
    <row r="420">
      <c r="A420" s="308"/>
      <c r="B420" s="308"/>
      <c r="C420" s="308"/>
      <c r="D420" s="308"/>
      <c r="E420" s="241"/>
      <c r="F420" s="241"/>
      <c r="G420" s="309"/>
      <c r="H420" s="241"/>
      <c r="J420" s="3"/>
      <c r="K420" s="3"/>
    </row>
    <row r="421">
      <c r="A421" s="308"/>
      <c r="B421" s="308"/>
      <c r="C421" s="308"/>
      <c r="D421" s="308"/>
      <c r="E421" s="241"/>
      <c r="F421" s="241"/>
      <c r="G421" s="309"/>
      <c r="H421" s="241"/>
      <c r="J421" s="3"/>
      <c r="K421" s="3"/>
    </row>
    <row r="422">
      <c r="A422" s="308"/>
      <c r="B422" s="308"/>
      <c r="C422" s="308"/>
      <c r="D422" s="308"/>
      <c r="E422" s="241"/>
      <c r="F422" s="241"/>
      <c r="G422" s="309"/>
      <c r="H422" s="241"/>
      <c r="J422" s="3"/>
      <c r="K422" s="3"/>
    </row>
    <row r="423">
      <c r="A423" s="308"/>
      <c r="B423" s="308"/>
      <c r="C423" s="308"/>
      <c r="D423" s="308"/>
      <c r="E423" s="241"/>
      <c r="F423" s="241"/>
      <c r="G423" s="309"/>
      <c r="H423" s="241"/>
      <c r="J423" s="3"/>
      <c r="K423" s="3"/>
    </row>
    <row r="424">
      <c r="A424" s="308"/>
      <c r="B424" s="308"/>
      <c r="C424" s="308"/>
      <c r="D424" s="308"/>
      <c r="E424" s="241"/>
      <c r="F424" s="241"/>
      <c r="G424" s="309"/>
      <c r="H424" s="241"/>
      <c r="J424" s="3"/>
      <c r="K424" s="3"/>
    </row>
    <row r="425">
      <c r="A425" s="308"/>
      <c r="B425" s="308"/>
      <c r="C425" s="308"/>
      <c r="D425" s="308"/>
      <c r="E425" s="241"/>
      <c r="F425" s="241"/>
      <c r="G425" s="309"/>
      <c r="H425" s="241"/>
      <c r="J425" s="3"/>
      <c r="K425" s="3"/>
    </row>
    <row r="426">
      <c r="A426" s="308"/>
      <c r="B426" s="308"/>
      <c r="C426" s="308"/>
      <c r="D426" s="308"/>
      <c r="E426" s="241"/>
      <c r="F426" s="241"/>
      <c r="G426" s="309"/>
      <c r="H426" s="241"/>
      <c r="J426" s="3"/>
      <c r="K426" s="3"/>
    </row>
    <row r="427">
      <c r="A427" s="308"/>
      <c r="B427" s="308"/>
      <c r="C427" s="308"/>
      <c r="D427" s="308"/>
      <c r="E427" s="241"/>
      <c r="F427" s="241"/>
      <c r="G427" s="309"/>
      <c r="H427" s="241"/>
      <c r="J427" s="3"/>
      <c r="K427" s="3"/>
    </row>
    <row r="428">
      <c r="A428" s="308"/>
      <c r="B428" s="308"/>
      <c r="C428" s="308"/>
      <c r="D428" s="308"/>
      <c r="E428" s="241"/>
      <c r="F428" s="241"/>
      <c r="G428" s="309"/>
      <c r="H428" s="241"/>
      <c r="J428" s="3"/>
      <c r="K428" s="3"/>
    </row>
    <row r="429">
      <c r="A429" s="308"/>
      <c r="B429" s="308"/>
      <c r="C429" s="308"/>
      <c r="D429" s="308"/>
      <c r="E429" s="241"/>
      <c r="F429" s="241"/>
      <c r="G429" s="309"/>
      <c r="H429" s="241"/>
      <c r="J429" s="3"/>
      <c r="K429" s="3"/>
    </row>
    <row r="430">
      <c r="A430" s="308"/>
      <c r="B430" s="308"/>
      <c r="C430" s="308"/>
      <c r="D430" s="308"/>
      <c r="E430" s="241"/>
      <c r="F430" s="241"/>
      <c r="G430" s="309"/>
      <c r="H430" s="241"/>
      <c r="J430" s="3"/>
      <c r="K430" s="3"/>
    </row>
    <row r="431">
      <c r="A431" s="308"/>
      <c r="B431" s="308"/>
      <c r="C431" s="308"/>
      <c r="D431" s="308"/>
      <c r="E431" s="241"/>
      <c r="F431" s="241"/>
      <c r="G431" s="309"/>
      <c r="H431" s="241"/>
      <c r="J431" s="3"/>
      <c r="K431" s="3"/>
    </row>
    <row r="432">
      <c r="A432" s="308"/>
      <c r="B432" s="308"/>
      <c r="C432" s="308"/>
      <c r="D432" s="308"/>
      <c r="E432" s="241"/>
      <c r="F432" s="241"/>
      <c r="G432" s="309"/>
      <c r="H432" s="241"/>
      <c r="J432" s="3"/>
      <c r="K432" s="3"/>
    </row>
    <row r="433">
      <c r="A433" s="308"/>
      <c r="B433" s="308"/>
      <c r="C433" s="308"/>
      <c r="D433" s="308"/>
      <c r="E433" s="241"/>
      <c r="F433" s="241"/>
      <c r="G433" s="309"/>
      <c r="H433" s="241"/>
      <c r="J433" s="3"/>
      <c r="K433" s="3"/>
    </row>
    <row r="434">
      <c r="A434" s="308"/>
      <c r="B434" s="308"/>
      <c r="C434" s="308"/>
      <c r="D434" s="308"/>
      <c r="E434" s="241"/>
      <c r="F434" s="241"/>
      <c r="G434" s="309"/>
      <c r="H434" s="241"/>
      <c r="J434" s="3"/>
      <c r="K434" s="3"/>
    </row>
    <row r="435">
      <c r="A435" s="308"/>
      <c r="B435" s="308"/>
      <c r="C435" s="308"/>
      <c r="D435" s="308"/>
      <c r="E435" s="241"/>
      <c r="F435" s="241"/>
      <c r="G435" s="309"/>
      <c r="H435" s="241"/>
      <c r="J435" s="3"/>
      <c r="K435" s="3"/>
    </row>
    <row r="436">
      <c r="A436" s="308"/>
      <c r="B436" s="308"/>
      <c r="C436" s="308"/>
      <c r="D436" s="308"/>
      <c r="E436" s="241"/>
      <c r="F436" s="241"/>
      <c r="G436" s="309"/>
      <c r="H436" s="241"/>
      <c r="J436" s="3"/>
      <c r="K436" s="3"/>
    </row>
    <row r="437">
      <c r="A437" s="308"/>
      <c r="B437" s="308"/>
      <c r="C437" s="308"/>
      <c r="D437" s="308"/>
      <c r="E437" s="241"/>
      <c r="F437" s="241"/>
      <c r="G437" s="309"/>
      <c r="H437" s="241"/>
      <c r="J437" s="3"/>
      <c r="K437" s="3"/>
    </row>
    <row r="438">
      <c r="A438" s="308"/>
      <c r="B438" s="308"/>
      <c r="C438" s="308"/>
      <c r="D438" s="308"/>
      <c r="E438" s="241"/>
      <c r="F438" s="241"/>
      <c r="G438" s="309"/>
      <c r="H438" s="241"/>
      <c r="J438" s="3"/>
      <c r="K438" s="3"/>
    </row>
    <row r="439">
      <c r="A439" s="308"/>
      <c r="B439" s="308"/>
      <c r="C439" s="308"/>
      <c r="D439" s="308"/>
      <c r="E439" s="241"/>
      <c r="F439" s="241"/>
      <c r="G439" s="309"/>
      <c r="H439" s="241"/>
      <c r="J439" s="3"/>
      <c r="K439" s="3"/>
    </row>
    <row r="440">
      <c r="A440" s="308"/>
      <c r="B440" s="308"/>
      <c r="C440" s="308"/>
      <c r="D440" s="308"/>
      <c r="E440" s="241"/>
      <c r="F440" s="241"/>
      <c r="G440" s="309"/>
      <c r="H440" s="241"/>
      <c r="J440" s="3"/>
      <c r="K440" s="3"/>
    </row>
    <row r="441">
      <c r="A441" s="308"/>
      <c r="B441" s="308"/>
      <c r="C441" s="308"/>
      <c r="D441" s="308"/>
      <c r="E441" s="241"/>
      <c r="F441" s="241"/>
      <c r="G441" s="309"/>
      <c r="H441" s="241"/>
      <c r="J441" s="3"/>
      <c r="K441" s="3"/>
    </row>
    <row r="442">
      <c r="A442" s="308"/>
      <c r="B442" s="308"/>
      <c r="C442" s="308"/>
      <c r="D442" s="308"/>
      <c r="E442" s="241"/>
      <c r="F442" s="241"/>
      <c r="G442" s="309"/>
      <c r="H442" s="241"/>
      <c r="J442" s="3"/>
      <c r="K442" s="3"/>
    </row>
    <row r="443">
      <c r="A443" s="308"/>
      <c r="B443" s="308"/>
      <c r="C443" s="308"/>
      <c r="D443" s="308"/>
      <c r="E443" s="241"/>
      <c r="F443" s="241"/>
      <c r="G443" s="309"/>
      <c r="H443" s="241"/>
      <c r="J443" s="3"/>
      <c r="K443" s="3"/>
    </row>
    <row r="444">
      <c r="A444" s="308"/>
      <c r="B444" s="308"/>
      <c r="C444" s="308"/>
      <c r="D444" s="308"/>
      <c r="E444" s="241"/>
      <c r="F444" s="241"/>
      <c r="G444" s="309"/>
      <c r="H444" s="241"/>
      <c r="J444" s="3"/>
      <c r="K444" s="3"/>
    </row>
    <row r="445">
      <c r="A445" s="308"/>
      <c r="B445" s="308"/>
      <c r="C445" s="308"/>
      <c r="D445" s="308"/>
      <c r="E445" s="241"/>
      <c r="F445" s="241"/>
      <c r="G445" s="309"/>
      <c r="H445" s="241"/>
      <c r="J445" s="3"/>
      <c r="K445" s="3"/>
    </row>
    <row r="446">
      <c r="A446" s="308"/>
      <c r="B446" s="308"/>
      <c r="C446" s="308"/>
      <c r="D446" s="308"/>
      <c r="E446" s="241"/>
      <c r="F446" s="241"/>
      <c r="G446" s="309"/>
      <c r="H446" s="241"/>
      <c r="J446" s="3"/>
      <c r="K446" s="3"/>
    </row>
    <row r="447">
      <c r="A447" s="308"/>
      <c r="B447" s="308"/>
      <c r="C447" s="308"/>
      <c r="D447" s="308"/>
      <c r="E447" s="241"/>
      <c r="F447" s="241"/>
      <c r="G447" s="309"/>
      <c r="H447" s="241"/>
      <c r="J447" s="3"/>
      <c r="K447" s="3"/>
    </row>
    <row r="448">
      <c r="A448" s="308"/>
      <c r="B448" s="308"/>
      <c r="C448" s="308"/>
      <c r="D448" s="308"/>
      <c r="E448" s="241"/>
      <c r="F448" s="241"/>
      <c r="G448" s="309"/>
      <c r="H448" s="241"/>
      <c r="J448" s="3"/>
      <c r="K448" s="3"/>
    </row>
    <row r="449">
      <c r="A449" s="308"/>
      <c r="B449" s="308"/>
      <c r="C449" s="308"/>
      <c r="D449" s="308"/>
      <c r="E449" s="241"/>
      <c r="F449" s="241"/>
      <c r="G449" s="309"/>
      <c r="H449" s="241"/>
      <c r="J449" s="3"/>
      <c r="K449" s="3"/>
    </row>
    <row r="450">
      <c r="A450" s="308"/>
      <c r="B450" s="308"/>
      <c r="C450" s="308"/>
      <c r="D450" s="308"/>
      <c r="E450" s="241"/>
      <c r="F450" s="241"/>
      <c r="G450" s="309"/>
      <c r="H450" s="241"/>
      <c r="J450" s="3"/>
      <c r="K450" s="3"/>
    </row>
    <row r="451">
      <c r="A451" s="308"/>
      <c r="B451" s="308"/>
      <c r="C451" s="308"/>
      <c r="D451" s="308"/>
      <c r="E451" s="241"/>
      <c r="F451" s="241"/>
      <c r="G451" s="309"/>
      <c r="H451" s="241"/>
      <c r="J451" s="3"/>
      <c r="K451" s="3"/>
    </row>
    <row r="452">
      <c r="A452" s="308"/>
      <c r="B452" s="308"/>
      <c r="C452" s="308"/>
      <c r="D452" s="308"/>
      <c r="E452" s="241"/>
      <c r="F452" s="241"/>
      <c r="G452" s="309"/>
      <c r="H452" s="241"/>
      <c r="J452" s="3"/>
      <c r="K452" s="3"/>
    </row>
    <row r="453">
      <c r="A453" s="308"/>
      <c r="B453" s="308"/>
      <c r="C453" s="308"/>
      <c r="D453" s="308"/>
      <c r="E453" s="241"/>
      <c r="F453" s="241"/>
      <c r="G453" s="309"/>
      <c r="H453" s="241"/>
      <c r="J453" s="3"/>
      <c r="K453" s="3"/>
    </row>
    <row r="454">
      <c r="A454" s="308"/>
      <c r="B454" s="308"/>
      <c r="C454" s="308"/>
      <c r="D454" s="308"/>
      <c r="E454" s="241"/>
      <c r="F454" s="241"/>
      <c r="G454" s="309"/>
      <c r="H454" s="241"/>
      <c r="J454" s="3"/>
      <c r="K454" s="3"/>
    </row>
    <row r="455">
      <c r="A455" s="308"/>
      <c r="B455" s="308"/>
      <c r="C455" s="308"/>
      <c r="D455" s="308"/>
      <c r="E455" s="241"/>
      <c r="F455" s="241"/>
      <c r="G455" s="309"/>
      <c r="H455" s="241"/>
      <c r="J455" s="3"/>
      <c r="K455" s="3"/>
    </row>
    <row r="456">
      <c r="A456" s="308"/>
      <c r="B456" s="308"/>
      <c r="C456" s="308"/>
      <c r="D456" s="308"/>
      <c r="E456" s="241"/>
      <c r="F456" s="241"/>
      <c r="G456" s="309"/>
      <c r="H456" s="241"/>
      <c r="J456" s="3"/>
      <c r="K456" s="3"/>
    </row>
    <row r="457">
      <c r="A457" s="308"/>
      <c r="B457" s="308"/>
      <c r="C457" s="308"/>
      <c r="D457" s="308"/>
      <c r="E457" s="241"/>
      <c r="F457" s="241"/>
      <c r="G457" s="309"/>
      <c r="H457" s="241"/>
      <c r="J457" s="3"/>
      <c r="K457" s="3"/>
    </row>
    <row r="458">
      <c r="A458" s="308"/>
      <c r="B458" s="308"/>
      <c r="C458" s="308"/>
      <c r="D458" s="308"/>
      <c r="E458" s="241"/>
      <c r="F458" s="241"/>
      <c r="G458" s="309"/>
      <c r="H458" s="241"/>
      <c r="J458" s="3"/>
      <c r="K458" s="3"/>
    </row>
    <row r="459">
      <c r="A459" s="308"/>
      <c r="B459" s="308"/>
      <c r="C459" s="308"/>
      <c r="D459" s="308"/>
      <c r="E459" s="241"/>
      <c r="F459" s="241"/>
      <c r="G459" s="309"/>
      <c r="H459" s="241"/>
      <c r="J459" s="3"/>
      <c r="K459" s="3"/>
    </row>
    <row r="460">
      <c r="A460" s="308"/>
      <c r="B460" s="308"/>
      <c r="C460" s="308"/>
      <c r="D460" s="308"/>
      <c r="E460" s="241"/>
      <c r="F460" s="241"/>
      <c r="G460" s="309"/>
      <c r="H460" s="241"/>
      <c r="J460" s="3"/>
      <c r="K460" s="3"/>
    </row>
    <row r="461">
      <c r="A461" s="308"/>
      <c r="B461" s="308"/>
      <c r="C461" s="308"/>
      <c r="D461" s="308"/>
      <c r="E461" s="241"/>
      <c r="F461" s="241"/>
      <c r="G461" s="309"/>
      <c r="H461" s="241"/>
      <c r="J461" s="3"/>
      <c r="K461" s="3"/>
    </row>
    <row r="462">
      <c r="A462" s="308"/>
      <c r="B462" s="308"/>
      <c r="C462" s="308"/>
      <c r="D462" s="308"/>
      <c r="E462" s="241"/>
      <c r="F462" s="241"/>
      <c r="G462" s="309"/>
      <c r="H462" s="241"/>
      <c r="J462" s="3"/>
      <c r="K462" s="3"/>
    </row>
    <row r="463">
      <c r="A463" s="308"/>
      <c r="B463" s="308"/>
      <c r="C463" s="308"/>
      <c r="D463" s="308"/>
      <c r="E463" s="241"/>
      <c r="F463" s="241"/>
      <c r="G463" s="309"/>
      <c r="H463" s="241"/>
      <c r="J463" s="3"/>
      <c r="K463" s="3"/>
    </row>
    <row r="464">
      <c r="A464" s="308"/>
      <c r="B464" s="308"/>
      <c r="C464" s="308"/>
      <c r="D464" s="308"/>
      <c r="E464" s="241"/>
      <c r="F464" s="241"/>
      <c r="G464" s="309"/>
      <c r="H464" s="241"/>
      <c r="J464" s="3"/>
      <c r="K464" s="3"/>
    </row>
    <row r="465">
      <c r="A465" s="308"/>
      <c r="B465" s="308"/>
      <c r="C465" s="308"/>
      <c r="D465" s="308"/>
      <c r="E465" s="241"/>
      <c r="F465" s="241"/>
      <c r="G465" s="309"/>
      <c r="H465" s="241"/>
      <c r="J465" s="3"/>
      <c r="K465" s="3"/>
    </row>
    <row r="466">
      <c r="A466" s="308"/>
      <c r="B466" s="308"/>
      <c r="C466" s="308"/>
      <c r="D466" s="308"/>
      <c r="E466" s="241"/>
      <c r="F466" s="241"/>
      <c r="G466" s="309"/>
      <c r="H466" s="241"/>
      <c r="J466" s="3"/>
      <c r="K466" s="3"/>
    </row>
    <row r="467">
      <c r="A467" s="308"/>
      <c r="B467" s="308"/>
      <c r="C467" s="308"/>
      <c r="D467" s="308"/>
      <c r="E467" s="241"/>
      <c r="F467" s="241"/>
      <c r="G467" s="309"/>
      <c r="H467" s="241"/>
      <c r="J467" s="3"/>
      <c r="K467" s="3"/>
    </row>
    <row r="468">
      <c r="A468" s="308"/>
      <c r="B468" s="308"/>
      <c r="C468" s="308"/>
      <c r="D468" s="308"/>
      <c r="E468" s="241"/>
      <c r="F468" s="241"/>
      <c r="G468" s="309"/>
      <c r="H468" s="241"/>
      <c r="J468" s="3"/>
      <c r="K468" s="3"/>
    </row>
    <row r="469">
      <c r="A469" s="308"/>
      <c r="B469" s="308"/>
      <c r="C469" s="308"/>
      <c r="D469" s="308"/>
      <c r="E469" s="241"/>
      <c r="F469" s="241"/>
      <c r="G469" s="309"/>
      <c r="H469" s="241"/>
      <c r="J469" s="3"/>
      <c r="K469" s="3"/>
    </row>
    <row r="470">
      <c r="A470" s="308"/>
      <c r="B470" s="308"/>
      <c r="C470" s="308"/>
      <c r="D470" s="308"/>
      <c r="E470" s="241"/>
      <c r="F470" s="241"/>
      <c r="G470" s="309"/>
      <c r="H470" s="241"/>
      <c r="J470" s="3"/>
      <c r="K470" s="3"/>
    </row>
    <row r="471">
      <c r="A471" s="308"/>
      <c r="B471" s="308"/>
      <c r="C471" s="308"/>
      <c r="D471" s="308"/>
      <c r="E471" s="241"/>
      <c r="F471" s="241"/>
      <c r="G471" s="309"/>
      <c r="H471" s="241"/>
      <c r="J471" s="3"/>
      <c r="K471" s="3"/>
    </row>
    <row r="472">
      <c r="A472" s="308"/>
      <c r="B472" s="308"/>
      <c r="C472" s="308"/>
      <c r="D472" s="308"/>
      <c r="E472" s="241"/>
      <c r="F472" s="241"/>
      <c r="G472" s="309"/>
      <c r="H472" s="241"/>
      <c r="J472" s="3"/>
      <c r="K472" s="3"/>
    </row>
    <row r="473">
      <c r="A473" s="308"/>
      <c r="B473" s="308"/>
      <c r="C473" s="308"/>
      <c r="D473" s="308"/>
      <c r="E473" s="241"/>
      <c r="F473" s="241"/>
      <c r="G473" s="309"/>
      <c r="H473" s="241"/>
      <c r="J473" s="3"/>
      <c r="K473" s="3"/>
    </row>
    <row r="474">
      <c r="A474" s="308"/>
      <c r="B474" s="308"/>
      <c r="C474" s="308"/>
      <c r="D474" s="308"/>
      <c r="E474" s="241"/>
      <c r="F474" s="241"/>
      <c r="G474" s="309"/>
      <c r="H474" s="241"/>
      <c r="J474" s="3"/>
      <c r="K474" s="3"/>
    </row>
    <row r="475">
      <c r="A475" s="308"/>
      <c r="B475" s="308"/>
      <c r="C475" s="308"/>
      <c r="D475" s="308"/>
      <c r="E475" s="241"/>
      <c r="F475" s="241"/>
      <c r="G475" s="309"/>
      <c r="H475" s="241"/>
      <c r="J475" s="3"/>
      <c r="K475" s="3"/>
    </row>
    <row r="476">
      <c r="A476" s="308"/>
      <c r="B476" s="308"/>
      <c r="C476" s="308"/>
      <c r="D476" s="308"/>
      <c r="E476" s="241"/>
      <c r="F476" s="241"/>
      <c r="G476" s="309"/>
      <c r="H476" s="241"/>
      <c r="J476" s="3"/>
      <c r="K476" s="3"/>
    </row>
    <row r="477">
      <c r="A477" s="308"/>
      <c r="B477" s="308"/>
      <c r="C477" s="308"/>
      <c r="D477" s="308"/>
      <c r="E477" s="241"/>
      <c r="F477" s="241"/>
      <c r="G477" s="309"/>
      <c r="H477" s="241"/>
      <c r="J477" s="3"/>
      <c r="K477" s="3"/>
    </row>
    <row r="478">
      <c r="A478" s="308"/>
      <c r="B478" s="308"/>
      <c r="C478" s="308"/>
      <c r="D478" s="308"/>
      <c r="E478" s="241"/>
      <c r="F478" s="241"/>
      <c r="G478" s="309"/>
      <c r="H478" s="241"/>
      <c r="J478" s="3"/>
      <c r="K478" s="3"/>
    </row>
    <row r="479">
      <c r="A479" s="308"/>
      <c r="B479" s="308"/>
      <c r="C479" s="308"/>
      <c r="D479" s="308"/>
      <c r="E479" s="241"/>
      <c r="F479" s="241"/>
      <c r="G479" s="309"/>
      <c r="H479" s="241"/>
      <c r="J479" s="3"/>
      <c r="K479" s="3"/>
    </row>
    <row r="480">
      <c r="A480" s="308"/>
      <c r="B480" s="308"/>
      <c r="C480" s="308"/>
      <c r="D480" s="308"/>
      <c r="E480" s="241"/>
      <c r="F480" s="241"/>
      <c r="G480" s="309"/>
      <c r="H480" s="241"/>
      <c r="J480" s="3"/>
      <c r="K480" s="3"/>
    </row>
    <row r="481">
      <c r="A481" s="308"/>
      <c r="B481" s="308"/>
      <c r="C481" s="308"/>
      <c r="D481" s="308"/>
      <c r="E481" s="241"/>
      <c r="F481" s="241"/>
      <c r="G481" s="309"/>
      <c r="H481" s="241"/>
      <c r="J481" s="3"/>
      <c r="K481" s="3"/>
    </row>
    <row r="482">
      <c r="A482" s="308"/>
      <c r="B482" s="308"/>
      <c r="C482" s="308"/>
      <c r="D482" s="308"/>
      <c r="E482" s="241"/>
      <c r="F482" s="241"/>
      <c r="G482" s="309"/>
      <c r="H482" s="241"/>
      <c r="J482" s="3"/>
      <c r="K482" s="3"/>
    </row>
    <row r="483">
      <c r="A483" s="308"/>
      <c r="B483" s="308"/>
      <c r="C483" s="308"/>
      <c r="D483" s="308"/>
      <c r="E483" s="241"/>
      <c r="F483" s="241"/>
      <c r="G483" s="309"/>
      <c r="H483" s="241"/>
      <c r="J483" s="3"/>
      <c r="K483" s="3"/>
    </row>
    <row r="484">
      <c r="A484" s="308"/>
      <c r="B484" s="308"/>
      <c r="C484" s="308"/>
      <c r="D484" s="308"/>
      <c r="E484" s="241"/>
      <c r="F484" s="241"/>
      <c r="G484" s="309"/>
      <c r="H484" s="241"/>
      <c r="J484" s="3"/>
      <c r="K484" s="3"/>
    </row>
    <row r="485">
      <c r="A485" s="308"/>
      <c r="B485" s="308"/>
      <c r="C485" s="308"/>
      <c r="D485" s="308"/>
      <c r="E485" s="241"/>
      <c r="F485" s="241"/>
      <c r="G485" s="309"/>
      <c r="H485" s="241"/>
      <c r="J485" s="3"/>
      <c r="K485" s="3"/>
    </row>
    <row r="486">
      <c r="A486" s="308"/>
      <c r="B486" s="308"/>
      <c r="C486" s="308"/>
      <c r="D486" s="308"/>
      <c r="E486" s="241"/>
      <c r="F486" s="241"/>
      <c r="G486" s="309"/>
      <c r="H486" s="241"/>
      <c r="J486" s="3"/>
      <c r="K486" s="3"/>
    </row>
    <row r="487">
      <c r="A487" s="308"/>
      <c r="B487" s="308"/>
      <c r="C487" s="308"/>
      <c r="D487" s="308"/>
      <c r="E487" s="241"/>
      <c r="F487" s="241"/>
      <c r="G487" s="309"/>
      <c r="H487" s="241"/>
      <c r="J487" s="3"/>
      <c r="K487" s="3"/>
    </row>
    <row r="488">
      <c r="A488" s="308"/>
      <c r="B488" s="308"/>
      <c r="C488" s="308"/>
      <c r="D488" s="308"/>
      <c r="E488" s="241"/>
      <c r="F488" s="241"/>
      <c r="G488" s="309"/>
      <c r="H488" s="241"/>
      <c r="J488" s="3"/>
      <c r="K488" s="3"/>
    </row>
    <row r="489">
      <c r="A489" s="308"/>
      <c r="B489" s="308"/>
      <c r="C489" s="308"/>
      <c r="D489" s="308"/>
      <c r="E489" s="241"/>
      <c r="F489" s="241"/>
      <c r="G489" s="309"/>
      <c r="H489" s="241"/>
      <c r="J489" s="3"/>
      <c r="K489" s="3"/>
    </row>
    <row r="490">
      <c r="A490" s="308"/>
      <c r="B490" s="308"/>
      <c r="C490" s="308"/>
      <c r="D490" s="308"/>
      <c r="E490" s="241"/>
      <c r="F490" s="241"/>
      <c r="G490" s="309"/>
      <c r="H490" s="241"/>
      <c r="J490" s="3"/>
      <c r="K490" s="3"/>
    </row>
    <row r="491">
      <c r="A491" s="308"/>
      <c r="B491" s="308"/>
      <c r="C491" s="308"/>
      <c r="D491" s="308"/>
      <c r="E491" s="241"/>
      <c r="F491" s="241"/>
      <c r="G491" s="309"/>
      <c r="H491" s="241"/>
      <c r="J491" s="3"/>
      <c r="K491" s="3"/>
    </row>
    <row r="492">
      <c r="A492" s="308"/>
      <c r="B492" s="308"/>
      <c r="C492" s="308"/>
      <c r="D492" s="308"/>
      <c r="E492" s="241"/>
      <c r="F492" s="241"/>
      <c r="G492" s="309"/>
      <c r="H492" s="241"/>
      <c r="J492" s="3"/>
      <c r="K492" s="3"/>
    </row>
    <row r="493">
      <c r="A493" s="308"/>
      <c r="B493" s="308"/>
      <c r="C493" s="308"/>
      <c r="D493" s="308"/>
      <c r="E493" s="241"/>
      <c r="F493" s="241"/>
      <c r="G493" s="309"/>
      <c r="H493" s="241"/>
      <c r="J493" s="3"/>
      <c r="K493" s="3"/>
    </row>
    <row r="494">
      <c r="A494" s="308"/>
      <c r="B494" s="308"/>
      <c r="C494" s="308"/>
      <c r="D494" s="308"/>
      <c r="E494" s="241"/>
      <c r="F494" s="241"/>
      <c r="G494" s="309"/>
      <c r="H494" s="241"/>
      <c r="J494" s="3"/>
      <c r="K494" s="3"/>
    </row>
    <row r="495">
      <c r="A495" s="308"/>
      <c r="B495" s="308"/>
      <c r="C495" s="308"/>
      <c r="D495" s="308"/>
      <c r="E495" s="241"/>
      <c r="F495" s="241"/>
      <c r="G495" s="309"/>
      <c r="H495" s="241"/>
      <c r="J495" s="3"/>
      <c r="K495" s="3"/>
    </row>
    <row r="496">
      <c r="A496" s="308"/>
      <c r="B496" s="308"/>
      <c r="C496" s="308"/>
      <c r="D496" s="308"/>
      <c r="E496" s="241"/>
      <c r="F496" s="241"/>
      <c r="G496" s="309"/>
      <c r="H496" s="241"/>
      <c r="J496" s="3"/>
      <c r="K496" s="3"/>
    </row>
    <row r="497">
      <c r="A497" s="308"/>
      <c r="B497" s="308"/>
      <c r="C497" s="308"/>
      <c r="D497" s="308"/>
      <c r="E497" s="241"/>
      <c r="F497" s="241"/>
      <c r="G497" s="309"/>
      <c r="H497" s="241"/>
      <c r="J497" s="3"/>
      <c r="K497" s="3"/>
    </row>
    <row r="498">
      <c r="A498" s="308"/>
      <c r="B498" s="308"/>
      <c r="C498" s="308"/>
      <c r="D498" s="308"/>
      <c r="E498" s="241"/>
      <c r="F498" s="241"/>
      <c r="G498" s="309"/>
      <c r="H498" s="241"/>
      <c r="J498" s="3"/>
      <c r="K498" s="3"/>
    </row>
    <row r="499">
      <c r="A499" s="308"/>
      <c r="B499" s="308"/>
      <c r="C499" s="308"/>
      <c r="D499" s="308"/>
      <c r="E499" s="241"/>
      <c r="F499" s="241"/>
      <c r="G499" s="309"/>
      <c r="H499" s="241"/>
      <c r="J499" s="3"/>
      <c r="K499" s="3"/>
    </row>
    <row r="500">
      <c r="A500" s="308"/>
      <c r="B500" s="308"/>
      <c r="C500" s="308"/>
      <c r="D500" s="308"/>
      <c r="E500" s="241"/>
      <c r="F500" s="241"/>
      <c r="G500" s="309"/>
      <c r="H500" s="241"/>
      <c r="J500" s="3"/>
      <c r="K500" s="3"/>
    </row>
    <row r="501">
      <c r="A501" s="308"/>
      <c r="B501" s="308"/>
      <c r="C501" s="308"/>
      <c r="D501" s="308"/>
      <c r="E501" s="241"/>
      <c r="F501" s="241"/>
      <c r="G501" s="309"/>
      <c r="H501" s="241"/>
      <c r="J501" s="3"/>
      <c r="K501" s="3"/>
    </row>
    <row r="502">
      <c r="A502" s="308"/>
      <c r="B502" s="308"/>
      <c r="C502" s="308"/>
      <c r="D502" s="308"/>
      <c r="E502" s="241"/>
      <c r="F502" s="241"/>
      <c r="G502" s="309"/>
      <c r="H502" s="241"/>
      <c r="J502" s="3"/>
      <c r="K502" s="3"/>
    </row>
    <row r="503">
      <c r="A503" s="308"/>
      <c r="B503" s="308"/>
      <c r="C503" s="308"/>
      <c r="D503" s="308"/>
      <c r="E503" s="241"/>
      <c r="F503" s="241"/>
      <c r="G503" s="309"/>
      <c r="H503" s="241"/>
      <c r="J503" s="3"/>
      <c r="K503" s="3"/>
    </row>
    <row r="504">
      <c r="A504" s="308"/>
      <c r="B504" s="308"/>
      <c r="C504" s="308"/>
      <c r="D504" s="308"/>
      <c r="E504" s="241"/>
      <c r="F504" s="241"/>
      <c r="G504" s="309"/>
      <c r="H504" s="241"/>
      <c r="J504" s="3"/>
      <c r="K504" s="3"/>
    </row>
    <row r="505">
      <c r="A505" s="308"/>
      <c r="B505" s="308"/>
      <c r="C505" s="308"/>
      <c r="D505" s="308"/>
      <c r="E505" s="241"/>
      <c r="F505" s="241"/>
      <c r="G505" s="309"/>
      <c r="H505" s="241"/>
      <c r="J505" s="3"/>
      <c r="K505" s="3"/>
    </row>
    <row r="506">
      <c r="A506" s="308"/>
      <c r="B506" s="308"/>
      <c r="C506" s="308"/>
      <c r="D506" s="308"/>
      <c r="E506" s="241"/>
      <c r="F506" s="241"/>
      <c r="G506" s="309"/>
      <c r="H506" s="241"/>
      <c r="J506" s="3"/>
      <c r="K506" s="3"/>
    </row>
    <row r="507">
      <c r="A507" s="308"/>
      <c r="B507" s="308"/>
      <c r="C507" s="308"/>
      <c r="D507" s="308"/>
      <c r="E507" s="241"/>
      <c r="F507" s="241"/>
      <c r="G507" s="309"/>
      <c r="H507" s="241"/>
      <c r="J507" s="3"/>
      <c r="K507" s="3"/>
    </row>
    <row r="508">
      <c r="A508" s="308"/>
      <c r="B508" s="308"/>
      <c r="C508" s="308"/>
      <c r="D508" s="308"/>
      <c r="E508" s="241"/>
      <c r="F508" s="241"/>
      <c r="G508" s="309"/>
      <c r="H508" s="241"/>
      <c r="J508" s="3"/>
      <c r="K508" s="3"/>
    </row>
    <row r="509">
      <c r="A509" s="308"/>
      <c r="B509" s="308"/>
      <c r="C509" s="308"/>
      <c r="D509" s="308"/>
      <c r="E509" s="241"/>
      <c r="F509" s="241"/>
      <c r="G509" s="309"/>
      <c r="H509" s="241"/>
      <c r="J509" s="3"/>
      <c r="K509" s="3"/>
    </row>
    <row r="510">
      <c r="A510" s="308"/>
      <c r="B510" s="308"/>
      <c r="C510" s="308"/>
      <c r="D510" s="308"/>
      <c r="E510" s="241"/>
      <c r="F510" s="241"/>
      <c r="G510" s="309"/>
      <c r="H510" s="241"/>
      <c r="J510" s="3"/>
      <c r="K510" s="3"/>
    </row>
    <row r="511">
      <c r="A511" s="308"/>
      <c r="B511" s="308"/>
      <c r="C511" s="308"/>
      <c r="D511" s="308"/>
      <c r="E511" s="241"/>
      <c r="F511" s="241"/>
      <c r="G511" s="309"/>
      <c r="H511" s="241"/>
      <c r="J511" s="3"/>
      <c r="K511" s="3"/>
    </row>
    <row r="512">
      <c r="A512" s="308"/>
      <c r="B512" s="308"/>
      <c r="C512" s="308"/>
      <c r="D512" s="308"/>
      <c r="E512" s="241"/>
      <c r="F512" s="241"/>
      <c r="G512" s="309"/>
      <c r="H512" s="241"/>
      <c r="J512" s="3"/>
      <c r="K512" s="3"/>
    </row>
    <row r="513">
      <c r="A513" s="308"/>
      <c r="B513" s="308"/>
      <c r="C513" s="308"/>
      <c r="D513" s="308"/>
      <c r="E513" s="241"/>
      <c r="F513" s="241"/>
      <c r="G513" s="309"/>
      <c r="H513" s="241"/>
      <c r="J513" s="3"/>
      <c r="K513" s="3"/>
    </row>
    <row r="514">
      <c r="A514" s="308"/>
      <c r="B514" s="308"/>
      <c r="C514" s="308"/>
      <c r="D514" s="308"/>
      <c r="E514" s="241"/>
      <c r="F514" s="241"/>
      <c r="G514" s="309"/>
      <c r="H514" s="241"/>
      <c r="J514" s="3"/>
      <c r="K514" s="3"/>
    </row>
    <row r="515">
      <c r="A515" s="308"/>
      <c r="B515" s="308"/>
      <c r="C515" s="308"/>
      <c r="D515" s="308"/>
      <c r="E515" s="241"/>
      <c r="F515" s="241"/>
      <c r="G515" s="309"/>
      <c r="H515" s="241"/>
      <c r="J515" s="3"/>
      <c r="K515" s="3"/>
    </row>
    <row r="516">
      <c r="A516" s="308"/>
      <c r="B516" s="308"/>
      <c r="C516" s="308"/>
      <c r="D516" s="308"/>
      <c r="E516" s="241"/>
      <c r="F516" s="241"/>
      <c r="G516" s="309"/>
      <c r="H516" s="241"/>
      <c r="J516" s="3"/>
      <c r="K516" s="3"/>
    </row>
    <row r="517">
      <c r="A517" s="308"/>
      <c r="B517" s="308"/>
      <c r="C517" s="308"/>
      <c r="D517" s="308"/>
      <c r="E517" s="241"/>
      <c r="F517" s="241"/>
      <c r="G517" s="309"/>
      <c r="H517" s="241"/>
      <c r="J517" s="3"/>
      <c r="K517" s="3"/>
    </row>
    <row r="518">
      <c r="A518" s="308"/>
      <c r="B518" s="308"/>
      <c r="C518" s="308"/>
      <c r="D518" s="308"/>
      <c r="E518" s="241"/>
      <c r="F518" s="241"/>
      <c r="G518" s="309"/>
      <c r="H518" s="241"/>
      <c r="J518" s="3"/>
      <c r="K518" s="3"/>
    </row>
    <row r="519">
      <c r="A519" s="308"/>
      <c r="B519" s="308"/>
      <c r="C519" s="308"/>
      <c r="D519" s="308"/>
      <c r="E519" s="241"/>
      <c r="F519" s="241"/>
      <c r="G519" s="309"/>
      <c r="H519" s="241"/>
      <c r="J519" s="3"/>
      <c r="K519" s="3"/>
    </row>
    <row r="520">
      <c r="A520" s="308"/>
      <c r="B520" s="308"/>
      <c r="C520" s="308"/>
      <c r="D520" s="308"/>
      <c r="E520" s="241"/>
      <c r="F520" s="241"/>
      <c r="G520" s="309"/>
      <c r="H520" s="241"/>
      <c r="J520" s="3"/>
      <c r="K520" s="3"/>
    </row>
    <row r="521">
      <c r="A521" s="308"/>
      <c r="B521" s="308"/>
      <c r="C521" s="308"/>
      <c r="D521" s="308"/>
      <c r="E521" s="241"/>
      <c r="F521" s="241"/>
      <c r="G521" s="309"/>
      <c r="H521" s="241"/>
      <c r="J521" s="3"/>
      <c r="K521" s="3"/>
    </row>
    <row r="522">
      <c r="A522" s="308"/>
      <c r="B522" s="308"/>
      <c r="C522" s="308"/>
      <c r="D522" s="308"/>
      <c r="E522" s="241"/>
      <c r="F522" s="241"/>
      <c r="G522" s="309"/>
      <c r="H522" s="241"/>
      <c r="J522" s="3"/>
      <c r="K522" s="3"/>
    </row>
    <row r="523">
      <c r="A523" s="308"/>
      <c r="B523" s="308"/>
      <c r="C523" s="308"/>
      <c r="D523" s="308"/>
      <c r="E523" s="241"/>
      <c r="F523" s="241"/>
      <c r="G523" s="309"/>
      <c r="H523" s="241"/>
      <c r="J523" s="3"/>
      <c r="K523" s="3"/>
    </row>
    <row r="524">
      <c r="A524" s="308"/>
      <c r="B524" s="308"/>
      <c r="C524" s="308"/>
      <c r="D524" s="308"/>
      <c r="E524" s="241"/>
      <c r="F524" s="241"/>
      <c r="G524" s="309"/>
      <c r="H524" s="241"/>
      <c r="J524" s="3"/>
      <c r="K524" s="3"/>
    </row>
    <row r="525">
      <c r="A525" s="308"/>
      <c r="B525" s="308"/>
      <c r="C525" s="308"/>
      <c r="D525" s="308"/>
      <c r="E525" s="241"/>
      <c r="F525" s="241"/>
      <c r="G525" s="309"/>
      <c r="H525" s="241"/>
      <c r="J525" s="3"/>
      <c r="K525" s="3"/>
    </row>
    <row r="526">
      <c r="A526" s="308"/>
      <c r="B526" s="308"/>
      <c r="C526" s="308"/>
      <c r="D526" s="308"/>
      <c r="E526" s="241"/>
      <c r="F526" s="241"/>
      <c r="G526" s="309"/>
      <c r="H526" s="241"/>
      <c r="J526" s="3"/>
      <c r="K526" s="3"/>
    </row>
    <row r="527">
      <c r="A527" s="308"/>
      <c r="B527" s="308"/>
      <c r="C527" s="308"/>
      <c r="D527" s="308"/>
      <c r="E527" s="241"/>
      <c r="F527" s="241"/>
      <c r="G527" s="309"/>
      <c r="H527" s="241"/>
      <c r="J527" s="3"/>
      <c r="K527" s="3"/>
    </row>
    <row r="528">
      <c r="A528" s="308"/>
      <c r="B528" s="308"/>
      <c r="C528" s="308"/>
      <c r="D528" s="308"/>
      <c r="E528" s="241"/>
      <c r="F528" s="241"/>
      <c r="G528" s="309"/>
      <c r="H528" s="241"/>
      <c r="J528" s="3"/>
      <c r="K528" s="3"/>
    </row>
    <row r="529">
      <c r="A529" s="308"/>
      <c r="B529" s="308"/>
      <c r="C529" s="308"/>
      <c r="D529" s="308"/>
      <c r="E529" s="241"/>
      <c r="F529" s="241"/>
      <c r="G529" s="309"/>
      <c r="H529" s="241"/>
      <c r="J529" s="3"/>
      <c r="K529" s="3"/>
    </row>
    <row r="530">
      <c r="A530" s="308"/>
      <c r="B530" s="308"/>
      <c r="C530" s="308"/>
      <c r="D530" s="308"/>
      <c r="E530" s="241"/>
      <c r="F530" s="241"/>
      <c r="G530" s="309"/>
      <c r="H530" s="241"/>
      <c r="J530" s="3"/>
      <c r="K530" s="3"/>
    </row>
    <row r="531">
      <c r="A531" s="308"/>
      <c r="B531" s="308"/>
      <c r="C531" s="308"/>
      <c r="D531" s="308"/>
      <c r="E531" s="241"/>
      <c r="F531" s="241"/>
      <c r="G531" s="309"/>
      <c r="H531" s="241"/>
      <c r="J531" s="3"/>
      <c r="K531" s="3"/>
    </row>
    <row r="532">
      <c r="A532" s="308"/>
      <c r="B532" s="308"/>
      <c r="C532" s="308"/>
      <c r="D532" s="308"/>
      <c r="E532" s="241"/>
      <c r="F532" s="241"/>
      <c r="G532" s="309"/>
      <c r="H532" s="241"/>
      <c r="J532" s="3"/>
      <c r="K532" s="3"/>
    </row>
    <row r="533">
      <c r="A533" s="308"/>
      <c r="B533" s="308"/>
      <c r="C533" s="308"/>
      <c r="D533" s="308"/>
      <c r="E533" s="241"/>
      <c r="F533" s="241"/>
      <c r="G533" s="309"/>
      <c r="H533" s="241"/>
      <c r="J533" s="3"/>
      <c r="K533" s="3"/>
    </row>
    <row r="534">
      <c r="A534" s="308"/>
      <c r="B534" s="308"/>
      <c r="C534" s="308"/>
      <c r="D534" s="308"/>
      <c r="E534" s="241"/>
      <c r="F534" s="241"/>
      <c r="G534" s="309"/>
      <c r="H534" s="241"/>
      <c r="J534" s="3"/>
      <c r="K534" s="3"/>
    </row>
    <row r="535">
      <c r="A535" s="308"/>
      <c r="B535" s="308"/>
      <c r="C535" s="308"/>
      <c r="D535" s="308"/>
      <c r="E535" s="241"/>
      <c r="F535" s="241"/>
      <c r="G535" s="309"/>
      <c r="H535" s="241"/>
      <c r="J535" s="3"/>
      <c r="K535" s="3"/>
    </row>
    <row r="536">
      <c r="A536" s="308"/>
      <c r="B536" s="308"/>
      <c r="C536" s="308"/>
      <c r="D536" s="308"/>
      <c r="E536" s="241"/>
      <c r="F536" s="241"/>
      <c r="G536" s="309"/>
      <c r="H536" s="241"/>
      <c r="J536" s="3"/>
      <c r="K536" s="3"/>
    </row>
    <row r="537">
      <c r="A537" s="308"/>
      <c r="B537" s="308"/>
      <c r="C537" s="308"/>
      <c r="D537" s="308"/>
      <c r="E537" s="241"/>
      <c r="F537" s="241"/>
      <c r="G537" s="309"/>
      <c r="H537" s="241"/>
      <c r="J537" s="3"/>
      <c r="K537" s="3"/>
    </row>
    <row r="538">
      <c r="A538" s="308"/>
      <c r="B538" s="308"/>
      <c r="C538" s="308"/>
      <c r="D538" s="308"/>
      <c r="E538" s="241"/>
      <c r="F538" s="241"/>
      <c r="G538" s="309"/>
      <c r="H538" s="241"/>
      <c r="J538" s="3"/>
      <c r="K538" s="3"/>
    </row>
    <row r="539">
      <c r="A539" s="308"/>
      <c r="B539" s="308"/>
      <c r="C539" s="308"/>
      <c r="D539" s="308"/>
      <c r="E539" s="241"/>
      <c r="F539" s="241"/>
      <c r="G539" s="309"/>
      <c r="H539" s="241"/>
      <c r="J539" s="3"/>
      <c r="K539" s="3"/>
    </row>
    <row r="540">
      <c r="A540" s="308"/>
      <c r="B540" s="308"/>
      <c r="C540" s="308"/>
      <c r="D540" s="308"/>
      <c r="E540" s="241"/>
      <c r="F540" s="241"/>
      <c r="G540" s="309"/>
      <c r="H540" s="241"/>
      <c r="J540" s="3"/>
      <c r="K540" s="3"/>
    </row>
    <row r="541">
      <c r="A541" s="308"/>
      <c r="B541" s="308"/>
      <c r="C541" s="308"/>
      <c r="D541" s="308"/>
      <c r="E541" s="241"/>
      <c r="F541" s="241"/>
      <c r="G541" s="309"/>
      <c r="H541" s="241"/>
      <c r="J541" s="3"/>
      <c r="K541" s="3"/>
    </row>
    <row r="542">
      <c r="A542" s="308"/>
      <c r="B542" s="308"/>
      <c r="C542" s="308"/>
      <c r="D542" s="308"/>
      <c r="E542" s="241"/>
      <c r="F542" s="241"/>
      <c r="G542" s="309"/>
      <c r="H542" s="241"/>
      <c r="J542" s="3"/>
      <c r="K542" s="3"/>
    </row>
    <row r="543">
      <c r="A543" s="308"/>
      <c r="B543" s="308"/>
      <c r="C543" s="308"/>
      <c r="D543" s="308"/>
      <c r="E543" s="241"/>
      <c r="F543" s="241"/>
      <c r="G543" s="309"/>
      <c r="H543" s="241"/>
      <c r="J543" s="3"/>
      <c r="K543" s="3"/>
    </row>
    <row r="544">
      <c r="A544" s="308"/>
      <c r="B544" s="308"/>
      <c r="C544" s="308"/>
      <c r="D544" s="308"/>
      <c r="E544" s="241"/>
      <c r="F544" s="241"/>
      <c r="G544" s="309"/>
      <c r="H544" s="241"/>
      <c r="J544" s="3"/>
      <c r="K544" s="3"/>
    </row>
    <row r="545">
      <c r="A545" s="308"/>
      <c r="B545" s="308"/>
      <c r="C545" s="308"/>
      <c r="D545" s="308"/>
      <c r="E545" s="241"/>
      <c r="F545" s="241"/>
      <c r="G545" s="309"/>
      <c r="H545" s="241"/>
      <c r="J545" s="3"/>
      <c r="K545" s="3"/>
    </row>
    <row r="546">
      <c r="A546" s="308"/>
      <c r="B546" s="308"/>
      <c r="C546" s="308"/>
      <c r="D546" s="308"/>
      <c r="E546" s="241"/>
      <c r="F546" s="241"/>
      <c r="G546" s="309"/>
      <c r="H546" s="241"/>
      <c r="J546" s="3"/>
      <c r="K546" s="3"/>
    </row>
    <row r="547">
      <c r="A547" s="308"/>
      <c r="B547" s="308"/>
      <c r="C547" s="308"/>
      <c r="D547" s="308"/>
      <c r="E547" s="241"/>
      <c r="F547" s="241"/>
      <c r="G547" s="309"/>
      <c r="H547" s="241"/>
      <c r="J547" s="3"/>
      <c r="K547" s="3"/>
    </row>
    <row r="548">
      <c r="A548" s="308"/>
      <c r="B548" s="308"/>
      <c r="C548" s="308"/>
      <c r="D548" s="308"/>
      <c r="E548" s="241"/>
      <c r="F548" s="241"/>
      <c r="G548" s="309"/>
      <c r="H548" s="241"/>
      <c r="J548" s="3"/>
      <c r="K548" s="3"/>
    </row>
    <row r="549">
      <c r="A549" s="308"/>
      <c r="B549" s="308"/>
      <c r="C549" s="308"/>
      <c r="D549" s="308"/>
      <c r="E549" s="241"/>
      <c r="F549" s="241"/>
      <c r="G549" s="309"/>
      <c r="H549" s="241"/>
      <c r="J549" s="3"/>
      <c r="K549" s="3"/>
    </row>
    <row r="550">
      <c r="A550" s="308"/>
      <c r="B550" s="308"/>
      <c r="C550" s="308"/>
      <c r="D550" s="308"/>
      <c r="E550" s="241"/>
      <c r="F550" s="241"/>
      <c r="G550" s="309"/>
      <c r="H550" s="241"/>
      <c r="J550" s="3"/>
      <c r="K550" s="3"/>
    </row>
    <row r="551">
      <c r="A551" s="308"/>
      <c r="B551" s="308"/>
      <c r="C551" s="308"/>
      <c r="D551" s="308"/>
      <c r="E551" s="241"/>
      <c r="F551" s="241"/>
      <c r="G551" s="309"/>
      <c r="H551" s="241"/>
      <c r="J551" s="3"/>
      <c r="K551" s="3"/>
    </row>
    <row r="552">
      <c r="A552" s="308"/>
      <c r="B552" s="308"/>
      <c r="C552" s="308"/>
      <c r="D552" s="308"/>
      <c r="E552" s="241"/>
      <c r="F552" s="241"/>
      <c r="G552" s="309"/>
      <c r="H552" s="241"/>
      <c r="J552" s="3"/>
      <c r="K552" s="3"/>
    </row>
    <row r="553">
      <c r="A553" s="308"/>
      <c r="B553" s="308"/>
      <c r="C553" s="308"/>
      <c r="D553" s="308"/>
      <c r="E553" s="241"/>
      <c r="F553" s="241"/>
      <c r="G553" s="309"/>
      <c r="H553" s="241"/>
      <c r="J553" s="3"/>
      <c r="K553" s="3"/>
    </row>
    <row r="554">
      <c r="A554" s="308"/>
      <c r="B554" s="308"/>
      <c r="C554" s="308"/>
      <c r="D554" s="308"/>
      <c r="E554" s="241"/>
      <c r="F554" s="241"/>
      <c r="G554" s="309"/>
      <c r="H554" s="241"/>
      <c r="J554" s="3"/>
      <c r="K554" s="3"/>
    </row>
    <row r="555">
      <c r="A555" s="308"/>
      <c r="B555" s="308"/>
      <c r="C555" s="308"/>
      <c r="D555" s="308"/>
      <c r="E555" s="241"/>
      <c r="F555" s="241"/>
      <c r="G555" s="309"/>
      <c r="H555" s="241"/>
      <c r="J555" s="3"/>
      <c r="K555" s="3"/>
    </row>
    <row r="556">
      <c r="A556" s="308"/>
      <c r="B556" s="308"/>
      <c r="C556" s="308"/>
      <c r="D556" s="308"/>
      <c r="E556" s="241"/>
      <c r="F556" s="241"/>
      <c r="G556" s="309"/>
      <c r="H556" s="241"/>
      <c r="J556" s="3"/>
      <c r="K556" s="3"/>
    </row>
    <row r="557">
      <c r="A557" s="308"/>
      <c r="B557" s="308"/>
      <c r="C557" s="308"/>
      <c r="D557" s="308"/>
      <c r="E557" s="241"/>
      <c r="F557" s="241"/>
      <c r="G557" s="309"/>
      <c r="H557" s="241"/>
      <c r="J557" s="3"/>
      <c r="K557" s="3"/>
    </row>
    <row r="558">
      <c r="A558" s="308"/>
      <c r="B558" s="308"/>
      <c r="C558" s="308"/>
      <c r="D558" s="308"/>
      <c r="E558" s="241"/>
      <c r="F558" s="241"/>
      <c r="G558" s="309"/>
      <c r="H558" s="241"/>
      <c r="J558" s="3"/>
      <c r="K558" s="3"/>
    </row>
    <row r="559">
      <c r="A559" s="308"/>
      <c r="B559" s="308"/>
      <c r="C559" s="308"/>
      <c r="D559" s="308"/>
      <c r="E559" s="241"/>
      <c r="F559" s="241"/>
      <c r="G559" s="309"/>
      <c r="H559" s="241"/>
      <c r="J559" s="3"/>
      <c r="K559" s="3"/>
    </row>
    <row r="560">
      <c r="A560" s="308"/>
      <c r="B560" s="308"/>
      <c r="C560" s="308"/>
      <c r="D560" s="308"/>
      <c r="E560" s="241"/>
      <c r="F560" s="241"/>
      <c r="G560" s="309"/>
      <c r="H560" s="241"/>
      <c r="J560" s="3"/>
      <c r="K560" s="3"/>
    </row>
    <row r="561">
      <c r="A561" s="308"/>
      <c r="B561" s="308"/>
      <c r="C561" s="308"/>
      <c r="D561" s="308"/>
      <c r="E561" s="241"/>
      <c r="F561" s="241"/>
      <c r="G561" s="309"/>
      <c r="H561" s="241"/>
      <c r="J561" s="3"/>
      <c r="K561" s="3"/>
    </row>
    <row r="562">
      <c r="A562" s="308"/>
      <c r="B562" s="308"/>
      <c r="C562" s="308"/>
      <c r="D562" s="308"/>
      <c r="E562" s="241"/>
      <c r="F562" s="241"/>
      <c r="G562" s="309"/>
      <c r="H562" s="241"/>
      <c r="J562" s="3"/>
      <c r="K562" s="3"/>
    </row>
    <row r="563">
      <c r="A563" s="308"/>
      <c r="B563" s="308"/>
      <c r="C563" s="308"/>
      <c r="D563" s="308"/>
      <c r="E563" s="241"/>
      <c r="F563" s="241"/>
      <c r="G563" s="309"/>
      <c r="H563" s="241"/>
      <c r="J563" s="3"/>
      <c r="K563" s="3"/>
    </row>
    <row r="564">
      <c r="A564" s="308"/>
      <c r="B564" s="308"/>
      <c r="C564" s="308"/>
      <c r="D564" s="308"/>
      <c r="E564" s="241"/>
      <c r="F564" s="241"/>
      <c r="G564" s="309"/>
      <c r="H564" s="241"/>
      <c r="J564" s="3"/>
      <c r="K564" s="3"/>
    </row>
    <row r="565">
      <c r="A565" s="308"/>
      <c r="B565" s="308"/>
      <c r="C565" s="308"/>
      <c r="D565" s="308"/>
      <c r="E565" s="241"/>
      <c r="F565" s="241"/>
      <c r="G565" s="309"/>
      <c r="H565" s="241"/>
      <c r="J565" s="3"/>
      <c r="K565" s="3"/>
    </row>
    <row r="566">
      <c r="A566" s="308"/>
      <c r="B566" s="308"/>
      <c r="C566" s="308"/>
      <c r="D566" s="308"/>
      <c r="E566" s="241"/>
      <c r="F566" s="241"/>
      <c r="G566" s="309"/>
      <c r="H566" s="241"/>
      <c r="J566" s="3"/>
      <c r="K566" s="3"/>
    </row>
    <row r="567">
      <c r="A567" s="308"/>
      <c r="B567" s="308"/>
      <c r="C567" s="308"/>
      <c r="D567" s="308"/>
      <c r="E567" s="241"/>
      <c r="F567" s="241"/>
      <c r="G567" s="309"/>
      <c r="H567" s="241"/>
      <c r="J567" s="3"/>
      <c r="K567" s="3"/>
    </row>
    <row r="568">
      <c r="A568" s="308"/>
      <c r="B568" s="308"/>
      <c r="C568" s="308"/>
      <c r="D568" s="308"/>
      <c r="E568" s="241"/>
      <c r="F568" s="241"/>
      <c r="G568" s="309"/>
      <c r="H568" s="241"/>
      <c r="J568" s="3"/>
      <c r="K568" s="3"/>
    </row>
    <row r="569">
      <c r="A569" s="308"/>
      <c r="B569" s="308"/>
      <c r="C569" s="308"/>
      <c r="D569" s="308"/>
      <c r="E569" s="241"/>
      <c r="F569" s="241"/>
      <c r="G569" s="309"/>
      <c r="H569" s="241"/>
      <c r="J569" s="3"/>
      <c r="K569" s="3"/>
    </row>
    <row r="570">
      <c r="A570" s="308"/>
      <c r="B570" s="308"/>
      <c r="C570" s="308"/>
      <c r="D570" s="308"/>
      <c r="E570" s="241"/>
      <c r="F570" s="241"/>
      <c r="G570" s="309"/>
      <c r="H570" s="241"/>
      <c r="J570" s="3"/>
      <c r="K570" s="3"/>
    </row>
    <row r="571">
      <c r="A571" s="308"/>
      <c r="B571" s="308"/>
      <c r="C571" s="308"/>
      <c r="D571" s="308"/>
      <c r="E571" s="241"/>
      <c r="F571" s="241"/>
      <c r="G571" s="309"/>
      <c r="H571" s="241"/>
      <c r="J571" s="3"/>
      <c r="K571" s="3"/>
    </row>
    <row r="572">
      <c r="A572" s="308"/>
      <c r="B572" s="308"/>
      <c r="C572" s="308"/>
      <c r="D572" s="308"/>
      <c r="E572" s="241"/>
      <c r="F572" s="241"/>
      <c r="G572" s="309"/>
      <c r="H572" s="241"/>
      <c r="J572" s="3"/>
      <c r="K572" s="3"/>
    </row>
    <row r="573">
      <c r="A573" s="308"/>
      <c r="B573" s="308"/>
      <c r="C573" s="308"/>
      <c r="D573" s="308"/>
      <c r="E573" s="241"/>
      <c r="F573" s="241"/>
      <c r="G573" s="309"/>
      <c r="H573" s="241"/>
      <c r="J573" s="3"/>
      <c r="K573" s="3"/>
    </row>
    <row r="574">
      <c r="A574" s="308"/>
      <c r="B574" s="308"/>
      <c r="C574" s="308"/>
      <c r="D574" s="308"/>
      <c r="E574" s="241"/>
      <c r="F574" s="241"/>
      <c r="G574" s="309"/>
      <c r="H574" s="241"/>
      <c r="J574" s="3"/>
      <c r="K574" s="3"/>
    </row>
    <row r="575">
      <c r="A575" s="308"/>
      <c r="B575" s="308"/>
      <c r="C575" s="308"/>
      <c r="D575" s="308"/>
      <c r="E575" s="241"/>
      <c r="F575" s="241"/>
      <c r="G575" s="309"/>
      <c r="H575" s="241"/>
      <c r="J575" s="3"/>
      <c r="K575" s="3"/>
    </row>
    <row r="576">
      <c r="A576" s="308"/>
      <c r="B576" s="308"/>
      <c r="C576" s="308"/>
      <c r="D576" s="308"/>
      <c r="E576" s="241"/>
      <c r="F576" s="241"/>
      <c r="G576" s="309"/>
      <c r="H576" s="241"/>
      <c r="J576" s="3"/>
      <c r="K576" s="3"/>
    </row>
    <row r="577">
      <c r="A577" s="308"/>
      <c r="B577" s="308"/>
      <c r="C577" s="308"/>
      <c r="D577" s="308"/>
      <c r="E577" s="241"/>
      <c r="F577" s="241"/>
      <c r="G577" s="309"/>
      <c r="H577" s="241"/>
      <c r="J577" s="3"/>
      <c r="K577" s="3"/>
    </row>
    <row r="578">
      <c r="A578" s="308"/>
      <c r="B578" s="308"/>
      <c r="C578" s="308"/>
      <c r="D578" s="308"/>
      <c r="E578" s="241"/>
      <c r="F578" s="241"/>
      <c r="G578" s="309"/>
      <c r="H578" s="241"/>
      <c r="J578" s="3"/>
      <c r="K578" s="3"/>
    </row>
    <row r="579">
      <c r="A579" s="308"/>
      <c r="B579" s="308"/>
      <c r="C579" s="308"/>
      <c r="D579" s="308"/>
      <c r="E579" s="241"/>
      <c r="F579" s="241"/>
      <c r="G579" s="309"/>
      <c r="H579" s="241"/>
      <c r="J579" s="3"/>
      <c r="K579" s="3"/>
    </row>
    <row r="580">
      <c r="A580" s="308"/>
      <c r="B580" s="308"/>
      <c r="C580" s="308"/>
      <c r="D580" s="308"/>
      <c r="E580" s="241"/>
      <c r="F580" s="241"/>
      <c r="G580" s="309"/>
      <c r="H580" s="241"/>
      <c r="J580" s="3"/>
      <c r="K580" s="3"/>
    </row>
    <row r="581">
      <c r="A581" s="308"/>
      <c r="B581" s="308"/>
      <c r="C581" s="308"/>
      <c r="D581" s="308"/>
      <c r="E581" s="241"/>
      <c r="F581" s="241"/>
      <c r="G581" s="309"/>
      <c r="H581" s="241"/>
      <c r="J581" s="3"/>
      <c r="K581" s="3"/>
    </row>
    <row r="582">
      <c r="A582" s="308"/>
      <c r="B582" s="308"/>
      <c r="C582" s="308"/>
      <c r="D582" s="308"/>
      <c r="E582" s="241"/>
      <c r="F582" s="241"/>
      <c r="G582" s="309"/>
      <c r="H582" s="241"/>
      <c r="J582" s="3"/>
      <c r="K582" s="3"/>
    </row>
    <row r="583">
      <c r="A583" s="308"/>
      <c r="B583" s="308"/>
      <c r="C583" s="308"/>
      <c r="D583" s="308"/>
      <c r="E583" s="241"/>
      <c r="F583" s="241"/>
      <c r="G583" s="309"/>
      <c r="H583" s="241"/>
      <c r="J583" s="3"/>
      <c r="K583" s="3"/>
    </row>
    <row r="584">
      <c r="A584" s="308"/>
      <c r="B584" s="308"/>
      <c r="C584" s="308"/>
      <c r="D584" s="308"/>
      <c r="E584" s="241"/>
      <c r="F584" s="241"/>
      <c r="G584" s="309"/>
      <c r="H584" s="241"/>
      <c r="J584" s="3"/>
      <c r="K584" s="3"/>
    </row>
    <row r="585">
      <c r="A585" s="308"/>
      <c r="B585" s="308"/>
      <c r="C585" s="308"/>
      <c r="D585" s="308"/>
      <c r="E585" s="241"/>
      <c r="F585" s="241"/>
      <c r="G585" s="309"/>
      <c r="H585" s="241"/>
      <c r="J585" s="3"/>
      <c r="K585" s="3"/>
    </row>
    <row r="586">
      <c r="A586" s="308"/>
      <c r="B586" s="308"/>
      <c r="C586" s="308"/>
      <c r="D586" s="308"/>
      <c r="E586" s="241"/>
      <c r="F586" s="241"/>
      <c r="G586" s="309"/>
      <c r="H586" s="241"/>
      <c r="J586" s="3"/>
      <c r="K586" s="3"/>
    </row>
    <row r="587">
      <c r="A587" s="308"/>
      <c r="B587" s="308"/>
      <c r="C587" s="308"/>
      <c r="D587" s="308"/>
      <c r="E587" s="241"/>
      <c r="F587" s="241"/>
      <c r="G587" s="309"/>
      <c r="H587" s="241"/>
      <c r="J587" s="3"/>
      <c r="K587" s="3"/>
    </row>
    <row r="588">
      <c r="A588" s="308"/>
      <c r="B588" s="308"/>
      <c r="C588" s="308"/>
      <c r="D588" s="308"/>
      <c r="E588" s="241"/>
      <c r="F588" s="241"/>
      <c r="G588" s="309"/>
      <c r="H588" s="241"/>
      <c r="J588" s="3"/>
      <c r="K588" s="3"/>
    </row>
    <row r="589">
      <c r="A589" s="308"/>
      <c r="B589" s="308"/>
      <c r="C589" s="308"/>
      <c r="D589" s="308"/>
      <c r="E589" s="241"/>
      <c r="F589" s="241"/>
      <c r="G589" s="309"/>
      <c r="H589" s="241"/>
      <c r="J589" s="3"/>
      <c r="K589" s="3"/>
    </row>
    <row r="590">
      <c r="A590" s="308"/>
      <c r="B590" s="308"/>
      <c r="C590" s="308"/>
      <c r="D590" s="308"/>
      <c r="E590" s="241"/>
      <c r="F590" s="241"/>
      <c r="G590" s="309"/>
      <c r="H590" s="241"/>
      <c r="J590" s="3"/>
      <c r="K590" s="3"/>
    </row>
    <row r="591">
      <c r="A591" s="308"/>
      <c r="B591" s="308"/>
      <c r="C591" s="308"/>
      <c r="D591" s="308"/>
      <c r="E591" s="241"/>
      <c r="F591" s="241"/>
      <c r="G591" s="309"/>
      <c r="H591" s="241"/>
      <c r="J591" s="3"/>
      <c r="K591" s="3"/>
    </row>
    <row r="592">
      <c r="A592" s="308"/>
      <c r="B592" s="308"/>
      <c r="C592" s="308"/>
      <c r="D592" s="308"/>
      <c r="E592" s="241"/>
      <c r="F592" s="241"/>
      <c r="G592" s="309"/>
      <c r="H592" s="241"/>
      <c r="J592" s="3"/>
      <c r="K592" s="3"/>
    </row>
    <row r="593">
      <c r="A593" s="308"/>
      <c r="B593" s="308"/>
      <c r="C593" s="308"/>
      <c r="D593" s="308"/>
      <c r="E593" s="241"/>
      <c r="F593" s="241"/>
      <c r="G593" s="309"/>
      <c r="H593" s="241"/>
      <c r="J593" s="3"/>
      <c r="K593" s="3"/>
    </row>
    <row r="594">
      <c r="A594" s="308"/>
      <c r="B594" s="308"/>
      <c r="C594" s="308"/>
      <c r="D594" s="308"/>
      <c r="E594" s="241"/>
      <c r="F594" s="241"/>
      <c r="G594" s="309"/>
      <c r="H594" s="241"/>
      <c r="J594" s="3"/>
      <c r="K594" s="3"/>
    </row>
    <row r="595">
      <c r="A595" s="308"/>
      <c r="B595" s="308"/>
      <c r="C595" s="308"/>
      <c r="D595" s="308"/>
      <c r="E595" s="241"/>
      <c r="F595" s="241"/>
      <c r="G595" s="309"/>
      <c r="H595" s="241"/>
      <c r="J595" s="3"/>
      <c r="K595" s="3"/>
    </row>
    <row r="596">
      <c r="A596" s="308"/>
      <c r="B596" s="308"/>
      <c r="C596" s="308"/>
      <c r="D596" s="308"/>
      <c r="E596" s="241"/>
      <c r="F596" s="241"/>
      <c r="G596" s="309"/>
      <c r="H596" s="241"/>
      <c r="J596" s="3"/>
      <c r="K596" s="3"/>
    </row>
    <row r="597">
      <c r="A597" s="308"/>
      <c r="B597" s="308"/>
      <c r="C597" s="308"/>
      <c r="D597" s="308"/>
      <c r="E597" s="241"/>
      <c r="F597" s="241"/>
      <c r="G597" s="309"/>
      <c r="H597" s="241"/>
      <c r="J597" s="3"/>
      <c r="K597" s="3"/>
    </row>
    <row r="598">
      <c r="A598" s="308"/>
      <c r="B598" s="308"/>
      <c r="C598" s="308"/>
      <c r="D598" s="308"/>
      <c r="E598" s="241"/>
      <c r="F598" s="241"/>
      <c r="G598" s="309"/>
      <c r="H598" s="241"/>
      <c r="J598" s="3"/>
      <c r="K598" s="3"/>
    </row>
    <row r="599">
      <c r="A599" s="308"/>
      <c r="B599" s="308"/>
      <c r="C599" s="308"/>
      <c r="D599" s="308"/>
      <c r="E599" s="241"/>
      <c r="F599" s="241"/>
      <c r="G599" s="309"/>
      <c r="H599" s="241"/>
      <c r="J599" s="3"/>
      <c r="K599" s="3"/>
    </row>
    <row r="600">
      <c r="A600" s="308"/>
      <c r="B600" s="308"/>
      <c r="C600" s="308"/>
      <c r="D600" s="308"/>
      <c r="E600" s="241"/>
      <c r="F600" s="241"/>
      <c r="G600" s="309"/>
      <c r="H600" s="241"/>
      <c r="J600" s="3"/>
      <c r="K600" s="3"/>
    </row>
    <row r="601">
      <c r="A601" s="308"/>
      <c r="B601" s="308"/>
      <c r="C601" s="308"/>
      <c r="D601" s="308"/>
      <c r="E601" s="241"/>
      <c r="F601" s="241"/>
      <c r="G601" s="309"/>
      <c r="H601" s="241"/>
      <c r="J601" s="3"/>
      <c r="K601" s="3"/>
    </row>
    <row r="602">
      <c r="A602" s="308"/>
      <c r="B602" s="308"/>
      <c r="C602" s="308"/>
      <c r="D602" s="308"/>
      <c r="E602" s="241"/>
      <c r="F602" s="241"/>
      <c r="G602" s="309"/>
      <c r="H602" s="241"/>
      <c r="J602" s="3"/>
      <c r="K602" s="3"/>
    </row>
    <row r="603">
      <c r="A603" s="308"/>
      <c r="B603" s="308"/>
      <c r="C603" s="308"/>
      <c r="D603" s="308"/>
      <c r="E603" s="241"/>
      <c r="F603" s="241"/>
      <c r="G603" s="309"/>
      <c r="H603" s="241"/>
      <c r="J603" s="3"/>
      <c r="K603" s="3"/>
    </row>
    <row r="604">
      <c r="A604" s="308"/>
      <c r="B604" s="308"/>
      <c r="C604" s="308"/>
      <c r="D604" s="308"/>
      <c r="E604" s="241"/>
      <c r="F604" s="241"/>
      <c r="G604" s="309"/>
      <c r="H604" s="241"/>
      <c r="J604" s="3"/>
      <c r="K604" s="3"/>
    </row>
    <row r="605">
      <c r="A605" s="308"/>
      <c r="B605" s="308"/>
      <c r="C605" s="308"/>
      <c r="D605" s="308"/>
      <c r="E605" s="241"/>
      <c r="F605" s="241"/>
      <c r="G605" s="309"/>
      <c r="H605" s="241"/>
      <c r="J605" s="3"/>
      <c r="K605" s="3"/>
    </row>
    <row r="606">
      <c r="A606" s="308"/>
      <c r="B606" s="308"/>
      <c r="C606" s="308"/>
      <c r="D606" s="308"/>
      <c r="E606" s="241"/>
      <c r="F606" s="241"/>
      <c r="G606" s="309"/>
      <c r="H606" s="241"/>
      <c r="J606" s="3"/>
      <c r="K606" s="3"/>
    </row>
    <row r="607">
      <c r="A607" s="308"/>
      <c r="B607" s="308"/>
      <c r="C607" s="308"/>
      <c r="D607" s="308"/>
      <c r="E607" s="241"/>
      <c r="F607" s="241"/>
      <c r="G607" s="309"/>
      <c r="H607" s="241"/>
      <c r="J607" s="3"/>
      <c r="K607" s="3"/>
    </row>
    <row r="608">
      <c r="A608" s="308"/>
      <c r="B608" s="308"/>
      <c r="C608" s="308"/>
      <c r="D608" s="308"/>
      <c r="E608" s="241"/>
      <c r="F608" s="241"/>
      <c r="G608" s="309"/>
      <c r="H608" s="241"/>
      <c r="J608" s="3"/>
      <c r="K608" s="3"/>
    </row>
    <row r="609">
      <c r="A609" s="308"/>
      <c r="B609" s="308"/>
      <c r="C609" s="308"/>
      <c r="D609" s="308"/>
      <c r="E609" s="241"/>
      <c r="F609" s="241"/>
      <c r="G609" s="309"/>
      <c r="H609" s="241"/>
      <c r="J609" s="3"/>
      <c r="K609" s="3"/>
    </row>
    <row r="610">
      <c r="A610" s="308"/>
      <c r="B610" s="308"/>
      <c r="C610" s="308"/>
      <c r="D610" s="308"/>
      <c r="E610" s="241"/>
      <c r="F610" s="241"/>
      <c r="G610" s="309"/>
      <c r="H610" s="241"/>
      <c r="J610" s="3"/>
      <c r="K610" s="3"/>
    </row>
    <row r="611">
      <c r="A611" s="308"/>
      <c r="B611" s="308"/>
      <c r="C611" s="308"/>
      <c r="D611" s="308"/>
      <c r="E611" s="241"/>
      <c r="F611" s="241"/>
      <c r="G611" s="309"/>
      <c r="H611" s="241"/>
      <c r="J611" s="3"/>
      <c r="K611" s="3"/>
    </row>
    <row r="612">
      <c r="A612" s="308"/>
      <c r="B612" s="308"/>
      <c r="C612" s="308"/>
      <c r="D612" s="308"/>
      <c r="E612" s="241"/>
      <c r="F612" s="241"/>
      <c r="G612" s="309"/>
      <c r="H612" s="241"/>
      <c r="J612" s="3"/>
      <c r="K612" s="3"/>
    </row>
    <row r="613">
      <c r="A613" s="308"/>
      <c r="B613" s="308"/>
      <c r="C613" s="308"/>
      <c r="D613" s="308"/>
      <c r="E613" s="241"/>
      <c r="F613" s="241"/>
      <c r="G613" s="309"/>
      <c r="H613" s="241"/>
      <c r="J613" s="3"/>
      <c r="K613" s="3"/>
    </row>
    <row r="614">
      <c r="A614" s="308"/>
      <c r="B614" s="308"/>
      <c r="C614" s="308"/>
      <c r="D614" s="308"/>
      <c r="E614" s="241"/>
      <c r="F614" s="241"/>
      <c r="G614" s="309"/>
      <c r="H614" s="241"/>
      <c r="J614" s="3"/>
      <c r="K614" s="3"/>
    </row>
    <row r="615">
      <c r="A615" s="308"/>
      <c r="B615" s="308"/>
      <c r="C615" s="308"/>
      <c r="D615" s="308"/>
      <c r="E615" s="241"/>
      <c r="F615" s="241"/>
      <c r="G615" s="309"/>
      <c r="H615" s="241"/>
      <c r="J615" s="3"/>
      <c r="K615" s="3"/>
    </row>
    <row r="616">
      <c r="A616" s="308"/>
      <c r="B616" s="308"/>
      <c r="C616" s="308"/>
      <c r="D616" s="308"/>
      <c r="E616" s="241"/>
      <c r="F616" s="241"/>
      <c r="G616" s="309"/>
      <c r="H616" s="241"/>
      <c r="J616" s="3"/>
      <c r="K616" s="3"/>
    </row>
    <row r="617">
      <c r="A617" s="308"/>
      <c r="B617" s="308"/>
      <c r="C617" s="308"/>
      <c r="D617" s="308"/>
      <c r="E617" s="241"/>
      <c r="F617" s="241"/>
      <c r="G617" s="309"/>
      <c r="H617" s="241"/>
      <c r="J617" s="3"/>
      <c r="K617" s="3"/>
    </row>
    <row r="618">
      <c r="A618" s="308"/>
      <c r="B618" s="308"/>
      <c r="C618" s="308"/>
      <c r="D618" s="308"/>
      <c r="E618" s="241"/>
      <c r="F618" s="241"/>
      <c r="G618" s="309"/>
      <c r="H618" s="241"/>
      <c r="J618" s="3"/>
      <c r="K618" s="3"/>
    </row>
    <row r="619">
      <c r="A619" s="308"/>
      <c r="B619" s="308"/>
      <c r="C619" s="308"/>
      <c r="D619" s="308"/>
      <c r="E619" s="241"/>
      <c r="F619" s="241"/>
      <c r="G619" s="309"/>
      <c r="H619" s="241"/>
      <c r="J619" s="3"/>
      <c r="K619" s="3"/>
    </row>
    <row r="620">
      <c r="A620" s="308"/>
      <c r="B620" s="308"/>
      <c r="C620" s="308"/>
      <c r="D620" s="308"/>
      <c r="E620" s="241"/>
      <c r="F620" s="241"/>
      <c r="G620" s="309"/>
      <c r="H620" s="241"/>
      <c r="J620" s="3"/>
      <c r="K620" s="3"/>
    </row>
    <row r="621">
      <c r="A621" s="308"/>
      <c r="B621" s="308"/>
      <c r="C621" s="308"/>
      <c r="D621" s="308"/>
      <c r="E621" s="241"/>
      <c r="F621" s="241"/>
      <c r="G621" s="309"/>
      <c r="H621" s="241"/>
      <c r="J621" s="3"/>
      <c r="K621" s="3"/>
    </row>
    <row r="622">
      <c r="A622" s="308"/>
      <c r="B622" s="308"/>
      <c r="C622" s="308"/>
      <c r="D622" s="308"/>
      <c r="E622" s="241"/>
      <c r="F622" s="241"/>
      <c r="G622" s="309"/>
      <c r="H622" s="241"/>
      <c r="J622" s="3"/>
      <c r="K622" s="3"/>
    </row>
    <row r="623">
      <c r="A623" s="308"/>
      <c r="B623" s="308"/>
      <c r="C623" s="308"/>
      <c r="D623" s="308"/>
      <c r="E623" s="241"/>
      <c r="F623" s="241"/>
      <c r="G623" s="309"/>
      <c r="H623" s="241"/>
      <c r="J623" s="3"/>
      <c r="K623" s="3"/>
    </row>
    <row r="624">
      <c r="A624" s="308"/>
      <c r="B624" s="308"/>
      <c r="C624" s="308"/>
      <c r="D624" s="308"/>
      <c r="E624" s="241"/>
      <c r="F624" s="241"/>
      <c r="G624" s="309"/>
      <c r="H624" s="241"/>
      <c r="J624" s="3"/>
      <c r="K624" s="3"/>
    </row>
    <row r="625">
      <c r="A625" s="308"/>
      <c r="B625" s="308"/>
      <c r="C625" s="308"/>
      <c r="D625" s="308"/>
      <c r="E625" s="241"/>
      <c r="F625" s="241"/>
      <c r="G625" s="309"/>
      <c r="H625" s="241"/>
      <c r="J625" s="3"/>
      <c r="K625" s="3"/>
    </row>
    <row r="626">
      <c r="A626" s="308"/>
      <c r="B626" s="308"/>
      <c r="C626" s="308"/>
      <c r="D626" s="308"/>
      <c r="E626" s="241"/>
      <c r="F626" s="241"/>
      <c r="G626" s="309"/>
      <c r="H626" s="241"/>
      <c r="J626" s="3"/>
      <c r="K626" s="3"/>
    </row>
    <row r="627">
      <c r="A627" s="308"/>
      <c r="B627" s="308"/>
      <c r="C627" s="308"/>
      <c r="D627" s="308"/>
      <c r="E627" s="241"/>
      <c r="F627" s="241"/>
      <c r="G627" s="309"/>
      <c r="H627" s="241"/>
      <c r="J627" s="3"/>
      <c r="K627" s="3"/>
    </row>
    <row r="628">
      <c r="A628" s="308"/>
      <c r="B628" s="308"/>
      <c r="C628" s="308"/>
      <c r="D628" s="308"/>
      <c r="E628" s="241"/>
      <c r="F628" s="241"/>
      <c r="G628" s="309"/>
      <c r="H628" s="241"/>
      <c r="J628" s="3"/>
      <c r="K628" s="3"/>
    </row>
    <row r="629">
      <c r="A629" s="308"/>
      <c r="B629" s="308"/>
      <c r="C629" s="308"/>
      <c r="D629" s="308"/>
      <c r="E629" s="241"/>
      <c r="F629" s="241"/>
      <c r="G629" s="309"/>
      <c r="H629" s="241"/>
      <c r="J629" s="3"/>
      <c r="K629" s="3"/>
    </row>
    <row r="630">
      <c r="A630" s="308"/>
      <c r="B630" s="308"/>
      <c r="C630" s="308"/>
      <c r="D630" s="308"/>
      <c r="E630" s="241"/>
      <c r="F630" s="241"/>
      <c r="G630" s="309"/>
      <c r="H630" s="241"/>
      <c r="J630" s="3"/>
      <c r="K630" s="3"/>
    </row>
    <row r="631">
      <c r="A631" s="308"/>
      <c r="B631" s="308"/>
      <c r="C631" s="308"/>
      <c r="D631" s="308"/>
      <c r="E631" s="241"/>
      <c r="F631" s="241"/>
      <c r="G631" s="309"/>
      <c r="H631" s="241"/>
      <c r="J631" s="3"/>
      <c r="K631" s="3"/>
    </row>
    <row r="632">
      <c r="A632" s="308"/>
      <c r="B632" s="308"/>
      <c r="C632" s="308"/>
      <c r="D632" s="308"/>
      <c r="E632" s="241"/>
      <c r="F632" s="241"/>
      <c r="G632" s="309"/>
      <c r="H632" s="241"/>
      <c r="J632" s="3"/>
      <c r="K632" s="3"/>
    </row>
    <row r="633">
      <c r="A633" s="308"/>
      <c r="B633" s="308"/>
      <c r="C633" s="308"/>
      <c r="D633" s="308"/>
      <c r="E633" s="241"/>
      <c r="F633" s="241"/>
      <c r="G633" s="309"/>
      <c r="H633" s="241"/>
      <c r="J633" s="3"/>
      <c r="K633" s="3"/>
    </row>
    <row r="634">
      <c r="A634" s="308"/>
      <c r="B634" s="308"/>
      <c r="C634" s="308"/>
      <c r="D634" s="308"/>
      <c r="E634" s="241"/>
      <c r="F634" s="241"/>
      <c r="G634" s="309"/>
      <c r="H634" s="241"/>
      <c r="J634" s="3"/>
      <c r="K634" s="3"/>
    </row>
    <row r="635">
      <c r="A635" s="308"/>
      <c r="B635" s="308"/>
      <c r="C635" s="308"/>
      <c r="D635" s="308"/>
      <c r="E635" s="241"/>
      <c r="F635" s="241"/>
      <c r="G635" s="309"/>
      <c r="H635" s="241"/>
      <c r="J635" s="3"/>
      <c r="K635" s="3"/>
    </row>
    <row r="636">
      <c r="A636" s="308"/>
      <c r="B636" s="308"/>
      <c r="C636" s="308"/>
      <c r="D636" s="308"/>
      <c r="E636" s="241"/>
      <c r="F636" s="241"/>
      <c r="G636" s="309"/>
      <c r="H636" s="241"/>
      <c r="J636" s="3"/>
      <c r="K636" s="3"/>
    </row>
    <row r="637">
      <c r="A637" s="308"/>
      <c r="B637" s="308"/>
      <c r="C637" s="308"/>
      <c r="D637" s="308"/>
      <c r="E637" s="241"/>
      <c r="F637" s="241"/>
      <c r="G637" s="309"/>
      <c r="H637" s="241"/>
      <c r="J637" s="3"/>
      <c r="K637" s="3"/>
    </row>
    <row r="638">
      <c r="A638" s="308"/>
      <c r="B638" s="308"/>
      <c r="C638" s="308"/>
      <c r="D638" s="308"/>
      <c r="E638" s="241"/>
      <c r="F638" s="241"/>
      <c r="G638" s="309"/>
      <c r="H638" s="241"/>
      <c r="J638" s="3"/>
      <c r="K638" s="3"/>
    </row>
    <row r="639">
      <c r="A639" s="308"/>
      <c r="B639" s="308"/>
      <c r="C639" s="308"/>
      <c r="D639" s="308"/>
      <c r="E639" s="241"/>
      <c r="F639" s="241"/>
      <c r="G639" s="309"/>
      <c r="H639" s="241"/>
      <c r="J639" s="3"/>
      <c r="K639" s="3"/>
    </row>
    <row r="640">
      <c r="A640" s="308"/>
      <c r="B640" s="308"/>
      <c r="C640" s="308"/>
      <c r="D640" s="308"/>
      <c r="E640" s="241"/>
      <c r="F640" s="241"/>
      <c r="G640" s="309"/>
      <c r="H640" s="241"/>
      <c r="J640" s="3"/>
      <c r="K640" s="3"/>
    </row>
    <row r="641">
      <c r="A641" s="308"/>
      <c r="B641" s="308"/>
      <c r="C641" s="308"/>
      <c r="D641" s="308"/>
      <c r="E641" s="241"/>
      <c r="F641" s="241"/>
      <c r="G641" s="309"/>
      <c r="H641" s="241"/>
      <c r="J641" s="3"/>
      <c r="K641" s="3"/>
    </row>
    <row r="642">
      <c r="A642" s="308"/>
      <c r="B642" s="308"/>
      <c r="C642" s="308"/>
      <c r="D642" s="308"/>
      <c r="E642" s="241"/>
      <c r="F642" s="241"/>
      <c r="G642" s="309"/>
      <c r="H642" s="241"/>
      <c r="J642" s="3"/>
      <c r="K642" s="3"/>
    </row>
    <row r="643">
      <c r="A643" s="308"/>
      <c r="B643" s="308"/>
      <c r="C643" s="308"/>
      <c r="D643" s="308"/>
      <c r="E643" s="241"/>
      <c r="F643" s="241"/>
      <c r="G643" s="309"/>
      <c r="H643" s="241"/>
      <c r="J643" s="3"/>
      <c r="K643" s="3"/>
    </row>
    <row r="644">
      <c r="A644" s="308"/>
      <c r="B644" s="308"/>
      <c r="C644" s="308"/>
      <c r="D644" s="308"/>
      <c r="E644" s="241"/>
      <c r="F644" s="241"/>
      <c r="G644" s="309"/>
      <c r="H644" s="241"/>
      <c r="J644" s="3"/>
      <c r="K644" s="3"/>
    </row>
    <row r="645">
      <c r="A645" s="308"/>
      <c r="B645" s="308"/>
      <c r="C645" s="308"/>
      <c r="D645" s="308"/>
      <c r="E645" s="241"/>
      <c r="F645" s="241"/>
      <c r="G645" s="309"/>
      <c r="H645" s="241"/>
      <c r="J645" s="3"/>
      <c r="K645" s="3"/>
    </row>
    <row r="646">
      <c r="A646" s="308"/>
      <c r="B646" s="308"/>
      <c r="C646" s="308"/>
      <c r="D646" s="308"/>
      <c r="E646" s="241"/>
      <c r="F646" s="241"/>
      <c r="G646" s="309"/>
      <c r="H646" s="241"/>
      <c r="J646" s="3"/>
      <c r="K646" s="3"/>
    </row>
    <row r="647">
      <c r="A647" s="308"/>
      <c r="B647" s="308"/>
      <c r="C647" s="308"/>
      <c r="D647" s="308"/>
      <c r="E647" s="241"/>
      <c r="F647" s="241"/>
      <c r="G647" s="309"/>
      <c r="H647" s="241"/>
      <c r="J647" s="3"/>
      <c r="K647" s="3"/>
    </row>
    <row r="648">
      <c r="A648" s="308"/>
      <c r="B648" s="308"/>
      <c r="C648" s="308"/>
      <c r="D648" s="308"/>
      <c r="E648" s="241"/>
      <c r="F648" s="241"/>
      <c r="G648" s="309"/>
      <c r="H648" s="241"/>
      <c r="J648" s="3"/>
      <c r="K648" s="3"/>
    </row>
    <row r="649">
      <c r="A649" s="308"/>
      <c r="B649" s="308"/>
      <c r="C649" s="308"/>
      <c r="D649" s="308"/>
      <c r="E649" s="241"/>
      <c r="F649" s="241"/>
      <c r="G649" s="309"/>
      <c r="H649" s="241"/>
      <c r="J649" s="3"/>
      <c r="K649" s="3"/>
    </row>
    <row r="650">
      <c r="A650" s="308"/>
      <c r="B650" s="308"/>
      <c r="C650" s="308"/>
      <c r="D650" s="308"/>
      <c r="E650" s="241"/>
      <c r="F650" s="241"/>
      <c r="G650" s="309"/>
      <c r="H650" s="241"/>
      <c r="J650" s="3"/>
      <c r="K650" s="3"/>
    </row>
    <row r="651">
      <c r="A651" s="308"/>
      <c r="B651" s="308"/>
      <c r="C651" s="308"/>
      <c r="D651" s="308"/>
      <c r="E651" s="241"/>
      <c r="F651" s="241"/>
      <c r="G651" s="309"/>
      <c r="H651" s="241"/>
      <c r="J651" s="3"/>
      <c r="K651" s="3"/>
    </row>
    <row r="652">
      <c r="A652" s="308"/>
      <c r="B652" s="308"/>
      <c r="C652" s="308"/>
      <c r="D652" s="308"/>
      <c r="E652" s="241"/>
      <c r="F652" s="241"/>
      <c r="G652" s="309"/>
      <c r="H652" s="241"/>
      <c r="J652" s="3"/>
      <c r="K652" s="3"/>
    </row>
    <row r="653">
      <c r="A653" s="308"/>
      <c r="B653" s="308"/>
      <c r="C653" s="308"/>
      <c r="D653" s="308"/>
      <c r="E653" s="241"/>
      <c r="F653" s="241"/>
      <c r="G653" s="309"/>
      <c r="H653" s="241"/>
      <c r="J653" s="3"/>
      <c r="K653" s="3"/>
    </row>
    <row r="654">
      <c r="A654" s="308"/>
      <c r="B654" s="308"/>
      <c r="C654" s="308"/>
      <c r="D654" s="308"/>
      <c r="E654" s="241"/>
      <c r="F654" s="241"/>
      <c r="G654" s="309"/>
      <c r="H654" s="241"/>
      <c r="J654" s="3"/>
      <c r="K654" s="3"/>
    </row>
    <row r="655">
      <c r="A655" s="308"/>
      <c r="B655" s="308"/>
      <c r="C655" s="308"/>
      <c r="D655" s="308"/>
      <c r="E655" s="241"/>
      <c r="F655" s="241"/>
      <c r="G655" s="309"/>
      <c r="H655" s="241"/>
      <c r="J655" s="3"/>
      <c r="K655" s="3"/>
    </row>
    <row r="656">
      <c r="A656" s="308"/>
      <c r="B656" s="308"/>
      <c r="C656" s="308"/>
      <c r="D656" s="308"/>
      <c r="E656" s="241"/>
      <c r="F656" s="241"/>
      <c r="G656" s="309"/>
      <c r="H656" s="241"/>
      <c r="J656" s="3"/>
      <c r="K656" s="3"/>
    </row>
    <row r="657">
      <c r="A657" s="308"/>
      <c r="B657" s="308"/>
      <c r="C657" s="308"/>
      <c r="D657" s="308"/>
      <c r="E657" s="241"/>
      <c r="F657" s="241"/>
      <c r="G657" s="309"/>
      <c r="H657" s="241"/>
      <c r="J657" s="3"/>
      <c r="K657" s="3"/>
    </row>
    <row r="658">
      <c r="A658" s="308"/>
      <c r="B658" s="308"/>
      <c r="C658" s="308"/>
      <c r="D658" s="308"/>
      <c r="E658" s="241"/>
      <c r="F658" s="241"/>
      <c r="G658" s="309"/>
      <c r="H658" s="241"/>
      <c r="J658" s="3"/>
      <c r="K658" s="3"/>
    </row>
    <row r="659">
      <c r="A659" s="308"/>
      <c r="B659" s="308"/>
      <c r="C659" s="308"/>
      <c r="D659" s="308"/>
      <c r="E659" s="241"/>
      <c r="F659" s="241"/>
      <c r="G659" s="309"/>
      <c r="H659" s="241"/>
      <c r="J659" s="3"/>
      <c r="K659" s="3"/>
    </row>
    <row r="660">
      <c r="A660" s="308"/>
      <c r="B660" s="308"/>
      <c r="C660" s="308"/>
      <c r="D660" s="308"/>
      <c r="E660" s="241"/>
      <c r="F660" s="241"/>
      <c r="G660" s="309"/>
      <c r="H660" s="241"/>
      <c r="J660" s="3"/>
      <c r="K660" s="3"/>
    </row>
    <row r="661">
      <c r="A661" s="308"/>
      <c r="B661" s="308"/>
      <c r="C661" s="308"/>
      <c r="D661" s="308"/>
      <c r="E661" s="241"/>
      <c r="F661" s="241"/>
      <c r="G661" s="309"/>
      <c r="H661" s="241"/>
      <c r="J661" s="3"/>
      <c r="K661" s="3"/>
    </row>
    <row r="662">
      <c r="A662" s="308"/>
      <c r="B662" s="308"/>
      <c r="C662" s="308"/>
      <c r="D662" s="308"/>
      <c r="E662" s="241"/>
      <c r="F662" s="241"/>
      <c r="G662" s="309"/>
      <c r="H662" s="241"/>
      <c r="J662" s="3"/>
      <c r="K662" s="3"/>
    </row>
    <row r="663">
      <c r="A663" s="308"/>
      <c r="B663" s="308"/>
      <c r="C663" s="308"/>
      <c r="D663" s="308"/>
      <c r="E663" s="241"/>
      <c r="F663" s="241"/>
      <c r="G663" s="309"/>
      <c r="H663" s="241"/>
      <c r="J663" s="3"/>
      <c r="K663" s="3"/>
    </row>
    <row r="664">
      <c r="A664" s="308"/>
      <c r="B664" s="308"/>
      <c r="C664" s="308"/>
      <c r="D664" s="308"/>
      <c r="E664" s="241"/>
      <c r="F664" s="241"/>
      <c r="G664" s="309"/>
      <c r="H664" s="241"/>
      <c r="J664" s="3"/>
      <c r="K664" s="3"/>
    </row>
    <row r="665">
      <c r="A665" s="308"/>
      <c r="B665" s="308"/>
      <c r="C665" s="308"/>
      <c r="D665" s="308"/>
      <c r="E665" s="241"/>
      <c r="F665" s="241"/>
      <c r="G665" s="309"/>
      <c r="H665" s="241"/>
      <c r="J665" s="3"/>
      <c r="K665" s="3"/>
    </row>
    <row r="666">
      <c r="A666" s="308"/>
      <c r="B666" s="308"/>
      <c r="C666" s="308"/>
      <c r="D666" s="308"/>
      <c r="E666" s="241"/>
      <c r="F666" s="241"/>
      <c r="G666" s="309"/>
      <c r="H666" s="241"/>
      <c r="J666" s="3"/>
      <c r="K666" s="3"/>
    </row>
    <row r="667">
      <c r="A667" s="308"/>
      <c r="B667" s="308"/>
      <c r="C667" s="308"/>
      <c r="D667" s="308"/>
      <c r="E667" s="241"/>
      <c r="F667" s="241"/>
      <c r="G667" s="309"/>
      <c r="H667" s="241"/>
      <c r="J667" s="3"/>
      <c r="K667" s="3"/>
    </row>
    <row r="668">
      <c r="A668" s="308"/>
      <c r="B668" s="308"/>
      <c r="C668" s="308"/>
      <c r="D668" s="308"/>
      <c r="E668" s="241"/>
      <c r="F668" s="241"/>
      <c r="G668" s="309"/>
      <c r="H668" s="241"/>
      <c r="J668" s="3"/>
      <c r="K668" s="3"/>
    </row>
    <row r="669">
      <c r="A669" s="308"/>
      <c r="B669" s="308"/>
      <c r="C669" s="308"/>
      <c r="D669" s="308"/>
      <c r="E669" s="241"/>
      <c r="F669" s="241"/>
      <c r="G669" s="309"/>
      <c r="H669" s="241"/>
      <c r="J669" s="3"/>
      <c r="K669" s="3"/>
    </row>
    <row r="670">
      <c r="A670" s="308"/>
      <c r="B670" s="308"/>
      <c r="C670" s="308"/>
      <c r="D670" s="308"/>
      <c r="E670" s="241"/>
      <c r="F670" s="241"/>
      <c r="G670" s="309"/>
      <c r="H670" s="241"/>
      <c r="J670" s="3"/>
      <c r="K670" s="3"/>
    </row>
    <row r="671">
      <c r="A671" s="308"/>
      <c r="B671" s="308"/>
      <c r="C671" s="308"/>
      <c r="D671" s="308"/>
      <c r="E671" s="241"/>
      <c r="F671" s="241"/>
      <c r="G671" s="309"/>
      <c r="H671" s="241"/>
      <c r="J671" s="3"/>
      <c r="K671" s="3"/>
    </row>
    <row r="672">
      <c r="A672" s="308"/>
      <c r="B672" s="308"/>
      <c r="C672" s="308"/>
      <c r="D672" s="308"/>
      <c r="E672" s="241"/>
      <c r="F672" s="241"/>
      <c r="G672" s="309"/>
      <c r="H672" s="241"/>
      <c r="J672" s="3"/>
      <c r="K672" s="3"/>
    </row>
    <row r="673">
      <c r="A673" s="308"/>
      <c r="B673" s="308"/>
      <c r="C673" s="308"/>
      <c r="D673" s="308"/>
      <c r="E673" s="241"/>
      <c r="F673" s="241"/>
      <c r="G673" s="309"/>
      <c r="H673" s="241"/>
      <c r="J673" s="3"/>
      <c r="K673" s="3"/>
    </row>
    <row r="674">
      <c r="A674" s="308"/>
      <c r="B674" s="308"/>
      <c r="C674" s="308"/>
      <c r="D674" s="308"/>
      <c r="E674" s="241"/>
      <c r="F674" s="241"/>
      <c r="G674" s="309"/>
      <c r="H674" s="241"/>
      <c r="J674" s="3"/>
      <c r="K674" s="3"/>
    </row>
    <row r="675">
      <c r="A675" s="308"/>
      <c r="B675" s="308"/>
      <c r="C675" s="308"/>
      <c r="D675" s="308"/>
      <c r="E675" s="241"/>
      <c r="F675" s="241"/>
      <c r="G675" s="309"/>
      <c r="H675" s="241"/>
      <c r="J675" s="3"/>
      <c r="K675" s="3"/>
    </row>
    <row r="676">
      <c r="A676" s="308"/>
      <c r="B676" s="308"/>
      <c r="C676" s="308"/>
      <c r="D676" s="308"/>
      <c r="E676" s="241"/>
      <c r="F676" s="241"/>
      <c r="G676" s="309"/>
      <c r="H676" s="241"/>
      <c r="J676" s="3"/>
      <c r="K676" s="3"/>
    </row>
    <row r="677">
      <c r="A677" s="308"/>
      <c r="B677" s="308"/>
      <c r="C677" s="308"/>
      <c r="D677" s="308"/>
      <c r="E677" s="241"/>
      <c r="F677" s="241"/>
      <c r="G677" s="309"/>
      <c r="H677" s="241"/>
      <c r="J677" s="3"/>
      <c r="K677" s="3"/>
    </row>
    <row r="678">
      <c r="A678" s="308"/>
      <c r="B678" s="308"/>
      <c r="C678" s="308"/>
      <c r="D678" s="308"/>
      <c r="E678" s="241"/>
      <c r="F678" s="241"/>
      <c r="G678" s="309"/>
      <c r="H678" s="241"/>
      <c r="J678" s="3"/>
      <c r="K678" s="3"/>
    </row>
    <row r="679">
      <c r="A679" s="308"/>
      <c r="B679" s="308"/>
      <c r="C679" s="308"/>
      <c r="D679" s="308"/>
      <c r="E679" s="241"/>
      <c r="F679" s="241"/>
      <c r="G679" s="309"/>
      <c r="H679" s="241"/>
      <c r="J679" s="3"/>
      <c r="K679" s="3"/>
    </row>
    <row r="680">
      <c r="A680" s="308"/>
      <c r="B680" s="308"/>
      <c r="C680" s="308"/>
      <c r="D680" s="308"/>
      <c r="E680" s="241"/>
      <c r="F680" s="241"/>
      <c r="G680" s="309"/>
      <c r="H680" s="241"/>
      <c r="J680" s="3"/>
      <c r="K680" s="3"/>
    </row>
    <row r="681">
      <c r="A681" s="308"/>
      <c r="B681" s="308"/>
      <c r="C681" s="308"/>
      <c r="D681" s="308"/>
      <c r="E681" s="241"/>
      <c r="F681" s="241"/>
      <c r="G681" s="309"/>
      <c r="H681" s="241"/>
      <c r="J681" s="3"/>
      <c r="K681" s="3"/>
    </row>
    <row r="682">
      <c r="A682" s="308"/>
      <c r="B682" s="308"/>
      <c r="C682" s="308"/>
      <c r="D682" s="308"/>
      <c r="E682" s="241"/>
      <c r="F682" s="241"/>
      <c r="G682" s="309"/>
      <c r="H682" s="241"/>
      <c r="J682" s="3"/>
      <c r="K682" s="3"/>
    </row>
    <row r="683">
      <c r="A683" s="308"/>
      <c r="B683" s="308"/>
      <c r="C683" s="308"/>
      <c r="D683" s="308"/>
      <c r="E683" s="241"/>
      <c r="F683" s="241"/>
      <c r="G683" s="309"/>
      <c r="H683" s="241"/>
      <c r="J683" s="3"/>
      <c r="K683" s="3"/>
    </row>
    <row r="684">
      <c r="A684" s="308"/>
      <c r="B684" s="308"/>
      <c r="C684" s="308"/>
      <c r="D684" s="308"/>
      <c r="E684" s="241"/>
      <c r="F684" s="241"/>
      <c r="G684" s="309"/>
      <c r="H684" s="241"/>
      <c r="J684" s="3"/>
      <c r="K684" s="3"/>
    </row>
    <row r="685">
      <c r="A685" s="308"/>
      <c r="B685" s="308"/>
      <c r="C685" s="308"/>
      <c r="D685" s="308"/>
      <c r="E685" s="241"/>
      <c r="F685" s="241"/>
      <c r="G685" s="309"/>
      <c r="H685" s="241"/>
      <c r="J685" s="3"/>
      <c r="K685" s="3"/>
    </row>
    <row r="686">
      <c r="A686" s="308"/>
      <c r="B686" s="308"/>
      <c r="C686" s="308"/>
      <c r="D686" s="308"/>
      <c r="E686" s="241"/>
      <c r="F686" s="241"/>
      <c r="G686" s="309"/>
      <c r="H686" s="241"/>
      <c r="J686" s="3"/>
      <c r="K686" s="3"/>
    </row>
    <row r="687">
      <c r="A687" s="308"/>
      <c r="B687" s="308"/>
      <c r="C687" s="308"/>
      <c r="D687" s="308"/>
      <c r="E687" s="241"/>
      <c r="F687" s="241"/>
      <c r="G687" s="309"/>
      <c r="H687" s="241"/>
      <c r="J687" s="3"/>
      <c r="K687" s="3"/>
    </row>
    <row r="688">
      <c r="A688" s="308"/>
      <c r="B688" s="308"/>
      <c r="C688" s="308"/>
      <c r="D688" s="308"/>
      <c r="E688" s="241"/>
      <c r="F688" s="241"/>
      <c r="G688" s="309"/>
      <c r="H688" s="241"/>
      <c r="J688" s="3"/>
      <c r="K688" s="3"/>
    </row>
    <row r="689">
      <c r="A689" s="308"/>
      <c r="B689" s="308"/>
      <c r="C689" s="308"/>
      <c r="D689" s="308"/>
      <c r="E689" s="241"/>
      <c r="F689" s="241"/>
      <c r="G689" s="309"/>
      <c r="H689" s="241"/>
      <c r="J689" s="3"/>
      <c r="K689" s="3"/>
    </row>
    <row r="690">
      <c r="A690" s="308"/>
      <c r="B690" s="308"/>
      <c r="C690" s="308"/>
      <c r="D690" s="308"/>
      <c r="E690" s="241"/>
      <c r="F690" s="241"/>
      <c r="G690" s="309"/>
      <c r="H690" s="241"/>
      <c r="J690" s="3"/>
      <c r="K690" s="3"/>
    </row>
    <row r="691">
      <c r="A691" s="308"/>
      <c r="B691" s="308"/>
      <c r="C691" s="308"/>
      <c r="D691" s="308"/>
      <c r="E691" s="241"/>
      <c r="F691" s="241"/>
      <c r="G691" s="309"/>
      <c r="H691" s="241"/>
      <c r="J691" s="3"/>
      <c r="K691" s="3"/>
    </row>
    <row r="692">
      <c r="A692" s="308"/>
      <c r="B692" s="308"/>
      <c r="C692" s="308"/>
      <c r="D692" s="308"/>
      <c r="E692" s="241"/>
      <c r="F692" s="241"/>
      <c r="G692" s="309"/>
      <c r="H692" s="241"/>
      <c r="J692" s="3"/>
      <c r="K692" s="3"/>
    </row>
    <row r="693">
      <c r="A693" s="308"/>
      <c r="B693" s="308"/>
      <c r="C693" s="308"/>
      <c r="D693" s="308"/>
      <c r="E693" s="241"/>
      <c r="F693" s="241"/>
      <c r="G693" s="309"/>
      <c r="H693" s="241"/>
      <c r="J693" s="3"/>
      <c r="K693" s="3"/>
    </row>
    <row r="694">
      <c r="A694" s="308"/>
      <c r="B694" s="308"/>
      <c r="C694" s="308"/>
      <c r="D694" s="308"/>
      <c r="E694" s="241"/>
      <c r="F694" s="241"/>
      <c r="G694" s="309"/>
      <c r="H694" s="241"/>
      <c r="J694" s="3"/>
      <c r="K694" s="3"/>
    </row>
    <row r="695">
      <c r="A695" s="308"/>
      <c r="B695" s="308"/>
      <c r="C695" s="308"/>
      <c r="D695" s="308"/>
      <c r="E695" s="241"/>
      <c r="F695" s="241"/>
      <c r="G695" s="309"/>
      <c r="H695" s="241"/>
      <c r="J695" s="3"/>
      <c r="K695" s="3"/>
    </row>
    <row r="696">
      <c r="A696" s="308"/>
      <c r="B696" s="308"/>
      <c r="C696" s="308"/>
      <c r="D696" s="308"/>
      <c r="E696" s="241"/>
      <c r="F696" s="241"/>
      <c r="G696" s="309"/>
      <c r="H696" s="241"/>
      <c r="J696" s="3"/>
      <c r="K696" s="3"/>
    </row>
    <row r="697">
      <c r="A697" s="308"/>
      <c r="B697" s="308"/>
      <c r="C697" s="308"/>
      <c r="D697" s="308"/>
      <c r="E697" s="241"/>
      <c r="F697" s="241"/>
      <c r="G697" s="309"/>
      <c r="H697" s="241"/>
      <c r="J697" s="3"/>
      <c r="K697" s="3"/>
    </row>
    <row r="698">
      <c r="A698" s="308"/>
      <c r="B698" s="308"/>
      <c r="C698" s="308"/>
      <c r="D698" s="308"/>
      <c r="E698" s="241"/>
      <c r="F698" s="241"/>
      <c r="G698" s="309"/>
      <c r="H698" s="241"/>
      <c r="J698" s="3"/>
      <c r="K698" s="3"/>
    </row>
    <row r="699">
      <c r="A699" s="308"/>
      <c r="B699" s="308"/>
      <c r="C699" s="308"/>
      <c r="D699" s="308"/>
      <c r="E699" s="241"/>
      <c r="F699" s="241"/>
      <c r="G699" s="309"/>
      <c r="H699" s="241"/>
      <c r="J699" s="3"/>
      <c r="K699" s="3"/>
    </row>
    <row r="700">
      <c r="A700" s="308"/>
      <c r="B700" s="308"/>
      <c r="C700" s="308"/>
      <c r="D700" s="308"/>
      <c r="E700" s="241"/>
      <c r="F700" s="241"/>
      <c r="G700" s="309"/>
      <c r="H700" s="241"/>
      <c r="J700" s="3"/>
      <c r="K700" s="3"/>
    </row>
    <row r="701">
      <c r="A701" s="308"/>
      <c r="B701" s="308"/>
      <c r="C701" s="308"/>
      <c r="D701" s="308"/>
      <c r="E701" s="241"/>
      <c r="F701" s="241"/>
      <c r="G701" s="309"/>
      <c r="H701" s="241"/>
      <c r="J701" s="3"/>
      <c r="K701" s="3"/>
    </row>
    <row r="702">
      <c r="A702" s="308"/>
      <c r="B702" s="308"/>
      <c r="C702" s="308"/>
      <c r="D702" s="308"/>
      <c r="E702" s="241"/>
      <c r="F702" s="241"/>
      <c r="G702" s="309"/>
      <c r="H702" s="241"/>
      <c r="J702" s="3"/>
      <c r="K702" s="3"/>
    </row>
    <row r="703">
      <c r="A703" s="308"/>
      <c r="B703" s="308"/>
      <c r="C703" s="308"/>
      <c r="D703" s="308"/>
      <c r="E703" s="241"/>
      <c r="F703" s="241"/>
      <c r="G703" s="309"/>
      <c r="H703" s="241"/>
      <c r="J703" s="3"/>
      <c r="K703" s="3"/>
    </row>
    <row r="704">
      <c r="A704" s="308"/>
      <c r="B704" s="308"/>
      <c r="C704" s="308"/>
      <c r="D704" s="308"/>
      <c r="E704" s="241"/>
      <c r="F704" s="241"/>
      <c r="G704" s="309"/>
      <c r="H704" s="241"/>
      <c r="J704" s="3"/>
      <c r="K704" s="3"/>
    </row>
    <row r="705">
      <c r="A705" s="308"/>
      <c r="B705" s="308"/>
      <c r="C705" s="308"/>
      <c r="D705" s="308"/>
      <c r="E705" s="241"/>
      <c r="F705" s="241"/>
      <c r="G705" s="309"/>
      <c r="H705" s="241"/>
      <c r="J705" s="3"/>
      <c r="K705" s="3"/>
    </row>
    <row r="706">
      <c r="A706" s="308"/>
      <c r="B706" s="308"/>
      <c r="C706" s="308"/>
      <c r="D706" s="308"/>
      <c r="E706" s="241"/>
      <c r="F706" s="241"/>
      <c r="G706" s="309"/>
      <c r="H706" s="241"/>
      <c r="J706" s="3"/>
      <c r="K706" s="3"/>
    </row>
    <row r="707">
      <c r="A707" s="308"/>
      <c r="B707" s="308"/>
      <c r="C707" s="308"/>
      <c r="D707" s="308"/>
      <c r="E707" s="241"/>
      <c r="F707" s="241"/>
      <c r="G707" s="309"/>
      <c r="H707" s="241"/>
      <c r="J707" s="3"/>
      <c r="K707" s="3"/>
    </row>
    <row r="708">
      <c r="A708" s="308"/>
      <c r="B708" s="308"/>
      <c r="C708" s="308"/>
      <c r="D708" s="308"/>
      <c r="E708" s="241"/>
      <c r="F708" s="241"/>
      <c r="G708" s="309"/>
      <c r="H708" s="241"/>
      <c r="J708" s="3"/>
      <c r="K708" s="3"/>
    </row>
    <row r="709">
      <c r="A709" s="308"/>
      <c r="B709" s="308"/>
      <c r="C709" s="308"/>
      <c r="D709" s="308"/>
      <c r="E709" s="241"/>
      <c r="F709" s="241"/>
      <c r="G709" s="309"/>
      <c r="H709" s="241"/>
      <c r="J709" s="3"/>
      <c r="K709" s="3"/>
    </row>
    <row r="710">
      <c r="A710" s="308"/>
      <c r="B710" s="308"/>
      <c r="C710" s="308"/>
      <c r="D710" s="308"/>
      <c r="E710" s="241"/>
      <c r="F710" s="241"/>
      <c r="G710" s="309"/>
      <c r="H710" s="241"/>
      <c r="J710" s="3"/>
      <c r="K710" s="3"/>
    </row>
    <row r="711">
      <c r="A711" s="308"/>
      <c r="B711" s="308"/>
      <c r="C711" s="308"/>
      <c r="D711" s="308"/>
      <c r="E711" s="241"/>
      <c r="F711" s="241"/>
      <c r="G711" s="309"/>
      <c r="H711" s="241"/>
      <c r="J711" s="3"/>
      <c r="K711" s="3"/>
    </row>
    <row r="712">
      <c r="A712" s="308"/>
      <c r="B712" s="308"/>
      <c r="C712" s="308"/>
      <c r="D712" s="308"/>
      <c r="E712" s="241"/>
      <c r="F712" s="241"/>
      <c r="G712" s="309"/>
      <c r="H712" s="241"/>
      <c r="J712" s="3"/>
      <c r="K712" s="3"/>
    </row>
    <row r="713">
      <c r="A713" s="308"/>
      <c r="B713" s="308"/>
      <c r="C713" s="308"/>
      <c r="D713" s="308"/>
      <c r="E713" s="241"/>
      <c r="F713" s="241"/>
      <c r="G713" s="309"/>
      <c r="H713" s="241"/>
      <c r="J713" s="3"/>
      <c r="K713" s="3"/>
    </row>
    <row r="714">
      <c r="A714" s="308"/>
      <c r="B714" s="308"/>
      <c r="C714" s="308"/>
      <c r="D714" s="308"/>
      <c r="E714" s="241"/>
      <c r="F714" s="241"/>
      <c r="G714" s="309"/>
      <c r="H714" s="241"/>
      <c r="J714" s="3"/>
      <c r="K714" s="3"/>
    </row>
    <row r="715">
      <c r="A715" s="308"/>
      <c r="B715" s="308"/>
      <c r="C715" s="308"/>
      <c r="D715" s="308"/>
      <c r="E715" s="241"/>
      <c r="F715" s="241"/>
      <c r="G715" s="309"/>
      <c r="H715" s="241"/>
      <c r="J715" s="3"/>
      <c r="K715" s="3"/>
    </row>
    <row r="716">
      <c r="A716" s="308"/>
      <c r="B716" s="308"/>
      <c r="C716" s="308"/>
      <c r="D716" s="308"/>
      <c r="E716" s="241"/>
      <c r="F716" s="241"/>
      <c r="G716" s="309"/>
      <c r="H716" s="241"/>
      <c r="J716" s="3"/>
      <c r="K716" s="3"/>
    </row>
    <row r="717">
      <c r="A717" s="308"/>
      <c r="B717" s="308"/>
      <c r="C717" s="308"/>
      <c r="D717" s="308"/>
      <c r="E717" s="241"/>
      <c r="F717" s="241"/>
      <c r="G717" s="309"/>
      <c r="H717" s="241"/>
      <c r="J717" s="3"/>
      <c r="K717" s="3"/>
    </row>
    <row r="718">
      <c r="A718" s="308"/>
      <c r="B718" s="308"/>
      <c r="C718" s="308"/>
      <c r="D718" s="308"/>
      <c r="E718" s="241"/>
      <c r="F718" s="241"/>
      <c r="G718" s="309"/>
      <c r="H718" s="241"/>
      <c r="J718" s="3"/>
      <c r="K718" s="3"/>
    </row>
    <row r="719">
      <c r="A719" s="308"/>
      <c r="B719" s="308"/>
      <c r="C719" s="308"/>
      <c r="D719" s="308"/>
      <c r="E719" s="241"/>
      <c r="F719" s="241"/>
      <c r="G719" s="309"/>
      <c r="H719" s="241"/>
      <c r="J719" s="3"/>
      <c r="K719" s="3"/>
    </row>
    <row r="720">
      <c r="A720" s="308"/>
      <c r="B720" s="308"/>
      <c r="C720" s="308"/>
      <c r="D720" s="308"/>
      <c r="E720" s="241"/>
      <c r="F720" s="241"/>
      <c r="G720" s="309"/>
      <c r="H720" s="241"/>
      <c r="J720" s="3"/>
      <c r="K720" s="3"/>
    </row>
    <row r="721">
      <c r="A721" s="308"/>
      <c r="B721" s="308"/>
      <c r="C721" s="308"/>
      <c r="D721" s="308"/>
      <c r="E721" s="241"/>
      <c r="F721" s="241"/>
      <c r="G721" s="309"/>
      <c r="H721" s="241"/>
      <c r="J721" s="3"/>
      <c r="K721" s="3"/>
    </row>
    <row r="722">
      <c r="A722" s="308"/>
      <c r="B722" s="308"/>
      <c r="C722" s="308"/>
      <c r="D722" s="308"/>
      <c r="E722" s="241"/>
      <c r="F722" s="241"/>
      <c r="G722" s="309"/>
      <c r="H722" s="241"/>
      <c r="J722" s="3"/>
      <c r="K722" s="3"/>
    </row>
    <row r="723">
      <c r="A723" s="308"/>
      <c r="B723" s="308"/>
      <c r="C723" s="308"/>
      <c r="D723" s="308"/>
      <c r="E723" s="241"/>
      <c r="F723" s="241"/>
      <c r="G723" s="309"/>
      <c r="H723" s="241"/>
      <c r="J723" s="3"/>
      <c r="K723" s="3"/>
    </row>
    <row r="724">
      <c r="A724" s="308"/>
      <c r="B724" s="308"/>
      <c r="C724" s="308"/>
      <c r="D724" s="308"/>
      <c r="E724" s="241"/>
      <c r="F724" s="241"/>
      <c r="G724" s="309"/>
      <c r="H724" s="241"/>
      <c r="J724" s="3"/>
      <c r="K724" s="3"/>
    </row>
    <row r="725">
      <c r="A725" s="308"/>
      <c r="B725" s="308"/>
      <c r="C725" s="308"/>
      <c r="D725" s="308"/>
      <c r="E725" s="241"/>
      <c r="F725" s="241"/>
      <c r="G725" s="309"/>
      <c r="H725" s="241"/>
      <c r="J725" s="3"/>
      <c r="K725" s="3"/>
    </row>
    <row r="726">
      <c r="A726" s="308"/>
      <c r="B726" s="308"/>
      <c r="C726" s="308"/>
      <c r="D726" s="308"/>
      <c r="E726" s="241"/>
      <c r="F726" s="241"/>
      <c r="G726" s="309"/>
      <c r="H726" s="241"/>
      <c r="J726" s="3"/>
      <c r="K726" s="3"/>
    </row>
    <row r="727">
      <c r="A727" s="308"/>
      <c r="B727" s="308"/>
      <c r="C727" s="308"/>
      <c r="D727" s="308"/>
      <c r="E727" s="241"/>
      <c r="F727" s="241"/>
      <c r="G727" s="309"/>
      <c r="H727" s="241"/>
      <c r="J727" s="3"/>
      <c r="K727" s="3"/>
    </row>
    <row r="728">
      <c r="A728" s="308"/>
      <c r="B728" s="308"/>
      <c r="C728" s="308"/>
      <c r="D728" s="308"/>
      <c r="E728" s="241"/>
      <c r="F728" s="241"/>
      <c r="G728" s="309"/>
      <c r="H728" s="241"/>
      <c r="J728" s="3"/>
      <c r="K728" s="3"/>
    </row>
    <row r="729">
      <c r="A729" s="308"/>
      <c r="B729" s="308"/>
      <c r="C729" s="308"/>
      <c r="D729" s="308"/>
      <c r="E729" s="241"/>
      <c r="F729" s="241"/>
      <c r="G729" s="309"/>
      <c r="H729" s="241"/>
      <c r="J729" s="3"/>
      <c r="K729" s="3"/>
    </row>
    <row r="730">
      <c r="A730" s="308"/>
      <c r="B730" s="308"/>
      <c r="C730" s="308"/>
      <c r="D730" s="308"/>
      <c r="E730" s="241"/>
      <c r="F730" s="241"/>
      <c r="G730" s="309"/>
      <c r="H730" s="241"/>
      <c r="J730" s="3"/>
      <c r="K730" s="3"/>
    </row>
    <row r="731">
      <c r="A731" s="308"/>
      <c r="B731" s="308"/>
      <c r="C731" s="308"/>
      <c r="D731" s="308"/>
      <c r="E731" s="241"/>
      <c r="F731" s="241"/>
      <c r="G731" s="309"/>
      <c r="H731" s="241"/>
      <c r="J731" s="3"/>
      <c r="K731" s="3"/>
    </row>
    <row r="732">
      <c r="A732" s="308"/>
      <c r="B732" s="308"/>
      <c r="C732" s="308"/>
      <c r="D732" s="308"/>
      <c r="E732" s="241"/>
      <c r="F732" s="241"/>
      <c r="G732" s="309"/>
      <c r="H732" s="241"/>
      <c r="J732" s="3"/>
      <c r="K732" s="3"/>
    </row>
    <row r="733">
      <c r="A733" s="308"/>
      <c r="B733" s="308"/>
      <c r="C733" s="308"/>
      <c r="D733" s="308"/>
      <c r="E733" s="241"/>
      <c r="F733" s="241"/>
      <c r="G733" s="309"/>
      <c r="H733" s="241"/>
      <c r="J733" s="3"/>
      <c r="K733" s="3"/>
    </row>
    <row r="734">
      <c r="A734" s="308"/>
      <c r="B734" s="308"/>
      <c r="C734" s="308"/>
      <c r="D734" s="308"/>
      <c r="E734" s="241"/>
      <c r="F734" s="241"/>
      <c r="G734" s="309"/>
      <c r="H734" s="241"/>
      <c r="J734" s="3"/>
      <c r="K734" s="3"/>
    </row>
    <row r="735">
      <c r="A735" s="308"/>
      <c r="B735" s="308"/>
      <c r="C735" s="308"/>
      <c r="D735" s="308"/>
      <c r="E735" s="241"/>
      <c r="F735" s="241"/>
      <c r="G735" s="309"/>
      <c r="H735" s="241"/>
      <c r="J735" s="3"/>
      <c r="K735" s="3"/>
    </row>
    <row r="736">
      <c r="A736" s="308"/>
      <c r="B736" s="308"/>
      <c r="C736" s="308"/>
      <c r="D736" s="308"/>
      <c r="E736" s="241"/>
      <c r="F736" s="241"/>
      <c r="G736" s="309"/>
      <c r="H736" s="241"/>
      <c r="J736" s="3"/>
      <c r="K736" s="3"/>
    </row>
    <row r="737">
      <c r="A737" s="308"/>
      <c r="B737" s="308"/>
      <c r="C737" s="308"/>
      <c r="D737" s="308"/>
      <c r="E737" s="241"/>
      <c r="F737" s="241"/>
      <c r="G737" s="309"/>
      <c r="H737" s="241"/>
      <c r="J737" s="3"/>
      <c r="K737" s="3"/>
    </row>
    <row r="738">
      <c r="A738" s="308"/>
      <c r="B738" s="308"/>
      <c r="C738" s="308"/>
      <c r="D738" s="308"/>
      <c r="E738" s="241"/>
      <c r="F738" s="241"/>
      <c r="G738" s="309"/>
      <c r="H738" s="241"/>
      <c r="J738" s="3"/>
      <c r="K738" s="3"/>
    </row>
    <row r="739">
      <c r="A739" s="308"/>
      <c r="B739" s="308"/>
      <c r="C739" s="308"/>
      <c r="D739" s="308"/>
      <c r="E739" s="241"/>
      <c r="F739" s="241"/>
      <c r="G739" s="309"/>
      <c r="H739" s="241"/>
      <c r="J739" s="3"/>
      <c r="K739" s="3"/>
    </row>
    <row r="740">
      <c r="A740" s="308"/>
      <c r="B740" s="308"/>
      <c r="C740" s="308"/>
      <c r="D740" s="308"/>
      <c r="E740" s="241"/>
      <c r="F740" s="241"/>
      <c r="G740" s="309"/>
      <c r="H740" s="241"/>
      <c r="J740" s="3"/>
      <c r="K740" s="3"/>
    </row>
    <row r="741">
      <c r="A741" s="308"/>
      <c r="B741" s="308"/>
      <c r="C741" s="308"/>
      <c r="D741" s="308"/>
      <c r="E741" s="241"/>
      <c r="F741" s="241"/>
      <c r="G741" s="309"/>
      <c r="H741" s="241"/>
      <c r="J741" s="3"/>
      <c r="K741" s="3"/>
    </row>
    <row r="742">
      <c r="A742" s="308"/>
      <c r="B742" s="308"/>
      <c r="C742" s="308"/>
      <c r="D742" s="308"/>
      <c r="E742" s="241"/>
      <c r="F742" s="241"/>
      <c r="G742" s="309"/>
      <c r="H742" s="241"/>
      <c r="J742" s="3"/>
      <c r="K742" s="3"/>
    </row>
    <row r="743">
      <c r="A743" s="308"/>
      <c r="B743" s="308"/>
      <c r="C743" s="308"/>
      <c r="D743" s="308"/>
      <c r="E743" s="241"/>
      <c r="F743" s="241"/>
      <c r="G743" s="309"/>
      <c r="H743" s="241"/>
      <c r="J743" s="3"/>
      <c r="K743" s="3"/>
    </row>
    <row r="744">
      <c r="A744" s="308"/>
      <c r="B744" s="308"/>
      <c r="C744" s="308"/>
      <c r="D744" s="308"/>
      <c r="E744" s="241"/>
      <c r="F744" s="241"/>
      <c r="G744" s="309"/>
      <c r="H744" s="241"/>
      <c r="J744" s="3"/>
      <c r="K744" s="3"/>
    </row>
    <row r="745">
      <c r="A745" s="308"/>
      <c r="B745" s="308"/>
      <c r="C745" s="308"/>
      <c r="D745" s="308"/>
      <c r="E745" s="241"/>
      <c r="F745" s="241"/>
      <c r="G745" s="309"/>
      <c r="H745" s="241"/>
      <c r="J745" s="3"/>
      <c r="K745" s="3"/>
    </row>
    <row r="746">
      <c r="A746" s="308"/>
      <c r="B746" s="308"/>
      <c r="C746" s="308"/>
      <c r="D746" s="308"/>
      <c r="E746" s="241"/>
      <c r="F746" s="241"/>
      <c r="G746" s="309"/>
      <c r="H746" s="241"/>
      <c r="J746" s="3"/>
      <c r="K746" s="3"/>
    </row>
    <row r="747">
      <c r="A747" s="308"/>
      <c r="B747" s="308"/>
      <c r="C747" s="308"/>
      <c r="D747" s="308"/>
      <c r="E747" s="241"/>
      <c r="F747" s="241"/>
      <c r="G747" s="309"/>
      <c r="H747" s="241"/>
      <c r="J747" s="3"/>
      <c r="K747" s="3"/>
    </row>
    <row r="748">
      <c r="A748" s="308"/>
      <c r="B748" s="308"/>
      <c r="C748" s="308"/>
      <c r="D748" s="308"/>
      <c r="E748" s="241"/>
      <c r="F748" s="241"/>
      <c r="G748" s="309"/>
      <c r="H748" s="241"/>
      <c r="J748" s="3"/>
      <c r="K748" s="3"/>
    </row>
    <row r="749">
      <c r="A749" s="308"/>
      <c r="B749" s="308"/>
      <c r="C749" s="308"/>
      <c r="D749" s="308"/>
      <c r="E749" s="241"/>
      <c r="F749" s="241"/>
      <c r="G749" s="309"/>
      <c r="H749" s="241"/>
      <c r="J749" s="3"/>
      <c r="K749" s="3"/>
    </row>
    <row r="750">
      <c r="A750" s="308"/>
      <c r="B750" s="308"/>
      <c r="C750" s="308"/>
      <c r="D750" s="308"/>
      <c r="E750" s="241"/>
      <c r="F750" s="241"/>
      <c r="G750" s="309"/>
      <c r="H750" s="241"/>
      <c r="J750" s="3"/>
      <c r="K750" s="3"/>
    </row>
    <row r="751">
      <c r="A751" s="308"/>
      <c r="B751" s="308"/>
      <c r="C751" s="308"/>
      <c r="D751" s="308"/>
      <c r="E751" s="241"/>
      <c r="F751" s="241"/>
      <c r="G751" s="309"/>
      <c r="H751" s="241"/>
      <c r="J751" s="3"/>
      <c r="K751" s="3"/>
    </row>
    <row r="752">
      <c r="A752" s="308"/>
      <c r="B752" s="308"/>
      <c r="C752" s="308"/>
      <c r="D752" s="308"/>
      <c r="E752" s="241"/>
      <c r="F752" s="241"/>
      <c r="G752" s="309"/>
      <c r="H752" s="241"/>
      <c r="J752" s="3"/>
      <c r="K752" s="3"/>
    </row>
    <row r="753">
      <c r="A753" s="308"/>
      <c r="B753" s="308"/>
      <c r="C753" s="308"/>
      <c r="D753" s="308"/>
      <c r="E753" s="241"/>
      <c r="F753" s="241"/>
      <c r="G753" s="309"/>
      <c r="H753" s="241"/>
      <c r="J753" s="3"/>
      <c r="K753" s="3"/>
    </row>
    <row r="754">
      <c r="A754" s="308"/>
      <c r="B754" s="308"/>
      <c r="C754" s="308"/>
      <c r="D754" s="308"/>
      <c r="E754" s="241"/>
      <c r="F754" s="241"/>
      <c r="G754" s="309"/>
      <c r="H754" s="241"/>
      <c r="J754" s="3"/>
      <c r="K754" s="3"/>
    </row>
    <row r="755">
      <c r="A755" s="308"/>
      <c r="B755" s="308"/>
      <c r="C755" s="308"/>
      <c r="D755" s="308"/>
      <c r="E755" s="241"/>
      <c r="F755" s="241"/>
      <c r="G755" s="309"/>
      <c r="H755" s="241"/>
      <c r="J755" s="3"/>
      <c r="K755" s="3"/>
    </row>
    <row r="756">
      <c r="A756" s="308"/>
      <c r="B756" s="308"/>
      <c r="C756" s="308"/>
      <c r="D756" s="308"/>
      <c r="E756" s="241"/>
      <c r="F756" s="241"/>
      <c r="G756" s="309"/>
      <c r="H756" s="241"/>
      <c r="J756" s="3"/>
      <c r="K756" s="3"/>
    </row>
    <row r="757">
      <c r="A757" s="308"/>
      <c r="B757" s="308"/>
      <c r="C757" s="308"/>
      <c r="D757" s="308"/>
      <c r="E757" s="241"/>
      <c r="F757" s="241"/>
      <c r="G757" s="309"/>
      <c r="H757" s="241"/>
      <c r="J757" s="3"/>
      <c r="K757" s="3"/>
    </row>
    <row r="758">
      <c r="A758" s="308"/>
      <c r="B758" s="308"/>
      <c r="C758" s="308"/>
      <c r="D758" s="308"/>
      <c r="E758" s="241"/>
      <c r="F758" s="241"/>
      <c r="G758" s="309"/>
      <c r="H758" s="241"/>
      <c r="J758" s="3"/>
      <c r="K758" s="3"/>
    </row>
    <row r="759">
      <c r="A759" s="308"/>
      <c r="B759" s="308"/>
      <c r="C759" s="308"/>
      <c r="D759" s="308"/>
      <c r="E759" s="241"/>
      <c r="F759" s="241"/>
      <c r="G759" s="309"/>
      <c r="H759" s="241"/>
      <c r="J759" s="3"/>
      <c r="K759" s="3"/>
    </row>
    <row r="760">
      <c r="A760" s="308"/>
      <c r="B760" s="308"/>
      <c r="C760" s="308"/>
      <c r="D760" s="308"/>
      <c r="E760" s="241"/>
      <c r="F760" s="241"/>
      <c r="G760" s="309"/>
      <c r="H760" s="241"/>
      <c r="J760" s="3"/>
      <c r="K760" s="3"/>
    </row>
    <row r="761">
      <c r="A761" s="308"/>
      <c r="B761" s="308"/>
      <c r="C761" s="308"/>
      <c r="D761" s="308"/>
      <c r="E761" s="241"/>
      <c r="F761" s="241"/>
      <c r="G761" s="309"/>
      <c r="H761" s="241"/>
      <c r="J761" s="3"/>
      <c r="K761" s="3"/>
    </row>
    <row r="762">
      <c r="A762" s="308"/>
      <c r="B762" s="308"/>
      <c r="C762" s="308"/>
      <c r="D762" s="308"/>
      <c r="E762" s="241"/>
      <c r="F762" s="241"/>
      <c r="G762" s="309"/>
      <c r="H762" s="241"/>
      <c r="J762" s="3"/>
      <c r="K762" s="3"/>
    </row>
    <row r="763">
      <c r="A763" s="308"/>
      <c r="B763" s="308"/>
      <c r="C763" s="308"/>
      <c r="D763" s="308"/>
      <c r="E763" s="241"/>
      <c r="F763" s="241"/>
      <c r="G763" s="309"/>
      <c r="H763" s="241"/>
      <c r="J763" s="3"/>
      <c r="K763" s="3"/>
    </row>
    <row r="764">
      <c r="A764" s="308"/>
      <c r="B764" s="308"/>
      <c r="C764" s="308"/>
      <c r="D764" s="308"/>
      <c r="E764" s="241"/>
      <c r="F764" s="241"/>
      <c r="G764" s="309"/>
      <c r="H764" s="241"/>
      <c r="J764" s="3"/>
      <c r="K764" s="3"/>
    </row>
    <row r="765">
      <c r="A765" s="308"/>
      <c r="B765" s="308"/>
      <c r="C765" s="308"/>
      <c r="D765" s="308"/>
      <c r="E765" s="241"/>
      <c r="F765" s="241"/>
      <c r="G765" s="309"/>
      <c r="H765" s="241"/>
      <c r="J765" s="3"/>
      <c r="K765" s="3"/>
    </row>
    <row r="766">
      <c r="A766" s="308"/>
      <c r="B766" s="308"/>
      <c r="C766" s="308"/>
      <c r="D766" s="308"/>
      <c r="E766" s="241"/>
      <c r="F766" s="241"/>
      <c r="G766" s="309"/>
      <c r="H766" s="241"/>
      <c r="J766" s="3"/>
      <c r="K766" s="3"/>
    </row>
    <row r="767">
      <c r="A767" s="308"/>
      <c r="B767" s="308"/>
      <c r="C767" s="308"/>
      <c r="D767" s="308"/>
      <c r="E767" s="241"/>
      <c r="F767" s="241"/>
      <c r="G767" s="309"/>
      <c r="H767" s="241"/>
      <c r="J767" s="3"/>
      <c r="K767" s="3"/>
    </row>
    <row r="768">
      <c r="A768" s="308"/>
      <c r="B768" s="308"/>
      <c r="C768" s="308"/>
      <c r="D768" s="308"/>
      <c r="E768" s="241"/>
      <c r="F768" s="241"/>
      <c r="G768" s="309"/>
      <c r="H768" s="241"/>
      <c r="J768" s="3"/>
      <c r="K768" s="3"/>
    </row>
    <row r="769">
      <c r="A769" s="308"/>
      <c r="B769" s="308"/>
      <c r="C769" s="308"/>
      <c r="D769" s="308"/>
      <c r="E769" s="241"/>
      <c r="F769" s="241"/>
      <c r="G769" s="309"/>
      <c r="H769" s="241"/>
      <c r="J769" s="3"/>
      <c r="K769" s="3"/>
    </row>
    <row r="770">
      <c r="A770" s="308"/>
      <c r="B770" s="308"/>
      <c r="C770" s="308"/>
      <c r="D770" s="308"/>
      <c r="E770" s="241"/>
      <c r="F770" s="241"/>
      <c r="G770" s="309"/>
      <c r="H770" s="241"/>
      <c r="J770" s="3"/>
      <c r="K770" s="3"/>
    </row>
    <row r="771">
      <c r="A771" s="308"/>
      <c r="B771" s="308"/>
      <c r="C771" s="308"/>
      <c r="D771" s="308"/>
      <c r="E771" s="241"/>
      <c r="F771" s="241"/>
      <c r="G771" s="309"/>
      <c r="H771" s="241"/>
      <c r="J771" s="3"/>
      <c r="K771" s="3"/>
    </row>
    <row r="772">
      <c r="A772" s="308"/>
      <c r="B772" s="308"/>
      <c r="C772" s="308"/>
      <c r="D772" s="308"/>
      <c r="E772" s="241"/>
      <c r="F772" s="241"/>
      <c r="G772" s="309"/>
      <c r="H772" s="241"/>
      <c r="J772" s="3"/>
      <c r="K772" s="3"/>
    </row>
    <row r="773">
      <c r="A773" s="308"/>
      <c r="B773" s="308"/>
      <c r="C773" s="308"/>
      <c r="D773" s="308"/>
      <c r="E773" s="241"/>
      <c r="F773" s="241"/>
      <c r="G773" s="309"/>
      <c r="H773" s="241"/>
      <c r="J773" s="3"/>
      <c r="K773" s="3"/>
    </row>
    <row r="774">
      <c r="A774" s="308"/>
      <c r="B774" s="308"/>
      <c r="C774" s="308"/>
      <c r="D774" s="308"/>
      <c r="E774" s="241"/>
      <c r="F774" s="241"/>
      <c r="G774" s="309"/>
      <c r="H774" s="241"/>
      <c r="J774" s="3"/>
      <c r="K774" s="3"/>
    </row>
    <row r="775">
      <c r="A775" s="308"/>
      <c r="B775" s="308"/>
      <c r="C775" s="308"/>
      <c r="D775" s="308"/>
      <c r="E775" s="241"/>
      <c r="F775" s="241"/>
      <c r="G775" s="309"/>
      <c r="H775" s="241"/>
      <c r="J775" s="3"/>
      <c r="K775" s="3"/>
    </row>
    <row r="776">
      <c r="A776" s="308"/>
      <c r="B776" s="308"/>
      <c r="C776" s="308"/>
      <c r="D776" s="308"/>
      <c r="E776" s="241"/>
      <c r="F776" s="241"/>
      <c r="G776" s="309"/>
      <c r="H776" s="241"/>
      <c r="J776" s="3"/>
      <c r="K776" s="3"/>
    </row>
    <row r="777">
      <c r="A777" s="308"/>
      <c r="B777" s="308"/>
      <c r="C777" s="308"/>
      <c r="D777" s="308"/>
      <c r="E777" s="241"/>
      <c r="F777" s="241"/>
      <c r="G777" s="309"/>
      <c r="H777" s="241"/>
      <c r="J777" s="3"/>
      <c r="K777" s="3"/>
    </row>
    <row r="778">
      <c r="A778" s="308"/>
      <c r="B778" s="308"/>
      <c r="C778" s="308"/>
      <c r="D778" s="308"/>
      <c r="E778" s="241"/>
      <c r="F778" s="241"/>
      <c r="G778" s="309"/>
      <c r="H778" s="241"/>
      <c r="J778" s="3"/>
      <c r="K778" s="3"/>
    </row>
    <row r="779">
      <c r="A779" s="308"/>
      <c r="B779" s="308"/>
      <c r="C779" s="308"/>
      <c r="D779" s="308"/>
      <c r="E779" s="241"/>
      <c r="F779" s="241"/>
      <c r="G779" s="309"/>
      <c r="H779" s="241"/>
      <c r="J779" s="3"/>
      <c r="K779" s="3"/>
    </row>
    <row r="780">
      <c r="A780" s="308"/>
      <c r="B780" s="308"/>
      <c r="C780" s="308"/>
      <c r="D780" s="308"/>
      <c r="E780" s="241"/>
      <c r="F780" s="241"/>
      <c r="G780" s="309"/>
      <c r="H780" s="241"/>
      <c r="J780" s="3"/>
      <c r="K780" s="3"/>
    </row>
    <row r="781">
      <c r="A781" s="308"/>
      <c r="B781" s="308"/>
      <c r="C781" s="308"/>
      <c r="D781" s="308"/>
      <c r="E781" s="241"/>
      <c r="F781" s="241"/>
      <c r="G781" s="309"/>
      <c r="H781" s="241"/>
      <c r="J781" s="3"/>
      <c r="K781" s="3"/>
    </row>
    <row r="782">
      <c r="A782" s="308"/>
      <c r="B782" s="308"/>
      <c r="C782" s="308"/>
      <c r="D782" s="308"/>
      <c r="E782" s="241"/>
      <c r="F782" s="241"/>
      <c r="G782" s="309"/>
      <c r="H782" s="241"/>
      <c r="J782" s="3"/>
      <c r="K782" s="3"/>
    </row>
    <row r="783">
      <c r="A783" s="308"/>
      <c r="B783" s="308"/>
      <c r="C783" s="308"/>
      <c r="D783" s="308"/>
      <c r="E783" s="241"/>
      <c r="F783" s="241"/>
      <c r="G783" s="309"/>
      <c r="H783" s="241"/>
      <c r="J783" s="3"/>
      <c r="K783" s="3"/>
    </row>
    <row r="784">
      <c r="A784" s="308"/>
      <c r="B784" s="308"/>
      <c r="C784" s="308"/>
      <c r="D784" s="308"/>
      <c r="E784" s="241"/>
      <c r="F784" s="241"/>
      <c r="G784" s="309"/>
      <c r="H784" s="241"/>
      <c r="J784" s="3"/>
      <c r="K784" s="3"/>
    </row>
    <row r="785">
      <c r="A785" s="308"/>
      <c r="B785" s="308"/>
      <c r="C785" s="308"/>
      <c r="D785" s="308"/>
      <c r="E785" s="241"/>
      <c r="F785" s="241"/>
      <c r="G785" s="309"/>
      <c r="H785" s="241"/>
      <c r="J785" s="3"/>
      <c r="K785" s="3"/>
    </row>
    <row r="786">
      <c r="A786" s="308"/>
      <c r="B786" s="308"/>
      <c r="C786" s="308"/>
      <c r="D786" s="308"/>
      <c r="E786" s="241"/>
      <c r="F786" s="241"/>
      <c r="G786" s="309"/>
      <c r="H786" s="241"/>
      <c r="J786" s="3"/>
      <c r="K786" s="3"/>
    </row>
    <row r="787">
      <c r="A787" s="308"/>
      <c r="B787" s="308"/>
      <c r="C787" s="308"/>
      <c r="D787" s="308"/>
      <c r="E787" s="241"/>
      <c r="F787" s="241"/>
      <c r="G787" s="309"/>
      <c r="H787" s="241"/>
      <c r="J787" s="3"/>
      <c r="K787" s="3"/>
    </row>
    <row r="788">
      <c r="A788" s="308"/>
      <c r="B788" s="308"/>
      <c r="C788" s="308"/>
      <c r="D788" s="308"/>
      <c r="E788" s="241"/>
      <c r="F788" s="241"/>
      <c r="G788" s="309"/>
      <c r="H788" s="241"/>
      <c r="J788" s="3"/>
      <c r="K788" s="3"/>
    </row>
    <row r="789">
      <c r="A789" s="308"/>
      <c r="B789" s="308"/>
      <c r="C789" s="308"/>
      <c r="D789" s="308"/>
      <c r="E789" s="241"/>
      <c r="F789" s="241"/>
      <c r="G789" s="309"/>
      <c r="H789" s="241"/>
      <c r="J789" s="3"/>
      <c r="K789" s="3"/>
    </row>
    <row r="790">
      <c r="A790" s="308"/>
      <c r="B790" s="308"/>
      <c r="C790" s="308"/>
      <c r="D790" s="308"/>
      <c r="E790" s="241"/>
      <c r="F790" s="241"/>
      <c r="G790" s="309"/>
      <c r="H790" s="241"/>
      <c r="J790" s="3"/>
      <c r="K790" s="3"/>
    </row>
    <row r="791">
      <c r="A791" s="308"/>
      <c r="B791" s="308"/>
      <c r="C791" s="308"/>
      <c r="D791" s="308"/>
      <c r="E791" s="241"/>
      <c r="F791" s="241"/>
      <c r="G791" s="309"/>
      <c r="H791" s="241"/>
      <c r="J791" s="3"/>
      <c r="K791" s="3"/>
    </row>
    <row r="792">
      <c r="A792" s="308"/>
      <c r="B792" s="308"/>
      <c r="C792" s="308"/>
      <c r="D792" s="308"/>
      <c r="E792" s="241"/>
      <c r="F792" s="241"/>
      <c r="G792" s="309"/>
      <c r="H792" s="241"/>
      <c r="J792" s="3"/>
      <c r="K792" s="3"/>
    </row>
    <row r="793">
      <c r="A793" s="308"/>
      <c r="B793" s="308"/>
      <c r="C793" s="308"/>
      <c r="D793" s="308"/>
      <c r="E793" s="241"/>
      <c r="F793" s="241"/>
      <c r="G793" s="309"/>
      <c r="H793" s="241"/>
      <c r="J793" s="3"/>
      <c r="K793" s="3"/>
    </row>
    <row r="794">
      <c r="A794" s="308"/>
      <c r="B794" s="308"/>
      <c r="C794" s="308"/>
      <c r="D794" s="308"/>
      <c r="E794" s="241"/>
      <c r="F794" s="241"/>
      <c r="G794" s="309"/>
      <c r="H794" s="241"/>
      <c r="J794" s="3"/>
      <c r="K794" s="3"/>
    </row>
    <row r="795">
      <c r="A795" s="308"/>
      <c r="B795" s="308"/>
      <c r="C795" s="308"/>
      <c r="D795" s="308"/>
      <c r="E795" s="241"/>
      <c r="F795" s="241"/>
      <c r="G795" s="309"/>
      <c r="H795" s="241"/>
      <c r="J795" s="3"/>
      <c r="K795" s="3"/>
    </row>
    <row r="796">
      <c r="A796" s="308"/>
      <c r="B796" s="308"/>
      <c r="C796" s="308"/>
      <c r="D796" s="308"/>
      <c r="E796" s="241"/>
      <c r="F796" s="241"/>
      <c r="G796" s="309"/>
      <c r="H796" s="241"/>
      <c r="J796" s="3"/>
      <c r="K796" s="3"/>
    </row>
    <row r="797">
      <c r="A797" s="308"/>
      <c r="B797" s="308"/>
      <c r="C797" s="308"/>
      <c r="D797" s="308"/>
      <c r="E797" s="241"/>
      <c r="F797" s="241"/>
      <c r="G797" s="309"/>
      <c r="H797" s="241"/>
      <c r="J797" s="3"/>
      <c r="K797" s="3"/>
    </row>
    <row r="798">
      <c r="A798" s="308"/>
      <c r="B798" s="308"/>
      <c r="C798" s="308"/>
      <c r="D798" s="308"/>
      <c r="E798" s="241"/>
      <c r="F798" s="241"/>
      <c r="G798" s="309"/>
      <c r="H798" s="241"/>
      <c r="J798" s="3"/>
      <c r="K798" s="3"/>
    </row>
    <row r="799">
      <c r="A799" s="308"/>
      <c r="B799" s="308"/>
      <c r="C799" s="308"/>
      <c r="D799" s="308"/>
      <c r="E799" s="241"/>
      <c r="F799" s="241"/>
      <c r="G799" s="309"/>
      <c r="H799" s="241"/>
      <c r="J799" s="3"/>
      <c r="K799" s="3"/>
    </row>
    <row r="800">
      <c r="A800" s="308"/>
      <c r="B800" s="308"/>
      <c r="C800" s="308"/>
      <c r="D800" s="308"/>
      <c r="E800" s="241"/>
      <c r="F800" s="241"/>
      <c r="G800" s="309"/>
      <c r="H800" s="241"/>
      <c r="J800" s="3"/>
      <c r="K800" s="3"/>
    </row>
    <row r="801">
      <c r="A801" s="308"/>
      <c r="B801" s="308"/>
      <c r="C801" s="308"/>
      <c r="D801" s="308"/>
      <c r="E801" s="241"/>
      <c r="F801" s="241"/>
      <c r="G801" s="309"/>
      <c r="H801" s="241"/>
      <c r="J801" s="3"/>
      <c r="K801" s="3"/>
    </row>
    <row r="802">
      <c r="A802" s="308"/>
      <c r="B802" s="308"/>
      <c r="C802" s="308"/>
      <c r="D802" s="308"/>
      <c r="E802" s="241"/>
      <c r="F802" s="241"/>
      <c r="G802" s="309"/>
      <c r="H802" s="241"/>
      <c r="J802" s="3"/>
      <c r="K802" s="3"/>
    </row>
    <row r="803">
      <c r="A803" s="308"/>
      <c r="B803" s="308"/>
      <c r="C803" s="308"/>
      <c r="D803" s="308"/>
      <c r="E803" s="241"/>
      <c r="F803" s="241"/>
      <c r="G803" s="309"/>
      <c r="H803" s="241"/>
      <c r="J803" s="3"/>
      <c r="K803" s="3"/>
    </row>
    <row r="804">
      <c r="A804" s="308"/>
      <c r="B804" s="308"/>
      <c r="C804" s="308"/>
      <c r="D804" s="308"/>
      <c r="E804" s="241"/>
      <c r="F804" s="241"/>
      <c r="G804" s="309"/>
      <c r="H804" s="241"/>
      <c r="J804" s="3"/>
      <c r="K804" s="3"/>
    </row>
    <row r="805">
      <c r="A805" s="308"/>
      <c r="B805" s="308"/>
      <c r="C805" s="308"/>
      <c r="D805" s="308"/>
      <c r="E805" s="241"/>
      <c r="F805" s="241"/>
      <c r="G805" s="309"/>
      <c r="H805" s="241"/>
      <c r="J805" s="3"/>
      <c r="K805" s="3"/>
    </row>
    <row r="806">
      <c r="A806" s="308"/>
      <c r="B806" s="308"/>
      <c r="C806" s="308"/>
      <c r="D806" s="308"/>
      <c r="E806" s="241"/>
      <c r="F806" s="241"/>
      <c r="G806" s="309"/>
      <c r="H806" s="241"/>
      <c r="J806" s="3"/>
      <c r="K806" s="3"/>
    </row>
    <row r="807">
      <c r="A807" s="308"/>
      <c r="B807" s="308"/>
      <c r="C807" s="308"/>
      <c r="D807" s="308"/>
      <c r="E807" s="241"/>
      <c r="F807" s="241"/>
      <c r="G807" s="309"/>
      <c r="H807" s="241"/>
      <c r="J807" s="3"/>
      <c r="K807" s="3"/>
    </row>
    <row r="808">
      <c r="A808" s="308"/>
      <c r="B808" s="308"/>
      <c r="C808" s="308"/>
      <c r="D808" s="308"/>
      <c r="E808" s="241"/>
      <c r="F808" s="241"/>
      <c r="G808" s="309"/>
      <c r="H808" s="241"/>
      <c r="J808" s="3"/>
      <c r="K808" s="3"/>
    </row>
    <row r="809">
      <c r="A809" s="308"/>
      <c r="B809" s="308"/>
      <c r="C809" s="308"/>
      <c r="D809" s="308"/>
      <c r="E809" s="241"/>
      <c r="F809" s="241"/>
      <c r="G809" s="309"/>
      <c r="H809" s="241"/>
      <c r="J809" s="3"/>
      <c r="K809" s="3"/>
    </row>
    <row r="810">
      <c r="A810" s="308"/>
      <c r="B810" s="308"/>
      <c r="C810" s="308"/>
      <c r="D810" s="308"/>
      <c r="E810" s="241"/>
      <c r="F810" s="241"/>
      <c r="G810" s="309"/>
      <c r="H810" s="241"/>
      <c r="J810" s="3"/>
      <c r="K810" s="3"/>
    </row>
    <row r="811">
      <c r="A811" s="308"/>
      <c r="B811" s="308"/>
      <c r="C811" s="308"/>
      <c r="D811" s="308"/>
      <c r="E811" s="241"/>
      <c r="F811" s="241"/>
      <c r="G811" s="309"/>
      <c r="H811" s="241"/>
      <c r="J811" s="3"/>
      <c r="K811" s="3"/>
    </row>
    <row r="812">
      <c r="A812" s="308"/>
      <c r="B812" s="308"/>
      <c r="C812" s="308"/>
      <c r="D812" s="308"/>
      <c r="E812" s="241"/>
      <c r="F812" s="241"/>
      <c r="G812" s="309"/>
      <c r="H812" s="241"/>
      <c r="J812" s="3"/>
      <c r="K812" s="3"/>
    </row>
    <row r="813">
      <c r="A813" s="308"/>
      <c r="B813" s="308"/>
      <c r="C813" s="308"/>
      <c r="D813" s="308"/>
      <c r="E813" s="241"/>
      <c r="F813" s="241"/>
      <c r="G813" s="309"/>
      <c r="H813" s="241"/>
      <c r="J813" s="3"/>
      <c r="K813" s="3"/>
    </row>
    <row r="814">
      <c r="A814" s="308"/>
      <c r="B814" s="308"/>
      <c r="C814" s="308"/>
      <c r="D814" s="308"/>
      <c r="E814" s="241"/>
      <c r="F814" s="241"/>
      <c r="G814" s="309"/>
      <c r="H814" s="241"/>
      <c r="J814" s="3"/>
      <c r="K814" s="3"/>
    </row>
    <row r="815">
      <c r="A815" s="308"/>
      <c r="B815" s="308"/>
      <c r="C815" s="308"/>
      <c r="D815" s="308"/>
      <c r="E815" s="241"/>
      <c r="F815" s="241"/>
      <c r="G815" s="309"/>
      <c r="H815" s="241"/>
      <c r="J815" s="3"/>
      <c r="K815" s="3"/>
    </row>
    <row r="816">
      <c r="A816" s="308"/>
      <c r="B816" s="308"/>
      <c r="C816" s="308"/>
      <c r="D816" s="308"/>
      <c r="E816" s="241"/>
      <c r="F816" s="241"/>
      <c r="G816" s="309"/>
      <c r="H816" s="241"/>
      <c r="J816" s="3"/>
      <c r="K816" s="3"/>
    </row>
    <row r="817">
      <c r="A817" s="308"/>
      <c r="B817" s="308"/>
      <c r="C817" s="308"/>
      <c r="D817" s="308"/>
      <c r="E817" s="241"/>
      <c r="F817" s="241"/>
      <c r="G817" s="309"/>
      <c r="H817" s="241"/>
      <c r="J817" s="3"/>
      <c r="K817" s="3"/>
    </row>
    <row r="818">
      <c r="A818" s="308"/>
      <c r="B818" s="308"/>
      <c r="C818" s="308"/>
      <c r="D818" s="308"/>
      <c r="E818" s="241"/>
      <c r="F818" s="241"/>
      <c r="G818" s="309"/>
      <c r="H818" s="241"/>
      <c r="J818" s="3"/>
      <c r="K818" s="3"/>
    </row>
    <row r="819">
      <c r="A819" s="308"/>
      <c r="B819" s="308"/>
      <c r="C819" s="308"/>
      <c r="D819" s="308"/>
      <c r="E819" s="241"/>
      <c r="F819" s="241"/>
      <c r="G819" s="309"/>
      <c r="H819" s="241"/>
      <c r="J819" s="3"/>
      <c r="K819" s="3"/>
    </row>
    <row r="820">
      <c r="A820" s="308"/>
      <c r="B820" s="308"/>
      <c r="C820" s="308"/>
      <c r="D820" s="308"/>
      <c r="E820" s="241"/>
      <c r="F820" s="241"/>
      <c r="G820" s="309"/>
      <c r="H820" s="241"/>
      <c r="J820" s="3"/>
      <c r="K820" s="3"/>
    </row>
    <row r="821">
      <c r="A821" s="308"/>
      <c r="B821" s="308"/>
      <c r="C821" s="308"/>
      <c r="D821" s="308"/>
      <c r="E821" s="241"/>
      <c r="F821" s="241"/>
      <c r="G821" s="309"/>
      <c r="H821" s="241"/>
      <c r="J821" s="3"/>
      <c r="K821" s="3"/>
    </row>
    <row r="822">
      <c r="A822" s="308"/>
      <c r="B822" s="308"/>
      <c r="C822" s="308"/>
      <c r="D822" s="308"/>
      <c r="E822" s="241"/>
      <c r="F822" s="241"/>
      <c r="G822" s="309"/>
      <c r="H822" s="241"/>
      <c r="J822" s="3"/>
      <c r="K822" s="3"/>
    </row>
    <row r="823">
      <c r="A823" s="308"/>
      <c r="B823" s="308"/>
      <c r="C823" s="308"/>
      <c r="D823" s="308"/>
      <c r="E823" s="241"/>
      <c r="F823" s="241"/>
      <c r="G823" s="309"/>
      <c r="H823" s="241"/>
      <c r="J823" s="3"/>
      <c r="K823" s="3"/>
    </row>
    <row r="824">
      <c r="A824" s="308"/>
      <c r="B824" s="308"/>
      <c r="C824" s="308"/>
      <c r="D824" s="308"/>
      <c r="E824" s="241"/>
      <c r="F824" s="241"/>
      <c r="G824" s="309"/>
      <c r="H824" s="241"/>
      <c r="J824" s="3"/>
      <c r="K824" s="3"/>
    </row>
    <row r="825">
      <c r="A825" s="308"/>
      <c r="B825" s="308"/>
      <c r="C825" s="308"/>
      <c r="D825" s="308"/>
      <c r="E825" s="241"/>
      <c r="F825" s="241"/>
      <c r="G825" s="309"/>
      <c r="H825" s="241"/>
      <c r="J825" s="3"/>
      <c r="K825" s="3"/>
    </row>
    <row r="826">
      <c r="A826" s="308"/>
      <c r="B826" s="308"/>
      <c r="C826" s="308"/>
      <c r="D826" s="308"/>
      <c r="E826" s="241"/>
      <c r="F826" s="241"/>
      <c r="G826" s="309"/>
      <c r="H826" s="241"/>
      <c r="J826" s="3"/>
      <c r="K826" s="3"/>
    </row>
    <row r="827">
      <c r="A827" s="308"/>
      <c r="B827" s="308"/>
      <c r="C827" s="308"/>
      <c r="D827" s="308"/>
      <c r="E827" s="241"/>
      <c r="F827" s="241"/>
      <c r="G827" s="309"/>
      <c r="H827" s="241"/>
      <c r="J827" s="3"/>
      <c r="K827" s="3"/>
    </row>
    <row r="828">
      <c r="A828" s="308"/>
      <c r="B828" s="308"/>
      <c r="C828" s="308"/>
      <c r="D828" s="308"/>
      <c r="E828" s="241"/>
      <c r="F828" s="241"/>
      <c r="G828" s="309"/>
      <c r="H828" s="241"/>
      <c r="J828" s="3"/>
      <c r="K828" s="3"/>
    </row>
    <row r="829">
      <c r="A829" s="308"/>
      <c r="B829" s="308"/>
      <c r="C829" s="308"/>
      <c r="D829" s="308"/>
      <c r="E829" s="241"/>
      <c r="F829" s="241"/>
      <c r="G829" s="309"/>
      <c r="H829" s="241"/>
      <c r="J829" s="3"/>
      <c r="K829" s="3"/>
    </row>
    <row r="830">
      <c r="A830" s="308"/>
      <c r="B830" s="308"/>
      <c r="C830" s="308"/>
      <c r="D830" s="308"/>
      <c r="E830" s="241"/>
      <c r="F830" s="241"/>
      <c r="G830" s="309"/>
      <c r="H830" s="241"/>
      <c r="J830" s="3"/>
      <c r="K830" s="3"/>
    </row>
    <row r="831">
      <c r="A831" s="308"/>
      <c r="B831" s="308"/>
      <c r="C831" s="308"/>
      <c r="D831" s="308"/>
      <c r="E831" s="241"/>
      <c r="F831" s="241"/>
      <c r="G831" s="309"/>
      <c r="H831" s="241"/>
      <c r="J831" s="3"/>
      <c r="K831" s="3"/>
    </row>
    <row r="832">
      <c r="A832" s="308"/>
      <c r="B832" s="308"/>
      <c r="C832" s="308"/>
      <c r="D832" s="308"/>
      <c r="E832" s="241"/>
      <c r="F832" s="241"/>
      <c r="G832" s="309"/>
      <c r="H832" s="241"/>
      <c r="J832" s="3"/>
      <c r="K832" s="3"/>
    </row>
    <row r="833">
      <c r="A833" s="308"/>
      <c r="B833" s="308"/>
      <c r="C833" s="308"/>
      <c r="D833" s="308"/>
      <c r="E833" s="241"/>
      <c r="F833" s="241"/>
      <c r="G833" s="309"/>
      <c r="H833" s="241"/>
      <c r="J833" s="3"/>
      <c r="K833" s="3"/>
    </row>
    <row r="834">
      <c r="A834" s="308"/>
      <c r="B834" s="308"/>
      <c r="C834" s="308"/>
      <c r="D834" s="308"/>
      <c r="E834" s="241"/>
      <c r="F834" s="241"/>
      <c r="G834" s="309"/>
      <c r="H834" s="241"/>
      <c r="J834" s="3"/>
      <c r="K834" s="3"/>
    </row>
    <row r="835">
      <c r="A835" s="308"/>
      <c r="B835" s="308"/>
      <c r="C835" s="308"/>
      <c r="D835" s="308"/>
      <c r="E835" s="241"/>
      <c r="F835" s="241"/>
      <c r="G835" s="309"/>
      <c r="H835" s="241"/>
      <c r="J835" s="3"/>
      <c r="K835" s="3"/>
    </row>
    <row r="836">
      <c r="A836" s="308"/>
      <c r="B836" s="308"/>
      <c r="C836" s="308"/>
      <c r="D836" s="308"/>
      <c r="E836" s="241"/>
      <c r="F836" s="241"/>
      <c r="G836" s="309"/>
      <c r="H836" s="241"/>
      <c r="J836" s="3"/>
      <c r="K836" s="3"/>
    </row>
    <row r="837">
      <c r="A837" s="308"/>
      <c r="B837" s="308"/>
      <c r="C837" s="308"/>
      <c r="D837" s="308"/>
      <c r="E837" s="241"/>
      <c r="F837" s="241"/>
      <c r="G837" s="309"/>
      <c r="H837" s="241"/>
      <c r="J837" s="3"/>
      <c r="K837" s="3"/>
    </row>
    <row r="838">
      <c r="A838" s="308"/>
      <c r="B838" s="308"/>
      <c r="C838" s="308"/>
      <c r="D838" s="308"/>
      <c r="E838" s="241"/>
      <c r="F838" s="241"/>
      <c r="G838" s="309"/>
      <c r="H838" s="241"/>
      <c r="J838" s="3"/>
      <c r="K838" s="3"/>
    </row>
    <row r="839">
      <c r="A839" s="308"/>
      <c r="B839" s="308"/>
      <c r="C839" s="308"/>
      <c r="D839" s="308"/>
      <c r="E839" s="241"/>
      <c r="F839" s="241"/>
      <c r="G839" s="309"/>
      <c r="H839" s="241"/>
      <c r="J839" s="3"/>
      <c r="K839" s="3"/>
    </row>
    <row r="840">
      <c r="A840" s="308"/>
      <c r="B840" s="308"/>
      <c r="C840" s="308"/>
      <c r="D840" s="308"/>
      <c r="E840" s="241"/>
      <c r="F840" s="241"/>
      <c r="G840" s="309"/>
      <c r="H840" s="241"/>
      <c r="J840" s="3"/>
      <c r="K840" s="3"/>
    </row>
    <row r="841">
      <c r="A841" s="308"/>
      <c r="B841" s="308"/>
      <c r="C841" s="308"/>
      <c r="D841" s="308"/>
      <c r="E841" s="241"/>
      <c r="F841" s="241"/>
      <c r="G841" s="309"/>
      <c r="H841" s="241"/>
      <c r="J841" s="3"/>
      <c r="K841" s="3"/>
    </row>
    <row r="842">
      <c r="A842" s="308"/>
      <c r="B842" s="308"/>
      <c r="C842" s="308"/>
      <c r="D842" s="308"/>
      <c r="E842" s="241"/>
      <c r="F842" s="241"/>
      <c r="G842" s="309"/>
      <c r="H842" s="241"/>
      <c r="J842" s="3"/>
      <c r="K842" s="3"/>
    </row>
    <row r="843">
      <c r="A843" s="308"/>
      <c r="B843" s="308"/>
      <c r="C843" s="308"/>
      <c r="D843" s="308"/>
      <c r="E843" s="241"/>
      <c r="F843" s="241"/>
      <c r="G843" s="309"/>
      <c r="H843" s="241"/>
      <c r="J843" s="3"/>
      <c r="K843" s="3"/>
    </row>
    <row r="844">
      <c r="A844" s="308"/>
      <c r="B844" s="308"/>
      <c r="C844" s="308"/>
      <c r="D844" s="308"/>
      <c r="E844" s="241"/>
      <c r="F844" s="241"/>
      <c r="G844" s="309"/>
      <c r="H844" s="241"/>
      <c r="J844" s="3"/>
      <c r="K844" s="3"/>
    </row>
    <row r="845">
      <c r="A845" s="308"/>
      <c r="B845" s="308"/>
      <c r="C845" s="308"/>
      <c r="D845" s="308"/>
      <c r="E845" s="241"/>
      <c r="F845" s="241"/>
      <c r="G845" s="309"/>
      <c r="H845" s="241"/>
      <c r="J845" s="3"/>
      <c r="K845" s="3"/>
    </row>
    <row r="846">
      <c r="A846" s="308"/>
      <c r="B846" s="308"/>
      <c r="C846" s="308"/>
      <c r="D846" s="308"/>
      <c r="E846" s="241"/>
      <c r="F846" s="241"/>
      <c r="G846" s="309"/>
      <c r="H846" s="241"/>
      <c r="J846" s="3"/>
      <c r="K846" s="3"/>
    </row>
    <row r="847">
      <c r="A847" s="308"/>
      <c r="B847" s="308"/>
      <c r="C847" s="308"/>
      <c r="D847" s="308"/>
      <c r="E847" s="241"/>
      <c r="F847" s="241"/>
      <c r="G847" s="309"/>
      <c r="H847" s="241"/>
      <c r="J847" s="3"/>
      <c r="K847" s="3"/>
    </row>
    <row r="848">
      <c r="A848" s="308"/>
      <c r="B848" s="308"/>
      <c r="C848" s="308"/>
      <c r="D848" s="308"/>
      <c r="E848" s="241"/>
      <c r="F848" s="241"/>
      <c r="G848" s="309"/>
      <c r="H848" s="241"/>
      <c r="J848" s="3"/>
      <c r="K848" s="3"/>
    </row>
    <row r="849">
      <c r="A849" s="308"/>
      <c r="B849" s="308"/>
      <c r="C849" s="308"/>
      <c r="D849" s="308"/>
      <c r="E849" s="241"/>
      <c r="F849" s="241"/>
      <c r="G849" s="309"/>
      <c r="H849" s="241"/>
      <c r="J849" s="3"/>
      <c r="K849" s="3"/>
    </row>
    <row r="850">
      <c r="A850" s="308"/>
      <c r="B850" s="308"/>
      <c r="C850" s="308"/>
      <c r="D850" s="308"/>
      <c r="E850" s="241"/>
      <c r="F850" s="241"/>
      <c r="G850" s="309"/>
      <c r="H850" s="241"/>
      <c r="J850" s="3"/>
      <c r="K850" s="3"/>
    </row>
    <row r="851">
      <c r="A851" s="308"/>
      <c r="B851" s="308"/>
      <c r="C851" s="308"/>
      <c r="D851" s="308"/>
      <c r="E851" s="241"/>
      <c r="F851" s="241"/>
      <c r="G851" s="309"/>
      <c r="H851" s="241"/>
      <c r="J851" s="3"/>
      <c r="K851" s="3"/>
    </row>
    <row r="852">
      <c r="A852" s="308"/>
      <c r="B852" s="308"/>
      <c r="C852" s="308"/>
      <c r="D852" s="308"/>
      <c r="E852" s="241"/>
      <c r="F852" s="241"/>
      <c r="G852" s="309"/>
      <c r="H852" s="241"/>
      <c r="J852" s="3"/>
      <c r="K852" s="3"/>
    </row>
    <row r="853">
      <c r="A853" s="308"/>
      <c r="B853" s="308"/>
      <c r="C853" s="308"/>
      <c r="D853" s="308"/>
      <c r="E853" s="241"/>
      <c r="F853" s="241"/>
      <c r="G853" s="309"/>
      <c r="H853" s="241"/>
      <c r="J853" s="3"/>
      <c r="K853" s="3"/>
    </row>
    <row r="854">
      <c r="A854" s="308"/>
      <c r="B854" s="308"/>
      <c r="C854" s="308"/>
      <c r="D854" s="308"/>
      <c r="E854" s="241"/>
      <c r="F854" s="241"/>
      <c r="G854" s="309"/>
      <c r="H854" s="241"/>
      <c r="J854" s="3"/>
      <c r="K854" s="3"/>
    </row>
    <row r="855">
      <c r="A855" s="308"/>
      <c r="B855" s="308"/>
      <c r="C855" s="308"/>
      <c r="D855" s="308"/>
      <c r="E855" s="241"/>
      <c r="F855" s="241"/>
      <c r="G855" s="309"/>
      <c r="H855" s="241"/>
      <c r="J855" s="3"/>
      <c r="K855" s="3"/>
    </row>
    <row r="856">
      <c r="A856" s="308"/>
      <c r="B856" s="308"/>
      <c r="C856" s="308"/>
      <c r="D856" s="308"/>
      <c r="E856" s="241"/>
      <c r="F856" s="241"/>
      <c r="G856" s="309"/>
      <c r="H856" s="241"/>
      <c r="J856" s="3"/>
      <c r="K856" s="3"/>
    </row>
    <row r="857">
      <c r="A857" s="308"/>
      <c r="B857" s="308"/>
      <c r="C857" s="308"/>
      <c r="D857" s="308"/>
      <c r="E857" s="241"/>
      <c r="F857" s="241"/>
      <c r="G857" s="309"/>
      <c r="H857" s="241"/>
      <c r="J857" s="3"/>
      <c r="K857" s="3"/>
    </row>
    <row r="858">
      <c r="A858" s="308"/>
      <c r="B858" s="308"/>
      <c r="C858" s="308"/>
      <c r="D858" s="308"/>
      <c r="E858" s="241"/>
      <c r="F858" s="241"/>
      <c r="G858" s="309"/>
      <c r="H858" s="241"/>
      <c r="J858" s="3"/>
      <c r="K858" s="3"/>
    </row>
    <row r="859">
      <c r="A859" s="308"/>
      <c r="B859" s="308"/>
      <c r="C859" s="308"/>
      <c r="D859" s="308"/>
      <c r="E859" s="241"/>
      <c r="F859" s="241"/>
      <c r="G859" s="309"/>
      <c r="H859" s="241"/>
      <c r="J859" s="3"/>
      <c r="K859" s="3"/>
    </row>
    <row r="860">
      <c r="A860" s="308"/>
      <c r="B860" s="308"/>
      <c r="C860" s="308"/>
      <c r="D860" s="308"/>
      <c r="E860" s="241"/>
      <c r="F860" s="241"/>
      <c r="G860" s="309"/>
      <c r="H860" s="241"/>
      <c r="J860" s="3"/>
      <c r="K860" s="3"/>
    </row>
    <row r="861">
      <c r="A861" s="308"/>
      <c r="B861" s="308"/>
      <c r="C861" s="308"/>
      <c r="D861" s="308"/>
      <c r="E861" s="241"/>
      <c r="F861" s="241"/>
      <c r="G861" s="309"/>
      <c r="H861" s="241"/>
      <c r="J861" s="3"/>
      <c r="K861" s="3"/>
    </row>
    <row r="862">
      <c r="A862" s="308"/>
      <c r="B862" s="308"/>
      <c r="C862" s="308"/>
      <c r="D862" s="308"/>
      <c r="E862" s="241"/>
      <c r="F862" s="241"/>
      <c r="G862" s="309"/>
      <c r="H862" s="241"/>
      <c r="J862" s="3"/>
      <c r="K862" s="3"/>
    </row>
    <row r="863">
      <c r="A863" s="308"/>
      <c r="B863" s="308"/>
      <c r="C863" s="308"/>
      <c r="D863" s="308"/>
      <c r="E863" s="241"/>
      <c r="F863" s="241"/>
      <c r="G863" s="309"/>
      <c r="H863" s="241"/>
      <c r="J863" s="3"/>
      <c r="K863" s="3"/>
    </row>
    <row r="864">
      <c r="A864" s="308"/>
      <c r="B864" s="308"/>
      <c r="C864" s="308"/>
      <c r="D864" s="308"/>
      <c r="E864" s="241"/>
      <c r="F864" s="241"/>
      <c r="G864" s="309"/>
      <c r="H864" s="241"/>
      <c r="J864" s="3"/>
      <c r="K864" s="3"/>
    </row>
    <row r="865">
      <c r="A865" s="308"/>
      <c r="B865" s="308"/>
      <c r="C865" s="308"/>
      <c r="D865" s="308"/>
      <c r="E865" s="241"/>
      <c r="F865" s="241"/>
      <c r="G865" s="309"/>
      <c r="H865" s="241"/>
      <c r="J865" s="3"/>
      <c r="K865" s="3"/>
    </row>
    <row r="866">
      <c r="A866" s="308"/>
      <c r="B866" s="308"/>
      <c r="C866" s="308"/>
      <c r="D866" s="308"/>
      <c r="E866" s="241"/>
      <c r="F866" s="241"/>
      <c r="G866" s="309"/>
      <c r="H866" s="241"/>
      <c r="J866" s="3"/>
      <c r="K866" s="3"/>
    </row>
    <row r="867">
      <c r="A867" s="308"/>
      <c r="B867" s="308"/>
      <c r="C867" s="308"/>
      <c r="D867" s="308"/>
      <c r="E867" s="241"/>
      <c r="F867" s="241"/>
      <c r="G867" s="309"/>
      <c r="H867" s="241"/>
      <c r="J867" s="3"/>
      <c r="K867" s="3"/>
    </row>
    <row r="868">
      <c r="A868" s="308"/>
      <c r="B868" s="308"/>
      <c r="C868" s="308"/>
      <c r="D868" s="308"/>
      <c r="E868" s="241"/>
      <c r="F868" s="241"/>
      <c r="G868" s="309"/>
      <c r="H868" s="241"/>
      <c r="J868" s="3"/>
      <c r="K868" s="3"/>
    </row>
    <row r="869">
      <c r="A869" s="308"/>
      <c r="B869" s="308"/>
      <c r="C869" s="308"/>
      <c r="D869" s="308"/>
      <c r="E869" s="241"/>
      <c r="F869" s="241"/>
      <c r="G869" s="309"/>
      <c r="H869" s="241"/>
      <c r="J869" s="3"/>
      <c r="K869" s="3"/>
    </row>
    <row r="870">
      <c r="A870" s="308"/>
      <c r="B870" s="308"/>
      <c r="C870" s="308"/>
      <c r="D870" s="308"/>
      <c r="E870" s="241"/>
      <c r="F870" s="241"/>
      <c r="G870" s="309"/>
      <c r="H870" s="241"/>
      <c r="J870" s="3"/>
      <c r="K870" s="3"/>
    </row>
    <row r="871">
      <c r="A871" s="308"/>
      <c r="B871" s="308"/>
      <c r="C871" s="308"/>
      <c r="D871" s="308"/>
      <c r="E871" s="241"/>
      <c r="F871" s="241"/>
      <c r="G871" s="309"/>
      <c r="H871" s="241"/>
      <c r="J871" s="3"/>
      <c r="K871" s="3"/>
    </row>
    <row r="872">
      <c r="A872" s="308"/>
      <c r="B872" s="308"/>
      <c r="C872" s="308"/>
      <c r="D872" s="308"/>
      <c r="E872" s="241"/>
      <c r="F872" s="241"/>
      <c r="G872" s="309"/>
      <c r="H872" s="241"/>
      <c r="J872" s="3"/>
      <c r="K872" s="3"/>
    </row>
    <row r="873">
      <c r="A873" s="308"/>
      <c r="B873" s="308"/>
      <c r="C873" s="308"/>
      <c r="D873" s="308"/>
      <c r="E873" s="241"/>
      <c r="F873" s="241"/>
      <c r="G873" s="309"/>
      <c r="H873" s="241"/>
      <c r="J873" s="3"/>
      <c r="K873" s="3"/>
    </row>
    <row r="874">
      <c r="A874" s="308"/>
      <c r="B874" s="308"/>
      <c r="C874" s="308"/>
      <c r="D874" s="308"/>
      <c r="E874" s="241"/>
      <c r="F874" s="241"/>
      <c r="G874" s="309"/>
      <c r="H874" s="241"/>
      <c r="J874" s="3"/>
      <c r="K874" s="3"/>
    </row>
    <row r="875">
      <c r="A875" s="308"/>
      <c r="B875" s="308"/>
      <c r="C875" s="308"/>
      <c r="D875" s="308"/>
      <c r="E875" s="241"/>
      <c r="F875" s="241"/>
      <c r="G875" s="309"/>
      <c r="H875" s="241"/>
      <c r="J875" s="3"/>
      <c r="K875" s="3"/>
    </row>
    <row r="876">
      <c r="A876" s="308"/>
      <c r="B876" s="308"/>
      <c r="C876" s="308"/>
      <c r="D876" s="308"/>
      <c r="E876" s="241"/>
      <c r="F876" s="241"/>
      <c r="G876" s="309"/>
      <c r="H876" s="241"/>
      <c r="J876" s="3"/>
      <c r="K876" s="3"/>
    </row>
    <row r="877">
      <c r="A877" s="308"/>
      <c r="B877" s="308"/>
      <c r="C877" s="308"/>
      <c r="D877" s="308"/>
      <c r="E877" s="241"/>
      <c r="F877" s="241"/>
      <c r="G877" s="309"/>
      <c r="H877" s="241"/>
      <c r="J877" s="3"/>
      <c r="K877" s="3"/>
    </row>
    <row r="878">
      <c r="A878" s="308"/>
      <c r="B878" s="308"/>
      <c r="C878" s="308"/>
      <c r="D878" s="308"/>
      <c r="E878" s="241"/>
      <c r="F878" s="241"/>
      <c r="G878" s="309"/>
      <c r="H878" s="241"/>
      <c r="J878" s="3"/>
      <c r="K878" s="3"/>
    </row>
    <row r="879">
      <c r="A879" s="308"/>
      <c r="B879" s="308"/>
      <c r="C879" s="308"/>
      <c r="D879" s="308"/>
      <c r="E879" s="241"/>
      <c r="F879" s="241"/>
      <c r="G879" s="309"/>
      <c r="H879" s="241"/>
      <c r="J879" s="3"/>
      <c r="K879" s="3"/>
    </row>
    <row r="880">
      <c r="A880" s="308"/>
      <c r="B880" s="308"/>
      <c r="C880" s="308"/>
      <c r="D880" s="308"/>
      <c r="E880" s="241"/>
      <c r="F880" s="241"/>
      <c r="G880" s="309"/>
      <c r="H880" s="241"/>
      <c r="J880" s="3"/>
      <c r="K880" s="3"/>
    </row>
    <row r="881">
      <c r="A881" s="308"/>
      <c r="B881" s="308"/>
      <c r="C881" s="308"/>
      <c r="D881" s="308"/>
      <c r="E881" s="241"/>
      <c r="F881" s="241"/>
      <c r="G881" s="309"/>
      <c r="H881" s="241"/>
      <c r="J881" s="3"/>
      <c r="K881" s="3"/>
    </row>
    <row r="882">
      <c r="A882" s="308"/>
      <c r="B882" s="308"/>
      <c r="C882" s="308"/>
      <c r="D882" s="308"/>
      <c r="E882" s="241"/>
      <c r="F882" s="241"/>
      <c r="G882" s="309"/>
      <c r="H882" s="241"/>
      <c r="J882" s="3"/>
      <c r="K882" s="3"/>
    </row>
    <row r="883">
      <c r="A883" s="308"/>
      <c r="B883" s="308"/>
      <c r="C883" s="308"/>
      <c r="D883" s="308"/>
      <c r="E883" s="241"/>
      <c r="F883" s="241"/>
      <c r="G883" s="309"/>
      <c r="H883" s="241"/>
      <c r="J883" s="3"/>
      <c r="K883" s="3"/>
    </row>
    <row r="884">
      <c r="A884" s="308"/>
      <c r="B884" s="308"/>
      <c r="C884" s="308"/>
      <c r="D884" s="308"/>
      <c r="E884" s="241"/>
      <c r="F884" s="241"/>
      <c r="G884" s="309"/>
      <c r="H884" s="241"/>
      <c r="J884" s="3"/>
      <c r="K884" s="3"/>
    </row>
    <row r="885">
      <c r="A885" s="308"/>
      <c r="B885" s="308"/>
      <c r="C885" s="308"/>
      <c r="D885" s="308"/>
      <c r="E885" s="241"/>
      <c r="F885" s="241"/>
      <c r="G885" s="309"/>
      <c r="H885" s="241"/>
      <c r="J885" s="3"/>
      <c r="K885" s="3"/>
    </row>
    <row r="886">
      <c r="A886" s="308"/>
      <c r="B886" s="308"/>
      <c r="C886" s="308"/>
      <c r="D886" s="308"/>
      <c r="E886" s="241"/>
      <c r="F886" s="241"/>
      <c r="G886" s="309"/>
      <c r="H886" s="241"/>
      <c r="J886" s="3"/>
      <c r="K886" s="3"/>
    </row>
    <row r="887">
      <c r="A887" s="308"/>
      <c r="B887" s="308"/>
      <c r="C887" s="308"/>
      <c r="D887" s="308"/>
      <c r="E887" s="241"/>
      <c r="F887" s="241"/>
      <c r="G887" s="309"/>
      <c r="H887" s="241"/>
      <c r="J887" s="3"/>
      <c r="K887" s="3"/>
    </row>
    <row r="888">
      <c r="A888" s="308"/>
      <c r="B888" s="308"/>
      <c r="C888" s="308"/>
      <c r="D888" s="308"/>
      <c r="E888" s="241"/>
      <c r="F888" s="241"/>
      <c r="G888" s="309"/>
      <c r="H888" s="241"/>
      <c r="J888" s="3"/>
      <c r="K888" s="3"/>
    </row>
    <row r="889">
      <c r="A889" s="308"/>
      <c r="B889" s="308"/>
      <c r="C889" s="308"/>
      <c r="D889" s="308"/>
      <c r="E889" s="241"/>
      <c r="F889" s="241"/>
      <c r="G889" s="309"/>
      <c r="H889" s="241"/>
      <c r="J889" s="3"/>
      <c r="K889" s="3"/>
    </row>
    <row r="890">
      <c r="A890" s="308"/>
      <c r="B890" s="308"/>
      <c r="C890" s="308"/>
      <c r="D890" s="308"/>
      <c r="E890" s="241"/>
      <c r="F890" s="241"/>
      <c r="G890" s="309"/>
      <c r="H890" s="241"/>
      <c r="J890" s="3"/>
      <c r="K890" s="3"/>
    </row>
    <row r="891">
      <c r="A891" s="308"/>
      <c r="B891" s="308"/>
      <c r="C891" s="308"/>
      <c r="D891" s="308"/>
      <c r="E891" s="241"/>
      <c r="F891" s="241"/>
      <c r="G891" s="309"/>
      <c r="H891" s="241"/>
      <c r="J891" s="3"/>
      <c r="K891" s="3"/>
    </row>
    <row r="892">
      <c r="A892" s="308"/>
      <c r="B892" s="308"/>
      <c r="C892" s="308"/>
      <c r="D892" s="308"/>
      <c r="E892" s="241"/>
      <c r="F892" s="241"/>
      <c r="G892" s="309"/>
      <c r="H892" s="241"/>
      <c r="J892" s="3"/>
      <c r="K892" s="3"/>
    </row>
    <row r="893">
      <c r="A893" s="308"/>
      <c r="B893" s="308"/>
      <c r="C893" s="308"/>
      <c r="D893" s="308"/>
      <c r="E893" s="241"/>
      <c r="F893" s="241"/>
      <c r="G893" s="309"/>
      <c r="H893" s="241"/>
      <c r="J893" s="3"/>
      <c r="K893" s="3"/>
    </row>
    <row r="894">
      <c r="A894" s="308"/>
      <c r="B894" s="308"/>
      <c r="C894" s="308"/>
      <c r="D894" s="308"/>
      <c r="E894" s="241"/>
      <c r="F894" s="241"/>
      <c r="G894" s="309"/>
      <c r="H894" s="241"/>
      <c r="J894" s="3"/>
      <c r="K894" s="3"/>
    </row>
    <row r="895">
      <c r="A895" s="308"/>
      <c r="B895" s="308"/>
      <c r="C895" s="308"/>
      <c r="D895" s="308"/>
      <c r="E895" s="241"/>
      <c r="F895" s="241"/>
      <c r="G895" s="309"/>
      <c r="H895" s="241"/>
      <c r="J895" s="3"/>
      <c r="K895" s="3"/>
    </row>
    <row r="896">
      <c r="A896" s="308"/>
      <c r="B896" s="308"/>
      <c r="C896" s="308"/>
      <c r="D896" s="308"/>
      <c r="E896" s="241"/>
      <c r="F896" s="241"/>
      <c r="G896" s="309"/>
      <c r="H896" s="241"/>
      <c r="J896" s="3"/>
      <c r="K896" s="3"/>
    </row>
    <row r="897">
      <c r="A897" s="308"/>
      <c r="B897" s="308"/>
      <c r="C897" s="308"/>
      <c r="D897" s="308"/>
      <c r="E897" s="241"/>
      <c r="F897" s="241"/>
      <c r="G897" s="309"/>
      <c r="H897" s="241"/>
      <c r="J897" s="3"/>
      <c r="K897" s="3"/>
    </row>
    <row r="898">
      <c r="A898" s="308"/>
      <c r="B898" s="308"/>
      <c r="C898" s="308"/>
      <c r="D898" s="308"/>
      <c r="E898" s="241"/>
      <c r="F898" s="241"/>
      <c r="G898" s="309"/>
      <c r="H898" s="241"/>
      <c r="J898" s="3"/>
      <c r="K898" s="3"/>
    </row>
    <row r="899">
      <c r="A899" s="308"/>
      <c r="B899" s="308"/>
      <c r="C899" s="308"/>
      <c r="D899" s="308"/>
      <c r="E899" s="241"/>
      <c r="F899" s="241"/>
      <c r="G899" s="309"/>
      <c r="H899" s="241"/>
      <c r="J899" s="3"/>
      <c r="K899" s="3"/>
    </row>
    <row r="900">
      <c r="A900" s="308"/>
      <c r="B900" s="308"/>
      <c r="C900" s="308"/>
      <c r="D900" s="308"/>
      <c r="E900" s="241"/>
      <c r="F900" s="241"/>
      <c r="G900" s="309"/>
      <c r="H900" s="241"/>
      <c r="J900" s="3"/>
      <c r="K900" s="3"/>
    </row>
    <row r="901">
      <c r="A901" s="308"/>
      <c r="B901" s="308"/>
      <c r="C901" s="308"/>
      <c r="D901" s="308"/>
      <c r="E901" s="241"/>
      <c r="F901" s="241"/>
      <c r="G901" s="309"/>
      <c r="H901" s="241"/>
      <c r="J901" s="3"/>
      <c r="K901" s="3"/>
    </row>
    <row r="902">
      <c r="A902" s="308"/>
      <c r="B902" s="308"/>
      <c r="C902" s="308"/>
      <c r="D902" s="308"/>
      <c r="E902" s="241"/>
      <c r="F902" s="241"/>
      <c r="G902" s="309"/>
      <c r="H902" s="241"/>
      <c r="J902" s="3"/>
      <c r="K902" s="3"/>
    </row>
    <row r="903">
      <c r="A903" s="308"/>
      <c r="B903" s="308"/>
      <c r="C903" s="308"/>
      <c r="D903" s="308"/>
      <c r="E903" s="241"/>
      <c r="F903" s="241"/>
      <c r="G903" s="309"/>
      <c r="H903" s="241"/>
      <c r="J903" s="3"/>
      <c r="K903" s="3"/>
    </row>
    <row r="904">
      <c r="A904" s="308"/>
      <c r="B904" s="308"/>
      <c r="C904" s="308"/>
      <c r="D904" s="308"/>
      <c r="E904" s="241"/>
      <c r="F904" s="241"/>
      <c r="G904" s="309"/>
      <c r="H904" s="241"/>
      <c r="J904" s="3"/>
      <c r="K904" s="3"/>
    </row>
    <row r="905">
      <c r="A905" s="308"/>
      <c r="B905" s="308"/>
      <c r="C905" s="308"/>
      <c r="D905" s="308"/>
      <c r="E905" s="241"/>
      <c r="F905" s="241"/>
      <c r="G905" s="309"/>
      <c r="H905" s="241"/>
      <c r="J905" s="3"/>
      <c r="K905" s="3"/>
    </row>
    <row r="906">
      <c r="A906" s="308"/>
      <c r="B906" s="308"/>
      <c r="C906" s="308"/>
      <c r="D906" s="308"/>
      <c r="E906" s="241"/>
      <c r="F906" s="241"/>
      <c r="G906" s="309"/>
      <c r="H906" s="241"/>
      <c r="J906" s="3"/>
      <c r="K906" s="3"/>
    </row>
    <row r="907">
      <c r="A907" s="308"/>
      <c r="B907" s="308"/>
      <c r="C907" s="308"/>
      <c r="D907" s="308"/>
      <c r="E907" s="241"/>
      <c r="F907" s="241"/>
      <c r="G907" s="309"/>
      <c r="H907" s="241"/>
      <c r="J907" s="3"/>
      <c r="K907" s="3"/>
    </row>
    <row r="908">
      <c r="A908" s="308"/>
      <c r="B908" s="308"/>
      <c r="C908" s="308"/>
      <c r="D908" s="308"/>
      <c r="E908" s="241"/>
      <c r="F908" s="241"/>
      <c r="G908" s="309"/>
      <c r="H908" s="241"/>
      <c r="J908" s="3"/>
      <c r="K908" s="3"/>
    </row>
    <row r="909">
      <c r="A909" s="308"/>
      <c r="B909" s="308"/>
      <c r="C909" s="308"/>
      <c r="D909" s="308"/>
      <c r="E909" s="241"/>
      <c r="F909" s="241"/>
      <c r="G909" s="309"/>
      <c r="H909" s="241"/>
      <c r="J909" s="3"/>
      <c r="K909" s="3"/>
    </row>
    <row r="910">
      <c r="A910" s="308"/>
      <c r="B910" s="308"/>
      <c r="C910" s="308"/>
      <c r="D910" s="308"/>
      <c r="E910" s="241"/>
      <c r="F910" s="241"/>
      <c r="G910" s="309"/>
      <c r="H910" s="241"/>
      <c r="J910" s="3"/>
      <c r="K910" s="3"/>
    </row>
    <row r="911">
      <c r="A911" s="308"/>
      <c r="B911" s="308"/>
      <c r="C911" s="308"/>
      <c r="D911" s="308"/>
      <c r="E911" s="241"/>
      <c r="F911" s="241"/>
      <c r="G911" s="309"/>
      <c r="H911" s="241"/>
      <c r="J911" s="3"/>
      <c r="K911" s="3"/>
    </row>
    <row r="912">
      <c r="A912" s="308"/>
      <c r="B912" s="308"/>
      <c r="C912" s="308"/>
      <c r="D912" s="308"/>
      <c r="E912" s="241"/>
      <c r="F912" s="241"/>
      <c r="G912" s="309"/>
      <c r="H912" s="241"/>
      <c r="J912" s="3"/>
      <c r="K912" s="3"/>
    </row>
    <row r="913">
      <c r="A913" s="308"/>
      <c r="B913" s="308"/>
      <c r="C913" s="308"/>
      <c r="D913" s="308"/>
      <c r="E913" s="241"/>
      <c r="F913" s="241"/>
      <c r="G913" s="309"/>
      <c r="H913" s="241"/>
      <c r="J913" s="3"/>
      <c r="K913" s="3"/>
    </row>
    <row r="914">
      <c r="A914" s="308"/>
      <c r="B914" s="308"/>
      <c r="C914" s="308"/>
      <c r="D914" s="308"/>
      <c r="E914" s="241"/>
      <c r="F914" s="241"/>
      <c r="G914" s="309"/>
      <c r="H914" s="241"/>
      <c r="J914" s="3"/>
      <c r="K914" s="3"/>
    </row>
    <row r="915">
      <c r="A915" s="308"/>
      <c r="B915" s="308"/>
      <c r="C915" s="308"/>
      <c r="D915" s="308"/>
      <c r="E915" s="241"/>
      <c r="F915" s="241"/>
      <c r="G915" s="309"/>
      <c r="H915" s="241"/>
      <c r="J915" s="3"/>
      <c r="K915" s="3"/>
    </row>
    <row r="916">
      <c r="A916" s="308"/>
      <c r="B916" s="308"/>
      <c r="C916" s="308"/>
      <c r="D916" s="308"/>
      <c r="E916" s="241"/>
      <c r="F916" s="241"/>
      <c r="G916" s="309"/>
      <c r="H916" s="241"/>
      <c r="J916" s="3"/>
      <c r="K916" s="3"/>
    </row>
    <row r="917">
      <c r="A917" s="308"/>
      <c r="B917" s="308"/>
      <c r="C917" s="308"/>
      <c r="D917" s="308"/>
      <c r="E917" s="241"/>
      <c r="F917" s="241"/>
      <c r="G917" s="309"/>
      <c r="H917" s="241"/>
      <c r="J917" s="3"/>
      <c r="K917" s="3"/>
    </row>
    <row r="918">
      <c r="A918" s="308"/>
      <c r="B918" s="308"/>
      <c r="C918" s="308"/>
      <c r="D918" s="308"/>
      <c r="E918" s="241"/>
      <c r="F918" s="241"/>
      <c r="G918" s="309"/>
      <c r="H918" s="241"/>
      <c r="J918" s="3"/>
      <c r="K918" s="3"/>
    </row>
    <row r="919">
      <c r="A919" s="308"/>
      <c r="B919" s="308"/>
      <c r="C919" s="308"/>
      <c r="D919" s="308"/>
      <c r="E919" s="241"/>
      <c r="F919" s="241"/>
      <c r="G919" s="309"/>
      <c r="H919" s="241"/>
      <c r="J919" s="3"/>
      <c r="K919" s="3"/>
    </row>
    <row r="920">
      <c r="A920" s="308"/>
      <c r="B920" s="308"/>
      <c r="C920" s="308"/>
      <c r="D920" s="308"/>
      <c r="E920" s="241"/>
      <c r="F920" s="241"/>
      <c r="G920" s="309"/>
      <c r="H920" s="241"/>
      <c r="J920" s="3"/>
      <c r="K920" s="3"/>
    </row>
    <row r="921">
      <c r="A921" s="308"/>
      <c r="B921" s="308"/>
      <c r="C921" s="308"/>
      <c r="D921" s="308"/>
      <c r="E921" s="241"/>
      <c r="F921" s="241"/>
      <c r="G921" s="309"/>
      <c r="H921" s="241"/>
      <c r="J921" s="3"/>
      <c r="K921" s="3"/>
    </row>
    <row r="922">
      <c r="A922" s="308"/>
      <c r="B922" s="308"/>
      <c r="C922" s="308"/>
      <c r="D922" s="308"/>
      <c r="E922" s="241"/>
      <c r="F922" s="241"/>
      <c r="G922" s="309"/>
      <c r="H922" s="241"/>
      <c r="J922" s="3"/>
      <c r="K922" s="3"/>
    </row>
    <row r="923">
      <c r="A923" s="308"/>
      <c r="B923" s="308"/>
      <c r="C923" s="308"/>
      <c r="D923" s="308"/>
      <c r="E923" s="241"/>
      <c r="F923" s="241"/>
      <c r="G923" s="309"/>
      <c r="H923" s="241"/>
      <c r="J923" s="3"/>
      <c r="K923" s="3"/>
    </row>
    <row r="924">
      <c r="A924" s="308"/>
      <c r="B924" s="308"/>
      <c r="C924" s="308"/>
      <c r="D924" s="308"/>
      <c r="E924" s="241"/>
      <c r="F924" s="241"/>
      <c r="G924" s="309"/>
      <c r="H924" s="241"/>
      <c r="J924" s="3"/>
      <c r="K924" s="3"/>
    </row>
    <row r="925">
      <c r="A925" s="308"/>
      <c r="B925" s="308"/>
      <c r="C925" s="308"/>
      <c r="D925" s="308"/>
      <c r="E925" s="241"/>
      <c r="F925" s="241"/>
      <c r="G925" s="309"/>
      <c r="H925" s="241"/>
      <c r="J925" s="3"/>
      <c r="K925" s="3"/>
    </row>
    <row r="926">
      <c r="A926" s="308"/>
      <c r="B926" s="308"/>
      <c r="C926" s="308"/>
      <c r="D926" s="308"/>
      <c r="E926" s="241"/>
      <c r="F926" s="241"/>
      <c r="G926" s="309"/>
      <c r="H926" s="241"/>
      <c r="J926" s="3"/>
      <c r="K926" s="3"/>
    </row>
    <row r="927">
      <c r="A927" s="308"/>
      <c r="B927" s="308"/>
      <c r="C927" s="308"/>
      <c r="D927" s="308"/>
      <c r="E927" s="241"/>
      <c r="F927" s="241"/>
      <c r="G927" s="309"/>
      <c r="H927" s="241"/>
      <c r="J927" s="3"/>
      <c r="K927" s="3"/>
    </row>
    <row r="928">
      <c r="A928" s="308"/>
      <c r="B928" s="308"/>
      <c r="C928" s="308"/>
      <c r="D928" s="308"/>
      <c r="E928" s="241"/>
      <c r="F928" s="241"/>
      <c r="G928" s="309"/>
      <c r="H928" s="241"/>
      <c r="J928" s="3"/>
      <c r="K928" s="3"/>
    </row>
    <row r="929">
      <c r="A929" s="308"/>
      <c r="B929" s="308"/>
      <c r="C929" s="308"/>
      <c r="D929" s="308"/>
      <c r="E929" s="241"/>
      <c r="F929" s="241"/>
      <c r="G929" s="309"/>
      <c r="H929" s="241"/>
      <c r="J929" s="3"/>
      <c r="K929" s="3"/>
    </row>
    <row r="930">
      <c r="A930" s="308"/>
      <c r="B930" s="308"/>
      <c r="C930" s="308"/>
      <c r="D930" s="308"/>
      <c r="E930" s="241"/>
      <c r="F930" s="241"/>
      <c r="G930" s="309"/>
      <c r="H930" s="241"/>
      <c r="J930" s="3"/>
      <c r="K930" s="3"/>
    </row>
    <row r="931">
      <c r="A931" s="308"/>
      <c r="B931" s="308"/>
      <c r="C931" s="308"/>
      <c r="D931" s="308"/>
      <c r="E931" s="241"/>
      <c r="F931" s="241"/>
      <c r="G931" s="309"/>
      <c r="H931" s="241"/>
      <c r="J931" s="3"/>
      <c r="K931" s="3"/>
    </row>
    <row r="932">
      <c r="A932" s="308"/>
      <c r="B932" s="308"/>
      <c r="C932" s="308"/>
      <c r="D932" s="308"/>
      <c r="E932" s="241"/>
      <c r="F932" s="241"/>
      <c r="G932" s="309"/>
      <c r="H932" s="241"/>
      <c r="J932" s="3"/>
      <c r="K932" s="3"/>
    </row>
    <row r="933">
      <c r="A933" s="308"/>
      <c r="B933" s="308"/>
      <c r="C933" s="308"/>
      <c r="D933" s="308"/>
      <c r="E933" s="241"/>
      <c r="F933" s="241"/>
      <c r="G933" s="309"/>
      <c r="H933" s="241"/>
      <c r="J933" s="3"/>
      <c r="K933" s="3"/>
    </row>
    <row r="934">
      <c r="A934" s="308"/>
      <c r="B934" s="308"/>
      <c r="C934" s="308"/>
      <c r="D934" s="308"/>
      <c r="E934" s="241"/>
      <c r="F934" s="241"/>
      <c r="G934" s="309"/>
      <c r="H934" s="241"/>
      <c r="J934" s="3"/>
      <c r="K934" s="3"/>
    </row>
    <row r="935">
      <c r="A935" s="308"/>
      <c r="B935" s="308"/>
      <c r="C935" s="308"/>
      <c r="D935" s="308"/>
      <c r="E935" s="241"/>
      <c r="F935" s="241"/>
      <c r="G935" s="309"/>
      <c r="H935" s="241"/>
      <c r="J935" s="3"/>
      <c r="K935" s="3"/>
    </row>
    <row r="936">
      <c r="A936" s="308"/>
      <c r="B936" s="308"/>
      <c r="C936" s="308"/>
      <c r="D936" s="308"/>
      <c r="E936" s="241"/>
      <c r="F936" s="241"/>
      <c r="G936" s="309"/>
      <c r="H936" s="241"/>
      <c r="J936" s="3"/>
      <c r="K936" s="3"/>
    </row>
    <row r="937">
      <c r="A937" s="308"/>
      <c r="B937" s="308"/>
      <c r="C937" s="308"/>
      <c r="D937" s="308"/>
      <c r="E937" s="241"/>
      <c r="F937" s="241"/>
      <c r="G937" s="309"/>
      <c r="H937" s="241"/>
      <c r="J937" s="3"/>
      <c r="K937" s="3"/>
    </row>
    <row r="938">
      <c r="A938" s="308"/>
      <c r="B938" s="308"/>
      <c r="C938" s="308"/>
      <c r="D938" s="308"/>
      <c r="E938" s="241"/>
      <c r="F938" s="241"/>
      <c r="G938" s="309"/>
      <c r="H938" s="241"/>
      <c r="J938" s="3"/>
      <c r="K938" s="3"/>
    </row>
    <row r="939">
      <c r="A939" s="308"/>
      <c r="B939" s="308"/>
      <c r="C939" s="308"/>
      <c r="D939" s="308"/>
      <c r="E939" s="241"/>
      <c r="F939" s="241"/>
      <c r="G939" s="309"/>
      <c r="H939" s="241"/>
      <c r="J939" s="3"/>
      <c r="K939" s="3"/>
    </row>
    <row r="940">
      <c r="A940" s="308"/>
      <c r="B940" s="308"/>
      <c r="C940" s="308"/>
      <c r="D940" s="308"/>
      <c r="E940" s="241"/>
      <c r="F940" s="241"/>
      <c r="G940" s="309"/>
      <c r="H940" s="241"/>
      <c r="J940" s="3"/>
      <c r="K940" s="3"/>
    </row>
    <row r="941">
      <c r="A941" s="308"/>
      <c r="B941" s="308"/>
      <c r="C941" s="308"/>
      <c r="D941" s="308"/>
      <c r="E941" s="241"/>
      <c r="F941" s="241"/>
      <c r="G941" s="309"/>
      <c r="H941" s="241"/>
      <c r="J941" s="3"/>
      <c r="K941" s="3"/>
    </row>
    <row r="942">
      <c r="A942" s="308"/>
      <c r="B942" s="308"/>
      <c r="C942" s="308"/>
      <c r="D942" s="308"/>
      <c r="E942" s="241"/>
      <c r="F942" s="241"/>
      <c r="G942" s="309"/>
      <c r="H942" s="241"/>
      <c r="J942" s="3"/>
      <c r="K942" s="3"/>
    </row>
    <row r="943">
      <c r="A943" s="308"/>
      <c r="B943" s="308"/>
      <c r="C943" s="308"/>
      <c r="D943" s="308"/>
      <c r="E943" s="241"/>
      <c r="F943" s="241"/>
      <c r="G943" s="309"/>
      <c r="H943" s="241"/>
      <c r="J943" s="3"/>
      <c r="K943" s="3"/>
    </row>
    <row r="944">
      <c r="A944" s="308"/>
      <c r="B944" s="308"/>
      <c r="C944" s="308"/>
      <c r="D944" s="308"/>
      <c r="E944" s="241"/>
      <c r="F944" s="241"/>
      <c r="G944" s="309"/>
      <c r="H944" s="241"/>
      <c r="J944" s="3"/>
      <c r="K944" s="3"/>
    </row>
    <row r="945">
      <c r="A945" s="308"/>
      <c r="B945" s="308"/>
      <c r="C945" s="308"/>
      <c r="D945" s="308"/>
      <c r="E945" s="241"/>
      <c r="F945" s="241"/>
      <c r="G945" s="309"/>
      <c r="H945" s="241"/>
      <c r="J945" s="3"/>
      <c r="K945" s="3"/>
    </row>
    <row r="946">
      <c r="A946" s="308"/>
      <c r="B946" s="308"/>
      <c r="C946" s="308"/>
      <c r="D946" s="308"/>
      <c r="E946" s="241"/>
      <c r="F946" s="241"/>
      <c r="G946" s="309"/>
      <c r="H946" s="241"/>
      <c r="J946" s="3"/>
      <c r="K946" s="3"/>
    </row>
    <row r="947">
      <c r="A947" s="308"/>
      <c r="B947" s="308"/>
      <c r="C947" s="308"/>
      <c r="D947" s="308"/>
      <c r="E947" s="241"/>
      <c r="F947" s="241"/>
      <c r="G947" s="309"/>
      <c r="H947" s="241"/>
      <c r="J947" s="3"/>
      <c r="K947" s="3"/>
    </row>
    <row r="948">
      <c r="A948" s="308"/>
      <c r="B948" s="308"/>
      <c r="C948" s="308"/>
      <c r="D948" s="308"/>
      <c r="E948" s="241"/>
      <c r="F948" s="241"/>
      <c r="G948" s="309"/>
      <c r="H948" s="241"/>
      <c r="J948" s="3"/>
      <c r="K948" s="3"/>
    </row>
    <row r="949">
      <c r="A949" s="308"/>
      <c r="B949" s="308"/>
      <c r="C949" s="308"/>
      <c r="D949" s="308"/>
      <c r="E949" s="241"/>
      <c r="F949" s="241"/>
      <c r="G949" s="309"/>
      <c r="H949" s="241"/>
      <c r="J949" s="3"/>
      <c r="K949" s="3"/>
    </row>
    <row r="950">
      <c r="A950" s="308"/>
      <c r="B950" s="308"/>
      <c r="C950" s="308"/>
      <c r="D950" s="308"/>
      <c r="E950" s="241"/>
      <c r="F950" s="241"/>
      <c r="G950" s="309"/>
      <c r="H950" s="241"/>
      <c r="J950" s="3"/>
      <c r="K950" s="3"/>
    </row>
    <row r="951">
      <c r="A951" s="308"/>
      <c r="B951" s="308"/>
      <c r="C951" s="308"/>
      <c r="D951" s="308"/>
      <c r="E951" s="241"/>
      <c r="F951" s="241"/>
      <c r="G951" s="309"/>
      <c r="H951" s="241"/>
      <c r="J951" s="3"/>
      <c r="K951" s="3"/>
    </row>
    <row r="952">
      <c r="A952" s="308"/>
      <c r="B952" s="308"/>
      <c r="C952" s="308"/>
      <c r="D952" s="308"/>
      <c r="E952" s="241"/>
      <c r="F952" s="241"/>
      <c r="G952" s="309"/>
      <c r="H952" s="241"/>
      <c r="J952" s="3"/>
      <c r="K952" s="3"/>
    </row>
    <row r="953">
      <c r="A953" s="308"/>
      <c r="B953" s="308"/>
      <c r="C953" s="308"/>
      <c r="D953" s="308"/>
      <c r="E953" s="241"/>
      <c r="F953" s="241"/>
      <c r="G953" s="309"/>
      <c r="H953" s="241"/>
      <c r="J953" s="3"/>
      <c r="K953" s="3"/>
    </row>
    <row r="954">
      <c r="A954" s="308"/>
      <c r="B954" s="308"/>
      <c r="C954" s="308"/>
      <c r="D954" s="308"/>
      <c r="E954" s="241"/>
      <c r="F954" s="241"/>
      <c r="G954" s="309"/>
      <c r="H954" s="241"/>
      <c r="J954" s="3"/>
      <c r="K954" s="3"/>
    </row>
    <row r="955">
      <c r="A955" s="308"/>
      <c r="B955" s="308"/>
      <c r="C955" s="308"/>
      <c r="D955" s="308"/>
      <c r="E955" s="241"/>
      <c r="F955" s="241"/>
      <c r="G955" s="309"/>
      <c r="H955" s="241"/>
      <c r="J955" s="3"/>
      <c r="K955" s="3"/>
    </row>
    <row r="956">
      <c r="A956" s="308"/>
      <c r="B956" s="308"/>
      <c r="C956" s="308"/>
      <c r="D956" s="308"/>
      <c r="E956" s="241"/>
      <c r="F956" s="241"/>
      <c r="G956" s="309"/>
      <c r="H956" s="241"/>
      <c r="J956" s="3"/>
      <c r="K956" s="3"/>
    </row>
    <row r="957">
      <c r="A957" s="308"/>
      <c r="B957" s="308"/>
      <c r="C957" s="308"/>
      <c r="D957" s="308"/>
      <c r="E957" s="241"/>
      <c r="F957" s="241"/>
      <c r="G957" s="309"/>
      <c r="H957" s="241"/>
      <c r="J957" s="3"/>
      <c r="K957" s="3"/>
    </row>
    <row r="958">
      <c r="A958" s="308"/>
      <c r="B958" s="308"/>
      <c r="C958" s="308"/>
      <c r="D958" s="308"/>
      <c r="E958" s="241"/>
      <c r="F958" s="241"/>
      <c r="G958" s="309"/>
      <c r="H958" s="241"/>
      <c r="J958" s="3"/>
      <c r="K958" s="3"/>
    </row>
    <row r="959">
      <c r="A959" s="308"/>
      <c r="B959" s="308"/>
      <c r="C959" s="308"/>
      <c r="D959" s="308"/>
      <c r="E959" s="241"/>
      <c r="F959" s="241"/>
      <c r="G959" s="309"/>
      <c r="H959" s="241"/>
      <c r="J959" s="3"/>
      <c r="K959" s="3"/>
    </row>
    <row r="960">
      <c r="A960" s="308"/>
      <c r="B960" s="308"/>
      <c r="C960" s="308"/>
      <c r="D960" s="308"/>
      <c r="E960" s="241"/>
      <c r="F960" s="241"/>
      <c r="G960" s="309"/>
      <c r="H960" s="241"/>
      <c r="J960" s="3"/>
      <c r="K960" s="3"/>
    </row>
    <row r="961">
      <c r="A961" s="308"/>
      <c r="B961" s="308"/>
      <c r="C961" s="308"/>
      <c r="D961" s="308"/>
      <c r="E961" s="241"/>
      <c r="F961" s="241"/>
      <c r="G961" s="309"/>
      <c r="H961" s="241"/>
      <c r="J961" s="3"/>
      <c r="K961" s="3"/>
    </row>
    <row r="962">
      <c r="A962" s="308"/>
      <c r="B962" s="308"/>
      <c r="C962" s="308"/>
      <c r="D962" s="308"/>
      <c r="E962" s="241"/>
      <c r="F962" s="241"/>
      <c r="G962" s="309"/>
      <c r="H962" s="241"/>
      <c r="J962" s="3"/>
      <c r="K962" s="3"/>
    </row>
    <row r="963">
      <c r="A963" s="308"/>
      <c r="B963" s="308"/>
      <c r="C963" s="308"/>
      <c r="D963" s="308"/>
      <c r="E963" s="241"/>
      <c r="F963" s="241"/>
      <c r="G963" s="309"/>
      <c r="H963" s="241"/>
      <c r="J963" s="3"/>
      <c r="K963" s="3"/>
    </row>
    <row r="964">
      <c r="A964" s="308"/>
      <c r="B964" s="308"/>
      <c r="C964" s="308"/>
      <c r="D964" s="308"/>
      <c r="E964" s="241"/>
      <c r="F964" s="241"/>
      <c r="G964" s="309"/>
      <c r="H964" s="241"/>
      <c r="J964" s="3"/>
      <c r="K964" s="3"/>
    </row>
    <row r="965">
      <c r="A965" s="308"/>
      <c r="B965" s="308"/>
      <c r="C965" s="308"/>
      <c r="D965" s="308"/>
      <c r="E965" s="241"/>
      <c r="F965" s="241"/>
      <c r="G965" s="309"/>
      <c r="H965" s="241"/>
      <c r="J965" s="3"/>
      <c r="K965" s="3"/>
    </row>
    <row r="966">
      <c r="A966" s="308"/>
      <c r="B966" s="308"/>
      <c r="C966" s="308"/>
      <c r="D966" s="308"/>
      <c r="E966" s="241"/>
      <c r="F966" s="241"/>
      <c r="G966" s="309"/>
      <c r="H966" s="241"/>
      <c r="J966" s="3"/>
      <c r="K966" s="3"/>
    </row>
    <row r="967">
      <c r="A967" s="308"/>
      <c r="B967" s="308"/>
      <c r="C967" s="308"/>
      <c r="D967" s="308"/>
      <c r="E967" s="241"/>
      <c r="F967" s="241"/>
      <c r="G967" s="309"/>
      <c r="H967" s="241"/>
      <c r="J967" s="3"/>
      <c r="K967" s="3"/>
    </row>
    <row r="968">
      <c r="A968" s="308"/>
      <c r="B968" s="308"/>
      <c r="C968" s="308"/>
      <c r="D968" s="308"/>
      <c r="E968" s="241"/>
      <c r="F968" s="241"/>
      <c r="G968" s="309"/>
      <c r="H968" s="241"/>
      <c r="J968" s="3"/>
      <c r="K968" s="3"/>
    </row>
    <row r="969">
      <c r="A969" s="308"/>
      <c r="B969" s="308"/>
      <c r="C969" s="308"/>
      <c r="D969" s="308"/>
      <c r="E969" s="241"/>
      <c r="F969" s="241"/>
      <c r="G969" s="309"/>
      <c r="H969" s="241"/>
      <c r="J969" s="3"/>
      <c r="K969" s="3"/>
    </row>
    <row r="970">
      <c r="A970" s="308"/>
      <c r="B970" s="308"/>
      <c r="C970" s="308"/>
      <c r="D970" s="308"/>
      <c r="E970" s="241"/>
      <c r="F970" s="241"/>
      <c r="G970" s="309"/>
      <c r="H970" s="241"/>
      <c r="J970" s="3"/>
      <c r="K970" s="3"/>
    </row>
    <row r="971">
      <c r="A971" s="308"/>
      <c r="B971" s="308"/>
      <c r="C971" s="308"/>
      <c r="D971" s="308"/>
      <c r="E971" s="241"/>
      <c r="F971" s="241"/>
      <c r="G971" s="309"/>
      <c r="H971" s="241"/>
      <c r="J971" s="3"/>
      <c r="K971" s="3"/>
    </row>
    <row r="972">
      <c r="A972" s="308"/>
      <c r="B972" s="308"/>
      <c r="C972" s="308"/>
      <c r="D972" s="308"/>
      <c r="E972" s="241"/>
      <c r="F972" s="241"/>
      <c r="G972" s="309"/>
      <c r="H972" s="241"/>
      <c r="J972" s="3"/>
      <c r="K972" s="3"/>
    </row>
    <row r="973">
      <c r="A973" s="308"/>
      <c r="B973" s="308"/>
      <c r="C973" s="308"/>
      <c r="D973" s="308"/>
      <c r="E973" s="241"/>
      <c r="F973" s="241"/>
      <c r="G973" s="309"/>
      <c r="H973" s="241"/>
      <c r="J973" s="3"/>
      <c r="K973" s="3"/>
    </row>
    <row r="974">
      <c r="A974" s="308"/>
      <c r="B974" s="308"/>
      <c r="C974" s="308"/>
      <c r="D974" s="308"/>
      <c r="E974" s="241"/>
      <c r="F974" s="241"/>
      <c r="G974" s="309"/>
      <c r="H974" s="241"/>
      <c r="J974" s="3"/>
      <c r="K974" s="3"/>
    </row>
    <row r="975">
      <c r="A975" s="308"/>
      <c r="B975" s="308"/>
      <c r="C975" s="308"/>
      <c r="D975" s="308"/>
      <c r="E975" s="241"/>
      <c r="F975" s="241"/>
      <c r="G975" s="309"/>
      <c r="H975" s="241"/>
      <c r="J975" s="3"/>
      <c r="K975" s="3"/>
    </row>
  </sheetData>
  <printOptions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 outlineLevelCol="1"/>
  <cols>
    <col customWidth="1" min="1" max="1" width="71.14"/>
    <col customWidth="1" min="2" max="2" width="101.14"/>
    <col customWidth="1" min="3" max="3" width="22.86"/>
    <col customWidth="1" hidden="1" min="4" max="4" width="27.71"/>
  </cols>
  <sheetData>
    <row r="1">
      <c r="A1" s="318" t="s">
        <v>878</v>
      </c>
      <c r="B1" s="319" t="s">
        <v>879</v>
      </c>
      <c r="C1" s="320" t="s">
        <v>2477</v>
      </c>
      <c r="D1" s="320" t="s">
        <v>882</v>
      </c>
    </row>
    <row r="2">
      <c r="A2" s="321" t="s">
        <v>2479</v>
      </c>
      <c r="B2" s="322"/>
      <c r="C2" s="323"/>
      <c r="D2" s="324"/>
    </row>
    <row r="3">
      <c r="A3" s="325" t="s">
        <v>305</v>
      </c>
      <c r="B3" s="326" t="s">
        <v>306</v>
      </c>
      <c r="C3" s="327">
        <v>54.0</v>
      </c>
      <c r="D3" s="328">
        <v>216.0</v>
      </c>
    </row>
    <row r="4">
      <c r="A4" s="325" t="s">
        <v>338</v>
      </c>
      <c r="B4" s="326" t="s">
        <v>339</v>
      </c>
      <c r="C4" s="329">
        <v>33.0</v>
      </c>
      <c r="D4" s="328">
        <v>132.0</v>
      </c>
    </row>
    <row r="5">
      <c r="A5" s="325" t="s">
        <v>362</v>
      </c>
      <c r="B5" s="326" t="s">
        <v>363</v>
      </c>
      <c r="C5" s="329">
        <v>33.0</v>
      </c>
      <c r="D5" s="328">
        <v>132.0</v>
      </c>
    </row>
    <row r="6">
      <c r="A6" s="325" t="s">
        <v>380</v>
      </c>
      <c r="B6" s="326" t="s">
        <v>382</v>
      </c>
      <c r="C6" s="327">
        <v>28.0</v>
      </c>
      <c r="D6" s="329">
        <v>112.0</v>
      </c>
    </row>
    <row r="7">
      <c r="A7" s="325" t="s">
        <v>398</v>
      </c>
      <c r="B7" s="326" t="s">
        <v>399</v>
      </c>
      <c r="C7" s="329">
        <v>30.0</v>
      </c>
      <c r="D7" s="329">
        <v>120.0</v>
      </c>
    </row>
    <row r="8">
      <c r="A8" s="325" t="s">
        <v>418</v>
      </c>
      <c r="B8" s="326" t="s">
        <v>419</v>
      </c>
      <c r="C8" s="329">
        <v>13.0</v>
      </c>
      <c r="D8" s="329">
        <v>52.0</v>
      </c>
    </row>
    <row r="9">
      <c r="A9" s="325" t="s">
        <v>438</v>
      </c>
      <c r="B9" s="326" t="s">
        <v>439</v>
      </c>
      <c r="C9" s="329">
        <v>30.0</v>
      </c>
      <c r="D9" s="329">
        <v>120.0</v>
      </c>
    </row>
    <row r="10">
      <c r="A10" s="325" t="s">
        <v>461</v>
      </c>
      <c r="B10" s="326" t="s">
        <v>462</v>
      </c>
      <c r="C10" s="327">
        <v>13.0</v>
      </c>
      <c r="D10" s="329">
        <v>52.0</v>
      </c>
    </row>
    <row r="11">
      <c r="A11" s="325" t="s">
        <v>481</v>
      </c>
      <c r="B11" s="326" t="s">
        <v>482</v>
      </c>
      <c r="C11" s="329">
        <v>13.0</v>
      </c>
      <c r="D11" s="329">
        <v>52.0</v>
      </c>
    </row>
    <row r="12">
      <c r="A12" s="325" t="s">
        <v>501</v>
      </c>
      <c r="B12" s="326" t="s">
        <v>502</v>
      </c>
      <c r="C12" s="329">
        <v>13.0</v>
      </c>
      <c r="D12" s="329">
        <v>52.0</v>
      </c>
    </row>
    <row r="13">
      <c r="A13" s="325" t="s">
        <v>543</v>
      </c>
      <c r="B13" s="326" t="s">
        <v>545</v>
      </c>
      <c r="C13" s="329">
        <v>6.0</v>
      </c>
      <c r="D13" s="329">
        <v>24.0</v>
      </c>
    </row>
    <row r="14">
      <c r="A14" s="325" t="s">
        <v>562</v>
      </c>
      <c r="B14" s="326" t="s">
        <v>395</v>
      </c>
      <c r="C14" s="329">
        <v>66.0</v>
      </c>
      <c r="D14" s="329">
        <v>198.0</v>
      </c>
    </row>
    <row r="15">
      <c r="A15" s="325" t="s">
        <v>582</v>
      </c>
      <c r="B15" s="326" t="s">
        <v>583</v>
      </c>
      <c r="C15" s="329">
        <v>35.0</v>
      </c>
      <c r="D15" s="329">
        <v>140.0</v>
      </c>
    </row>
    <row r="16">
      <c r="A16" s="325" t="s">
        <v>600</v>
      </c>
      <c r="B16" s="326" t="s">
        <v>601</v>
      </c>
      <c r="C16" s="329">
        <v>30.0</v>
      </c>
      <c r="D16" s="329">
        <v>120.0</v>
      </c>
    </row>
    <row r="17">
      <c r="A17" s="330"/>
      <c r="B17" s="331"/>
      <c r="C17" s="323"/>
      <c r="D17" s="324"/>
    </row>
    <row r="18">
      <c r="A18" s="321" t="s">
        <v>2484</v>
      </c>
      <c r="B18" s="322"/>
      <c r="C18" s="323"/>
      <c r="D18" s="324"/>
    </row>
    <row r="19">
      <c r="A19" s="325" t="s">
        <v>1936</v>
      </c>
      <c r="B19" s="326" t="s">
        <v>2486</v>
      </c>
      <c r="C19" s="329">
        <v>54.0</v>
      </c>
      <c r="D19" s="328">
        <v>216.0</v>
      </c>
    </row>
    <row r="20">
      <c r="A20" s="325" t="s">
        <v>1937</v>
      </c>
      <c r="B20" s="326" t="s">
        <v>2487</v>
      </c>
      <c r="C20" s="329">
        <v>33.0</v>
      </c>
      <c r="D20" s="328">
        <v>132.0</v>
      </c>
    </row>
    <row r="21">
      <c r="A21" s="325" t="s">
        <v>1939</v>
      </c>
      <c r="B21" s="326" t="s">
        <v>363</v>
      </c>
      <c r="C21" s="329">
        <v>33.0</v>
      </c>
      <c r="D21" s="328">
        <v>132.0</v>
      </c>
    </row>
    <row r="22">
      <c r="A22" s="325" t="s">
        <v>1940</v>
      </c>
      <c r="B22" s="326" t="s">
        <v>382</v>
      </c>
      <c r="C22" s="329">
        <v>28.0</v>
      </c>
      <c r="D22" s="329">
        <v>112.0</v>
      </c>
    </row>
    <row r="23">
      <c r="A23" s="325" t="s">
        <v>1941</v>
      </c>
      <c r="B23" s="326" t="s">
        <v>399</v>
      </c>
      <c r="C23" s="329">
        <v>30.0</v>
      </c>
      <c r="D23" s="329">
        <v>120.0</v>
      </c>
    </row>
    <row r="24">
      <c r="A24" s="325" t="s">
        <v>1942</v>
      </c>
      <c r="B24" s="326" t="s">
        <v>419</v>
      </c>
      <c r="C24" s="329">
        <v>13.0</v>
      </c>
      <c r="D24" s="329">
        <v>52.0</v>
      </c>
    </row>
    <row r="25">
      <c r="A25" s="325" t="s">
        <v>1943</v>
      </c>
      <c r="B25" s="326" t="s">
        <v>2489</v>
      </c>
      <c r="C25" s="329">
        <v>30.0</v>
      </c>
      <c r="D25" s="329">
        <v>120.0</v>
      </c>
    </row>
    <row r="26">
      <c r="A26" s="325" t="s">
        <v>1945</v>
      </c>
      <c r="B26" s="326" t="s">
        <v>2490</v>
      </c>
      <c r="C26" s="329">
        <v>13.0</v>
      </c>
      <c r="D26" s="329">
        <v>52.0</v>
      </c>
    </row>
    <row r="27">
      <c r="A27" s="325" t="s">
        <v>1947</v>
      </c>
      <c r="B27" s="326" t="s">
        <v>482</v>
      </c>
      <c r="C27" s="329">
        <v>13.0</v>
      </c>
      <c r="D27" s="329">
        <v>52.0</v>
      </c>
    </row>
    <row r="28">
      <c r="A28" s="325" t="s">
        <v>1948</v>
      </c>
      <c r="B28" s="326" t="s">
        <v>502</v>
      </c>
      <c r="C28" s="329">
        <v>13.0</v>
      </c>
      <c r="D28" s="329">
        <v>52.0</v>
      </c>
    </row>
    <row r="29">
      <c r="A29" s="325" t="s">
        <v>1950</v>
      </c>
      <c r="B29" s="326" t="s">
        <v>734</v>
      </c>
      <c r="C29" s="329">
        <v>6.0</v>
      </c>
      <c r="D29" s="329">
        <v>24.0</v>
      </c>
    </row>
    <row r="30">
      <c r="A30" s="325" t="s">
        <v>1951</v>
      </c>
      <c r="B30" s="326" t="s">
        <v>395</v>
      </c>
      <c r="C30" s="329">
        <v>66.0</v>
      </c>
      <c r="D30" s="329">
        <v>198.0</v>
      </c>
    </row>
    <row r="31">
      <c r="A31" s="325" t="s">
        <v>1952</v>
      </c>
      <c r="B31" s="326" t="s">
        <v>583</v>
      </c>
      <c r="C31" s="329">
        <v>35.0</v>
      </c>
      <c r="D31" s="329">
        <v>140.0</v>
      </c>
    </row>
    <row r="32">
      <c r="A32" s="325" t="s">
        <v>1954</v>
      </c>
      <c r="B32" s="326" t="s">
        <v>2490</v>
      </c>
      <c r="C32" s="329">
        <v>30.0</v>
      </c>
      <c r="D32" s="329">
        <v>120.0</v>
      </c>
    </row>
    <row r="33">
      <c r="A33" s="330"/>
      <c r="B33" s="331"/>
      <c r="C33" s="323"/>
      <c r="D33" s="324"/>
    </row>
    <row r="34">
      <c r="A34" s="321" t="s">
        <v>2492</v>
      </c>
      <c r="B34" s="322"/>
      <c r="C34" s="323"/>
      <c r="D34" s="324"/>
    </row>
    <row r="35">
      <c r="A35" s="325" t="s">
        <v>1956</v>
      </c>
      <c r="B35" s="326" t="s">
        <v>2486</v>
      </c>
      <c r="C35" s="329">
        <v>54.0</v>
      </c>
      <c r="D35" s="328">
        <v>216.0</v>
      </c>
    </row>
    <row r="36">
      <c r="A36" s="325" t="s">
        <v>1957</v>
      </c>
      <c r="B36" s="326" t="s">
        <v>2487</v>
      </c>
      <c r="C36" s="329">
        <v>33.0</v>
      </c>
      <c r="D36" s="329">
        <v>132.0</v>
      </c>
    </row>
    <row r="37">
      <c r="A37" s="325" t="s">
        <v>1959</v>
      </c>
      <c r="B37" s="326" t="s">
        <v>363</v>
      </c>
      <c r="C37" s="329">
        <v>33.0</v>
      </c>
      <c r="D37" s="329">
        <v>132.0</v>
      </c>
    </row>
    <row r="38">
      <c r="A38" s="325" t="s">
        <v>1961</v>
      </c>
      <c r="B38" s="326" t="s">
        <v>382</v>
      </c>
      <c r="C38" s="329">
        <v>28.0</v>
      </c>
      <c r="D38" s="329">
        <v>112.0</v>
      </c>
    </row>
    <row r="39">
      <c r="A39" s="325" t="s">
        <v>1962</v>
      </c>
      <c r="B39" s="326" t="s">
        <v>399</v>
      </c>
      <c r="C39" s="329">
        <v>30.0</v>
      </c>
      <c r="D39" s="329">
        <v>120.0</v>
      </c>
    </row>
    <row r="40">
      <c r="A40" s="325" t="s">
        <v>1963</v>
      </c>
      <c r="B40" s="326" t="s">
        <v>419</v>
      </c>
      <c r="C40" s="329">
        <v>13.0</v>
      </c>
      <c r="D40" s="329">
        <v>52.0</v>
      </c>
    </row>
    <row r="41">
      <c r="A41" s="325" t="s">
        <v>1964</v>
      </c>
      <c r="B41" s="326" t="s">
        <v>2489</v>
      </c>
      <c r="C41" s="329">
        <v>30.0</v>
      </c>
      <c r="D41" s="329">
        <v>120.0</v>
      </c>
    </row>
    <row r="42">
      <c r="A42" s="325" t="s">
        <v>1965</v>
      </c>
      <c r="B42" s="326" t="s">
        <v>2490</v>
      </c>
      <c r="C42" s="329">
        <v>13.0</v>
      </c>
      <c r="D42" s="329">
        <v>52.0</v>
      </c>
    </row>
    <row r="43">
      <c r="A43" s="325" t="s">
        <v>1966</v>
      </c>
      <c r="B43" s="326" t="s">
        <v>482</v>
      </c>
      <c r="C43" s="329">
        <v>13.0</v>
      </c>
      <c r="D43" s="329">
        <v>52.0</v>
      </c>
    </row>
    <row r="44">
      <c r="A44" s="325" t="s">
        <v>1967</v>
      </c>
      <c r="B44" s="326" t="s">
        <v>502</v>
      </c>
      <c r="C44" s="329">
        <v>13.0</v>
      </c>
      <c r="D44" s="329">
        <v>52.0</v>
      </c>
    </row>
    <row r="45">
      <c r="A45" s="325" t="s">
        <v>1972</v>
      </c>
      <c r="B45" s="326" t="s">
        <v>734</v>
      </c>
      <c r="C45" s="329">
        <v>6.0</v>
      </c>
      <c r="D45" s="329">
        <v>24.0</v>
      </c>
    </row>
    <row r="46">
      <c r="A46" s="325" t="s">
        <v>1974</v>
      </c>
      <c r="B46" s="326" t="s">
        <v>395</v>
      </c>
      <c r="C46" s="329">
        <v>66.0</v>
      </c>
      <c r="D46" s="329">
        <v>198.0</v>
      </c>
    </row>
    <row r="47">
      <c r="A47" s="325" t="s">
        <v>1977</v>
      </c>
      <c r="B47" s="326" t="s">
        <v>583</v>
      </c>
      <c r="C47" s="329">
        <v>35.0</v>
      </c>
      <c r="D47" s="329">
        <v>140.0</v>
      </c>
    </row>
    <row r="48">
      <c r="A48" s="325" t="s">
        <v>1979</v>
      </c>
      <c r="B48" s="326" t="s">
        <v>2490</v>
      </c>
      <c r="C48" s="329">
        <v>30.0</v>
      </c>
      <c r="D48" s="329">
        <v>120.0</v>
      </c>
    </row>
    <row r="49">
      <c r="A49" s="330"/>
      <c r="B49" s="331"/>
      <c r="C49" s="323"/>
      <c r="D49" s="324"/>
    </row>
    <row r="50">
      <c r="A50" s="321" t="s">
        <v>2497</v>
      </c>
      <c r="B50" s="322"/>
      <c r="C50" s="323"/>
      <c r="D50" s="324"/>
    </row>
    <row r="51">
      <c r="A51" s="325" t="s">
        <v>1984</v>
      </c>
      <c r="B51" s="326" t="s">
        <v>2486</v>
      </c>
      <c r="C51" s="329">
        <v>54.0</v>
      </c>
      <c r="D51" s="328">
        <v>216.0</v>
      </c>
    </row>
    <row r="52">
      <c r="A52" s="325" t="s">
        <v>1988</v>
      </c>
      <c r="B52" s="326" t="s">
        <v>2487</v>
      </c>
      <c r="C52" s="329">
        <v>33.0</v>
      </c>
      <c r="D52" s="329">
        <v>132.0</v>
      </c>
    </row>
    <row r="53">
      <c r="A53" s="325" t="s">
        <v>1992</v>
      </c>
      <c r="B53" s="326" t="s">
        <v>363</v>
      </c>
      <c r="C53" s="329">
        <v>33.0</v>
      </c>
      <c r="D53" s="329">
        <v>132.0</v>
      </c>
    </row>
    <row r="54">
      <c r="A54" s="325" t="s">
        <v>1995</v>
      </c>
      <c r="B54" s="326" t="s">
        <v>382</v>
      </c>
      <c r="C54" s="329">
        <v>28.0</v>
      </c>
      <c r="D54" s="329">
        <v>112.0</v>
      </c>
    </row>
    <row r="55">
      <c r="A55" s="325" t="s">
        <v>1998</v>
      </c>
      <c r="B55" s="326" t="s">
        <v>399</v>
      </c>
      <c r="C55" s="329">
        <v>30.0</v>
      </c>
      <c r="D55" s="329">
        <v>120.0</v>
      </c>
    </row>
    <row r="56">
      <c r="A56" s="325" t="s">
        <v>1999</v>
      </c>
      <c r="B56" s="326" t="s">
        <v>419</v>
      </c>
      <c r="C56" s="329">
        <v>13.0</v>
      </c>
      <c r="D56" s="329">
        <v>52.0</v>
      </c>
    </row>
    <row r="57">
      <c r="A57" s="325" t="s">
        <v>2001</v>
      </c>
      <c r="B57" s="326" t="s">
        <v>2489</v>
      </c>
      <c r="C57" s="329">
        <v>30.0</v>
      </c>
      <c r="D57" s="329">
        <v>120.0</v>
      </c>
    </row>
    <row r="58">
      <c r="A58" s="325" t="s">
        <v>2003</v>
      </c>
      <c r="B58" s="326" t="s">
        <v>2490</v>
      </c>
      <c r="C58" s="329">
        <v>13.0</v>
      </c>
      <c r="D58" s="329">
        <v>52.0</v>
      </c>
    </row>
    <row r="59">
      <c r="A59" s="325" t="s">
        <v>2005</v>
      </c>
      <c r="B59" s="326" t="s">
        <v>482</v>
      </c>
      <c r="C59" s="329">
        <v>13.0</v>
      </c>
      <c r="D59" s="329">
        <v>52.0</v>
      </c>
    </row>
    <row r="60">
      <c r="A60" s="325" t="s">
        <v>2008</v>
      </c>
      <c r="B60" s="326" t="s">
        <v>502</v>
      </c>
      <c r="C60" s="329">
        <v>13.0</v>
      </c>
      <c r="D60" s="329">
        <v>52.0</v>
      </c>
    </row>
    <row r="61">
      <c r="A61" s="325" t="s">
        <v>2010</v>
      </c>
      <c r="B61" s="326" t="s">
        <v>734</v>
      </c>
      <c r="C61" s="329">
        <v>6.0</v>
      </c>
      <c r="D61" s="329">
        <v>24.0</v>
      </c>
    </row>
    <row r="62">
      <c r="A62" s="325" t="s">
        <v>2012</v>
      </c>
      <c r="B62" s="326" t="s">
        <v>395</v>
      </c>
      <c r="C62" s="329">
        <v>66.0</v>
      </c>
      <c r="D62" s="329">
        <v>198.0</v>
      </c>
    </row>
    <row r="63">
      <c r="A63" s="325" t="s">
        <v>2014</v>
      </c>
      <c r="B63" s="326" t="s">
        <v>583</v>
      </c>
      <c r="C63" s="329">
        <v>35.0</v>
      </c>
      <c r="D63" s="329">
        <v>140.0</v>
      </c>
    </row>
    <row r="64">
      <c r="A64" s="325" t="s">
        <v>2016</v>
      </c>
      <c r="B64" s="326" t="s">
        <v>2490</v>
      </c>
      <c r="C64" s="329">
        <v>30.0</v>
      </c>
      <c r="D64" s="329">
        <v>120.0</v>
      </c>
    </row>
    <row r="65">
      <c r="A65" s="330"/>
      <c r="B65" s="331"/>
      <c r="C65" s="323"/>
      <c r="D65" s="324"/>
    </row>
    <row r="66">
      <c r="A66" s="321" t="s">
        <v>2502</v>
      </c>
      <c r="B66" s="322"/>
      <c r="C66" s="323"/>
      <c r="D66" s="324"/>
    </row>
    <row r="67">
      <c r="A67" s="325" t="s">
        <v>2062</v>
      </c>
      <c r="B67" s="326" t="s">
        <v>2486</v>
      </c>
      <c r="C67" s="329">
        <v>54.0</v>
      </c>
      <c r="D67" s="328">
        <v>216.0</v>
      </c>
    </row>
    <row r="68">
      <c r="A68" s="325" t="s">
        <v>2071</v>
      </c>
      <c r="B68" s="326" t="s">
        <v>2487</v>
      </c>
      <c r="C68" s="329">
        <v>33.0</v>
      </c>
      <c r="D68" s="329">
        <v>132.0</v>
      </c>
    </row>
    <row r="69">
      <c r="A69" s="325" t="s">
        <v>2074</v>
      </c>
      <c r="B69" s="326" t="s">
        <v>363</v>
      </c>
      <c r="C69" s="329">
        <v>33.0</v>
      </c>
      <c r="D69" s="329">
        <v>132.0</v>
      </c>
    </row>
    <row r="70">
      <c r="A70" s="325" t="s">
        <v>2079</v>
      </c>
      <c r="B70" s="326" t="s">
        <v>382</v>
      </c>
      <c r="C70" s="329">
        <v>28.0</v>
      </c>
      <c r="D70" s="329">
        <v>112.0</v>
      </c>
    </row>
    <row r="71">
      <c r="A71" s="325" t="s">
        <v>2080</v>
      </c>
      <c r="B71" s="326" t="s">
        <v>399</v>
      </c>
      <c r="C71" s="329">
        <v>30.0</v>
      </c>
      <c r="D71" s="329">
        <v>120.0</v>
      </c>
    </row>
    <row r="72">
      <c r="A72" s="325" t="s">
        <v>2082</v>
      </c>
      <c r="B72" s="326" t="s">
        <v>419</v>
      </c>
      <c r="C72" s="329">
        <v>13.0</v>
      </c>
      <c r="D72" s="329">
        <v>52.0</v>
      </c>
    </row>
    <row r="73">
      <c r="A73" s="325" t="s">
        <v>2085</v>
      </c>
      <c r="B73" s="326" t="s">
        <v>2489</v>
      </c>
      <c r="C73" s="329">
        <v>30.0</v>
      </c>
      <c r="D73" s="329">
        <v>120.0</v>
      </c>
    </row>
    <row r="74">
      <c r="A74" s="325" t="s">
        <v>2090</v>
      </c>
      <c r="B74" s="326" t="s">
        <v>2490</v>
      </c>
      <c r="C74" s="329">
        <v>13.0</v>
      </c>
      <c r="D74" s="329">
        <v>52.0</v>
      </c>
    </row>
    <row r="75">
      <c r="A75" s="325" t="s">
        <v>2093</v>
      </c>
      <c r="B75" s="326" t="s">
        <v>482</v>
      </c>
      <c r="C75" s="329">
        <v>13.0</v>
      </c>
      <c r="D75" s="329">
        <v>52.0</v>
      </c>
    </row>
    <row r="76">
      <c r="A76" s="325" t="s">
        <v>2097</v>
      </c>
      <c r="B76" s="326" t="s">
        <v>502</v>
      </c>
      <c r="C76" s="329">
        <v>13.0</v>
      </c>
      <c r="D76" s="329">
        <v>52.0</v>
      </c>
    </row>
    <row r="77">
      <c r="A77" s="325" t="s">
        <v>2100</v>
      </c>
      <c r="B77" s="326" t="s">
        <v>734</v>
      </c>
      <c r="C77" s="329">
        <v>6.0</v>
      </c>
      <c r="D77" s="329">
        <v>24.0</v>
      </c>
    </row>
    <row r="78">
      <c r="A78" s="325" t="s">
        <v>2102</v>
      </c>
      <c r="B78" s="326" t="s">
        <v>395</v>
      </c>
      <c r="C78" s="329">
        <v>66.0</v>
      </c>
      <c r="D78" s="329">
        <v>198.0</v>
      </c>
    </row>
    <row r="79">
      <c r="A79" s="325" t="s">
        <v>2105</v>
      </c>
      <c r="B79" s="326" t="s">
        <v>583</v>
      </c>
      <c r="C79" s="329">
        <v>35.0</v>
      </c>
      <c r="D79" s="329">
        <v>140.0</v>
      </c>
    </row>
    <row r="80">
      <c r="A80" s="325" t="s">
        <v>2108</v>
      </c>
      <c r="B80" s="326" t="s">
        <v>2490</v>
      </c>
      <c r="C80" s="329">
        <v>30.0</v>
      </c>
      <c r="D80" s="329">
        <v>120.0</v>
      </c>
    </row>
    <row r="81">
      <c r="A81" s="332"/>
      <c r="B81" s="322"/>
      <c r="C81" s="323"/>
      <c r="D81" s="324"/>
    </row>
    <row r="82">
      <c r="A82" s="321" t="s">
        <v>2505</v>
      </c>
      <c r="B82" s="322"/>
      <c r="C82" s="323"/>
      <c r="D82" s="324"/>
    </row>
    <row r="83">
      <c r="A83" s="325" t="s">
        <v>2111</v>
      </c>
      <c r="B83" s="326" t="s">
        <v>2486</v>
      </c>
      <c r="C83" s="329">
        <v>54.0</v>
      </c>
      <c r="D83" s="328">
        <v>216.0</v>
      </c>
    </row>
    <row r="84">
      <c r="A84" s="325" t="s">
        <v>2112</v>
      </c>
      <c r="B84" s="326" t="s">
        <v>2487</v>
      </c>
      <c r="C84" s="329">
        <v>33.0</v>
      </c>
      <c r="D84" s="329">
        <v>132.0</v>
      </c>
    </row>
    <row r="85">
      <c r="A85" s="325" t="s">
        <v>2113</v>
      </c>
      <c r="B85" s="326" t="s">
        <v>363</v>
      </c>
      <c r="C85" s="329">
        <v>33.0</v>
      </c>
      <c r="D85" s="329">
        <v>132.0</v>
      </c>
    </row>
    <row r="86">
      <c r="A86" s="325" t="s">
        <v>2114</v>
      </c>
      <c r="B86" s="326" t="s">
        <v>382</v>
      </c>
      <c r="C86" s="329">
        <v>28.0</v>
      </c>
      <c r="D86" s="329">
        <v>112.0</v>
      </c>
    </row>
    <row r="87">
      <c r="A87" s="325" t="s">
        <v>2115</v>
      </c>
      <c r="B87" s="326" t="s">
        <v>399</v>
      </c>
      <c r="C87" s="329">
        <v>30.0</v>
      </c>
      <c r="D87" s="329">
        <v>120.0</v>
      </c>
    </row>
    <row r="88">
      <c r="A88" s="325" t="s">
        <v>2116</v>
      </c>
      <c r="B88" s="326" t="s">
        <v>419</v>
      </c>
      <c r="C88" s="329">
        <v>13.0</v>
      </c>
      <c r="D88" s="329">
        <v>52.0</v>
      </c>
    </row>
    <row r="89">
      <c r="A89" s="325" t="s">
        <v>2117</v>
      </c>
      <c r="B89" s="326" t="s">
        <v>2489</v>
      </c>
      <c r="C89" s="329">
        <v>30.0</v>
      </c>
      <c r="D89" s="329">
        <v>120.0</v>
      </c>
    </row>
    <row r="90">
      <c r="A90" s="325" t="s">
        <v>2118</v>
      </c>
      <c r="B90" s="326" t="s">
        <v>2490</v>
      </c>
      <c r="C90" s="329">
        <v>13.0</v>
      </c>
      <c r="D90" s="329">
        <v>52.0</v>
      </c>
    </row>
    <row r="91">
      <c r="A91" s="325" t="s">
        <v>2119</v>
      </c>
      <c r="B91" s="326" t="s">
        <v>482</v>
      </c>
      <c r="C91" s="329">
        <v>13.0</v>
      </c>
      <c r="D91" s="329">
        <v>52.0</v>
      </c>
    </row>
    <row r="92">
      <c r="A92" s="325" t="s">
        <v>2120</v>
      </c>
      <c r="B92" s="326" t="s">
        <v>502</v>
      </c>
      <c r="C92" s="329">
        <v>13.0</v>
      </c>
      <c r="D92" s="329">
        <v>52.0</v>
      </c>
    </row>
    <row r="93">
      <c r="A93" s="325" t="s">
        <v>2121</v>
      </c>
      <c r="B93" s="326" t="s">
        <v>734</v>
      </c>
      <c r="C93" s="329">
        <v>6.0</v>
      </c>
      <c r="D93" s="329">
        <v>24.0</v>
      </c>
    </row>
    <row r="94">
      <c r="A94" s="325" t="s">
        <v>2122</v>
      </c>
      <c r="B94" s="326" t="s">
        <v>395</v>
      </c>
      <c r="C94" s="329">
        <v>66.0</v>
      </c>
      <c r="D94" s="329">
        <v>198.0</v>
      </c>
    </row>
    <row r="95">
      <c r="A95" s="325" t="s">
        <v>2123</v>
      </c>
      <c r="B95" s="326" t="s">
        <v>583</v>
      </c>
      <c r="C95" s="329">
        <v>35.0</v>
      </c>
      <c r="D95" s="329">
        <v>140.0</v>
      </c>
    </row>
    <row r="96">
      <c r="A96" s="325" t="s">
        <v>2124</v>
      </c>
      <c r="B96" s="326" t="s">
        <v>2490</v>
      </c>
      <c r="C96" s="329">
        <v>30.0</v>
      </c>
      <c r="D96" s="329">
        <v>120.0</v>
      </c>
    </row>
    <row r="97">
      <c r="A97" s="330"/>
      <c r="B97" s="331"/>
      <c r="C97" s="323"/>
      <c r="D97" s="324"/>
    </row>
    <row r="98">
      <c r="A98" s="107" t="s">
        <v>2508</v>
      </c>
      <c r="B98" s="166"/>
      <c r="C98" s="323"/>
      <c r="D98" s="324"/>
    </row>
    <row r="99">
      <c r="A99" s="111" t="s">
        <v>2022</v>
      </c>
      <c r="B99" s="118" t="s">
        <v>2486</v>
      </c>
      <c r="C99" s="329">
        <v>54.0</v>
      </c>
      <c r="D99" s="328">
        <v>216.0</v>
      </c>
    </row>
    <row r="100">
      <c r="A100" s="111" t="s">
        <v>2026</v>
      </c>
      <c r="B100" s="118" t="s">
        <v>2487</v>
      </c>
      <c r="C100" s="329">
        <v>33.0</v>
      </c>
      <c r="D100" s="329">
        <v>132.0</v>
      </c>
    </row>
    <row r="101">
      <c r="A101" s="111" t="s">
        <v>2028</v>
      </c>
      <c r="B101" s="118" t="s">
        <v>363</v>
      </c>
      <c r="C101" s="329">
        <v>33.0</v>
      </c>
      <c r="D101" s="329">
        <v>132.0</v>
      </c>
    </row>
    <row r="102">
      <c r="A102" s="111" t="s">
        <v>2030</v>
      </c>
      <c r="B102" s="118" t="s">
        <v>382</v>
      </c>
      <c r="C102" s="329">
        <v>28.0</v>
      </c>
      <c r="D102" s="329">
        <v>112.0</v>
      </c>
    </row>
    <row r="103">
      <c r="A103" s="111" t="s">
        <v>2032</v>
      </c>
      <c r="B103" s="118" t="s">
        <v>399</v>
      </c>
      <c r="C103" s="329">
        <v>30.0</v>
      </c>
      <c r="D103" s="329">
        <v>120.0</v>
      </c>
    </row>
    <row r="104">
      <c r="A104" s="111" t="s">
        <v>2034</v>
      </c>
      <c r="B104" s="118" t="s">
        <v>419</v>
      </c>
      <c r="C104" s="329">
        <v>13.0</v>
      </c>
      <c r="D104" s="329">
        <v>52.0</v>
      </c>
    </row>
    <row r="105">
      <c r="A105" s="111" t="s">
        <v>2036</v>
      </c>
      <c r="B105" s="118" t="s">
        <v>2489</v>
      </c>
      <c r="C105" s="329">
        <v>30.0</v>
      </c>
      <c r="D105" s="329">
        <v>120.0</v>
      </c>
    </row>
    <row r="106">
      <c r="A106" s="111" t="s">
        <v>2038</v>
      </c>
      <c r="B106" s="118" t="s">
        <v>2490</v>
      </c>
      <c r="C106" s="329">
        <v>13.0</v>
      </c>
      <c r="D106" s="329">
        <v>52.0</v>
      </c>
    </row>
    <row r="107">
      <c r="A107" s="111" t="s">
        <v>2039</v>
      </c>
      <c r="B107" s="118" t="s">
        <v>482</v>
      </c>
      <c r="C107" s="329">
        <v>13.0</v>
      </c>
      <c r="D107" s="329">
        <v>52.0</v>
      </c>
    </row>
    <row r="108">
      <c r="A108" s="111" t="s">
        <v>2041</v>
      </c>
      <c r="B108" s="118" t="s">
        <v>502</v>
      </c>
      <c r="C108" s="329">
        <v>13.0</v>
      </c>
      <c r="D108" s="329">
        <v>52.0</v>
      </c>
    </row>
    <row r="109">
      <c r="A109" s="111" t="s">
        <v>2044</v>
      </c>
      <c r="B109" s="118" t="s">
        <v>734</v>
      </c>
      <c r="C109" s="329">
        <v>6.0</v>
      </c>
      <c r="D109" s="329">
        <v>24.0</v>
      </c>
    </row>
    <row r="110">
      <c r="A110" s="111" t="s">
        <v>2048</v>
      </c>
      <c r="B110" s="118" t="s">
        <v>395</v>
      </c>
      <c r="C110" s="329">
        <v>66.0</v>
      </c>
      <c r="D110" s="329">
        <v>198.0</v>
      </c>
    </row>
    <row r="111">
      <c r="A111" s="111" t="s">
        <v>2052</v>
      </c>
      <c r="B111" s="118" t="s">
        <v>583</v>
      </c>
      <c r="C111" s="329">
        <v>35.0</v>
      </c>
      <c r="D111" s="329">
        <v>140.0</v>
      </c>
    </row>
    <row r="112">
      <c r="A112" s="111" t="s">
        <v>2057</v>
      </c>
      <c r="B112" s="118" t="s">
        <v>2490</v>
      </c>
      <c r="C112" s="329">
        <v>30.0</v>
      </c>
      <c r="D112" s="329">
        <v>120.0</v>
      </c>
    </row>
    <row r="113">
      <c r="A113" s="330"/>
      <c r="B113" s="331"/>
      <c r="C113" s="323"/>
      <c r="D113" s="324"/>
    </row>
    <row r="114">
      <c r="A114" s="321" t="s">
        <v>2513</v>
      </c>
      <c r="B114" s="322"/>
      <c r="C114" s="323"/>
      <c r="D114" s="324"/>
    </row>
    <row r="115">
      <c r="A115" s="325" t="s">
        <v>620</v>
      </c>
      <c r="B115" s="326" t="s">
        <v>306</v>
      </c>
      <c r="C115" s="329">
        <v>33.0</v>
      </c>
      <c r="D115" s="329">
        <v>132.0</v>
      </c>
    </row>
    <row r="116">
      <c r="A116" s="325" t="s">
        <v>637</v>
      </c>
      <c r="B116" s="326" t="s">
        <v>339</v>
      </c>
      <c r="C116" s="327">
        <v>33.0</v>
      </c>
      <c r="D116" s="329">
        <v>99.0</v>
      </c>
    </row>
    <row r="117">
      <c r="A117" s="325" t="s">
        <v>651</v>
      </c>
      <c r="B117" s="326" t="s">
        <v>363</v>
      </c>
      <c r="C117" s="329">
        <v>33.0</v>
      </c>
      <c r="D117" s="329">
        <v>132.0</v>
      </c>
    </row>
    <row r="118">
      <c r="A118" s="325" t="s">
        <v>665</v>
      </c>
      <c r="B118" s="326" t="s">
        <v>666</v>
      </c>
      <c r="C118" s="329">
        <v>24.0</v>
      </c>
      <c r="D118" s="329">
        <v>48.0</v>
      </c>
    </row>
    <row r="119">
      <c r="A119" s="325" t="s">
        <v>681</v>
      </c>
      <c r="B119" s="326" t="s">
        <v>682</v>
      </c>
      <c r="C119" s="329">
        <v>30.0</v>
      </c>
      <c r="D119" s="329">
        <v>90.0</v>
      </c>
    </row>
    <row r="120">
      <c r="A120" s="325" t="s">
        <v>691</v>
      </c>
      <c r="B120" s="326" t="s">
        <v>692</v>
      </c>
      <c r="C120" s="329">
        <v>13.0</v>
      </c>
      <c r="D120" s="329">
        <v>52.0</v>
      </c>
    </row>
    <row r="121">
      <c r="A121" s="325" t="s">
        <v>694</v>
      </c>
      <c r="B121" s="326" t="s">
        <v>439</v>
      </c>
      <c r="C121" s="329">
        <v>30.0</v>
      </c>
      <c r="D121" s="329">
        <v>120.0</v>
      </c>
    </row>
    <row r="122">
      <c r="A122" s="325" t="s">
        <v>695</v>
      </c>
      <c r="B122" s="326" t="s">
        <v>462</v>
      </c>
      <c r="C122" s="329">
        <v>13.0</v>
      </c>
      <c r="D122" s="329">
        <v>52.0</v>
      </c>
    </row>
    <row r="123">
      <c r="A123" s="325" t="s">
        <v>697</v>
      </c>
      <c r="B123" s="326" t="s">
        <v>482</v>
      </c>
      <c r="C123" s="329">
        <v>13.0</v>
      </c>
      <c r="D123" s="329">
        <v>52.0</v>
      </c>
    </row>
    <row r="124">
      <c r="A124" s="325" t="s">
        <v>700</v>
      </c>
      <c r="B124" s="326" t="s">
        <v>502</v>
      </c>
      <c r="C124" s="329">
        <v>13.0</v>
      </c>
      <c r="D124" s="329">
        <v>52.0</v>
      </c>
    </row>
    <row r="125">
      <c r="A125" s="325" t="s">
        <v>704</v>
      </c>
      <c r="B125" s="326" t="s">
        <v>705</v>
      </c>
      <c r="C125" s="329">
        <v>6.0</v>
      </c>
      <c r="D125" s="329">
        <v>24.0</v>
      </c>
    </row>
    <row r="126">
      <c r="A126" s="325" t="s">
        <v>706</v>
      </c>
      <c r="B126" s="326" t="s">
        <v>395</v>
      </c>
      <c r="C126" s="329">
        <v>66.0</v>
      </c>
      <c r="D126" s="329">
        <v>198.0</v>
      </c>
    </row>
    <row r="127">
      <c r="A127" s="325" t="s">
        <v>707</v>
      </c>
      <c r="B127" s="326" t="s">
        <v>359</v>
      </c>
      <c r="C127" s="329">
        <v>23.0</v>
      </c>
      <c r="D127" s="329">
        <v>92.0</v>
      </c>
    </row>
    <row r="128">
      <c r="A128" s="325" t="s">
        <v>709</v>
      </c>
      <c r="B128" s="326" t="s">
        <v>710</v>
      </c>
      <c r="C128" s="329">
        <v>30.0</v>
      </c>
      <c r="D128" s="329">
        <v>90.0</v>
      </c>
    </row>
    <row r="129">
      <c r="A129" s="325" t="s">
        <v>711</v>
      </c>
      <c r="B129" s="326" t="s">
        <v>712</v>
      </c>
      <c r="C129" s="329">
        <v>14.0</v>
      </c>
      <c r="D129" s="329">
        <v>56.0</v>
      </c>
    </row>
    <row r="130">
      <c r="A130" s="330"/>
      <c r="B130" s="331"/>
      <c r="C130" s="323"/>
      <c r="D130" s="324"/>
    </row>
    <row r="131">
      <c r="A131" s="321" t="s">
        <v>2518</v>
      </c>
      <c r="B131" s="322"/>
      <c r="C131" s="323"/>
      <c r="D131" s="324"/>
    </row>
    <row r="132">
      <c r="A132" s="325" t="s">
        <v>2125</v>
      </c>
      <c r="B132" s="326" t="s">
        <v>306</v>
      </c>
      <c r="C132" s="329">
        <v>33.0</v>
      </c>
      <c r="D132" s="329">
        <v>132.0</v>
      </c>
    </row>
    <row r="133">
      <c r="A133" s="325" t="s">
        <v>2126</v>
      </c>
      <c r="B133" s="326" t="s">
        <v>339</v>
      </c>
      <c r="C133" s="329">
        <v>33.0</v>
      </c>
      <c r="D133" s="329">
        <v>99.0</v>
      </c>
    </row>
    <row r="134">
      <c r="A134" s="325" t="s">
        <v>2127</v>
      </c>
      <c r="B134" s="326" t="s">
        <v>363</v>
      </c>
      <c r="C134" s="329">
        <v>33.0</v>
      </c>
      <c r="D134" s="329">
        <v>132.0</v>
      </c>
    </row>
    <row r="135">
      <c r="A135" s="325" t="s">
        <v>2128</v>
      </c>
      <c r="B135" s="326" t="s">
        <v>666</v>
      </c>
      <c r="C135" s="329">
        <v>24.0</v>
      </c>
      <c r="D135" s="329">
        <v>48.0</v>
      </c>
    </row>
    <row r="136">
      <c r="A136" s="325" t="s">
        <v>2129</v>
      </c>
      <c r="B136" s="326" t="s">
        <v>682</v>
      </c>
      <c r="C136" s="329">
        <v>30.0</v>
      </c>
      <c r="D136" s="329">
        <v>90.0</v>
      </c>
    </row>
    <row r="137">
      <c r="A137" s="325" t="s">
        <v>2130</v>
      </c>
      <c r="B137" s="326" t="s">
        <v>692</v>
      </c>
      <c r="C137" s="329">
        <v>13.0</v>
      </c>
      <c r="D137" s="329">
        <v>52.0</v>
      </c>
    </row>
    <row r="138">
      <c r="A138" s="325" t="s">
        <v>2131</v>
      </c>
      <c r="B138" s="326" t="s">
        <v>2489</v>
      </c>
      <c r="C138" s="329">
        <v>30.0</v>
      </c>
      <c r="D138" s="329">
        <v>120.0</v>
      </c>
    </row>
    <row r="139">
      <c r="A139" s="325" t="s">
        <v>2132</v>
      </c>
      <c r="B139" s="326" t="s">
        <v>2133</v>
      </c>
      <c r="C139" s="329">
        <v>13.0</v>
      </c>
      <c r="D139" s="329">
        <v>52.0</v>
      </c>
    </row>
    <row r="140">
      <c r="A140" s="325" t="s">
        <v>2134</v>
      </c>
      <c r="B140" s="326" t="s">
        <v>482</v>
      </c>
      <c r="C140" s="329">
        <v>13.0</v>
      </c>
      <c r="D140" s="329">
        <v>52.0</v>
      </c>
    </row>
    <row r="141">
      <c r="A141" s="325" t="s">
        <v>2135</v>
      </c>
      <c r="B141" s="326" t="s">
        <v>502</v>
      </c>
      <c r="C141" s="329">
        <v>13.0</v>
      </c>
      <c r="D141" s="329">
        <v>52.0</v>
      </c>
    </row>
    <row r="142">
      <c r="A142" s="325" t="s">
        <v>2136</v>
      </c>
      <c r="B142" s="326" t="s">
        <v>705</v>
      </c>
      <c r="C142" s="329">
        <v>6.0</v>
      </c>
      <c r="D142" s="329">
        <v>24.0</v>
      </c>
    </row>
    <row r="143">
      <c r="A143" s="325" t="s">
        <v>2137</v>
      </c>
      <c r="B143" s="326" t="s">
        <v>395</v>
      </c>
      <c r="C143" s="329">
        <v>66.0</v>
      </c>
      <c r="D143" s="329">
        <v>198.0</v>
      </c>
    </row>
    <row r="144">
      <c r="A144" s="325" t="s">
        <v>2138</v>
      </c>
      <c r="B144" s="326" t="s">
        <v>359</v>
      </c>
      <c r="C144" s="329">
        <v>23.0</v>
      </c>
      <c r="D144" s="329">
        <v>92.0</v>
      </c>
    </row>
    <row r="145">
      <c r="A145" s="325" t="s">
        <v>2139</v>
      </c>
      <c r="B145" s="326" t="s">
        <v>710</v>
      </c>
      <c r="C145" s="329">
        <v>30.0</v>
      </c>
      <c r="D145" s="329">
        <v>90.0</v>
      </c>
    </row>
    <row r="146">
      <c r="A146" s="325" t="s">
        <v>2140</v>
      </c>
      <c r="B146" s="326" t="s">
        <v>712</v>
      </c>
      <c r="C146" s="329">
        <v>14.0</v>
      </c>
      <c r="D146" s="329">
        <v>56.0</v>
      </c>
    </row>
    <row r="147">
      <c r="A147" s="332"/>
      <c r="B147" s="322"/>
      <c r="C147" s="323"/>
      <c r="D147" s="324"/>
    </row>
    <row r="148">
      <c r="A148" s="321" t="s">
        <v>2521</v>
      </c>
      <c r="B148" s="322"/>
      <c r="C148" s="323"/>
      <c r="D148" s="324"/>
    </row>
    <row r="149">
      <c r="A149" s="325" t="s">
        <v>2141</v>
      </c>
      <c r="B149" s="326" t="s">
        <v>306</v>
      </c>
      <c r="C149" s="329">
        <v>33.0</v>
      </c>
      <c r="D149" s="329">
        <v>132.0</v>
      </c>
    </row>
    <row r="150">
      <c r="A150" s="325" t="s">
        <v>2142</v>
      </c>
      <c r="B150" s="326" t="s">
        <v>339</v>
      </c>
      <c r="C150" s="329">
        <v>33.0</v>
      </c>
      <c r="D150" s="329">
        <v>99.0</v>
      </c>
    </row>
    <row r="151">
      <c r="A151" s="325" t="s">
        <v>2143</v>
      </c>
      <c r="B151" s="326" t="s">
        <v>363</v>
      </c>
      <c r="C151" s="329">
        <v>33.0</v>
      </c>
      <c r="D151" s="329">
        <v>132.0</v>
      </c>
    </row>
    <row r="152">
      <c r="A152" s="325" t="s">
        <v>2144</v>
      </c>
      <c r="B152" s="326" t="s">
        <v>666</v>
      </c>
      <c r="C152" s="329">
        <v>24.0</v>
      </c>
      <c r="D152" s="329">
        <v>48.0</v>
      </c>
    </row>
    <row r="153">
      <c r="A153" s="325" t="s">
        <v>2145</v>
      </c>
      <c r="B153" s="326" t="s">
        <v>682</v>
      </c>
      <c r="C153" s="329">
        <v>30.0</v>
      </c>
      <c r="D153" s="329">
        <v>90.0</v>
      </c>
    </row>
    <row r="154">
      <c r="A154" s="325" t="s">
        <v>2146</v>
      </c>
      <c r="B154" s="326" t="s">
        <v>692</v>
      </c>
      <c r="C154" s="329">
        <v>13.0</v>
      </c>
      <c r="D154" s="329">
        <v>52.0</v>
      </c>
    </row>
    <row r="155">
      <c r="A155" s="325" t="s">
        <v>2147</v>
      </c>
      <c r="B155" s="326" t="s">
        <v>2489</v>
      </c>
      <c r="C155" s="329">
        <v>30.0</v>
      </c>
      <c r="D155" s="329">
        <v>120.0</v>
      </c>
    </row>
    <row r="156">
      <c r="A156" s="325" t="s">
        <v>2148</v>
      </c>
      <c r="B156" s="326" t="s">
        <v>2133</v>
      </c>
      <c r="C156" s="329">
        <v>13.0</v>
      </c>
      <c r="D156" s="329">
        <v>52.0</v>
      </c>
    </row>
    <row r="157">
      <c r="A157" s="325" t="s">
        <v>2149</v>
      </c>
      <c r="B157" s="326" t="s">
        <v>482</v>
      </c>
      <c r="C157" s="329">
        <v>13.0</v>
      </c>
      <c r="D157" s="329">
        <v>52.0</v>
      </c>
    </row>
    <row r="158">
      <c r="A158" s="325" t="s">
        <v>2150</v>
      </c>
      <c r="B158" s="326" t="s">
        <v>502</v>
      </c>
      <c r="C158" s="329">
        <v>13.0</v>
      </c>
      <c r="D158" s="329">
        <v>52.0</v>
      </c>
    </row>
    <row r="159">
      <c r="A159" s="325" t="s">
        <v>2151</v>
      </c>
      <c r="B159" s="326" t="s">
        <v>705</v>
      </c>
      <c r="C159" s="329">
        <v>6.0</v>
      </c>
      <c r="D159" s="329">
        <v>24.0</v>
      </c>
    </row>
    <row r="160">
      <c r="A160" s="325" t="s">
        <v>2152</v>
      </c>
      <c r="B160" s="326" t="s">
        <v>395</v>
      </c>
      <c r="C160" s="329">
        <v>66.0</v>
      </c>
      <c r="D160" s="329">
        <v>198.0</v>
      </c>
    </row>
    <row r="161">
      <c r="A161" s="325" t="s">
        <v>2153</v>
      </c>
      <c r="B161" s="326" t="s">
        <v>359</v>
      </c>
      <c r="C161" s="329">
        <v>23.0</v>
      </c>
      <c r="D161" s="329">
        <v>92.0</v>
      </c>
    </row>
    <row r="162">
      <c r="A162" s="325" t="s">
        <v>2154</v>
      </c>
      <c r="B162" s="326" t="s">
        <v>710</v>
      </c>
      <c r="C162" s="329">
        <v>30.0</v>
      </c>
      <c r="D162" s="329">
        <v>90.0</v>
      </c>
    </row>
    <row r="163">
      <c r="A163" s="325" t="s">
        <v>2155</v>
      </c>
      <c r="B163" s="326" t="s">
        <v>712</v>
      </c>
      <c r="C163" s="329">
        <v>14.0</v>
      </c>
      <c r="D163" s="329">
        <v>56.0</v>
      </c>
    </row>
    <row r="164">
      <c r="A164" s="332"/>
      <c r="B164" s="322"/>
      <c r="C164" s="323"/>
      <c r="D164" s="324"/>
    </row>
    <row r="165">
      <c r="A165" s="321" t="s">
        <v>2527</v>
      </c>
      <c r="B165" s="322"/>
      <c r="C165" s="323"/>
      <c r="D165" s="324"/>
    </row>
    <row r="166">
      <c r="A166" s="325" t="s">
        <v>2156</v>
      </c>
      <c r="B166" s="326" t="s">
        <v>306</v>
      </c>
      <c r="C166" s="329">
        <v>33.0</v>
      </c>
      <c r="D166" s="329">
        <v>132.0</v>
      </c>
    </row>
    <row r="167">
      <c r="A167" s="325" t="s">
        <v>2157</v>
      </c>
      <c r="B167" s="326" t="s">
        <v>339</v>
      </c>
      <c r="C167" s="329">
        <v>33.0</v>
      </c>
      <c r="D167" s="329">
        <v>99.0</v>
      </c>
    </row>
    <row r="168">
      <c r="A168" s="325" t="s">
        <v>2158</v>
      </c>
      <c r="B168" s="326" t="s">
        <v>363</v>
      </c>
      <c r="C168" s="329">
        <v>33.0</v>
      </c>
      <c r="D168" s="329">
        <v>132.0</v>
      </c>
    </row>
    <row r="169">
      <c r="A169" s="325" t="s">
        <v>2159</v>
      </c>
      <c r="B169" s="326" t="s">
        <v>666</v>
      </c>
      <c r="C169" s="329">
        <v>24.0</v>
      </c>
      <c r="D169" s="329">
        <v>48.0</v>
      </c>
    </row>
    <row r="170">
      <c r="A170" s="325" t="s">
        <v>2160</v>
      </c>
      <c r="B170" s="326" t="s">
        <v>682</v>
      </c>
      <c r="C170" s="329">
        <v>30.0</v>
      </c>
      <c r="D170" s="329">
        <v>90.0</v>
      </c>
    </row>
    <row r="171">
      <c r="A171" s="325" t="s">
        <v>2161</v>
      </c>
      <c r="B171" s="326" t="s">
        <v>692</v>
      </c>
      <c r="C171" s="329">
        <v>13.0</v>
      </c>
      <c r="D171" s="329">
        <v>52.0</v>
      </c>
    </row>
    <row r="172">
      <c r="A172" s="325" t="s">
        <v>2162</v>
      </c>
      <c r="B172" s="326" t="s">
        <v>2489</v>
      </c>
      <c r="C172" s="329">
        <v>30.0</v>
      </c>
      <c r="D172" s="329">
        <v>120.0</v>
      </c>
    </row>
    <row r="173">
      <c r="A173" s="325" t="s">
        <v>2163</v>
      </c>
      <c r="B173" s="326" t="s">
        <v>2133</v>
      </c>
      <c r="C173" s="329">
        <v>13.0</v>
      </c>
      <c r="D173" s="329">
        <v>52.0</v>
      </c>
    </row>
    <row r="174">
      <c r="A174" s="325" t="s">
        <v>2164</v>
      </c>
      <c r="B174" s="326" t="s">
        <v>482</v>
      </c>
      <c r="C174" s="329">
        <v>13.0</v>
      </c>
      <c r="D174" s="329">
        <v>52.0</v>
      </c>
    </row>
    <row r="175">
      <c r="A175" s="325" t="s">
        <v>2165</v>
      </c>
      <c r="B175" s="326" t="s">
        <v>502</v>
      </c>
      <c r="C175" s="329">
        <v>13.0</v>
      </c>
      <c r="D175" s="329">
        <v>52.0</v>
      </c>
    </row>
    <row r="176">
      <c r="A176" s="325" t="s">
        <v>2166</v>
      </c>
      <c r="B176" s="326" t="s">
        <v>705</v>
      </c>
      <c r="C176" s="329">
        <v>6.0</v>
      </c>
      <c r="D176" s="329">
        <v>24.0</v>
      </c>
    </row>
    <row r="177">
      <c r="A177" s="325" t="s">
        <v>2167</v>
      </c>
      <c r="B177" s="326" t="s">
        <v>395</v>
      </c>
      <c r="C177" s="329">
        <v>66.0</v>
      </c>
      <c r="D177" s="329">
        <v>198.0</v>
      </c>
    </row>
    <row r="178">
      <c r="A178" s="325" t="s">
        <v>2168</v>
      </c>
      <c r="B178" s="326" t="s">
        <v>359</v>
      </c>
      <c r="C178" s="329">
        <v>23.0</v>
      </c>
      <c r="D178" s="329">
        <v>92.0</v>
      </c>
    </row>
    <row r="179">
      <c r="A179" s="325" t="s">
        <v>2169</v>
      </c>
      <c r="B179" s="326" t="s">
        <v>710</v>
      </c>
      <c r="C179" s="329">
        <v>30.0</v>
      </c>
      <c r="D179" s="329">
        <v>90.0</v>
      </c>
    </row>
    <row r="180">
      <c r="A180" s="325" t="s">
        <v>2170</v>
      </c>
      <c r="B180" s="326" t="s">
        <v>712</v>
      </c>
      <c r="C180" s="329">
        <v>14.0</v>
      </c>
      <c r="D180" s="329">
        <v>56.0</v>
      </c>
    </row>
    <row r="181">
      <c r="A181" s="332"/>
      <c r="B181" s="322"/>
      <c r="C181" s="323"/>
      <c r="D181" s="324"/>
    </row>
    <row r="182">
      <c r="A182" s="321" t="s">
        <v>2530</v>
      </c>
      <c r="B182" s="322"/>
      <c r="C182" s="323"/>
      <c r="D182" s="324"/>
    </row>
    <row r="183">
      <c r="A183" s="325" t="s">
        <v>2171</v>
      </c>
      <c r="B183" s="326" t="s">
        <v>306</v>
      </c>
      <c r="C183" s="329">
        <v>33.0</v>
      </c>
      <c r="D183" s="329">
        <v>132.0</v>
      </c>
    </row>
    <row r="184">
      <c r="A184" s="325" t="s">
        <v>2172</v>
      </c>
      <c r="B184" s="326" t="s">
        <v>339</v>
      </c>
      <c r="C184" s="329">
        <v>33.0</v>
      </c>
      <c r="D184" s="329">
        <v>99.0</v>
      </c>
    </row>
    <row r="185">
      <c r="A185" s="325" t="s">
        <v>2173</v>
      </c>
      <c r="B185" s="326" t="s">
        <v>363</v>
      </c>
      <c r="C185" s="329">
        <v>33.0</v>
      </c>
      <c r="D185" s="329">
        <v>132.0</v>
      </c>
    </row>
    <row r="186">
      <c r="A186" s="325" t="s">
        <v>2174</v>
      </c>
      <c r="B186" s="326" t="s">
        <v>666</v>
      </c>
      <c r="C186" s="329">
        <v>24.0</v>
      </c>
      <c r="D186" s="329">
        <v>48.0</v>
      </c>
    </row>
    <row r="187">
      <c r="A187" s="325" t="s">
        <v>2175</v>
      </c>
      <c r="B187" s="326" t="s">
        <v>682</v>
      </c>
      <c r="C187" s="329">
        <v>30.0</v>
      </c>
      <c r="D187" s="329">
        <v>90.0</v>
      </c>
    </row>
    <row r="188">
      <c r="A188" s="325" t="s">
        <v>2176</v>
      </c>
      <c r="B188" s="326" t="s">
        <v>692</v>
      </c>
      <c r="C188" s="329">
        <v>13.0</v>
      </c>
      <c r="D188" s="329">
        <v>52.0</v>
      </c>
    </row>
    <row r="189">
      <c r="A189" s="325" t="s">
        <v>2177</v>
      </c>
      <c r="B189" s="326" t="s">
        <v>2489</v>
      </c>
      <c r="C189" s="329">
        <v>30.0</v>
      </c>
      <c r="D189" s="329">
        <v>120.0</v>
      </c>
    </row>
    <row r="190">
      <c r="A190" s="325" t="s">
        <v>2178</v>
      </c>
      <c r="B190" s="326" t="s">
        <v>2133</v>
      </c>
      <c r="C190" s="329">
        <v>13.0</v>
      </c>
      <c r="D190" s="329">
        <v>52.0</v>
      </c>
    </row>
    <row r="191">
      <c r="A191" s="325" t="s">
        <v>2179</v>
      </c>
      <c r="B191" s="326" t="s">
        <v>482</v>
      </c>
      <c r="C191" s="329">
        <v>13.0</v>
      </c>
      <c r="D191" s="329">
        <v>52.0</v>
      </c>
    </row>
    <row r="192">
      <c r="A192" s="325" t="s">
        <v>2180</v>
      </c>
      <c r="B192" s="326" t="s">
        <v>502</v>
      </c>
      <c r="C192" s="329">
        <v>13.0</v>
      </c>
      <c r="D192" s="329">
        <v>52.0</v>
      </c>
    </row>
    <row r="193">
      <c r="A193" s="325" t="s">
        <v>2181</v>
      </c>
      <c r="B193" s="326" t="s">
        <v>705</v>
      </c>
      <c r="C193" s="329">
        <v>6.0</v>
      </c>
      <c r="D193" s="329">
        <v>24.0</v>
      </c>
    </row>
    <row r="194">
      <c r="A194" s="325" t="s">
        <v>2182</v>
      </c>
      <c r="B194" s="326" t="s">
        <v>395</v>
      </c>
      <c r="C194" s="329">
        <v>66.0</v>
      </c>
      <c r="D194" s="329">
        <v>198.0</v>
      </c>
    </row>
    <row r="195">
      <c r="A195" s="325" t="s">
        <v>2183</v>
      </c>
      <c r="B195" s="326" t="s">
        <v>359</v>
      </c>
      <c r="C195" s="329">
        <v>23.0</v>
      </c>
      <c r="D195" s="329">
        <v>92.0</v>
      </c>
    </row>
    <row r="196">
      <c r="A196" s="325" t="s">
        <v>2184</v>
      </c>
      <c r="B196" s="326" t="s">
        <v>710</v>
      </c>
      <c r="C196" s="329">
        <v>30.0</v>
      </c>
      <c r="D196" s="329">
        <v>90.0</v>
      </c>
    </row>
    <row r="197">
      <c r="A197" s="325" t="s">
        <v>2185</v>
      </c>
      <c r="B197" s="326" t="s">
        <v>712</v>
      </c>
      <c r="C197" s="329">
        <v>14.0</v>
      </c>
      <c r="D197" s="329">
        <v>56.0</v>
      </c>
    </row>
    <row r="198">
      <c r="A198" s="332"/>
      <c r="B198" s="322"/>
      <c r="C198" s="323"/>
      <c r="D198" s="324"/>
    </row>
    <row r="199">
      <c r="A199" s="321" t="s">
        <v>2534</v>
      </c>
      <c r="B199" s="322"/>
      <c r="C199" s="323"/>
      <c r="D199" s="324"/>
    </row>
    <row r="200">
      <c r="A200" s="325" t="s">
        <v>2186</v>
      </c>
      <c r="B200" s="326" t="s">
        <v>306</v>
      </c>
      <c r="C200" s="329">
        <v>33.0</v>
      </c>
      <c r="D200" s="329">
        <v>132.0</v>
      </c>
    </row>
    <row r="201">
      <c r="A201" s="325" t="s">
        <v>2187</v>
      </c>
      <c r="B201" s="326" t="s">
        <v>339</v>
      </c>
      <c r="C201" s="329">
        <v>33.0</v>
      </c>
      <c r="D201" s="329">
        <v>99.0</v>
      </c>
    </row>
    <row r="202">
      <c r="A202" s="325" t="s">
        <v>2188</v>
      </c>
      <c r="B202" s="326" t="s">
        <v>363</v>
      </c>
      <c r="C202" s="329">
        <v>33.0</v>
      </c>
      <c r="D202" s="329">
        <v>132.0</v>
      </c>
    </row>
    <row r="203">
      <c r="A203" s="325" t="s">
        <v>2189</v>
      </c>
      <c r="B203" s="326" t="s">
        <v>666</v>
      </c>
      <c r="C203" s="329">
        <v>24.0</v>
      </c>
      <c r="D203" s="329">
        <v>48.0</v>
      </c>
    </row>
    <row r="204">
      <c r="A204" s="325" t="s">
        <v>2190</v>
      </c>
      <c r="B204" s="326" t="s">
        <v>682</v>
      </c>
      <c r="C204" s="329">
        <v>30.0</v>
      </c>
      <c r="D204" s="329">
        <v>90.0</v>
      </c>
    </row>
    <row r="205">
      <c r="A205" s="325" t="s">
        <v>2191</v>
      </c>
      <c r="B205" s="326" t="s">
        <v>692</v>
      </c>
      <c r="C205" s="329">
        <v>13.0</v>
      </c>
      <c r="D205" s="329">
        <v>52.0</v>
      </c>
    </row>
    <row r="206">
      <c r="A206" s="325" t="s">
        <v>2192</v>
      </c>
      <c r="B206" s="326" t="s">
        <v>2489</v>
      </c>
      <c r="C206" s="329">
        <v>30.0</v>
      </c>
      <c r="D206" s="329">
        <v>120.0</v>
      </c>
    </row>
    <row r="207">
      <c r="A207" s="325" t="s">
        <v>2193</v>
      </c>
      <c r="B207" s="326" t="s">
        <v>2133</v>
      </c>
      <c r="C207" s="329">
        <v>13.0</v>
      </c>
      <c r="D207" s="329">
        <v>52.0</v>
      </c>
    </row>
    <row r="208">
      <c r="A208" s="325" t="s">
        <v>2194</v>
      </c>
      <c r="B208" s="326" t="s">
        <v>482</v>
      </c>
      <c r="C208" s="329">
        <v>13.0</v>
      </c>
      <c r="D208" s="329">
        <v>52.0</v>
      </c>
    </row>
    <row r="209">
      <c r="A209" s="325" t="s">
        <v>2195</v>
      </c>
      <c r="B209" s="326" t="s">
        <v>502</v>
      </c>
      <c r="C209" s="329">
        <v>13.0</v>
      </c>
      <c r="D209" s="329">
        <v>52.0</v>
      </c>
    </row>
    <row r="210">
      <c r="A210" s="325" t="s">
        <v>2196</v>
      </c>
      <c r="B210" s="326" t="s">
        <v>705</v>
      </c>
      <c r="C210" s="329">
        <v>6.0</v>
      </c>
      <c r="D210" s="329">
        <v>24.0</v>
      </c>
    </row>
    <row r="211">
      <c r="A211" s="325" t="s">
        <v>2197</v>
      </c>
      <c r="B211" s="326" t="s">
        <v>395</v>
      </c>
      <c r="C211" s="329">
        <v>66.0</v>
      </c>
      <c r="D211" s="329">
        <v>198.0</v>
      </c>
    </row>
    <row r="212">
      <c r="A212" s="325" t="s">
        <v>2198</v>
      </c>
      <c r="B212" s="326" t="s">
        <v>359</v>
      </c>
      <c r="C212" s="329">
        <v>23.0</v>
      </c>
      <c r="D212" s="329">
        <v>92.0</v>
      </c>
    </row>
    <row r="213">
      <c r="A213" s="325" t="s">
        <v>2199</v>
      </c>
      <c r="B213" s="326" t="s">
        <v>710</v>
      </c>
      <c r="C213" s="329">
        <v>30.0</v>
      </c>
      <c r="D213" s="329">
        <v>90.0</v>
      </c>
    </row>
    <row r="214">
      <c r="A214" s="325" t="s">
        <v>2200</v>
      </c>
      <c r="B214" s="326" t="s">
        <v>712</v>
      </c>
      <c r="C214" s="329">
        <v>14.0</v>
      </c>
      <c r="D214" s="329">
        <v>56.0</v>
      </c>
    </row>
    <row r="215">
      <c r="A215" s="330"/>
      <c r="B215" s="331"/>
      <c r="C215" s="323"/>
      <c r="D215" s="324"/>
    </row>
    <row r="216">
      <c r="A216" s="321" t="s">
        <v>2539</v>
      </c>
      <c r="B216" s="322"/>
      <c r="C216" s="323"/>
      <c r="D216" s="324"/>
    </row>
    <row r="217">
      <c r="A217" s="325" t="s">
        <v>713</v>
      </c>
      <c r="B217" s="326" t="s">
        <v>714</v>
      </c>
      <c r="C217" s="329">
        <v>33.0</v>
      </c>
      <c r="D217" s="329">
        <v>132.0</v>
      </c>
    </row>
    <row r="218">
      <c r="A218" s="325" t="s">
        <v>715</v>
      </c>
      <c r="B218" s="326" t="s">
        <v>339</v>
      </c>
      <c r="C218" s="329">
        <v>33.0</v>
      </c>
      <c r="D218" s="329">
        <v>99.0</v>
      </c>
    </row>
    <row r="219">
      <c r="A219" s="325" t="s">
        <v>716</v>
      </c>
      <c r="B219" s="326" t="s">
        <v>363</v>
      </c>
      <c r="C219" s="329">
        <v>33.0</v>
      </c>
      <c r="D219" s="329">
        <v>99.0</v>
      </c>
    </row>
    <row r="220">
      <c r="A220" s="325" t="s">
        <v>718</v>
      </c>
      <c r="B220" s="326" t="s">
        <v>382</v>
      </c>
      <c r="C220" s="329">
        <v>24.0</v>
      </c>
      <c r="D220" s="329">
        <v>48.0</v>
      </c>
    </row>
    <row r="221">
      <c r="A221" s="325" t="s">
        <v>720</v>
      </c>
      <c r="B221" s="326" t="s">
        <v>399</v>
      </c>
      <c r="C221" s="329">
        <v>30.0</v>
      </c>
      <c r="D221" s="329">
        <v>90.0</v>
      </c>
    </row>
    <row r="222">
      <c r="A222" s="325" t="s">
        <v>724</v>
      </c>
      <c r="B222" s="326" t="s">
        <v>419</v>
      </c>
      <c r="C222" s="329">
        <v>30.0</v>
      </c>
      <c r="D222" s="329">
        <v>90.0</v>
      </c>
    </row>
    <row r="223">
      <c r="A223" s="325" t="s">
        <v>726</v>
      </c>
      <c r="B223" s="326" t="s">
        <v>439</v>
      </c>
      <c r="C223" s="329">
        <v>30.0</v>
      </c>
      <c r="D223" s="329">
        <v>120.0</v>
      </c>
    </row>
    <row r="224">
      <c r="A224" s="325" t="s">
        <v>728</v>
      </c>
      <c r="B224" s="326" t="s">
        <v>462</v>
      </c>
      <c r="C224" s="327">
        <v>13.0</v>
      </c>
      <c r="D224" s="329">
        <v>52.0</v>
      </c>
    </row>
    <row r="225">
      <c r="A225" s="325" t="s">
        <v>729</v>
      </c>
      <c r="B225" s="326" t="s">
        <v>482</v>
      </c>
      <c r="C225" s="329">
        <v>13.0</v>
      </c>
      <c r="D225" s="329">
        <v>52.0</v>
      </c>
    </row>
    <row r="226">
      <c r="A226" s="325" t="s">
        <v>730</v>
      </c>
      <c r="B226" s="326" t="s">
        <v>502</v>
      </c>
      <c r="C226" s="329">
        <v>13.0</v>
      </c>
      <c r="D226" s="329">
        <v>52.0</v>
      </c>
    </row>
    <row r="227">
      <c r="A227" s="325" t="s">
        <v>733</v>
      </c>
      <c r="B227" s="326" t="s">
        <v>734</v>
      </c>
      <c r="C227" s="329">
        <v>6.0</v>
      </c>
      <c r="D227" s="329">
        <v>24.0</v>
      </c>
    </row>
    <row r="228">
      <c r="A228" s="325" t="s">
        <v>735</v>
      </c>
      <c r="B228" s="326" t="s">
        <v>395</v>
      </c>
      <c r="C228" s="329">
        <v>66.0</v>
      </c>
      <c r="D228" s="329">
        <v>198.0</v>
      </c>
    </row>
    <row r="229">
      <c r="A229" s="325" t="s">
        <v>736</v>
      </c>
      <c r="B229" s="326" t="s">
        <v>359</v>
      </c>
      <c r="C229" s="329">
        <v>23.0</v>
      </c>
      <c r="D229" s="329">
        <v>92.0</v>
      </c>
    </row>
    <row r="230">
      <c r="A230" s="325" t="s">
        <v>737</v>
      </c>
      <c r="B230" s="326" t="s">
        <v>601</v>
      </c>
      <c r="C230" s="329">
        <v>30.0</v>
      </c>
      <c r="D230" s="329">
        <v>90.0</v>
      </c>
    </row>
    <row r="231">
      <c r="A231" s="325" t="s">
        <v>738</v>
      </c>
      <c r="B231" s="326" t="s">
        <v>678</v>
      </c>
      <c r="C231" s="329">
        <v>64.0</v>
      </c>
      <c r="D231" s="329">
        <v>128.0</v>
      </c>
    </row>
    <row r="232">
      <c r="A232" s="325" t="s">
        <v>740</v>
      </c>
      <c r="B232" s="326" t="s">
        <v>693</v>
      </c>
      <c r="C232" s="329">
        <v>64.0</v>
      </c>
      <c r="D232" s="329">
        <v>128.0</v>
      </c>
    </row>
    <row r="233">
      <c r="A233" s="325" t="s">
        <v>742</v>
      </c>
      <c r="B233" s="326" t="s">
        <v>712</v>
      </c>
      <c r="C233" s="329">
        <v>14.0</v>
      </c>
      <c r="D233" s="329">
        <v>56.0</v>
      </c>
    </row>
    <row r="234">
      <c r="A234" s="325" t="s">
        <v>743</v>
      </c>
      <c r="B234" s="326" t="s">
        <v>744</v>
      </c>
      <c r="C234" s="329">
        <v>14.0</v>
      </c>
      <c r="D234" s="329">
        <v>56.0</v>
      </c>
    </row>
    <row r="235">
      <c r="A235" s="330"/>
      <c r="B235" s="331"/>
      <c r="C235" s="323"/>
      <c r="D235" s="324"/>
    </row>
    <row r="236">
      <c r="A236" s="321" t="s">
        <v>2544</v>
      </c>
      <c r="B236" s="322"/>
      <c r="C236" s="323"/>
      <c r="D236" s="324"/>
    </row>
    <row r="237">
      <c r="A237" s="325" t="s">
        <v>2202</v>
      </c>
      <c r="B237" s="326" t="s">
        <v>714</v>
      </c>
      <c r="C237" s="329">
        <v>33.0</v>
      </c>
      <c r="D237" s="329">
        <v>132.0</v>
      </c>
    </row>
    <row r="238">
      <c r="A238" s="325" t="s">
        <v>2203</v>
      </c>
      <c r="B238" s="326" t="s">
        <v>339</v>
      </c>
      <c r="C238" s="329">
        <v>33.0</v>
      </c>
      <c r="D238" s="329">
        <v>99.0</v>
      </c>
    </row>
    <row r="239">
      <c r="A239" s="333" t="s">
        <v>2204</v>
      </c>
      <c r="B239" s="334" t="s">
        <v>363</v>
      </c>
      <c r="C239" s="329">
        <v>33.0</v>
      </c>
      <c r="D239" s="329">
        <v>99.0</v>
      </c>
    </row>
    <row r="240">
      <c r="A240" s="325" t="s">
        <v>2205</v>
      </c>
      <c r="B240" s="326" t="s">
        <v>382</v>
      </c>
      <c r="C240" s="329">
        <v>24.0</v>
      </c>
      <c r="D240" s="329">
        <v>48.0</v>
      </c>
    </row>
    <row r="241">
      <c r="A241" s="325" t="s">
        <v>2206</v>
      </c>
      <c r="B241" s="326" t="s">
        <v>399</v>
      </c>
      <c r="C241" s="329">
        <v>30.0</v>
      </c>
      <c r="D241" s="329">
        <v>90.0</v>
      </c>
    </row>
    <row r="242">
      <c r="A242" s="325" t="s">
        <v>2207</v>
      </c>
      <c r="B242" s="326" t="s">
        <v>419</v>
      </c>
      <c r="C242" s="329">
        <v>30.0</v>
      </c>
      <c r="D242" s="329">
        <v>90.0</v>
      </c>
    </row>
    <row r="243">
      <c r="A243" s="325" t="s">
        <v>2208</v>
      </c>
      <c r="B243" s="326" t="s">
        <v>1269</v>
      </c>
      <c r="C243" s="329">
        <v>30.0</v>
      </c>
      <c r="D243" s="329">
        <v>120.0</v>
      </c>
    </row>
    <row r="244">
      <c r="A244" s="325" t="s">
        <v>2210</v>
      </c>
      <c r="B244" s="326" t="s">
        <v>2547</v>
      </c>
      <c r="C244" s="329">
        <v>13.0</v>
      </c>
      <c r="D244" s="329">
        <v>52.0</v>
      </c>
    </row>
    <row r="245">
      <c r="A245" s="325" t="s">
        <v>2211</v>
      </c>
      <c r="B245" s="326" t="s">
        <v>482</v>
      </c>
      <c r="C245" s="329">
        <v>13.0</v>
      </c>
      <c r="D245" s="329">
        <v>52.0</v>
      </c>
    </row>
    <row r="246">
      <c r="A246" s="325" t="s">
        <v>2212</v>
      </c>
      <c r="B246" s="326" t="s">
        <v>502</v>
      </c>
      <c r="C246" s="329">
        <v>13.0</v>
      </c>
      <c r="D246" s="329">
        <v>52.0</v>
      </c>
    </row>
    <row r="247">
      <c r="A247" s="325" t="s">
        <v>2213</v>
      </c>
      <c r="B247" s="326" t="s">
        <v>734</v>
      </c>
      <c r="C247" s="329">
        <v>6.0</v>
      </c>
      <c r="D247" s="329">
        <v>24.0</v>
      </c>
    </row>
    <row r="248">
      <c r="A248" s="325" t="s">
        <v>2214</v>
      </c>
      <c r="B248" s="326" t="s">
        <v>395</v>
      </c>
      <c r="C248" s="329">
        <v>66.0</v>
      </c>
      <c r="D248" s="329">
        <v>198.0</v>
      </c>
    </row>
    <row r="249">
      <c r="A249" s="325" t="s">
        <v>2215</v>
      </c>
      <c r="B249" s="326" t="s">
        <v>359</v>
      </c>
      <c r="C249" s="329">
        <v>23.0</v>
      </c>
      <c r="D249" s="329">
        <v>92.0</v>
      </c>
    </row>
    <row r="250">
      <c r="A250" s="325" t="s">
        <v>2216</v>
      </c>
      <c r="B250" s="326" t="s">
        <v>2490</v>
      </c>
      <c r="C250" s="329">
        <v>30.0</v>
      </c>
      <c r="D250" s="329">
        <v>90.0</v>
      </c>
    </row>
    <row r="251">
      <c r="A251" s="325" t="s">
        <v>2217</v>
      </c>
      <c r="B251" s="326" t="s">
        <v>712</v>
      </c>
      <c r="C251" s="329">
        <v>14.0</v>
      </c>
      <c r="D251" s="329">
        <v>56.0</v>
      </c>
    </row>
    <row r="252">
      <c r="A252" s="325" t="s">
        <v>2218</v>
      </c>
      <c r="B252" s="326" t="s">
        <v>744</v>
      </c>
      <c r="C252" s="329">
        <v>14.0</v>
      </c>
      <c r="D252" s="329">
        <v>56.0</v>
      </c>
    </row>
    <row r="253">
      <c r="A253" s="332"/>
      <c r="B253" s="322"/>
      <c r="C253" s="323"/>
      <c r="D253" s="324"/>
    </row>
    <row r="254">
      <c r="A254" s="321" t="s">
        <v>2550</v>
      </c>
      <c r="B254" s="322"/>
      <c r="C254" s="323"/>
      <c r="D254" s="324"/>
    </row>
    <row r="255">
      <c r="A255" s="325" t="s">
        <v>2221</v>
      </c>
      <c r="B255" s="326" t="s">
        <v>714</v>
      </c>
      <c r="C255" s="329">
        <v>33.0</v>
      </c>
      <c r="D255" s="329">
        <v>132.0</v>
      </c>
    </row>
    <row r="256">
      <c r="A256" s="325" t="s">
        <v>2222</v>
      </c>
      <c r="B256" s="326" t="s">
        <v>339</v>
      </c>
      <c r="C256" s="329">
        <v>33.0</v>
      </c>
      <c r="D256" s="329">
        <v>99.0</v>
      </c>
    </row>
    <row r="257">
      <c r="A257" s="333" t="s">
        <v>2223</v>
      </c>
      <c r="B257" s="334" t="s">
        <v>363</v>
      </c>
      <c r="C257" s="329">
        <v>33.0</v>
      </c>
      <c r="D257" s="329">
        <v>99.0</v>
      </c>
    </row>
    <row r="258">
      <c r="A258" s="325" t="s">
        <v>2224</v>
      </c>
      <c r="B258" s="326" t="s">
        <v>382</v>
      </c>
      <c r="C258" s="329">
        <v>24.0</v>
      </c>
      <c r="D258" s="329">
        <v>48.0</v>
      </c>
    </row>
    <row r="259">
      <c r="A259" s="325" t="s">
        <v>2225</v>
      </c>
      <c r="B259" s="326" t="s">
        <v>399</v>
      </c>
      <c r="C259" s="329">
        <v>30.0</v>
      </c>
      <c r="D259" s="329">
        <v>90.0</v>
      </c>
    </row>
    <row r="260">
      <c r="A260" s="325" t="s">
        <v>2226</v>
      </c>
      <c r="B260" s="326" t="s">
        <v>419</v>
      </c>
      <c r="C260" s="329">
        <v>30.0</v>
      </c>
      <c r="D260" s="329">
        <v>90.0</v>
      </c>
    </row>
    <row r="261">
      <c r="A261" s="325" t="s">
        <v>2227</v>
      </c>
      <c r="B261" s="326" t="s">
        <v>1269</v>
      </c>
      <c r="C261" s="329">
        <v>30.0</v>
      </c>
      <c r="D261" s="329">
        <v>120.0</v>
      </c>
    </row>
    <row r="262">
      <c r="A262" s="325" t="s">
        <v>2228</v>
      </c>
      <c r="B262" s="326" t="s">
        <v>2547</v>
      </c>
      <c r="C262" s="329">
        <v>13.0</v>
      </c>
      <c r="D262" s="329">
        <v>52.0</v>
      </c>
    </row>
    <row r="263">
      <c r="A263" s="325" t="s">
        <v>2229</v>
      </c>
      <c r="B263" s="326" t="s">
        <v>482</v>
      </c>
      <c r="C263" s="329">
        <v>13.0</v>
      </c>
      <c r="D263" s="329">
        <v>52.0</v>
      </c>
    </row>
    <row r="264">
      <c r="A264" s="325" t="s">
        <v>2230</v>
      </c>
      <c r="B264" s="326" t="s">
        <v>502</v>
      </c>
      <c r="C264" s="329">
        <v>13.0</v>
      </c>
      <c r="D264" s="329">
        <v>52.0</v>
      </c>
    </row>
    <row r="265">
      <c r="A265" s="325" t="s">
        <v>2231</v>
      </c>
      <c r="B265" s="326" t="s">
        <v>734</v>
      </c>
      <c r="C265" s="329">
        <v>6.0</v>
      </c>
      <c r="D265" s="329">
        <v>24.0</v>
      </c>
    </row>
    <row r="266">
      <c r="A266" s="325" t="s">
        <v>2232</v>
      </c>
      <c r="B266" s="326" t="s">
        <v>395</v>
      </c>
      <c r="C266" s="329">
        <v>66.0</v>
      </c>
      <c r="D266" s="329">
        <v>198.0</v>
      </c>
    </row>
    <row r="267">
      <c r="A267" s="325" t="s">
        <v>2233</v>
      </c>
      <c r="B267" s="326" t="s">
        <v>359</v>
      </c>
      <c r="C267" s="329">
        <v>23.0</v>
      </c>
      <c r="D267" s="329">
        <v>92.0</v>
      </c>
    </row>
    <row r="268">
      <c r="A268" s="325" t="s">
        <v>2234</v>
      </c>
      <c r="B268" s="326" t="s">
        <v>2490</v>
      </c>
      <c r="C268" s="329">
        <v>30.0</v>
      </c>
      <c r="D268" s="329">
        <v>90.0</v>
      </c>
    </row>
    <row r="269">
      <c r="A269" s="325" t="s">
        <v>2235</v>
      </c>
      <c r="B269" s="326" t="s">
        <v>712</v>
      </c>
      <c r="C269" s="329">
        <v>14.0</v>
      </c>
      <c r="D269" s="329">
        <v>56.0</v>
      </c>
    </row>
    <row r="270">
      <c r="A270" s="325" t="s">
        <v>2236</v>
      </c>
      <c r="B270" s="326" t="s">
        <v>744</v>
      </c>
      <c r="C270" s="329">
        <v>14.0</v>
      </c>
      <c r="D270" s="329">
        <v>56.0</v>
      </c>
    </row>
    <row r="271">
      <c r="A271" s="332"/>
      <c r="B271" s="322"/>
      <c r="C271" s="323"/>
      <c r="D271" s="324"/>
    </row>
    <row r="272">
      <c r="A272" s="321" t="s">
        <v>2554</v>
      </c>
      <c r="B272" s="322"/>
      <c r="C272" s="323"/>
      <c r="D272" s="324"/>
    </row>
    <row r="273">
      <c r="A273" s="325" t="s">
        <v>2238</v>
      </c>
      <c r="B273" s="326" t="s">
        <v>714</v>
      </c>
      <c r="C273" s="329">
        <v>33.0</v>
      </c>
      <c r="D273" s="329">
        <v>132.0</v>
      </c>
    </row>
    <row r="274">
      <c r="A274" s="325" t="s">
        <v>2239</v>
      </c>
      <c r="B274" s="326" t="s">
        <v>339</v>
      </c>
      <c r="C274" s="329">
        <v>33.0</v>
      </c>
      <c r="D274" s="329">
        <v>99.0</v>
      </c>
    </row>
    <row r="275">
      <c r="A275" s="333" t="s">
        <v>2240</v>
      </c>
      <c r="B275" s="334" t="s">
        <v>363</v>
      </c>
      <c r="C275" s="329">
        <v>33.0</v>
      </c>
      <c r="D275" s="329">
        <v>99.0</v>
      </c>
    </row>
    <row r="276">
      <c r="A276" s="325" t="s">
        <v>2241</v>
      </c>
      <c r="B276" s="326" t="s">
        <v>382</v>
      </c>
      <c r="C276" s="329">
        <v>24.0</v>
      </c>
      <c r="D276" s="329">
        <v>48.0</v>
      </c>
    </row>
    <row r="277">
      <c r="A277" s="325" t="s">
        <v>2242</v>
      </c>
      <c r="B277" s="326" t="s">
        <v>399</v>
      </c>
      <c r="C277" s="329">
        <v>30.0</v>
      </c>
      <c r="D277" s="329">
        <v>90.0</v>
      </c>
    </row>
    <row r="278">
      <c r="A278" s="325" t="s">
        <v>2243</v>
      </c>
      <c r="B278" s="326" t="s">
        <v>419</v>
      </c>
      <c r="C278" s="329">
        <v>30.0</v>
      </c>
      <c r="D278" s="329">
        <v>90.0</v>
      </c>
    </row>
    <row r="279">
      <c r="A279" s="325" t="s">
        <v>2244</v>
      </c>
      <c r="B279" s="326" t="s">
        <v>1269</v>
      </c>
      <c r="C279" s="329">
        <v>30.0</v>
      </c>
      <c r="D279" s="329">
        <v>120.0</v>
      </c>
    </row>
    <row r="280">
      <c r="A280" s="325" t="s">
        <v>2245</v>
      </c>
      <c r="B280" s="326" t="s">
        <v>2547</v>
      </c>
      <c r="C280" s="329">
        <v>13.0</v>
      </c>
      <c r="D280" s="329">
        <v>52.0</v>
      </c>
    </row>
    <row r="281">
      <c r="A281" s="325" t="s">
        <v>2246</v>
      </c>
      <c r="B281" s="326" t="s">
        <v>482</v>
      </c>
      <c r="C281" s="329">
        <v>13.0</v>
      </c>
      <c r="D281" s="329">
        <v>52.0</v>
      </c>
    </row>
    <row r="282">
      <c r="A282" s="325" t="s">
        <v>2247</v>
      </c>
      <c r="B282" s="326" t="s">
        <v>502</v>
      </c>
      <c r="C282" s="329">
        <v>13.0</v>
      </c>
      <c r="D282" s="329">
        <v>52.0</v>
      </c>
    </row>
    <row r="283">
      <c r="A283" s="325" t="s">
        <v>2248</v>
      </c>
      <c r="B283" s="326" t="s">
        <v>734</v>
      </c>
      <c r="C283" s="329">
        <v>6.0</v>
      </c>
      <c r="D283" s="329">
        <v>24.0</v>
      </c>
    </row>
    <row r="284">
      <c r="A284" s="325" t="s">
        <v>2249</v>
      </c>
      <c r="B284" s="326" t="s">
        <v>395</v>
      </c>
      <c r="C284" s="329">
        <v>66.0</v>
      </c>
      <c r="D284" s="329">
        <v>198.0</v>
      </c>
    </row>
    <row r="285">
      <c r="A285" s="325" t="s">
        <v>2250</v>
      </c>
      <c r="B285" s="326" t="s">
        <v>359</v>
      </c>
      <c r="C285" s="329">
        <v>23.0</v>
      </c>
      <c r="D285" s="329">
        <v>92.0</v>
      </c>
    </row>
    <row r="286">
      <c r="A286" s="325" t="s">
        <v>2251</v>
      </c>
      <c r="B286" s="326" t="s">
        <v>2490</v>
      </c>
      <c r="C286" s="329">
        <v>30.0</v>
      </c>
      <c r="D286" s="329">
        <v>90.0</v>
      </c>
    </row>
    <row r="287">
      <c r="A287" s="325" t="s">
        <v>2252</v>
      </c>
      <c r="B287" s="326" t="s">
        <v>712</v>
      </c>
      <c r="C287" s="329">
        <v>14.0</v>
      </c>
      <c r="D287" s="329">
        <v>56.0</v>
      </c>
    </row>
    <row r="288">
      <c r="A288" s="325" t="s">
        <v>2253</v>
      </c>
      <c r="B288" s="326" t="s">
        <v>744</v>
      </c>
      <c r="C288" s="329">
        <v>14.0</v>
      </c>
      <c r="D288" s="329">
        <v>56.0</v>
      </c>
    </row>
    <row r="289">
      <c r="A289" s="332"/>
      <c r="B289" s="322"/>
      <c r="C289" s="323"/>
      <c r="D289" s="324"/>
    </row>
    <row r="290">
      <c r="A290" s="321" t="s">
        <v>2556</v>
      </c>
      <c r="B290" s="322"/>
      <c r="C290" s="323"/>
      <c r="D290" s="324"/>
    </row>
    <row r="291">
      <c r="A291" s="325" t="s">
        <v>2255</v>
      </c>
      <c r="B291" s="326" t="s">
        <v>714</v>
      </c>
      <c r="C291" s="329">
        <v>33.0</v>
      </c>
      <c r="D291" s="329">
        <v>132.0</v>
      </c>
    </row>
    <row r="292">
      <c r="A292" s="325" t="s">
        <v>2256</v>
      </c>
      <c r="B292" s="326" t="s">
        <v>339</v>
      </c>
      <c r="C292" s="329">
        <v>33.0</v>
      </c>
      <c r="D292" s="329">
        <v>99.0</v>
      </c>
    </row>
    <row r="293">
      <c r="A293" s="333" t="s">
        <v>2257</v>
      </c>
      <c r="B293" s="334" t="s">
        <v>363</v>
      </c>
      <c r="C293" s="329">
        <v>33.0</v>
      </c>
      <c r="D293" s="329">
        <v>99.0</v>
      </c>
    </row>
    <row r="294">
      <c r="A294" s="325" t="s">
        <v>2258</v>
      </c>
      <c r="B294" s="326" t="s">
        <v>382</v>
      </c>
      <c r="C294" s="329">
        <v>24.0</v>
      </c>
      <c r="D294" s="329">
        <v>48.0</v>
      </c>
    </row>
    <row r="295">
      <c r="A295" s="325" t="s">
        <v>2259</v>
      </c>
      <c r="B295" s="326" t="s">
        <v>399</v>
      </c>
      <c r="C295" s="329">
        <v>30.0</v>
      </c>
      <c r="D295" s="329">
        <v>90.0</v>
      </c>
    </row>
    <row r="296">
      <c r="A296" s="325" t="s">
        <v>2260</v>
      </c>
      <c r="B296" s="326" t="s">
        <v>419</v>
      </c>
      <c r="C296" s="329">
        <v>30.0</v>
      </c>
      <c r="D296" s="329">
        <v>90.0</v>
      </c>
    </row>
    <row r="297">
      <c r="A297" s="325" t="s">
        <v>2261</v>
      </c>
      <c r="B297" s="326" t="s">
        <v>1269</v>
      </c>
      <c r="C297" s="329">
        <v>30.0</v>
      </c>
      <c r="D297" s="329">
        <v>120.0</v>
      </c>
    </row>
    <row r="298">
      <c r="A298" s="325" t="s">
        <v>2262</v>
      </c>
      <c r="B298" s="326" t="s">
        <v>2547</v>
      </c>
      <c r="C298" s="329">
        <v>13.0</v>
      </c>
      <c r="D298" s="329">
        <v>52.0</v>
      </c>
    </row>
    <row r="299">
      <c r="A299" s="325" t="s">
        <v>2263</v>
      </c>
      <c r="B299" s="326" t="s">
        <v>482</v>
      </c>
      <c r="C299" s="329">
        <v>13.0</v>
      </c>
      <c r="D299" s="329">
        <v>52.0</v>
      </c>
    </row>
    <row r="300">
      <c r="A300" s="325" t="s">
        <v>2264</v>
      </c>
      <c r="B300" s="326" t="s">
        <v>502</v>
      </c>
      <c r="C300" s="329">
        <v>13.0</v>
      </c>
      <c r="D300" s="329">
        <v>52.0</v>
      </c>
    </row>
    <row r="301">
      <c r="A301" s="325" t="s">
        <v>2265</v>
      </c>
      <c r="B301" s="326" t="s">
        <v>734</v>
      </c>
      <c r="C301" s="329">
        <v>6.0</v>
      </c>
      <c r="D301" s="329">
        <v>24.0</v>
      </c>
    </row>
    <row r="302">
      <c r="A302" s="325" t="s">
        <v>2266</v>
      </c>
      <c r="B302" s="326" t="s">
        <v>395</v>
      </c>
      <c r="C302" s="329">
        <v>66.0</v>
      </c>
      <c r="D302" s="329">
        <v>198.0</v>
      </c>
    </row>
    <row r="303">
      <c r="A303" s="325" t="s">
        <v>2267</v>
      </c>
      <c r="B303" s="326" t="s">
        <v>359</v>
      </c>
      <c r="C303" s="329">
        <v>23.0</v>
      </c>
      <c r="D303" s="329">
        <v>92.0</v>
      </c>
    </row>
    <row r="304">
      <c r="A304" s="325" t="s">
        <v>2268</v>
      </c>
      <c r="B304" s="326" t="s">
        <v>2490</v>
      </c>
      <c r="C304" s="329">
        <v>30.0</v>
      </c>
      <c r="D304" s="329">
        <v>90.0</v>
      </c>
    </row>
    <row r="305">
      <c r="A305" s="325" t="s">
        <v>2269</v>
      </c>
      <c r="B305" s="326" t="s">
        <v>712</v>
      </c>
      <c r="C305" s="329">
        <v>14.0</v>
      </c>
      <c r="D305" s="329">
        <v>56.0</v>
      </c>
    </row>
    <row r="306">
      <c r="A306" s="325" t="s">
        <v>2270</v>
      </c>
      <c r="B306" s="326" t="s">
        <v>744</v>
      </c>
      <c r="C306" s="329">
        <v>14.0</v>
      </c>
      <c r="D306" s="329">
        <v>56.0</v>
      </c>
    </row>
    <row r="307">
      <c r="A307" s="332"/>
      <c r="B307" s="322"/>
      <c r="C307" s="323"/>
      <c r="D307" s="324"/>
    </row>
    <row r="308">
      <c r="A308" s="321" t="s">
        <v>2559</v>
      </c>
      <c r="B308" s="322"/>
      <c r="C308" s="323"/>
      <c r="D308" s="324"/>
    </row>
    <row r="309">
      <c r="A309" s="325" t="s">
        <v>2271</v>
      </c>
      <c r="B309" s="326" t="s">
        <v>714</v>
      </c>
      <c r="C309" s="329">
        <v>33.0</v>
      </c>
      <c r="D309" s="329">
        <v>132.0</v>
      </c>
    </row>
    <row r="310">
      <c r="A310" s="325" t="s">
        <v>2277</v>
      </c>
      <c r="B310" s="326" t="s">
        <v>339</v>
      </c>
      <c r="C310" s="329">
        <v>33.0</v>
      </c>
      <c r="D310" s="329">
        <v>99.0</v>
      </c>
    </row>
    <row r="311">
      <c r="A311" s="333" t="s">
        <v>2278</v>
      </c>
      <c r="B311" s="334" t="s">
        <v>363</v>
      </c>
      <c r="C311" s="329">
        <v>33.0</v>
      </c>
      <c r="D311" s="329">
        <v>99.0</v>
      </c>
    </row>
    <row r="312">
      <c r="A312" s="325" t="s">
        <v>2280</v>
      </c>
      <c r="B312" s="326" t="s">
        <v>382</v>
      </c>
      <c r="C312" s="329">
        <v>24.0</v>
      </c>
      <c r="D312" s="329">
        <v>48.0</v>
      </c>
    </row>
    <row r="313">
      <c r="A313" s="325" t="s">
        <v>2281</v>
      </c>
      <c r="B313" s="326" t="s">
        <v>399</v>
      </c>
      <c r="C313" s="329">
        <v>30.0</v>
      </c>
      <c r="D313" s="329">
        <v>90.0</v>
      </c>
    </row>
    <row r="314">
      <c r="A314" s="325" t="s">
        <v>2286</v>
      </c>
      <c r="B314" s="326" t="s">
        <v>419</v>
      </c>
      <c r="C314" s="329">
        <v>30.0</v>
      </c>
      <c r="D314" s="329">
        <v>90.0</v>
      </c>
    </row>
    <row r="315">
      <c r="A315" s="325" t="s">
        <v>2287</v>
      </c>
      <c r="B315" s="326" t="s">
        <v>1269</v>
      </c>
      <c r="C315" s="329">
        <v>30.0</v>
      </c>
      <c r="D315" s="329">
        <v>120.0</v>
      </c>
    </row>
    <row r="316">
      <c r="A316" s="325" t="s">
        <v>2288</v>
      </c>
      <c r="B316" s="326" t="s">
        <v>2547</v>
      </c>
      <c r="C316" s="329">
        <v>13.0</v>
      </c>
      <c r="D316" s="329">
        <v>52.0</v>
      </c>
    </row>
    <row r="317">
      <c r="A317" s="325" t="s">
        <v>2291</v>
      </c>
      <c r="B317" s="326" t="s">
        <v>482</v>
      </c>
      <c r="C317" s="329">
        <v>13.0</v>
      </c>
      <c r="D317" s="329">
        <v>52.0</v>
      </c>
    </row>
    <row r="318">
      <c r="A318" s="325" t="s">
        <v>2294</v>
      </c>
      <c r="B318" s="326" t="s">
        <v>502</v>
      </c>
      <c r="C318" s="329">
        <v>13.0</v>
      </c>
      <c r="D318" s="329">
        <v>52.0</v>
      </c>
    </row>
    <row r="319">
      <c r="A319" s="325" t="s">
        <v>2298</v>
      </c>
      <c r="B319" s="326" t="s">
        <v>734</v>
      </c>
      <c r="C319" s="329">
        <v>6.0</v>
      </c>
      <c r="D319" s="329">
        <v>24.0</v>
      </c>
    </row>
    <row r="320">
      <c r="A320" s="325" t="s">
        <v>2300</v>
      </c>
      <c r="B320" s="326" t="s">
        <v>395</v>
      </c>
      <c r="C320" s="329">
        <v>66.0</v>
      </c>
      <c r="D320" s="329">
        <v>198.0</v>
      </c>
    </row>
    <row r="321">
      <c r="A321" s="325" t="s">
        <v>2303</v>
      </c>
      <c r="B321" s="326" t="s">
        <v>359</v>
      </c>
      <c r="C321" s="329">
        <v>23.0</v>
      </c>
      <c r="D321" s="329">
        <v>92.0</v>
      </c>
    </row>
    <row r="322">
      <c r="A322" s="325" t="s">
        <v>2305</v>
      </c>
      <c r="B322" s="326" t="s">
        <v>2490</v>
      </c>
      <c r="C322" s="329">
        <v>30.0</v>
      </c>
      <c r="D322" s="329">
        <v>90.0</v>
      </c>
    </row>
    <row r="323">
      <c r="A323" s="325" t="s">
        <v>2307</v>
      </c>
      <c r="B323" s="326" t="s">
        <v>712</v>
      </c>
      <c r="C323" s="329">
        <v>14.0</v>
      </c>
      <c r="D323" s="329">
        <v>56.0</v>
      </c>
    </row>
    <row r="324">
      <c r="A324" s="325" t="s">
        <v>1567</v>
      </c>
      <c r="B324" s="326" t="s">
        <v>744</v>
      </c>
      <c r="C324" s="329">
        <v>14.0</v>
      </c>
      <c r="D324" s="329">
        <v>56.0</v>
      </c>
    </row>
    <row r="325">
      <c r="A325" s="332"/>
      <c r="B325" s="322"/>
      <c r="C325" s="323"/>
      <c r="D325" s="324"/>
    </row>
    <row r="326">
      <c r="A326" s="321" t="s">
        <v>2564</v>
      </c>
      <c r="B326" s="322"/>
      <c r="C326" s="323"/>
      <c r="D326" s="324"/>
    </row>
    <row r="327">
      <c r="A327" s="325" t="s">
        <v>2313</v>
      </c>
      <c r="B327" s="326" t="s">
        <v>714</v>
      </c>
      <c r="C327" s="329">
        <v>33.0</v>
      </c>
      <c r="D327" s="328">
        <v>132.0</v>
      </c>
    </row>
    <row r="328">
      <c r="A328" s="325" t="s">
        <v>2315</v>
      </c>
      <c r="B328" s="326" t="s">
        <v>339</v>
      </c>
      <c r="C328" s="329">
        <v>33.0</v>
      </c>
      <c r="D328" s="329">
        <v>99.0</v>
      </c>
    </row>
    <row r="329">
      <c r="A329" s="333" t="s">
        <v>2317</v>
      </c>
      <c r="B329" s="334" t="s">
        <v>363</v>
      </c>
      <c r="C329" s="329">
        <v>33.0</v>
      </c>
      <c r="D329" s="329">
        <v>99.0</v>
      </c>
    </row>
    <row r="330">
      <c r="A330" s="325" t="s">
        <v>2319</v>
      </c>
      <c r="B330" s="326" t="s">
        <v>382</v>
      </c>
      <c r="C330" s="329">
        <v>24.0</v>
      </c>
      <c r="D330" s="329">
        <v>48.0</v>
      </c>
    </row>
    <row r="331">
      <c r="A331" s="325" t="s">
        <v>2322</v>
      </c>
      <c r="B331" s="326" t="s">
        <v>399</v>
      </c>
      <c r="C331" s="329">
        <v>30.0</v>
      </c>
      <c r="D331" s="329">
        <v>90.0</v>
      </c>
    </row>
    <row r="332">
      <c r="A332" s="325" t="s">
        <v>2323</v>
      </c>
      <c r="B332" s="326" t="s">
        <v>419</v>
      </c>
      <c r="C332" s="329">
        <v>30.0</v>
      </c>
      <c r="D332" s="328">
        <v>90.0</v>
      </c>
    </row>
    <row r="333">
      <c r="A333" s="325" t="s">
        <v>2325</v>
      </c>
      <c r="B333" s="326" t="s">
        <v>2547</v>
      </c>
      <c r="C333" s="329">
        <v>13.0</v>
      </c>
      <c r="D333" s="329">
        <v>52.0</v>
      </c>
    </row>
    <row r="334">
      <c r="A334" s="325" t="s">
        <v>2328</v>
      </c>
      <c r="B334" s="326" t="s">
        <v>482</v>
      </c>
      <c r="C334" s="329">
        <v>13.0</v>
      </c>
      <c r="D334" s="329">
        <v>52.0</v>
      </c>
    </row>
    <row r="335">
      <c r="A335" s="325" t="s">
        <v>2329</v>
      </c>
      <c r="B335" s="326" t="s">
        <v>502</v>
      </c>
      <c r="C335" s="329">
        <v>13.0</v>
      </c>
      <c r="D335" s="329">
        <v>52.0</v>
      </c>
    </row>
    <row r="336">
      <c r="A336" s="325" t="s">
        <v>2336</v>
      </c>
      <c r="B336" s="326" t="s">
        <v>734</v>
      </c>
      <c r="C336" s="329">
        <v>6.0</v>
      </c>
      <c r="D336" s="329">
        <v>24.0</v>
      </c>
    </row>
    <row r="337">
      <c r="A337" s="325" t="s">
        <v>2339</v>
      </c>
      <c r="B337" s="326" t="s">
        <v>395</v>
      </c>
      <c r="C337" s="329">
        <v>66.0</v>
      </c>
      <c r="D337" s="329">
        <v>198.0</v>
      </c>
    </row>
    <row r="338">
      <c r="A338" s="325" t="s">
        <v>2342</v>
      </c>
      <c r="B338" s="326" t="s">
        <v>359</v>
      </c>
      <c r="C338" s="329">
        <v>23.0</v>
      </c>
      <c r="D338" s="329">
        <v>92.0</v>
      </c>
    </row>
    <row r="339">
      <c r="A339" s="325" t="s">
        <v>2344</v>
      </c>
      <c r="B339" s="326" t="s">
        <v>712</v>
      </c>
      <c r="C339" s="329">
        <v>14.0</v>
      </c>
      <c r="D339" s="329">
        <v>56.0</v>
      </c>
    </row>
    <row r="340">
      <c r="A340" s="325" t="s">
        <v>2346</v>
      </c>
      <c r="B340" s="326" t="s">
        <v>744</v>
      </c>
      <c r="C340" s="329">
        <v>14.0</v>
      </c>
      <c r="D340" s="329">
        <v>56.0</v>
      </c>
    </row>
    <row r="341">
      <c r="A341" s="330"/>
      <c r="B341" s="331"/>
      <c r="C341" s="323"/>
      <c r="D341" s="324"/>
    </row>
    <row r="342">
      <c r="A342" s="321" t="s">
        <v>2568</v>
      </c>
      <c r="B342" s="322"/>
      <c r="C342" s="323"/>
      <c r="D342" s="324"/>
    </row>
    <row r="343">
      <c r="A343" s="325" t="s">
        <v>745</v>
      </c>
      <c r="B343" s="326" t="s">
        <v>746</v>
      </c>
      <c r="C343" s="329">
        <v>48.0</v>
      </c>
      <c r="D343" s="329">
        <v>192.0</v>
      </c>
    </row>
    <row r="344">
      <c r="A344" s="336" t="s">
        <v>747</v>
      </c>
      <c r="B344" s="337" t="s">
        <v>748</v>
      </c>
      <c r="C344" s="329">
        <v>33.0</v>
      </c>
      <c r="D344" s="329">
        <v>132.0</v>
      </c>
    </row>
    <row r="345">
      <c r="A345" s="325" t="s">
        <v>749</v>
      </c>
      <c r="B345" s="326" t="s">
        <v>714</v>
      </c>
      <c r="C345" s="329">
        <v>33.0</v>
      </c>
      <c r="D345" s="329">
        <v>132.0</v>
      </c>
    </row>
    <row r="346">
      <c r="A346" s="325" t="s">
        <v>750</v>
      </c>
      <c r="B346" s="326" t="s">
        <v>751</v>
      </c>
      <c r="C346" s="329">
        <v>60.0</v>
      </c>
      <c r="D346" s="329">
        <v>240.0</v>
      </c>
    </row>
    <row r="347">
      <c r="A347" s="325" t="s">
        <v>753</v>
      </c>
      <c r="B347" s="326" t="s">
        <v>382</v>
      </c>
      <c r="C347" s="329">
        <v>30.0</v>
      </c>
      <c r="D347" s="329">
        <v>120.0</v>
      </c>
    </row>
    <row r="348">
      <c r="A348" s="325" t="s">
        <v>754</v>
      </c>
      <c r="B348" s="326" t="s">
        <v>399</v>
      </c>
      <c r="C348" s="329">
        <v>33.0</v>
      </c>
      <c r="D348" s="329">
        <v>132.0</v>
      </c>
    </row>
    <row r="349">
      <c r="A349" s="325" t="s">
        <v>755</v>
      </c>
      <c r="B349" s="326" t="s">
        <v>756</v>
      </c>
      <c r="C349" s="329">
        <v>34.0</v>
      </c>
      <c r="D349" s="329">
        <v>136.0</v>
      </c>
    </row>
    <row r="350">
      <c r="A350" s="325" t="s">
        <v>757</v>
      </c>
      <c r="B350" s="326" t="s">
        <v>419</v>
      </c>
      <c r="C350" s="329">
        <v>13.0</v>
      </c>
      <c r="D350" s="329">
        <v>52.0</v>
      </c>
    </row>
    <row r="351">
      <c r="A351" s="325" t="s">
        <v>758</v>
      </c>
      <c r="B351" s="326" t="s">
        <v>439</v>
      </c>
      <c r="C351" s="329">
        <v>30.0</v>
      </c>
      <c r="D351" s="329">
        <v>120.0</v>
      </c>
    </row>
    <row r="352">
      <c r="A352" s="325" t="s">
        <v>759</v>
      </c>
      <c r="B352" s="326" t="s">
        <v>462</v>
      </c>
      <c r="C352" s="329">
        <v>13.0</v>
      </c>
      <c r="D352" s="329">
        <v>52.0</v>
      </c>
    </row>
    <row r="353">
      <c r="A353" s="325" t="s">
        <v>760</v>
      </c>
      <c r="B353" s="326" t="s">
        <v>482</v>
      </c>
      <c r="C353" s="329">
        <v>13.0</v>
      </c>
      <c r="D353" s="329">
        <v>52.0</v>
      </c>
    </row>
    <row r="354">
      <c r="A354" s="325" t="s">
        <v>761</v>
      </c>
      <c r="B354" s="326" t="s">
        <v>502</v>
      </c>
      <c r="C354" s="329">
        <v>13.0</v>
      </c>
      <c r="D354" s="329">
        <v>52.0</v>
      </c>
    </row>
    <row r="355">
      <c r="A355" s="325" t="s">
        <v>763</v>
      </c>
      <c r="B355" s="326" t="s">
        <v>734</v>
      </c>
      <c r="C355" s="329">
        <v>6.0</v>
      </c>
      <c r="D355" s="329">
        <v>24.0</v>
      </c>
    </row>
    <row r="356">
      <c r="A356" s="325" t="s">
        <v>764</v>
      </c>
      <c r="B356" s="326" t="s">
        <v>395</v>
      </c>
      <c r="C356" s="329">
        <v>66.0</v>
      </c>
      <c r="D356" s="329">
        <v>264.0</v>
      </c>
    </row>
    <row r="357">
      <c r="A357" s="325" t="s">
        <v>765</v>
      </c>
      <c r="B357" s="326" t="s">
        <v>359</v>
      </c>
      <c r="C357" s="329">
        <v>23.0</v>
      </c>
      <c r="D357" s="329">
        <v>92.0</v>
      </c>
    </row>
    <row r="358">
      <c r="A358" s="325" t="s">
        <v>766</v>
      </c>
      <c r="B358" s="326" t="s">
        <v>710</v>
      </c>
      <c r="C358" s="329">
        <v>30.0</v>
      </c>
      <c r="D358" s="329">
        <v>120.0</v>
      </c>
    </row>
    <row r="359">
      <c r="A359" s="325" t="s">
        <v>767</v>
      </c>
      <c r="B359" s="326" t="s">
        <v>601</v>
      </c>
      <c r="C359" s="329">
        <v>30.0</v>
      </c>
      <c r="D359" s="329">
        <v>120.0</v>
      </c>
    </row>
    <row r="360">
      <c r="A360" s="325" t="s">
        <v>768</v>
      </c>
      <c r="B360" s="326" t="s">
        <v>712</v>
      </c>
      <c r="C360" s="329">
        <v>14.0</v>
      </c>
      <c r="D360" s="329">
        <v>56.0</v>
      </c>
    </row>
    <row r="361">
      <c r="A361" s="325" t="s">
        <v>769</v>
      </c>
      <c r="B361" s="326" t="s">
        <v>744</v>
      </c>
      <c r="C361" s="329">
        <v>14.0</v>
      </c>
      <c r="D361" s="329">
        <v>56.0</v>
      </c>
    </row>
    <row r="362">
      <c r="A362" s="325" t="s">
        <v>770</v>
      </c>
      <c r="B362" s="326" t="s">
        <v>678</v>
      </c>
      <c r="C362" s="329">
        <v>64.0</v>
      </c>
      <c r="D362" s="329">
        <v>128.0</v>
      </c>
    </row>
    <row r="363">
      <c r="A363" s="325" t="s">
        <v>771</v>
      </c>
      <c r="B363" s="326" t="s">
        <v>693</v>
      </c>
      <c r="C363" s="329">
        <v>64.0</v>
      </c>
      <c r="D363" s="329">
        <v>128.0</v>
      </c>
    </row>
    <row r="364">
      <c r="A364" s="330"/>
      <c r="B364" s="331"/>
      <c r="C364" s="323"/>
      <c r="D364" s="324"/>
    </row>
    <row r="365">
      <c r="A365" s="321" t="s">
        <v>2573</v>
      </c>
      <c r="B365" s="322"/>
      <c r="C365" s="323"/>
      <c r="D365" s="324"/>
    </row>
    <row r="366">
      <c r="A366" s="325" t="s">
        <v>2350</v>
      </c>
      <c r="B366" s="326" t="s">
        <v>306</v>
      </c>
      <c r="C366" s="329">
        <v>48.0</v>
      </c>
      <c r="D366" s="329">
        <v>192.0</v>
      </c>
    </row>
    <row r="367">
      <c r="A367" s="280" t="s">
        <v>2355</v>
      </c>
      <c r="B367" s="337" t="s">
        <v>748</v>
      </c>
      <c r="C367" s="329">
        <v>33.0</v>
      </c>
      <c r="D367" s="329">
        <v>132.0</v>
      </c>
    </row>
    <row r="368">
      <c r="A368" s="325" t="s">
        <v>2356</v>
      </c>
      <c r="B368" s="326" t="s">
        <v>748</v>
      </c>
      <c r="C368" s="329">
        <v>33.0</v>
      </c>
      <c r="D368" s="329">
        <v>132.0</v>
      </c>
    </row>
    <row r="369">
      <c r="A369" s="325" t="s">
        <v>2360</v>
      </c>
      <c r="B369" s="326" t="s">
        <v>751</v>
      </c>
      <c r="C369" s="329">
        <v>60.0</v>
      </c>
      <c r="D369" s="329">
        <v>240.0</v>
      </c>
    </row>
    <row r="370">
      <c r="A370" s="325" t="s">
        <v>2361</v>
      </c>
      <c r="B370" s="326" t="s">
        <v>382</v>
      </c>
      <c r="C370" s="329">
        <v>30.0</v>
      </c>
      <c r="D370" s="329">
        <v>120.0</v>
      </c>
    </row>
    <row r="371">
      <c r="A371" s="325" t="s">
        <v>2365</v>
      </c>
      <c r="B371" s="326" t="s">
        <v>399</v>
      </c>
      <c r="C371" s="329">
        <v>33.0</v>
      </c>
      <c r="D371" s="329">
        <v>132.0</v>
      </c>
    </row>
    <row r="372">
      <c r="A372" s="325" t="s">
        <v>2367</v>
      </c>
      <c r="B372" s="326" t="s">
        <v>756</v>
      </c>
      <c r="C372" s="329">
        <v>34.0</v>
      </c>
      <c r="D372" s="329">
        <v>136.0</v>
      </c>
    </row>
    <row r="373">
      <c r="A373" s="325" t="s">
        <v>2369</v>
      </c>
      <c r="B373" s="326" t="s">
        <v>2575</v>
      </c>
      <c r="C373" s="329">
        <v>13.0</v>
      </c>
      <c r="D373" s="329">
        <v>52.0</v>
      </c>
    </row>
    <row r="374">
      <c r="A374" s="325" t="s">
        <v>2372</v>
      </c>
      <c r="B374" s="326" t="s">
        <v>1269</v>
      </c>
      <c r="C374" s="329">
        <v>30.0</v>
      </c>
      <c r="D374" s="329">
        <v>120.0</v>
      </c>
    </row>
    <row r="375">
      <c r="A375" s="325" t="s">
        <v>2376</v>
      </c>
      <c r="B375" s="326" t="s">
        <v>2578</v>
      </c>
      <c r="C375" s="329">
        <v>13.0</v>
      </c>
      <c r="D375" s="329">
        <v>52.0</v>
      </c>
    </row>
    <row r="376">
      <c r="A376" s="325" t="s">
        <v>2378</v>
      </c>
      <c r="B376" s="326" t="s">
        <v>482</v>
      </c>
      <c r="C376" s="329">
        <v>13.0</v>
      </c>
      <c r="D376" s="329">
        <v>52.0</v>
      </c>
    </row>
    <row r="377">
      <c r="A377" s="325" t="s">
        <v>2380</v>
      </c>
      <c r="B377" s="326" t="s">
        <v>502</v>
      </c>
      <c r="C377" s="329">
        <v>13.0</v>
      </c>
      <c r="D377" s="329">
        <v>52.0</v>
      </c>
    </row>
    <row r="378">
      <c r="A378" s="325" t="s">
        <v>2385</v>
      </c>
      <c r="B378" s="326" t="s">
        <v>734</v>
      </c>
      <c r="C378" s="329">
        <v>6.0</v>
      </c>
      <c r="D378" s="329">
        <v>24.0</v>
      </c>
    </row>
    <row r="379">
      <c r="A379" s="325" t="s">
        <v>2387</v>
      </c>
      <c r="B379" s="326" t="s">
        <v>395</v>
      </c>
      <c r="C379" s="329">
        <v>66.0</v>
      </c>
      <c r="D379" s="329">
        <v>264.0</v>
      </c>
    </row>
    <row r="380">
      <c r="A380" s="325" t="s">
        <v>2389</v>
      </c>
      <c r="B380" s="326" t="s">
        <v>359</v>
      </c>
      <c r="C380" s="329">
        <v>23.0</v>
      </c>
      <c r="D380" s="329">
        <v>92.0</v>
      </c>
    </row>
    <row r="381">
      <c r="A381" s="325" t="s">
        <v>2393</v>
      </c>
      <c r="B381" s="326" t="s">
        <v>710</v>
      </c>
      <c r="C381" s="329">
        <v>30.0</v>
      </c>
      <c r="D381" s="329">
        <v>120.0</v>
      </c>
    </row>
    <row r="382">
      <c r="A382" s="325" t="s">
        <v>2396</v>
      </c>
      <c r="B382" s="326" t="s">
        <v>601</v>
      </c>
      <c r="C382" s="329">
        <v>30.0</v>
      </c>
      <c r="D382" s="329">
        <v>120.0</v>
      </c>
    </row>
    <row r="383">
      <c r="A383" s="325" t="s">
        <v>2397</v>
      </c>
      <c r="B383" s="326" t="s">
        <v>712</v>
      </c>
      <c r="C383" s="329">
        <v>14.0</v>
      </c>
      <c r="D383" s="329">
        <v>56.0</v>
      </c>
    </row>
    <row r="384">
      <c r="A384" s="325" t="s">
        <v>2398</v>
      </c>
      <c r="B384" s="326" t="s">
        <v>744</v>
      </c>
      <c r="C384" s="329">
        <v>14.0</v>
      </c>
      <c r="D384" s="329">
        <v>56.0</v>
      </c>
    </row>
    <row r="385">
      <c r="A385" s="332"/>
      <c r="B385" s="322"/>
      <c r="C385" s="323"/>
      <c r="D385" s="324"/>
    </row>
    <row r="386">
      <c r="A386" s="321" t="s">
        <v>2581</v>
      </c>
      <c r="B386" s="322"/>
      <c r="C386" s="323"/>
      <c r="D386" s="324"/>
    </row>
    <row r="387">
      <c r="A387" s="325" t="s">
        <v>2399</v>
      </c>
      <c r="B387" s="326" t="s">
        <v>306</v>
      </c>
      <c r="C387" s="329">
        <v>48.0</v>
      </c>
      <c r="D387" s="329">
        <v>192.0</v>
      </c>
    </row>
    <row r="388">
      <c r="A388" s="280" t="s">
        <v>2400</v>
      </c>
      <c r="B388" s="337" t="s">
        <v>748</v>
      </c>
      <c r="C388" s="329">
        <v>33.0</v>
      </c>
      <c r="D388" s="329">
        <v>132.0</v>
      </c>
    </row>
    <row r="389">
      <c r="A389" s="325" t="s">
        <v>2401</v>
      </c>
      <c r="B389" s="326" t="s">
        <v>748</v>
      </c>
      <c r="C389" s="329">
        <v>33.0</v>
      </c>
      <c r="D389" s="329">
        <v>132.0</v>
      </c>
    </row>
    <row r="390">
      <c r="A390" s="325" t="s">
        <v>2402</v>
      </c>
      <c r="B390" s="326" t="s">
        <v>751</v>
      </c>
      <c r="C390" s="329">
        <v>60.0</v>
      </c>
      <c r="D390" s="329">
        <v>240.0</v>
      </c>
    </row>
    <row r="391">
      <c r="A391" s="325" t="s">
        <v>2403</v>
      </c>
      <c r="B391" s="326" t="s">
        <v>382</v>
      </c>
      <c r="C391" s="329">
        <v>30.0</v>
      </c>
      <c r="D391" s="329">
        <v>120.0</v>
      </c>
    </row>
    <row r="392">
      <c r="A392" s="325" t="s">
        <v>2404</v>
      </c>
      <c r="B392" s="326" t="s">
        <v>399</v>
      </c>
      <c r="C392" s="329">
        <v>33.0</v>
      </c>
      <c r="D392" s="329">
        <v>132.0</v>
      </c>
    </row>
    <row r="393">
      <c r="A393" s="325" t="s">
        <v>2405</v>
      </c>
      <c r="B393" s="326" t="s">
        <v>756</v>
      </c>
      <c r="C393" s="329">
        <v>34.0</v>
      </c>
      <c r="D393" s="329">
        <v>136.0</v>
      </c>
    </row>
    <row r="394">
      <c r="A394" s="325" t="s">
        <v>2406</v>
      </c>
      <c r="B394" s="326" t="s">
        <v>2575</v>
      </c>
      <c r="C394" s="329">
        <v>13.0</v>
      </c>
      <c r="D394" s="329">
        <v>52.0</v>
      </c>
    </row>
    <row r="395">
      <c r="A395" s="325" t="s">
        <v>2407</v>
      </c>
      <c r="B395" s="326" t="s">
        <v>1269</v>
      </c>
      <c r="C395" s="329">
        <v>30.0</v>
      </c>
      <c r="D395" s="329">
        <v>120.0</v>
      </c>
    </row>
    <row r="396">
      <c r="A396" s="325" t="s">
        <v>2408</v>
      </c>
      <c r="B396" s="326" t="s">
        <v>2578</v>
      </c>
      <c r="C396" s="329">
        <v>13.0</v>
      </c>
      <c r="D396" s="329">
        <v>52.0</v>
      </c>
    </row>
    <row r="397">
      <c r="A397" s="325" t="s">
        <v>2409</v>
      </c>
      <c r="B397" s="326" t="s">
        <v>482</v>
      </c>
      <c r="C397" s="329">
        <v>13.0</v>
      </c>
      <c r="D397" s="329">
        <v>52.0</v>
      </c>
    </row>
    <row r="398">
      <c r="A398" s="325" t="s">
        <v>2410</v>
      </c>
      <c r="B398" s="326" t="s">
        <v>502</v>
      </c>
      <c r="C398" s="329">
        <v>13.0</v>
      </c>
      <c r="D398" s="329">
        <v>52.0</v>
      </c>
    </row>
    <row r="399">
      <c r="A399" s="325" t="s">
        <v>2411</v>
      </c>
      <c r="B399" s="326" t="s">
        <v>734</v>
      </c>
      <c r="C399" s="329">
        <v>6.0</v>
      </c>
      <c r="D399" s="329">
        <v>24.0</v>
      </c>
    </row>
    <row r="400">
      <c r="A400" s="325" t="s">
        <v>2412</v>
      </c>
      <c r="B400" s="326" t="s">
        <v>395</v>
      </c>
      <c r="C400" s="329">
        <v>66.0</v>
      </c>
      <c r="D400" s="329">
        <v>264.0</v>
      </c>
    </row>
    <row r="401">
      <c r="A401" s="325" t="s">
        <v>2413</v>
      </c>
      <c r="B401" s="326" t="s">
        <v>359</v>
      </c>
      <c r="C401" s="329">
        <v>23.0</v>
      </c>
      <c r="D401" s="329">
        <v>92.0</v>
      </c>
    </row>
    <row r="402">
      <c r="A402" s="325" t="s">
        <v>2414</v>
      </c>
      <c r="B402" s="326" t="s">
        <v>710</v>
      </c>
      <c r="C402" s="329">
        <v>30.0</v>
      </c>
      <c r="D402" s="329">
        <v>120.0</v>
      </c>
    </row>
    <row r="403">
      <c r="A403" s="325" t="s">
        <v>2415</v>
      </c>
      <c r="B403" s="326" t="s">
        <v>601</v>
      </c>
      <c r="C403" s="329">
        <v>30.0</v>
      </c>
      <c r="D403" s="329">
        <v>120.0</v>
      </c>
    </row>
    <row r="404">
      <c r="A404" s="325" t="s">
        <v>2416</v>
      </c>
      <c r="B404" s="326" t="s">
        <v>712</v>
      </c>
      <c r="C404" s="329">
        <v>14.0</v>
      </c>
      <c r="D404" s="329">
        <v>56.0</v>
      </c>
    </row>
    <row r="405">
      <c r="A405" s="325" t="s">
        <v>2417</v>
      </c>
      <c r="B405" s="326" t="s">
        <v>744</v>
      </c>
      <c r="C405" s="329">
        <v>14.0</v>
      </c>
      <c r="D405" s="329">
        <v>56.0</v>
      </c>
    </row>
    <row r="406">
      <c r="A406" s="332"/>
      <c r="B406" s="322"/>
      <c r="C406" s="323"/>
      <c r="D406" s="324"/>
    </row>
    <row r="407">
      <c r="A407" s="321" t="s">
        <v>2585</v>
      </c>
      <c r="B407" s="322"/>
      <c r="C407" s="323"/>
      <c r="D407" s="324"/>
    </row>
    <row r="408">
      <c r="A408" s="325" t="s">
        <v>2418</v>
      </c>
      <c r="B408" s="326" t="s">
        <v>306</v>
      </c>
      <c r="C408" s="329">
        <v>48.0</v>
      </c>
      <c r="D408" s="329">
        <v>192.0</v>
      </c>
    </row>
    <row r="409">
      <c r="A409" s="280" t="s">
        <v>2419</v>
      </c>
      <c r="B409" s="337" t="s">
        <v>748</v>
      </c>
      <c r="C409" s="329">
        <v>33.0</v>
      </c>
      <c r="D409" s="329">
        <v>132.0</v>
      </c>
    </row>
    <row r="410">
      <c r="A410" s="325" t="s">
        <v>2420</v>
      </c>
      <c r="B410" s="326" t="s">
        <v>748</v>
      </c>
      <c r="C410" s="329">
        <v>33.0</v>
      </c>
      <c r="D410" s="329">
        <v>132.0</v>
      </c>
    </row>
    <row r="411">
      <c r="A411" s="325" t="s">
        <v>2421</v>
      </c>
      <c r="B411" s="326" t="s">
        <v>751</v>
      </c>
      <c r="C411" s="329">
        <v>60.0</v>
      </c>
      <c r="D411" s="329">
        <v>240.0</v>
      </c>
    </row>
    <row r="412">
      <c r="A412" s="325" t="s">
        <v>2422</v>
      </c>
      <c r="B412" s="326" t="s">
        <v>382</v>
      </c>
      <c r="C412" s="329">
        <v>30.0</v>
      </c>
      <c r="D412" s="329">
        <v>120.0</v>
      </c>
    </row>
    <row r="413">
      <c r="A413" s="325" t="s">
        <v>2423</v>
      </c>
      <c r="B413" s="326" t="s">
        <v>399</v>
      </c>
      <c r="C413" s="329">
        <v>33.0</v>
      </c>
      <c r="D413" s="329">
        <v>132.0</v>
      </c>
    </row>
    <row r="414">
      <c r="A414" s="325" t="s">
        <v>2424</v>
      </c>
      <c r="B414" s="326" t="s">
        <v>756</v>
      </c>
      <c r="C414" s="329">
        <v>34.0</v>
      </c>
      <c r="D414" s="329">
        <v>136.0</v>
      </c>
    </row>
    <row r="415">
      <c r="A415" s="325" t="s">
        <v>2425</v>
      </c>
      <c r="B415" s="326" t="s">
        <v>2575</v>
      </c>
      <c r="C415" s="329">
        <v>13.0</v>
      </c>
      <c r="D415" s="329">
        <v>52.0</v>
      </c>
    </row>
    <row r="416">
      <c r="A416" s="325" t="s">
        <v>2426</v>
      </c>
      <c r="B416" s="326" t="s">
        <v>1269</v>
      </c>
      <c r="C416" s="329">
        <v>30.0</v>
      </c>
      <c r="D416" s="329">
        <v>120.0</v>
      </c>
    </row>
    <row r="417">
      <c r="A417" s="325" t="s">
        <v>2427</v>
      </c>
      <c r="B417" s="326" t="s">
        <v>2578</v>
      </c>
      <c r="C417" s="329">
        <v>13.0</v>
      </c>
      <c r="D417" s="329">
        <v>52.0</v>
      </c>
    </row>
    <row r="418">
      <c r="A418" s="325" t="s">
        <v>2428</v>
      </c>
      <c r="B418" s="326" t="s">
        <v>482</v>
      </c>
      <c r="C418" s="329">
        <v>13.0</v>
      </c>
      <c r="D418" s="329">
        <v>52.0</v>
      </c>
    </row>
    <row r="419">
      <c r="A419" s="325" t="s">
        <v>2429</v>
      </c>
      <c r="B419" s="326" t="s">
        <v>502</v>
      </c>
      <c r="C419" s="329">
        <v>13.0</v>
      </c>
      <c r="D419" s="329">
        <v>52.0</v>
      </c>
    </row>
    <row r="420">
      <c r="A420" s="325" t="s">
        <v>2430</v>
      </c>
      <c r="B420" s="326" t="s">
        <v>734</v>
      </c>
      <c r="C420" s="329">
        <v>6.0</v>
      </c>
      <c r="D420" s="329">
        <v>24.0</v>
      </c>
    </row>
    <row r="421">
      <c r="A421" s="325" t="s">
        <v>2431</v>
      </c>
      <c r="B421" s="326" t="s">
        <v>395</v>
      </c>
      <c r="C421" s="329">
        <v>66.0</v>
      </c>
      <c r="D421" s="329">
        <v>264.0</v>
      </c>
    </row>
    <row r="422">
      <c r="A422" s="325" t="s">
        <v>2432</v>
      </c>
      <c r="B422" s="326" t="s">
        <v>359</v>
      </c>
      <c r="C422" s="329">
        <v>23.0</v>
      </c>
      <c r="D422" s="329">
        <v>92.0</v>
      </c>
    </row>
    <row r="423">
      <c r="A423" s="325" t="s">
        <v>2433</v>
      </c>
      <c r="B423" s="326" t="s">
        <v>710</v>
      </c>
      <c r="C423" s="329">
        <v>30.0</v>
      </c>
      <c r="D423" s="329">
        <v>120.0</v>
      </c>
    </row>
    <row r="424">
      <c r="A424" s="325" t="s">
        <v>2434</v>
      </c>
      <c r="B424" s="326" t="s">
        <v>601</v>
      </c>
      <c r="C424" s="329">
        <v>30.0</v>
      </c>
      <c r="D424" s="329">
        <v>120.0</v>
      </c>
    </row>
    <row r="425">
      <c r="A425" s="325" t="s">
        <v>2435</v>
      </c>
      <c r="B425" s="326" t="s">
        <v>712</v>
      </c>
      <c r="C425" s="329">
        <v>14.0</v>
      </c>
      <c r="D425" s="329">
        <v>56.0</v>
      </c>
    </row>
    <row r="426">
      <c r="A426" s="325" t="s">
        <v>2436</v>
      </c>
      <c r="B426" s="326" t="s">
        <v>744</v>
      </c>
      <c r="C426" s="329">
        <v>14.0</v>
      </c>
      <c r="D426" s="329">
        <v>56.0</v>
      </c>
    </row>
    <row r="427">
      <c r="A427" s="332"/>
      <c r="B427" s="322"/>
      <c r="C427" s="323"/>
      <c r="D427" s="324"/>
    </row>
    <row r="428">
      <c r="A428" s="321" t="s">
        <v>2589</v>
      </c>
      <c r="B428" s="322"/>
      <c r="C428" s="323"/>
      <c r="D428" s="324"/>
    </row>
    <row r="429">
      <c r="A429" s="325" t="s">
        <v>2437</v>
      </c>
      <c r="B429" s="326" t="s">
        <v>306</v>
      </c>
      <c r="C429" s="329">
        <v>48.0</v>
      </c>
      <c r="D429" s="329">
        <v>192.0</v>
      </c>
    </row>
    <row r="430">
      <c r="A430" s="280" t="s">
        <v>2438</v>
      </c>
      <c r="B430" s="337" t="s">
        <v>748</v>
      </c>
      <c r="C430" s="329">
        <v>33.0</v>
      </c>
      <c r="D430" s="329">
        <v>132.0</v>
      </c>
    </row>
    <row r="431">
      <c r="A431" s="325" t="s">
        <v>2439</v>
      </c>
      <c r="B431" s="326" t="s">
        <v>748</v>
      </c>
      <c r="C431" s="329">
        <v>33.0</v>
      </c>
      <c r="D431" s="329">
        <v>132.0</v>
      </c>
    </row>
    <row r="432">
      <c r="A432" s="325" t="s">
        <v>2440</v>
      </c>
      <c r="B432" s="326" t="s">
        <v>751</v>
      </c>
      <c r="C432" s="329">
        <v>60.0</v>
      </c>
      <c r="D432" s="329">
        <v>240.0</v>
      </c>
    </row>
    <row r="433">
      <c r="A433" s="325" t="s">
        <v>2441</v>
      </c>
      <c r="B433" s="326" t="s">
        <v>382</v>
      </c>
      <c r="C433" s="329">
        <v>30.0</v>
      </c>
      <c r="D433" s="329">
        <v>120.0</v>
      </c>
    </row>
    <row r="434">
      <c r="A434" s="325" t="s">
        <v>2442</v>
      </c>
      <c r="B434" s="326" t="s">
        <v>399</v>
      </c>
      <c r="C434" s="329">
        <v>33.0</v>
      </c>
      <c r="D434" s="329">
        <v>132.0</v>
      </c>
    </row>
    <row r="435">
      <c r="A435" s="325" t="s">
        <v>2443</v>
      </c>
      <c r="B435" s="326" t="s">
        <v>756</v>
      </c>
      <c r="C435" s="329">
        <v>34.0</v>
      </c>
      <c r="D435" s="329">
        <v>136.0</v>
      </c>
    </row>
    <row r="436">
      <c r="A436" s="325" t="s">
        <v>2444</v>
      </c>
      <c r="B436" s="326" t="s">
        <v>2575</v>
      </c>
      <c r="C436" s="329">
        <v>13.0</v>
      </c>
      <c r="D436" s="329">
        <v>52.0</v>
      </c>
    </row>
    <row r="437">
      <c r="A437" s="325" t="s">
        <v>2445</v>
      </c>
      <c r="B437" s="326" t="s">
        <v>1269</v>
      </c>
      <c r="C437" s="329">
        <v>30.0</v>
      </c>
      <c r="D437" s="329">
        <v>120.0</v>
      </c>
    </row>
    <row r="438">
      <c r="A438" s="325" t="s">
        <v>2446</v>
      </c>
      <c r="B438" s="326" t="s">
        <v>2578</v>
      </c>
      <c r="C438" s="329">
        <v>13.0</v>
      </c>
      <c r="D438" s="329">
        <v>52.0</v>
      </c>
    </row>
    <row r="439">
      <c r="A439" s="325" t="s">
        <v>2447</v>
      </c>
      <c r="B439" s="326" t="s">
        <v>482</v>
      </c>
      <c r="C439" s="329">
        <v>13.0</v>
      </c>
      <c r="D439" s="329">
        <v>52.0</v>
      </c>
    </row>
    <row r="440">
      <c r="A440" s="325" t="s">
        <v>2448</v>
      </c>
      <c r="B440" s="326" t="s">
        <v>502</v>
      </c>
      <c r="C440" s="329">
        <v>13.0</v>
      </c>
      <c r="D440" s="329">
        <v>52.0</v>
      </c>
    </row>
    <row r="441">
      <c r="A441" s="325" t="s">
        <v>2449</v>
      </c>
      <c r="B441" s="326" t="s">
        <v>734</v>
      </c>
      <c r="C441" s="329">
        <v>6.0</v>
      </c>
      <c r="D441" s="329">
        <v>24.0</v>
      </c>
    </row>
    <row r="442">
      <c r="A442" s="325" t="s">
        <v>2450</v>
      </c>
      <c r="B442" s="326" t="s">
        <v>395</v>
      </c>
      <c r="C442" s="329">
        <v>66.0</v>
      </c>
      <c r="D442" s="329">
        <v>264.0</v>
      </c>
    </row>
    <row r="443">
      <c r="A443" s="325" t="s">
        <v>2451</v>
      </c>
      <c r="B443" s="326" t="s">
        <v>359</v>
      </c>
      <c r="C443" s="329">
        <v>23.0</v>
      </c>
      <c r="D443" s="329">
        <v>92.0</v>
      </c>
    </row>
    <row r="444">
      <c r="A444" s="325" t="s">
        <v>2452</v>
      </c>
      <c r="B444" s="326" t="s">
        <v>710</v>
      </c>
      <c r="C444" s="329">
        <v>30.0</v>
      </c>
      <c r="D444" s="329">
        <v>120.0</v>
      </c>
    </row>
    <row r="445">
      <c r="A445" s="325" t="s">
        <v>2453</v>
      </c>
      <c r="B445" s="326" t="s">
        <v>601</v>
      </c>
      <c r="C445" s="329">
        <v>30.0</v>
      </c>
      <c r="D445" s="329">
        <v>120.0</v>
      </c>
    </row>
    <row r="446">
      <c r="A446" s="325" t="s">
        <v>2454</v>
      </c>
      <c r="B446" s="326" t="s">
        <v>712</v>
      </c>
      <c r="C446" s="329">
        <v>14.0</v>
      </c>
      <c r="D446" s="329">
        <v>56.0</v>
      </c>
    </row>
    <row r="447">
      <c r="A447" s="325" t="s">
        <v>2455</v>
      </c>
      <c r="B447" s="326" t="s">
        <v>744</v>
      </c>
      <c r="C447" s="329">
        <v>14.0</v>
      </c>
      <c r="D447" s="329">
        <v>56.0</v>
      </c>
    </row>
    <row r="448">
      <c r="A448" s="330"/>
      <c r="B448" s="331"/>
      <c r="C448" s="323"/>
      <c r="D448" s="324"/>
    </row>
    <row r="449">
      <c r="A449" s="321" t="s">
        <v>2593</v>
      </c>
      <c r="B449" s="322"/>
      <c r="C449" s="323"/>
      <c r="D449" s="324"/>
    </row>
    <row r="450">
      <c r="A450" s="325" t="s">
        <v>772</v>
      </c>
      <c r="B450" s="326" t="s">
        <v>773</v>
      </c>
      <c r="C450" s="329">
        <v>48.0</v>
      </c>
      <c r="D450" s="329">
        <v>192.0</v>
      </c>
    </row>
    <row r="451">
      <c r="A451" s="135" t="s">
        <v>774</v>
      </c>
      <c r="B451" s="141" t="s">
        <v>748</v>
      </c>
      <c r="C451" s="329">
        <v>33.0</v>
      </c>
      <c r="D451" s="329">
        <v>132.0</v>
      </c>
    </row>
    <row r="452">
      <c r="A452" s="325" t="s">
        <v>775</v>
      </c>
      <c r="B452" s="326" t="s">
        <v>714</v>
      </c>
      <c r="C452" s="329">
        <v>33.0</v>
      </c>
      <c r="D452" s="329">
        <v>132.0</v>
      </c>
    </row>
    <row r="453">
      <c r="A453" s="325" t="s">
        <v>776</v>
      </c>
      <c r="B453" s="326" t="s">
        <v>777</v>
      </c>
      <c r="C453" s="329">
        <v>60.0</v>
      </c>
      <c r="D453" s="329">
        <v>240.0</v>
      </c>
    </row>
    <row r="454">
      <c r="A454" s="325" t="s">
        <v>778</v>
      </c>
      <c r="B454" s="326" t="s">
        <v>382</v>
      </c>
      <c r="C454" s="329">
        <v>30.0</v>
      </c>
      <c r="D454" s="329">
        <v>120.0</v>
      </c>
    </row>
    <row r="455">
      <c r="A455" s="325" t="s">
        <v>779</v>
      </c>
      <c r="B455" s="326" t="s">
        <v>399</v>
      </c>
      <c r="C455" s="329">
        <v>33.0</v>
      </c>
      <c r="D455" s="329">
        <v>132.0</v>
      </c>
    </row>
    <row r="456">
      <c r="A456" s="325" t="s">
        <v>780</v>
      </c>
      <c r="B456" s="326" t="s">
        <v>781</v>
      </c>
      <c r="C456" s="329">
        <v>33.0</v>
      </c>
      <c r="D456" s="329">
        <v>132.0</v>
      </c>
    </row>
    <row r="457">
      <c r="A457" s="325" t="s">
        <v>782</v>
      </c>
      <c r="B457" s="326" t="s">
        <v>419</v>
      </c>
      <c r="C457" s="329">
        <v>13.0</v>
      </c>
      <c r="D457" s="329">
        <v>52.0</v>
      </c>
    </row>
    <row r="458">
      <c r="A458" s="325" t="s">
        <v>783</v>
      </c>
      <c r="B458" s="326" t="s">
        <v>439</v>
      </c>
      <c r="C458" s="329">
        <v>30.0</v>
      </c>
      <c r="D458" s="329">
        <v>120.0</v>
      </c>
    </row>
    <row r="459">
      <c r="A459" s="325" t="s">
        <v>784</v>
      </c>
      <c r="B459" s="326" t="s">
        <v>462</v>
      </c>
      <c r="C459" s="329">
        <v>13.0</v>
      </c>
      <c r="D459" s="329">
        <v>52.0</v>
      </c>
    </row>
    <row r="460">
      <c r="A460" s="325" t="s">
        <v>785</v>
      </c>
      <c r="B460" s="326" t="s">
        <v>482</v>
      </c>
      <c r="C460" s="329">
        <v>13.0</v>
      </c>
      <c r="D460" s="329">
        <v>52.0</v>
      </c>
    </row>
    <row r="461">
      <c r="A461" s="325" t="s">
        <v>786</v>
      </c>
      <c r="B461" s="326" t="s">
        <v>502</v>
      </c>
      <c r="C461" s="329">
        <v>13.0</v>
      </c>
      <c r="D461" s="329">
        <v>52.0</v>
      </c>
    </row>
    <row r="462">
      <c r="A462" s="325" t="s">
        <v>788</v>
      </c>
      <c r="B462" s="326" t="s">
        <v>734</v>
      </c>
      <c r="C462" s="329">
        <v>6.0</v>
      </c>
      <c r="D462" s="329">
        <v>24.0</v>
      </c>
    </row>
    <row r="463">
      <c r="A463" s="325" t="s">
        <v>789</v>
      </c>
      <c r="B463" s="326" t="s">
        <v>395</v>
      </c>
      <c r="C463" s="329">
        <v>66.0</v>
      </c>
      <c r="D463" s="329">
        <v>264.0</v>
      </c>
    </row>
    <row r="464">
      <c r="A464" s="325" t="s">
        <v>790</v>
      </c>
      <c r="B464" s="326" t="s">
        <v>359</v>
      </c>
      <c r="C464" s="329">
        <v>35.0</v>
      </c>
      <c r="D464" s="329">
        <v>140.0</v>
      </c>
    </row>
    <row r="465">
      <c r="A465" s="325" t="s">
        <v>791</v>
      </c>
      <c r="B465" s="326" t="s">
        <v>710</v>
      </c>
      <c r="C465" s="329">
        <v>30.0</v>
      </c>
      <c r="D465" s="329">
        <v>120.0</v>
      </c>
    </row>
    <row r="466">
      <c r="A466" s="325" t="s">
        <v>792</v>
      </c>
      <c r="B466" s="326" t="s">
        <v>601</v>
      </c>
      <c r="C466" s="329">
        <v>30.0</v>
      </c>
      <c r="D466" s="329">
        <v>120.0</v>
      </c>
    </row>
    <row r="467">
      <c r="A467" s="325" t="s">
        <v>793</v>
      </c>
      <c r="B467" s="326" t="s">
        <v>712</v>
      </c>
      <c r="C467" s="329">
        <v>14.0</v>
      </c>
      <c r="D467" s="329">
        <v>56.0</v>
      </c>
    </row>
    <row r="468">
      <c r="A468" s="325" t="s">
        <v>1553</v>
      </c>
      <c r="B468" s="326" t="s">
        <v>744</v>
      </c>
      <c r="C468" s="329">
        <v>14.0</v>
      </c>
      <c r="D468" s="329">
        <v>56.0</v>
      </c>
    </row>
    <row r="469">
      <c r="A469" s="330"/>
      <c r="B469" s="331"/>
      <c r="C469" s="323"/>
      <c r="D469" s="324"/>
    </row>
    <row r="470">
      <c r="A470" s="321" t="s">
        <v>2599</v>
      </c>
      <c r="B470" s="322"/>
      <c r="C470" s="323"/>
      <c r="D470" s="324"/>
    </row>
    <row r="471">
      <c r="A471" s="325" t="s">
        <v>2456</v>
      </c>
      <c r="B471" s="326" t="s">
        <v>773</v>
      </c>
      <c r="C471" s="329">
        <v>48.0</v>
      </c>
      <c r="D471" s="329">
        <v>192.0</v>
      </c>
    </row>
    <row r="472">
      <c r="A472" s="135" t="s">
        <v>2457</v>
      </c>
      <c r="B472" s="141" t="s">
        <v>748</v>
      </c>
      <c r="C472" s="329">
        <v>33.0</v>
      </c>
      <c r="D472" s="329">
        <v>132.0</v>
      </c>
    </row>
    <row r="473">
      <c r="A473" s="325" t="s">
        <v>2458</v>
      </c>
      <c r="B473" s="326" t="s">
        <v>748</v>
      </c>
      <c r="C473" s="329">
        <v>33.0</v>
      </c>
      <c r="D473" s="329">
        <v>132.0</v>
      </c>
    </row>
    <row r="474">
      <c r="A474" s="325" t="s">
        <v>2459</v>
      </c>
      <c r="B474" s="326" t="s">
        <v>777</v>
      </c>
      <c r="C474" s="329">
        <v>60.0</v>
      </c>
      <c r="D474" s="329">
        <v>240.0</v>
      </c>
    </row>
    <row r="475">
      <c r="A475" s="325" t="s">
        <v>2461</v>
      </c>
      <c r="B475" s="326" t="s">
        <v>382</v>
      </c>
      <c r="C475" s="329">
        <v>30.0</v>
      </c>
      <c r="D475" s="329">
        <v>120.0</v>
      </c>
    </row>
    <row r="476">
      <c r="A476" s="325" t="s">
        <v>2462</v>
      </c>
      <c r="B476" s="326" t="s">
        <v>399</v>
      </c>
      <c r="C476" s="329">
        <v>33.0</v>
      </c>
      <c r="D476" s="329">
        <v>132.0</v>
      </c>
    </row>
    <row r="477">
      <c r="A477" s="325" t="s">
        <v>2463</v>
      </c>
      <c r="B477" s="326" t="s">
        <v>781</v>
      </c>
      <c r="C477" s="329">
        <v>33.0</v>
      </c>
      <c r="D477" s="329">
        <v>132.0</v>
      </c>
    </row>
    <row r="478">
      <c r="A478" s="325" t="s">
        <v>2464</v>
      </c>
      <c r="B478" s="326" t="s">
        <v>1296</v>
      </c>
      <c r="C478" s="329">
        <v>13.0</v>
      </c>
      <c r="D478" s="329">
        <v>52.0</v>
      </c>
    </row>
    <row r="479">
      <c r="A479" s="325" t="s">
        <v>2466</v>
      </c>
      <c r="B479" s="326" t="s">
        <v>1269</v>
      </c>
      <c r="C479" s="329">
        <v>30.0</v>
      </c>
      <c r="D479" s="329">
        <v>120.0</v>
      </c>
    </row>
    <row r="480">
      <c r="A480" s="325" t="s">
        <v>2467</v>
      </c>
      <c r="B480" s="326" t="s">
        <v>1302</v>
      </c>
      <c r="C480" s="329">
        <v>13.0</v>
      </c>
      <c r="D480" s="329">
        <v>52.0</v>
      </c>
    </row>
    <row r="481">
      <c r="A481" s="325" t="s">
        <v>2469</v>
      </c>
      <c r="B481" s="326" t="s">
        <v>482</v>
      </c>
      <c r="C481" s="329">
        <v>13.0</v>
      </c>
      <c r="D481" s="329">
        <v>52.0</v>
      </c>
    </row>
    <row r="482">
      <c r="A482" s="325" t="s">
        <v>2470</v>
      </c>
      <c r="B482" s="326" t="s">
        <v>502</v>
      </c>
      <c r="C482" s="329">
        <v>13.0</v>
      </c>
      <c r="D482" s="329">
        <v>52.0</v>
      </c>
    </row>
    <row r="483">
      <c r="A483" s="325" t="s">
        <v>2471</v>
      </c>
      <c r="B483" s="326" t="s">
        <v>734</v>
      </c>
      <c r="C483" s="329">
        <v>6.0</v>
      </c>
      <c r="D483" s="329">
        <v>24.0</v>
      </c>
    </row>
    <row r="484">
      <c r="A484" s="325" t="s">
        <v>2472</v>
      </c>
      <c r="B484" s="326" t="s">
        <v>395</v>
      </c>
      <c r="C484" s="329">
        <v>66.0</v>
      </c>
      <c r="D484" s="329">
        <v>264.0</v>
      </c>
    </row>
    <row r="485">
      <c r="A485" s="325" t="s">
        <v>2473</v>
      </c>
      <c r="B485" s="326" t="s">
        <v>359</v>
      </c>
      <c r="C485" s="329">
        <v>35.0</v>
      </c>
      <c r="D485" s="329">
        <v>140.0</v>
      </c>
    </row>
    <row r="486">
      <c r="A486" s="325" t="s">
        <v>2474</v>
      </c>
      <c r="B486" s="326" t="s">
        <v>710</v>
      </c>
      <c r="C486" s="329">
        <v>30.0</v>
      </c>
      <c r="D486" s="329">
        <v>120.0</v>
      </c>
    </row>
    <row r="487">
      <c r="A487" s="325" t="s">
        <v>2475</v>
      </c>
      <c r="B487" s="326" t="s">
        <v>601</v>
      </c>
      <c r="C487" s="329">
        <v>30.0</v>
      </c>
      <c r="D487" s="329">
        <v>120.0</v>
      </c>
    </row>
    <row r="488">
      <c r="A488" s="325" t="s">
        <v>2476</v>
      </c>
      <c r="B488" s="326" t="s">
        <v>712</v>
      </c>
      <c r="C488" s="329">
        <v>14.0</v>
      </c>
      <c r="D488" s="329">
        <v>56.0</v>
      </c>
    </row>
    <row r="489">
      <c r="A489" s="325" t="s">
        <v>1569</v>
      </c>
      <c r="B489" s="326" t="s">
        <v>744</v>
      </c>
      <c r="C489" s="329">
        <v>14.0</v>
      </c>
      <c r="D489" s="329">
        <v>56.0</v>
      </c>
    </row>
    <row r="490">
      <c r="A490" s="332"/>
      <c r="B490" s="322"/>
      <c r="C490" s="323"/>
      <c r="D490" s="324"/>
    </row>
    <row r="491">
      <c r="A491" s="321" t="s">
        <v>2603</v>
      </c>
      <c r="B491" s="322"/>
      <c r="C491" s="323"/>
      <c r="D491" s="324"/>
    </row>
    <row r="492">
      <c r="A492" s="325" t="s">
        <v>2478</v>
      </c>
      <c r="B492" s="326" t="s">
        <v>773</v>
      </c>
      <c r="C492" s="329">
        <v>48.0</v>
      </c>
      <c r="D492" s="329">
        <v>192.0</v>
      </c>
    </row>
    <row r="493">
      <c r="A493" s="135" t="s">
        <v>2480</v>
      </c>
      <c r="B493" s="141" t="s">
        <v>748</v>
      </c>
      <c r="C493" s="329">
        <v>33.0</v>
      </c>
      <c r="D493" s="329">
        <v>132.0</v>
      </c>
    </row>
    <row r="494">
      <c r="A494" s="325" t="s">
        <v>2481</v>
      </c>
      <c r="B494" s="326" t="s">
        <v>748</v>
      </c>
      <c r="C494" s="329">
        <v>33.0</v>
      </c>
      <c r="D494" s="329">
        <v>132.0</v>
      </c>
    </row>
    <row r="495">
      <c r="A495" s="325" t="s">
        <v>2482</v>
      </c>
      <c r="B495" s="326" t="s">
        <v>777</v>
      </c>
      <c r="C495" s="329">
        <v>60.0</v>
      </c>
      <c r="D495" s="329">
        <v>240.0</v>
      </c>
    </row>
    <row r="496">
      <c r="A496" s="325" t="s">
        <v>2483</v>
      </c>
      <c r="B496" s="326" t="s">
        <v>382</v>
      </c>
      <c r="C496" s="329">
        <v>30.0</v>
      </c>
      <c r="D496" s="329">
        <v>120.0</v>
      </c>
    </row>
    <row r="497">
      <c r="A497" s="325" t="s">
        <v>2485</v>
      </c>
      <c r="B497" s="326" t="s">
        <v>399</v>
      </c>
      <c r="C497" s="329">
        <v>33.0</v>
      </c>
      <c r="D497" s="329">
        <v>132.0</v>
      </c>
    </row>
    <row r="498">
      <c r="A498" s="325" t="s">
        <v>2488</v>
      </c>
      <c r="B498" s="326" t="s">
        <v>781</v>
      </c>
      <c r="C498" s="329">
        <v>33.0</v>
      </c>
      <c r="D498" s="329">
        <v>132.0</v>
      </c>
    </row>
    <row r="499">
      <c r="A499" s="325" t="s">
        <v>2491</v>
      </c>
      <c r="B499" s="326" t="s">
        <v>1296</v>
      </c>
      <c r="C499" s="329">
        <v>13.0</v>
      </c>
      <c r="D499" s="329">
        <v>52.0</v>
      </c>
    </row>
    <row r="500">
      <c r="A500" s="325" t="s">
        <v>2493</v>
      </c>
      <c r="B500" s="326" t="s">
        <v>1269</v>
      </c>
      <c r="C500" s="329">
        <v>30.0</v>
      </c>
      <c r="D500" s="329">
        <v>120.0</v>
      </c>
    </row>
    <row r="501">
      <c r="A501" s="325" t="s">
        <v>2494</v>
      </c>
      <c r="B501" s="326" t="s">
        <v>1302</v>
      </c>
      <c r="C501" s="329">
        <v>13.0</v>
      </c>
      <c r="D501" s="329">
        <v>52.0</v>
      </c>
    </row>
    <row r="502">
      <c r="A502" s="325" t="s">
        <v>2495</v>
      </c>
      <c r="B502" s="326" t="s">
        <v>482</v>
      </c>
      <c r="C502" s="329">
        <v>13.0</v>
      </c>
      <c r="D502" s="329">
        <v>52.0</v>
      </c>
    </row>
    <row r="503">
      <c r="A503" s="325" t="s">
        <v>2496</v>
      </c>
      <c r="B503" s="326" t="s">
        <v>502</v>
      </c>
      <c r="C503" s="329">
        <v>13.0</v>
      </c>
      <c r="D503" s="329">
        <v>52.0</v>
      </c>
    </row>
    <row r="504">
      <c r="A504" s="325" t="s">
        <v>2498</v>
      </c>
      <c r="B504" s="326" t="s">
        <v>734</v>
      </c>
      <c r="C504" s="329">
        <v>6.0</v>
      </c>
      <c r="D504" s="329">
        <v>24.0</v>
      </c>
    </row>
    <row r="505">
      <c r="A505" s="325" t="s">
        <v>2499</v>
      </c>
      <c r="B505" s="326" t="s">
        <v>395</v>
      </c>
      <c r="C505" s="329">
        <v>66.0</v>
      </c>
      <c r="D505" s="329">
        <v>264.0</v>
      </c>
    </row>
    <row r="506">
      <c r="A506" s="325" t="s">
        <v>2500</v>
      </c>
      <c r="B506" s="326" t="s">
        <v>359</v>
      </c>
      <c r="C506" s="329">
        <v>35.0</v>
      </c>
      <c r="D506" s="329">
        <v>140.0</v>
      </c>
    </row>
    <row r="507">
      <c r="A507" s="325" t="s">
        <v>2501</v>
      </c>
      <c r="B507" s="326" t="s">
        <v>710</v>
      </c>
      <c r="C507" s="329">
        <v>30.0</v>
      </c>
      <c r="D507" s="329">
        <v>120.0</v>
      </c>
    </row>
    <row r="508">
      <c r="A508" s="325" t="s">
        <v>2503</v>
      </c>
      <c r="B508" s="326" t="s">
        <v>601</v>
      </c>
      <c r="C508" s="329">
        <v>30.0</v>
      </c>
      <c r="D508" s="329">
        <v>120.0</v>
      </c>
    </row>
    <row r="509">
      <c r="A509" s="325" t="s">
        <v>2504</v>
      </c>
      <c r="B509" s="326" t="s">
        <v>712</v>
      </c>
      <c r="C509" s="329">
        <v>14.0</v>
      </c>
      <c r="D509" s="329">
        <v>56.0</v>
      </c>
    </row>
    <row r="510">
      <c r="A510" s="325" t="s">
        <v>1571</v>
      </c>
      <c r="B510" s="326" t="s">
        <v>744</v>
      </c>
      <c r="C510" s="329">
        <v>14.0</v>
      </c>
      <c r="D510" s="329">
        <v>56.0</v>
      </c>
    </row>
    <row r="511">
      <c r="A511" s="332"/>
      <c r="B511" s="322"/>
      <c r="C511" s="323"/>
      <c r="D511" s="324"/>
    </row>
    <row r="512">
      <c r="A512" s="321" t="s">
        <v>2607</v>
      </c>
      <c r="B512" s="322"/>
      <c r="C512" s="323"/>
      <c r="D512" s="324"/>
    </row>
    <row r="513">
      <c r="A513" s="325" t="s">
        <v>2506</v>
      </c>
      <c r="B513" s="326" t="s">
        <v>773</v>
      </c>
      <c r="C513" s="329">
        <v>48.0</v>
      </c>
      <c r="D513" s="329">
        <v>192.0</v>
      </c>
    </row>
    <row r="514">
      <c r="A514" s="135" t="s">
        <v>2507</v>
      </c>
      <c r="B514" s="141" t="s">
        <v>748</v>
      </c>
      <c r="C514" s="329">
        <v>33.0</v>
      </c>
      <c r="D514" s="329">
        <v>132.0</v>
      </c>
    </row>
    <row r="515">
      <c r="A515" s="325" t="s">
        <v>2509</v>
      </c>
      <c r="B515" s="326" t="s">
        <v>748</v>
      </c>
      <c r="C515" s="329">
        <v>33.0</v>
      </c>
      <c r="D515" s="329">
        <v>132.0</v>
      </c>
    </row>
    <row r="516">
      <c r="A516" s="325" t="s">
        <v>2510</v>
      </c>
      <c r="B516" s="326" t="s">
        <v>777</v>
      </c>
      <c r="C516" s="329">
        <v>60.0</v>
      </c>
      <c r="D516" s="329">
        <v>240.0</v>
      </c>
    </row>
    <row r="517">
      <c r="A517" s="325" t="s">
        <v>2511</v>
      </c>
      <c r="B517" s="326" t="s">
        <v>382</v>
      </c>
      <c r="C517" s="329">
        <v>30.0</v>
      </c>
      <c r="D517" s="329">
        <v>120.0</v>
      </c>
    </row>
    <row r="518">
      <c r="A518" s="325" t="s">
        <v>2512</v>
      </c>
      <c r="B518" s="326" t="s">
        <v>399</v>
      </c>
      <c r="C518" s="329">
        <v>33.0</v>
      </c>
      <c r="D518" s="329">
        <v>132.0</v>
      </c>
    </row>
    <row r="519">
      <c r="A519" s="325" t="s">
        <v>2514</v>
      </c>
      <c r="B519" s="326" t="s">
        <v>781</v>
      </c>
      <c r="C519" s="329">
        <v>33.0</v>
      </c>
      <c r="D519" s="329">
        <v>132.0</v>
      </c>
    </row>
    <row r="520">
      <c r="A520" s="325" t="s">
        <v>2515</v>
      </c>
      <c r="B520" s="326" t="s">
        <v>1296</v>
      </c>
      <c r="C520" s="329">
        <v>13.0</v>
      </c>
      <c r="D520" s="329">
        <v>52.0</v>
      </c>
    </row>
    <row r="521">
      <c r="A521" s="325" t="s">
        <v>2516</v>
      </c>
      <c r="B521" s="326" t="s">
        <v>1269</v>
      </c>
      <c r="C521" s="329">
        <v>30.0</v>
      </c>
      <c r="D521" s="329">
        <v>120.0</v>
      </c>
    </row>
    <row r="522">
      <c r="A522" s="325" t="s">
        <v>2517</v>
      </c>
      <c r="B522" s="326" t="s">
        <v>1302</v>
      </c>
      <c r="C522" s="329">
        <v>13.0</v>
      </c>
      <c r="D522" s="329">
        <v>52.0</v>
      </c>
    </row>
    <row r="523">
      <c r="A523" s="325" t="s">
        <v>2519</v>
      </c>
      <c r="B523" s="326" t="s">
        <v>482</v>
      </c>
      <c r="C523" s="329">
        <v>13.0</v>
      </c>
      <c r="D523" s="329">
        <v>52.0</v>
      </c>
    </row>
    <row r="524">
      <c r="A524" s="325" t="s">
        <v>2520</v>
      </c>
      <c r="B524" s="326" t="s">
        <v>502</v>
      </c>
      <c r="C524" s="329">
        <v>13.0</v>
      </c>
      <c r="D524" s="329">
        <v>52.0</v>
      </c>
    </row>
    <row r="525">
      <c r="A525" s="325" t="s">
        <v>2522</v>
      </c>
      <c r="B525" s="326" t="s">
        <v>734</v>
      </c>
      <c r="C525" s="329">
        <v>6.0</v>
      </c>
      <c r="D525" s="329">
        <v>24.0</v>
      </c>
    </row>
    <row r="526">
      <c r="A526" s="325" t="s">
        <v>2523</v>
      </c>
      <c r="B526" s="326" t="s">
        <v>395</v>
      </c>
      <c r="C526" s="329">
        <v>66.0</v>
      </c>
      <c r="D526" s="329">
        <v>264.0</v>
      </c>
    </row>
    <row r="527">
      <c r="A527" s="325" t="s">
        <v>2524</v>
      </c>
      <c r="B527" s="326" t="s">
        <v>359</v>
      </c>
      <c r="C527" s="329">
        <v>35.0</v>
      </c>
      <c r="D527" s="329">
        <v>140.0</v>
      </c>
    </row>
    <row r="528">
      <c r="A528" s="325" t="s">
        <v>2525</v>
      </c>
      <c r="B528" s="326" t="s">
        <v>710</v>
      </c>
      <c r="C528" s="329">
        <v>30.0</v>
      </c>
      <c r="D528" s="329">
        <v>120.0</v>
      </c>
    </row>
    <row r="529">
      <c r="A529" s="325" t="s">
        <v>2526</v>
      </c>
      <c r="B529" s="326" t="s">
        <v>601</v>
      </c>
      <c r="C529" s="329">
        <v>30.0</v>
      </c>
      <c r="D529" s="329">
        <v>120.0</v>
      </c>
    </row>
    <row r="530">
      <c r="A530" s="325" t="s">
        <v>2528</v>
      </c>
      <c r="B530" s="326" t="s">
        <v>712</v>
      </c>
      <c r="C530" s="329">
        <v>14.0</v>
      </c>
      <c r="D530" s="329">
        <v>56.0</v>
      </c>
    </row>
    <row r="531">
      <c r="A531" s="325" t="s">
        <v>1575</v>
      </c>
      <c r="B531" s="326" t="s">
        <v>744</v>
      </c>
      <c r="C531" s="329">
        <v>14.0</v>
      </c>
      <c r="D531" s="329">
        <v>56.0</v>
      </c>
    </row>
    <row r="532">
      <c r="A532" s="332"/>
      <c r="B532" s="322"/>
      <c r="C532" s="323"/>
      <c r="D532" s="324"/>
    </row>
    <row r="533">
      <c r="A533" s="321" t="s">
        <v>2612</v>
      </c>
      <c r="B533" s="322"/>
      <c r="C533" s="323"/>
      <c r="D533" s="324"/>
    </row>
    <row r="534">
      <c r="A534" s="325" t="s">
        <v>2529</v>
      </c>
      <c r="B534" s="326" t="s">
        <v>773</v>
      </c>
      <c r="C534" s="329">
        <v>48.0</v>
      </c>
      <c r="D534" s="329">
        <v>192.0</v>
      </c>
    </row>
    <row r="535">
      <c r="A535" s="135" t="s">
        <v>2531</v>
      </c>
      <c r="B535" s="141" t="s">
        <v>748</v>
      </c>
      <c r="C535" s="329">
        <v>33.0</v>
      </c>
      <c r="D535" s="329">
        <v>132.0</v>
      </c>
    </row>
    <row r="536">
      <c r="A536" s="325" t="s">
        <v>2532</v>
      </c>
      <c r="B536" s="326" t="s">
        <v>748</v>
      </c>
      <c r="C536" s="329">
        <v>33.0</v>
      </c>
      <c r="D536" s="329">
        <v>132.0</v>
      </c>
    </row>
    <row r="537">
      <c r="A537" s="325" t="s">
        <v>2533</v>
      </c>
      <c r="B537" s="326" t="s">
        <v>777</v>
      </c>
      <c r="C537" s="329">
        <v>60.0</v>
      </c>
      <c r="D537" s="329">
        <v>240.0</v>
      </c>
    </row>
    <row r="538">
      <c r="A538" s="325" t="s">
        <v>2535</v>
      </c>
      <c r="B538" s="326" t="s">
        <v>382</v>
      </c>
      <c r="C538" s="329">
        <v>30.0</v>
      </c>
      <c r="D538" s="329">
        <v>120.0</v>
      </c>
    </row>
    <row r="539">
      <c r="A539" s="325" t="s">
        <v>2536</v>
      </c>
      <c r="B539" s="326" t="s">
        <v>399</v>
      </c>
      <c r="C539" s="329">
        <v>33.0</v>
      </c>
      <c r="D539" s="329">
        <v>132.0</v>
      </c>
    </row>
    <row r="540">
      <c r="A540" s="325" t="s">
        <v>2537</v>
      </c>
      <c r="B540" s="326" t="s">
        <v>781</v>
      </c>
      <c r="C540" s="329">
        <v>33.0</v>
      </c>
      <c r="D540" s="329">
        <v>132.0</v>
      </c>
    </row>
    <row r="541">
      <c r="A541" s="325" t="s">
        <v>2538</v>
      </c>
      <c r="B541" s="326" t="s">
        <v>1296</v>
      </c>
      <c r="C541" s="329">
        <v>13.0</v>
      </c>
      <c r="D541" s="329">
        <v>52.0</v>
      </c>
    </row>
    <row r="542">
      <c r="A542" s="325" t="s">
        <v>2540</v>
      </c>
      <c r="B542" s="326" t="s">
        <v>1269</v>
      </c>
      <c r="C542" s="329">
        <v>30.0</v>
      </c>
      <c r="D542" s="329">
        <v>120.0</v>
      </c>
    </row>
    <row r="543">
      <c r="A543" s="325" t="s">
        <v>2541</v>
      </c>
      <c r="B543" s="326" t="s">
        <v>1302</v>
      </c>
      <c r="C543" s="329">
        <v>13.0</v>
      </c>
      <c r="D543" s="329">
        <v>52.0</v>
      </c>
    </row>
    <row r="544">
      <c r="A544" s="325" t="s">
        <v>2542</v>
      </c>
      <c r="B544" s="326" t="s">
        <v>482</v>
      </c>
      <c r="C544" s="329">
        <v>13.0</v>
      </c>
      <c r="D544" s="329">
        <v>52.0</v>
      </c>
    </row>
    <row r="545">
      <c r="A545" s="325" t="s">
        <v>2543</v>
      </c>
      <c r="B545" s="326" t="s">
        <v>502</v>
      </c>
      <c r="C545" s="329">
        <v>13.0</v>
      </c>
      <c r="D545" s="329">
        <v>52.0</v>
      </c>
    </row>
    <row r="546">
      <c r="A546" s="325" t="s">
        <v>2545</v>
      </c>
      <c r="B546" s="326" t="s">
        <v>734</v>
      </c>
      <c r="C546" s="329">
        <v>6.0</v>
      </c>
      <c r="D546" s="329">
        <v>24.0</v>
      </c>
    </row>
    <row r="547">
      <c r="A547" s="325" t="s">
        <v>2546</v>
      </c>
      <c r="B547" s="326" t="s">
        <v>395</v>
      </c>
      <c r="C547" s="329">
        <v>66.0</v>
      </c>
      <c r="D547" s="329">
        <v>264.0</v>
      </c>
    </row>
    <row r="548">
      <c r="A548" s="325" t="s">
        <v>2548</v>
      </c>
      <c r="B548" s="326" t="s">
        <v>359</v>
      </c>
      <c r="C548" s="329">
        <v>35.0</v>
      </c>
      <c r="D548" s="329">
        <v>140.0</v>
      </c>
    </row>
    <row r="549">
      <c r="A549" s="325" t="s">
        <v>2549</v>
      </c>
      <c r="B549" s="326" t="s">
        <v>710</v>
      </c>
      <c r="C549" s="329">
        <v>30.0</v>
      </c>
      <c r="D549" s="329">
        <v>120.0</v>
      </c>
    </row>
    <row r="550">
      <c r="A550" s="325" t="s">
        <v>2551</v>
      </c>
      <c r="B550" s="326" t="s">
        <v>601</v>
      </c>
      <c r="C550" s="329">
        <v>30.0</v>
      </c>
      <c r="D550" s="329">
        <v>120.0</v>
      </c>
    </row>
    <row r="551">
      <c r="A551" s="325" t="s">
        <v>2552</v>
      </c>
      <c r="B551" s="326" t="s">
        <v>712</v>
      </c>
      <c r="C551" s="329">
        <v>14.0</v>
      </c>
      <c r="D551" s="329">
        <v>56.0</v>
      </c>
    </row>
    <row r="552">
      <c r="A552" s="325" t="s">
        <v>1578</v>
      </c>
      <c r="B552" s="326" t="s">
        <v>744</v>
      </c>
      <c r="C552" s="329">
        <v>14.0</v>
      </c>
      <c r="D552" s="329">
        <v>56.0</v>
      </c>
    </row>
    <row r="553">
      <c r="A553" s="330"/>
      <c r="B553" s="331"/>
      <c r="C553" s="323"/>
      <c r="D553" s="324"/>
    </row>
    <row r="554">
      <c r="A554" s="321" t="s">
        <v>2618</v>
      </c>
      <c r="B554" s="339"/>
      <c r="C554" s="323"/>
      <c r="D554" s="324"/>
    </row>
    <row r="555">
      <c r="A555" s="325" t="s">
        <v>794</v>
      </c>
      <c r="B555" s="326" t="s">
        <v>795</v>
      </c>
      <c r="C555" s="327">
        <v>66.0</v>
      </c>
      <c r="D555" s="328">
        <v>198.0</v>
      </c>
    </row>
    <row r="556">
      <c r="A556" s="325" t="s">
        <v>797</v>
      </c>
      <c r="B556" s="326" t="s">
        <v>798</v>
      </c>
      <c r="C556" s="329">
        <v>46.0</v>
      </c>
      <c r="D556" s="328">
        <v>184.0</v>
      </c>
    </row>
    <row r="557">
      <c r="A557" s="325" t="s">
        <v>799</v>
      </c>
      <c r="B557" s="326" t="s">
        <v>306</v>
      </c>
      <c r="C557" s="329">
        <v>46.0</v>
      </c>
      <c r="D557" s="328">
        <v>184.0</v>
      </c>
    </row>
    <row r="558">
      <c r="A558" s="325" t="s">
        <v>800</v>
      </c>
      <c r="B558" s="326" t="s">
        <v>801</v>
      </c>
      <c r="C558" s="327">
        <v>60.0</v>
      </c>
      <c r="D558" s="328">
        <v>240.0</v>
      </c>
    </row>
    <row r="559">
      <c r="A559" s="325" t="s">
        <v>802</v>
      </c>
      <c r="B559" s="326" t="s">
        <v>803</v>
      </c>
      <c r="C559" s="329">
        <v>46.0</v>
      </c>
      <c r="D559" s="329">
        <v>184.0</v>
      </c>
    </row>
    <row r="560">
      <c r="A560" s="325" t="s">
        <v>804</v>
      </c>
      <c r="B560" s="326" t="s">
        <v>339</v>
      </c>
      <c r="C560" s="329">
        <v>46.0</v>
      </c>
      <c r="D560" s="329">
        <v>184.0</v>
      </c>
    </row>
    <row r="561">
      <c r="A561" s="325" t="s">
        <v>805</v>
      </c>
      <c r="B561" s="326" t="s">
        <v>806</v>
      </c>
      <c r="C561" s="329">
        <v>66.0</v>
      </c>
      <c r="D561" s="328">
        <v>198.0</v>
      </c>
    </row>
    <row r="562">
      <c r="A562" s="325" t="s">
        <v>807</v>
      </c>
      <c r="B562" s="326" t="s">
        <v>808</v>
      </c>
      <c r="C562" s="329">
        <v>24.0</v>
      </c>
      <c r="D562" s="328">
        <v>96.0</v>
      </c>
    </row>
    <row r="563">
      <c r="A563" s="325" t="s">
        <v>809</v>
      </c>
      <c r="B563" s="326" t="s">
        <v>810</v>
      </c>
      <c r="C563" s="329">
        <v>66.0</v>
      </c>
      <c r="D563" s="328">
        <v>198.0</v>
      </c>
    </row>
    <row r="564">
      <c r="A564" s="325" t="s">
        <v>811</v>
      </c>
      <c r="B564" s="326" t="s">
        <v>781</v>
      </c>
      <c r="C564" s="329">
        <v>30.0</v>
      </c>
      <c r="D564" s="328">
        <v>120.0</v>
      </c>
    </row>
    <row r="565">
      <c r="A565" s="325" t="s">
        <v>812</v>
      </c>
      <c r="B565" s="326" t="s">
        <v>813</v>
      </c>
      <c r="C565" s="329">
        <v>13.0</v>
      </c>
      <c r="D565" s="328">
        <v>52.0</v>
      </c>
    </row>
    <row r="566">
      <c r="A566" s="325" t="s">
        <v>814</v>
      </c>
      <c r="B566" s="326" t="s">
        <v>815</v>
      </c>
      <c r="C566" s="329">
        <v>13.0</v>
      </c>
      <c r="D566" s="329">
        <v>52.0</v>
      </c>
    </row>
    <row r="567">
      <c r="A567" s="325" t="s">
        <v>816</v>
      </c>
      <c r="B567" s="326" t="s">
        <v>482</v>
      </c>
      <c r="C567" s="329">
        <v>13.0</v>
      </c>
      <c r="D567" s="329">
        <v>52.0</v>
      </c>
    </row>
    <row r="568">
      <c r="A568" s="325" t="s">
        <v>817</v>
      </c>
      <c r="B568" s="326" t="s">
        <v>502</v>
      </c>
      <c r="C568" s="329">
        <v>13.0</v>
      </c>
      <c r="D568" s="329">
        <v>52.0</v>
      </c>
    </row>
    <row r="569">
      <c r="A569" s="325" t="s">
        <v>819</v>
      </c>
      <c r="B569" s="326" t="s">
        <v>820</v>
      </c>
      <c r="C569" s="329">
        <v>6.0</v>
      </c>
      <c r="D569" s="329">
        <v>24.0</v>
      </c>
    </row>
    <row r="570">
      <c r="A570" s="325" t="s">
        <v>821</v>
      </c>
      <c r="B570" s="326" t="s">
        <v>719</v>
      </c>
      <c r="C570" s="327">
        <v>66.0</v>
      </c>
      <c r="D570" s="328">
        <v>198.0</v>
      </c>
    </row>
    <row r="571">
      <c r="A571" s="325" t="s">
        <v>822</v>
      </c>
      <c r="B571" s="326" t="s">
        <v>823</v>
      </c>
      <c r="C571" s="329">
        <v>66.0</v>
      </c>
      <c r="D571" s="328">
        <v>198.0</v>
      </c>
    </row>
    <row r="572">
      <c r="A572" s="325" t="s">
        <v>825</v>
      </c>
      <c r="B572" s="326" t="s">
        <v>717</v>
      </c>
      <c r="C572" s="327">
        <v>66.0</v>
      </c>
      <c r="D572" s="328">
        <v>198.0</v>
      </c>
    </row>
    <row r="573">
      <c r="A573" s="325" t="s">
        <v>826</v>
      </c>
      <c r="B573" s="326" t="s">
        <v>723</v>
      </c>
      <c r="C573" s="327">
        <v>66.0</v>
      </c>
      <c r="D573" s="328">
        <v>198.0</v>
      </c>
    </row>
    <row r="574">
      <c r="A574" s="325" t="s">
        <v>827</v>
      </c>
      <c r="B574" s="326" t="s">
        <v>395</v>
      </c>
      <c r="C574" s="329">
        <v>90.0</v>
      </c>
      <c r="D574" s="328">
        <v>270.0</v>
      </c>
    </row>
    <row r="575">
      <c r="A575" s="325" t="s">
        <v>828</v>
      </c>
      <c r="B575" s="326" t="s">
        <v>829</v>
      </c>
      <c r="C575" s="327">
        <v>35.0</v>
      </c>
      <c r="D575" s="328">
        <v>140.0</v>
      </c>
    </row>
    <row r="576">
      <c r="A576" s="325" t="s">
        <v>830</v>
      </c>
      <c r="B576" s="326" t="s">
        <v>663</v>
      </c>
      <c r="C576" s="329">
        <v>64.0</v>
      </c>
      <c r="D576" s="329">
        <v>256.0</v>
      </c>
    </row>
    <row r="577">
      <c r="A577" s="325" t="s">
        <v>831</v>
      </c>
      <c r="B577" s="326" t="s">
        <v>690</v>
      </c>
      <c r="C577" s="329">
        <v>64.0</v>
      </c>
      <c r="D577" s="329">
        <v>256.0</v>
      </c>
    </row>
    <row r="578">
      <c r="A578" s="325" t="s">
        <v>839</v>
      </c>
      <c r="B578" s="326" t="s">
        <v>710</v>
      </c>
      <c r="C578" s="329">
        <v>30.0</v>
      </c>
      <c r="D578" s="328">
        <v>120.0</v>
      </c>
    </row>
    <row r="579">
      <c r="A579" s="325" t="s">
        <v>841</v>
      </c>
      <c r="B579" s="326" t="s">
        <v>601</v>
      </c>
      <c r="C579" s="329">
        <v>30.0</v>
      </c>
      <c r="D579" s="328">
        <v>120.0</v>
      </c>
    </row>
    <row r="580">
      <c r="A580" s="325" t="s">
        <v>842</v>
      </c>
      <c r="B580" s="326" t="s">
        <v>731</v>
      </c>
      <c r="C580" s="329">
        <v>66.0</v>
      </c>
      <c r="D580" s="328">
        <v>198.0</v>
      </c>
    </row>
    <row r="581">
      <c r="A581" s="325" t="s">
        <v>843</v>
      </c>
      <c r="B581" s="326" t="s">
        <v>712</v>
      </c>
      <c r="C581" s="329">
        <v>14.0</v>
      </c>
      <c r="D581" s="329">
        <v>56.0</v>
      </c>
    </row>
    <row r="582">
      <c r="A582" s="332"/>
      <c r="B582" s="339"/>
      <c r="C582" s="323"/>
      <c r="D582" s="324"/>
    </row>
    <row r="583">
      <c r="A583" s="321" t="s">
        <v>2624</v>
      </c>
      <c r="B583" s="339"/>
      <c r="C583" s="323"/>
      <c r="D583" s="324"/>
    </row>
    <row r="584">
      <c r="A584" s="325" t="s">
        <v>844</v>
      </c>
      <c r="B584" s="326" t="s">
        <v>795</v>
      </c>
      <c r="C584" s="327">
        <v>66.0</v>
      </c>
      <c r="D584" s="328">
        <v>198.0</v>
      </c>
    </row>
    <row r="585">
      <c r="A585" s="325" t="s">
        <v>848</v>
      </c>
      <c r="B585" s="326" t="s">
        <v>798</v>
      </c>
      <c r="C585" s="329">
        <v>46.0</v>
      </c>
      <c r="D585" s="328">
        <v>184.0</v>
      </c>
    </row>
    <row r="586">
      <c r="A586" s="325" t="s">
        <v>851</v>
      </c>
      <c r="B586" s="326" t="s">
        <v>306</v>
      </c>
      <c r="C586" s="329">
        <v>46.0</v>
      </c>
      <c r="D586" s="328">
        <v>184.0</v>
      </c>
    </row>
    <row r="587">
      <c r="A587" s="325" t="s">
        <v>855</v>
      </c>
      <c r="B587" s="326" t="s">
        <v>801</v>
      </c>
      <c r="C587" s="329">
        <v>46.0</v>
      </c>
      <c r="D587" s="328">
        <v>184.0</v>
      </c>
    </row>
    <row r="588">
      <c r="A588" s="325" t="s">
        <v>856</v>
      </c>
      <c r="B588" s="326" t="s">
        <v>803</v>
      </c>
      <c r="C588" s="329">
        <v>46.0</v>
      </c>
      <c r="D588" s="329">
        <v>184.0</v>
      </c>
    </row>
    <row r="589">
      <c r="A589" s="325" t="s">
        <v>857</v>
      </c>
      <c r="B589" s="326" t="s">
        <v>339</v>
      </c>
      <c r="C589" s="329">
        <v>46.0</v>
      </c>
      <c r="D589" s="329">
        <v>184.0</v>
      </c>
    </row>
    <row r="590">
      <c r="A590" s="325" t="s">
        <v>858</v>
      </c>
      <c r="B590" s="326" t="s">
        <v>806</v>
      </c>
      <c r="C590" s="329">
        <v>66.0</v>
      </c>
      <c r="D590" s="328">
        <v>198.0</v>
      </c>
    </row>
    <row r="591">
      <c r="A591" s="325" t="s">
        <v>859</v>
      </c>
      <c r="B591" s="326" t="s">
        <v>808</v>
      </c>
      <c r="C591" s="329">
        <v>24.0</v>
      </c>
      <c r="D591" s="328">
        <v>96.0</v>
      </c>
    </row>
    <row r="592">
      <c r="A592" s="325" t="s">
        <v>860</v>
      </c>
      <c r="B592" s="326" t="s">
        <v>810</v>
      </c>
      <c r="C592" s="329">
        <v>66.0</v>
      </c>
      <c r="D592" s="328">
        <v>198.0</v>
      </c>
    </row>
    <row r="593">
      <c r="A593" s="325" t="s">
        <v>861</v>
      </c>
      <c r="B593" s="326" t="s">
        <v>781</v>
      </c>
      <c r="C593" s="329">
        <v>30.0</v>
      </c>
      <c r="D593" s="328">
        <v>120.0</v>
      </c>
    </row>
    <row r="594">
      <c r="A594" s="325" t="s">
        <v>862</v>
      </c>
      <c r="B594" s="326" t="s">
        <v>813</v>
      </c>
      <c r="C594" s="329">
        <v>13.0</v>
      </c>
      <c r="D594" s="329">
        <v>52.0</v>
      </c>
    </row>
    <row r="595">
      <c r="A595" s="325" t="s">
        <v>863</v>
      </c>
      <c r="B595" s="326" t="s">
        <v>815</v>
      </c>
      <c r="C595" s="329">
        <v>13.0</v>
      </c>
      <c r="D595" s="329">
        <v>52.0</v>
      </c>
    </row>
    <row r="596">
      <c r="A596" s="325" t="s">
        <v>864</v>
      </c>
      <c r="B596" s="326" t="s">
        <v>482</v>
      </c>
      <c r="C596" s="329">
        <v>13.0</v>
      </c>
      <c r="D596" s="329">
        <v>52.0</v>
      </c>
    </row>
    <row r="597">
      <c r="A597" s="325" t="s">
        <v>865</v>
      </c>
      <c r="B597" s="326" t="s">
        <v>502</v>
      </c>
      <c r="C597" s="329">
        <v>13.0</v>
      </c>
      <c r="D597" s="329">
        <v>52.0</v>
      </c>
    </row>
    <row r="598">
      <c r="A598" s="325" t="s">
        <v>867</v>
      </c>
      <c r="B598" s="326" t="s">
        <v>820</v>
      </c>
      <c r="C598" s="329">
        <v>6.0</v>
      </c>
      <c r="D598" s="329">
        <v>24.0</v>
      </c>
    </row>
    <row r="599">
      <c r="A599" s="325" t="s">
        <v>868</v>
      </c>
      <c r="B599" s="326" t="s">
        <v>719</v>
      </c>
      <c r="C599" s="327">
        <v>66.0</v>
      </c>
      <c r="D599" s="328">
        <v>198.0</v>
      </c>
    </row>
    <row r="600">
      <c r="A600" s="325" t="s">
        <v>869</v>
      </c>
      <c r="B600" s="326" t="s">
        <v>823</v>
      </c>
      <c r="C600" s="327">
        <v>66.0</v>
      </c>
      <c r="D600" s="328">
        <v>198.0</v>
      </c>
    </row>
    <row r="601">
      <c r="A601" s="325" t="s">
        <v>870</v>
      </c>
      <c r="B601" s="326" t="s">
        <v>717</v>
      </c>
      <c r="C601" s="327">
        <v>66.0</v>
      </c>
      <c r="D601" s="328">
        <v>198.0</v>
      </c>
    </row>
    <row r="602">
      <c r="A602" s="325" t="s">
        <v>871</v>
      </c>
      <c r="B602" s="326" t="s">
        <v>723</v>
      </c>
      <c r="C602" s="327">
        <v>66.0</v>
      </c>
      <c r="D602" s="328">
        <v>198.0</v>
      </c>
    </row>
    <row r="603">
      <c r="A603" s="325" t="s">
        <v>872</v>
      </c>
      <c r="B603" s="326" t="s">
        <v>395</v>
      </c>
      <c r="C603" s="329">
        <v>90.0</v>
      </c>
      <c r="D603" s="328">
        <v>270.0</v>
      </c>
    </row>
    <row r="604">
      <c r="A604" s="325" t="s">
        <v>873</v>
      </c>
      <c r="B604" s="326" t="s">
        <v>829</v>
      </c>
      <c r="C604" s="327">
        <v>35.0</v>
      </c>
      <c r="D604" s="328">
        <v>140.0</v>
      </c>
    </row>
    <row r="605">
      <c r="A605" s="325" t="s">
        <v>874</v>
      </c>
      <c r="B605" s="326" t="s">
        <v>663</v>
      </c>
      <c r="C605" s="329">
        <v>64.0</v>
      </c>
      <c r="D605" s="329">
        <v>256.0</v>
      </c>
    </row>
    <row r="606">
      <c r="A606" s="325" t="s">
        <v>875</v>
      </c>
      <c r="B606" s="326" t="s">
        <v>690</v>
      </c>
      <c r="C606" s="329">
        <v>64.0</v>
      </c>
      <c r="D606" s="329">
        <v>256.0</v>
      </c>
    </row>
    <row r="607">
      <c r="A607" s="325" t="s">
        <v>876</v>
      </c>
      <c r="B607" s="326" t="s">
        <v>710</v>
      </c>
      <c r="C607" s="329">
        <v>30.0</v>
      </c>
      <c r="D607" s="328">
        <v>120.0</v>
      </c>
    </row>
    <row r="608">
      <c r="A608" s="325" t="s">
        <v>877</v>
      </c>
      <c r="B608" s="326" t="s">
        <v>601</v>
      </c>
      <c r="C608" s="329">
        <v>30.0</v>
      </c>
      <c r="D608" s="328">
        <v>120.0</v>
      </c>
    </row>
    <row r="609">
      <c r="A609" s="325" t="s">
        <v>884</v>
      </c>
      <c r="B609" s="326" t="s">
        <v>731</v>
      </c>
      <c r="C609" s="329">
        <v>66.0</v>
      </c>
      <c r="D609" s="328">
        <v>198.0</v>
      </c>
    </row>
    <row r="610">
      <c r="A610" s="325" t="s">
        <v>885</v>
      </c>
      <c r="B610" s="326" t="s">
        <v>712</v>
      </c>
      <c r="C610" s="329">
        <v>14.0</v>
      </c>
      <c r="D610" s="329">
        <v>56.0</v>
      </c>
    </row>
    <row r="611">
      <c r="A611" s="332"/>
      <c r="B611" s="322"/>
      <c r="C611" s="323"/>
      <c r="D611" s="324"/>
    </row>
    <row r="612">
      <c r="A612" s="321" t="s">
        <v>2631</v>
      </c>
      <c r="B612" s="340"/>
      <c r="C612" s="323"/>
      <c r="D612" s="324"/>
    </row>
    <row r="613">
      <c r="A613" s="325" t="s">
        <v>886</v>
      </c>
      <c r="B613" s="326" t="s">
        <v>887</v>
      </c>
      <c r="C613" s="329">
        <v>108.0</v>
      </c>
      <c r="D613" s="329">
        <v>324.0</v>
      </c>
    </row>
    <row r="614">
      <c r="A614" s="325" t="s">
        <v>889</v>
      </c>
      <c r="B614" s="326" t="s">
        <v>890</v>
      </c>
      <c r="C614" s="329">
        <v>132.0</v>
      </c>
      <c r="D614" s="329">
        <v>528.0</v>
      </c>
    </row>
    <row r="615">
      <c r="A615" s="325" t="s">
        <v>891</v>
      </c>
      <c r="B615" s="326" t="s">
        <v>798</v>
      </c>
      <c r="C615" s="329">
        <v>60.0</v>
      </c>
      <c r="D615" s="329">
        <v>240.0</v>
      </c>
    </row>
    <row r="616">
      <c r="A616" s="325" t="s">
        <v>893</v>
      </c>
      <c r="B616" s="326" t="s">
        <v>306</v>
      </c>
      <c r="C616" s="329">
        <v>46.0</v>
      </c>
      <c r="D616" s="329">
        <v>184.0</v>
      </c>
    </row>
    <row r="617">
      <c r="A617" s="325" t="s">
        <v>894</v>
      </c>
      <c r="B617" s="326" t="s">
        <v>801</v>
      </c>
      <c r="C617" s="329">
        <v>60.0</v>
      </c>
      <c r="D617" s="329">
        <v>240.0</v>
      </c>
    </row>
    <row r="618">
      <c r="A618" s="325" t="s">
        <v>895</v>
      </c>
      <c r="B618" s="326" t="s">
        <v>896</v>
      </c>
      <c r="C618" s="329">
        <v>60.0</v>
      </c>
      <c r="D618" s="329">
        <v>240.0</v>
      </c>
    </row>
    <row r="619">
      <c r="A619" s="325" t="s">
        <v>897</v>
      </c>
      <c r="B619" s="326" t="s">
        <v>339</v>
      </c>
      <c r="C619" s="329">
        <v>46.0</v>
      </c>
      <c r="D619" s="329">
        <v>184.0</v>
      </c>
    </row>
    <row r="620">
      <c r="A620" s="325" t="s">
        <v>899</v>
      </c>
      <c r="B620" s="326" t="s">
        <v>617</v>
      </c>
      <c r="C620" s="329">
        <v>66.0</v>
      </c>
      <c r="D620" s="329">
        <v>198.0</v>
      </c>
    </row>
    <row r="621">
      <c r="A621" s="325" t="s">
        <v>900</v>
      </c>
      <c r="B621" s="326" t="s">
        <v>901</v>
      </c>
      <c r="C621" s="329">
        <v>66.0</v>
      </c>
      <c r="D621" s="329">
        <v>198.0</v>
      </c>
    </row>
    <row r="622">
      <c r="A622" s="325" t="s">
        <v>902</v>
      </c>
      <c r="B622" s="326" t="s">
        <v>808</v>
      </c>
      <c r="C622" s="329">
        <v>24.0</v>
      </c>
      <c r="D622" s="329">
        <v>96.0</v>
      </c>
    </row>
    <row r="623">
      <c r="A623" s="325" t="s">
        <v>903</v>
      </c>
      <c r="B623" s="326" t="s">
        <v>904</v>
      </c>
      <c r="C623" s="329">
        <v>60.0</v>
      </c>
      <c r="D623" s="329">
        <v>240.0</v>
      </c>
    </row>
    <row r="624">
      <c r="A624" s="325" t="s">
        <v>905</v>
      </c>
      <c r="B624" s="326" t="s">
        <v>906</v>
      </c>
      <c r="C624" s="329">
        <v>30.0</v>
      </c>
      <c r="D624" s="329">
        <v>120.0</v>
      </c>
    </row>
    <row r="625">
      <c r="A625" s="325" t="s">
        <v>908</v>
      </c>
      <c r="B625" s="326" t="s">
        <v>813</v>
      </c>
      <c r="C625" s="329">
        <v>13.0</v>
      </c>
      <c r="D625" s="329">
        <v>52.0</v>
      </c>
    </row>
    <row r="626">
      <c r="A626" s="325" t="s">
        <v>909</v>
      </c>
      <c r="B626" s="326" t="s">
        <v>910</v>
      </c>
      <c r="C626" s="329">
        <v>30.0</v>
      </c>
      <c r="D626" s="329">
        <v>120.0</v>
      </c>
    </row>
    <row r="627">
      <c r="A627" s="325" t="s">
        <v>911</v>
      </c>
      <c r="B627" s="326" t="s">
        <v>815</v>
      </c>
      <c r="C627" s="329">
        <v>13.0</v>
      </c>
      <c r="D627" s="329">
        <v>52.0</v>
      </c>
    </row>
    <row r="628">
      <c r="A628" s="325" t="s">
        <v>912</v>
      </c>
      <c r="B628" s="326" t="s">
        <v>913</v>
      </c>
      <c r="C628" s="329">
        <v>13.0</v>
      </c>
      <c r="D628" s="329">
        <v>52.0</v>
      </c>
    </row>
    <row r="629">
      <c r="A629" s="325" t="s">
        <v>915</v>
      </c>
      <c r="B629" s="326" t="s">
        <v>734</v>
      </c>
      <c r="C629" s="329">
        <v>6.0</v>
      </c>
      <c r="D629" s="329">
        <v>24.0</v>
      </c>
    </row>
    <row r="630">
      <c r="A630" s="325" t="s">
        <v>917</v>
      </c>
      <c r="B630" s="326" t="s">
        <v>918</v>
      </c>
      <c r="C630" s="329">
        <v>132.0</v>
      </c>
      <c r="D630" s="329">
        <v>264.0</v>
      </c>
    </row>
    <row r="631">
      <c r="A631" s="325" t="s">
        <v>919</v>
      </c>
      <c r="B631" s="326" t="s">
        <v>920</v>
      </c>
      <c r="C631" s="329">
        <v>132.0</v>
      </c>
      <c r="D631" s="329">
        <v>264.0</v>
      </c>
    </row>
    <row r="632">
      <c r="A632" s="325" t="s">
        <v>921</v>
      </c>
      <c r="B632" s="326" t="s">
        <v>922</v>
      </c>
      <c r="C632" s="329">
        <v>132.0</v>
      </c>
      <c r="D632" s="329">
        <v>264.0</v>
      </c>
    </row>
    <row r="633">
      <c r="A633" s="325" t="s">
        <v>923</v>
      </c>
      <c r="B633" s="326" t="s">
        <v>924</v>
      </c>
      <c r="C633" s="329">
        <v>132.0</v>
      </c>
      <c r="D633" s="329">
        <v>264.0</v>
      </c>
    </row>
    <row r="634">
      <c r="A634" s="325" t="s">
        <v>925</v>
      </c>
      <c r="B634" s="326" t="s">
        <v>359</v>
      </c>
      <c r="C634" s="329">
        <v>30.0</v>
      </c>
      <c r="D634" s="329">
        <v>120.0</v>
      </c>
    </row>
    <row r="635">
      <c r="A635" s="325" t="s">
        <v>927</v>
      </c>
      <c r="B635" s="326" t="s">
        <v>928</v>
      </c>
      <c r="C635" s="329">
        <v>64.0</v>
      </c>
      <c r="D635" s="329">
        <v>256.0</v>
      </c>
    </row>
    <row r="636">
      <c r="A636" s="325" t="s">
        <v>929</v>
      </c>
      <c r="B636" s="326" t="s">
        <v>930</v>
      </c>
      <c r="C636" s="329">
        <v>64.0</v>
      </c>
      <c r="D636" s="329">
        <v>256.0</v>
      </c>
    </row>
    <row r="637">
      <c r="A637" s="325" t="s">
        <v>847</v>
      </c>
      <c r="B637" s="326" t="s">
        <v>678</v>
      </c>
      <c r="C637" s="329">
        <v>64.0</v>
      </c>
      <c r="D637" s="329">
        <v>128.0</v>
      </c>
    </row>
    <row r="638">
      <c r="A638" s="325" t="s">
        <v>849</v>
      </c>
      <c r="B638" s="326" t="s">
        <v>693</v>
      </c>
      <c r="C638" s="329">
        <v>64.0</v>
      </c>
      <c r="D638" s="329">
        <v>128.0</v>
      </c>
    </row>
    <row r="639">
      <c r="A639" s="325" t="s">
        <v>931</v>
      </c>
      <c r="B639" s="326" t="s">
        <v>710</v>
      </c>
      <c r="C639" s="329">
        <v>30.0</v>
      </c>
      <c r="D639" s="329">
        <v>120.0</v>
      </c>
    </row>
    <row r="640">
      <c r="A640" s="325" t="s">
        <v>932</v>
      </c>
      <c r="B640" s="326" t="s">
        <v>601</v>
      </c>
      <c r="C640" s="329">
        <v>30.0</v>
      </c>
      <c r="D640" s="329">
        <v>120.0</v>
      </c>
    </row>
    <row r="641">
      <c r="A641" s="325" t="s">
        <v>933</v>
      </c>
      <c r="B641" s="326" t="s">
        <v>731</v>
      </c>
      <c r="C641" s="327">
        <v>30.0</v>
      </c>
      <c r="D641" s="329">
        <v>120.0</v>
      </c>
    </row>
    <row r="642">
      <c r="A642" s="325" t="s">
        <v>934</v>
      </c>
      <c r="B642" s="326" t="s">
        <v>712</v>
      </c>
      <c r="C642" s="329">
        <v>14.0</v>
      </c>
      <c r="D642" s="329">
        <v>56.0</v>
      </c>
    </row>
    <row r="643">
      <c r="A643" s="332"/>
      <c r="B643" s="322"/>
      <c r="C643" s="323"/>
      <c r="D643" s="324"/>
    </row>
    <row r="644">
      <c r="A644" s="321" t="s">
        <v>2638</v>
      </c>
      <c r="B644" s="322"/>
      <c r="C644" s="323"/>
      <c r="D644" s="324"/>
    </row>
    <row r="645">
      <c r="A645" s="325">
        <v>121.0</v>
      </c>
      <c r="B645" s="326" t="s">
        <v>795</v>
      </c>
      <c r="C645" s="329">
        <v>108.0</v>
      </c>
      <c r="D645" s="329">
        <v>216.0</v>
      </c>
    </row>
    <row r="646">
      <c r="A646" s="325">
        <v>123.0</v>
      </c>
      <c r="B646" s="326" t="s">
        <v>798</v>
      </c>
      <c r="C646" s="329">
        <v>60.0</v>
      </c>
      <c r="D646" s="329">
        <v>240.0</v>
      </c>
    </row>
    <row r="647">
      <c r="A647" s="325" t="s">
        <v>471</v>
      </c>
      <c r="B647" s="326" t="s">
        <v>306</v>
      </c>
      <c r="C647" s="329">
        <v>46.0</v>
      </c>
      <c r="D647" s="329">
        <v>184.0</v>
      </c>
    </row>
    <row r="648">
      <c r="A648" s="325" t="s">
        <v>573</v>
      </c>
      <c r="B648" s="326" t="s">
        <v>801</v>
      </c>
      <c r="C648" s="329">
        <v>60.0</v>
      </c>
      <c r="D648" s="329">
        <v>240.0</v>
      </c>
    </row>
    <row r="649">
      <c r="A649" s="325">
        <v>124.0</v>
      </c>
      <c r="B649" s="326" t="s">
        <v>803</v>
      </c>
      <c r="C649" s="329">
        <v>46.0</v>
      </c>
      <c r="D649" s="329">
        <v>184.0</v>
      </c>
    </row>
    <row r="650">
      <c r="A650" s="325" t="s">
        <v>698</v>
      </c>
      <c r="B650" s="326" t="s">
        <v>339</v>
      </c>
      <c r="C650" s="329">
        <v>46.0</v>
      </c>
      <c r="D650" s="329">
        <v>184.0</v>
      </c>
    </row>
    <row r="651">
      <c r="A651" s="325">
        <v>127.0</v>
      </c>
      <c r="B651" s="326" t="s">
        <v>938</v>
      </c>
      <c r="C651" s="329">
        <v>66.0</v>
      </c>
      <c r="D651" s="329">
        <v>198.0</v>
      </c>
    </row>
    <row r="652">
      <c r="A652" s="325">
        <v>129.0</v>
      </c>
      <c r="B652" s="326" t="s">
        <v>808</v>
      </c>
      <c r="C652" s="329">
        <v>24.0</v>
      </c>
      <c r="D652" s="329">
        <v>96.0</v>
      </c>
    </row>
    <row r="653">
      <c r="A653" s="325">
        <v>130.0</v>
      </c>
      <c r="B653" s="326" t="s">
        <v>939</v>
      </c>
      <c r="C653" s="329">
        <v>66.0</v>
      </c>
      <c r="D653" s="329">
        <v>198.0</v>
      </c>
    </row>
    <row r="654">
      <c r="A654" s="325">
        <v>131.0</v>
      </c>
      <c r="B654" s="326" t="s">
        <v>756</v>
      </c>
      <c r="C654" s="329">
        <v>30.0</v>
      </c>
      <c r="D654" s="329">
        <v>120.0</v>
      </c>
    </row>
    <row r="655">
      <c r="A655" s="325" t="s">
        <v>940</v>
      </c>
      <c r="B655" s="326" t="s">
        <v>941</v>
      </c>
      <c r="C655" s="329">
        <v>30.0</v>
      </c>
      <c r="D655" s="329">
        <v>120.0</v>
      </c>
    </row>
    <row r="656">
      <c r="A656" s="325">
        <v>132.0</v>
      </c>
      <c r="B656" s="326" t="s">
        <v>813</v>
      </c>
      <c r="C656" s="329">
        <v>13.0</v>
      </c>
      <c r="D656" s="329">
        <v>52.0</v>
      </c>
    </row>
    <row r="657">
      <c r="A657" s="325" t="s">
        <v>942</v>
      </c>
      <c r="B657" s="326" t="s">
        <v>815</v>
      </c>
      <c r="C657" s="329">
        <v>13.0</v>
      </c>
      <c r="D657" s="329">
        <v>52.0</v>
      </c>
    </row>
    <row r="658">
      <c r="A658" s="325" t="s">
        <v>943</v>
      </c>
      <c r="B658" s="326" t="s">
        <v>910</v>
      </c>
      <c r="C658" s="329">
        <v>30.0</v>
      </c>
      <c r="D658" s="329">
        <v>120.0</v>
      </c>
    </row>
    <row r="659">
      <c r="A659" s="325">
        <v>134.0</v>
      </c>
      <c r="B659" s="326" t="s">
        <v>482</v>
      </c>
      <c r="C659" s="329">
        <v>13.0</v>
      </c>
      <c r="D659" s="329">
        <v>52.0</v>
      </c>
    </row>
    <row r="660">
      <c r="A660" s="325">
        <v>135.0</v>
      </c>
      <c r="B660" s="326" t="s">
        <v>502</v>
      </c>
      <c r="C660" s="329">
        <v>13.0</v>
      </c>
      <c r="D660" s="329">
        <v>52.0</v>
      </c>
    </row>
    <row r="661">
      <c r="A661" s="325" t="s">
        <v>946</v>
      </c>
      <c r="B661" s="326" t="s">
        <v>734</v>
      </c>
      <c r="C661" s="329">
        <v>6.0</v>
      </c>
      <c r="D661" s="329">
        <v>24.0</v>
      </c>
    </row>
    <row r="662">
      <c r="A662" s="325">
        <v>141.0</v>
      </c>
      <c r="B662" s="326" t="s">
        <v>719</v>
      </c>
      <c r="C662" s="329">
        <v>132.0</v>
      </c>
      <c r="D662" s="329">
        <v>264.0</v>
      </c>
    </row>
    <row r="663">
      <c r="A663" s="325" t="s">
        <v>824</v>
      </c>
      <c r="B663" s="326" t="s">
        <v>823</v>
      </c>
      <c r="C663" s="327">
        <v>66.0</v>
      </c>
      <c r="D663" s="329">
        <v>198.0</v>
      </c>
    </row>
    <row r="664">
      <c r="A664" s="325">
        <v>142.0</v>
      </c>
      <c r="B664" s="326" t="s">
        <v>717</v>
      </c>
      <c r="C664" s="329">
        <v>132.0</v>
      </c>
      <c r="D664" s="329">
        <v>264.0</v>
      </c>
    </row>
    <row r="665">
      <c r="A665" s="325">
        <v>143.0</v>
      </c>
      <c r="B665" s="326" t="s">
        <v>723</v>
      </c>
      <c r="C665" s="329">
        <v>132.0</v>
      </c>
      <c r="D665" s="329">
        <v>264.0</v>
      </c>
    </row>
    <row r="666">
      <c r="A666" s="325">
        <v>144.0</v>
      </c>
      <c r="B666" s="326" t="s">
        <v>395</v>
      </c>
      <c r="C666" s="329">
        <v>90.0</v>
      </c>
      <c r="D666" s="329">
        <v>270.0</v>
      </c>
    </row>
    <row r="667">
      <c r="A667" s="325">
        <v>145.0</v>
      </c>
      <c r="B667" s="326" t="s">
        <v>829</v>
      </c>
      <c r="C667" s="329">
        <v>35.0</v>
      </c>
      <c r="D667" s="329">
        <v>140.0</v>
      </c>
    </row>
    <row r="668">
      <c r="A668" s="325">
        <v>146.0</v>
      </c>
      <c r="B668" s="326" t="s">
        <v>663</v>
      </c>
      <c r="C668" s="329">
        <v>64.0</v>
      </c>
      <c r="D668" s="329">
        <v>256.0</v>
      </c>
    </row>
    <row r="669">
      <c r="A669" s="325">
        <v>148.0</v>
      </c>
      <c r="B669" s="326" t="s">
        <v>690</v>
      </c>
      <c r="C669" s="329">
        <v>64.0</v>
      </c>
      <c r="D669" s="329">
        <v>256.0</v>
      </c>
    </row>
    <row r="670">
      <c r="A670" s="325" t="s">
        <v>739</v>
      </c>
      <c r="B670" s="326" t="s">
        <v>678</v>
      </c>
      <c r="C670" s="327">
        <v>64.0</v>
      </c>
      <c r="D670" s="329">
        <v>128.0</v>
      </c>
    </row>
    <row r="671">
      <c r="A671" s="325" t="s">
        <v>741</v>
      </c>
      <c r="B671" s="326" t="s">
        <v>693</v>
      </c>
      <c r="C671" s="329">
        <v>64.0</v>
      </c>
      <c r="D671" s="329">
        <v>128.0</v>
      </c>
    </row>
    <row r="672">
      <c r="A672" s="325">
        <v>147.0</v>
      </c>
      <c r="B672" s="326" t="s">
        <v>710</v>
      </c>
      <c r="C672" s="329">
        <v>30.0</v>
      </c>
      <c r="D672" s="329">
        <v>120.0</v>
      </c>
    </row>
    <row r="673">
      <c r="A673" s="325" t="s">
        <v>947</v>
      </c>
      <c r="B673" s="326" t="s">
        <v>601</v>
      </c>
      <c r="C673" s="329">
        <v>30.0</v>
      </c>
      <c r="D673" s="329">
        <v>120.0</v>
      </c>
    </row>
    <row r="674">
      <c r="A674" s="325" t="s">
        <v>948</v>
      </c>
      <c r="B674" s="326" t="s">
        <v>731</v>
      </c>
      <c r="C674" s="329">
        <v>30.0</v>
      </c>
      <c r="D674" s="329">
        <v>120.0</v>
      </c>
    </row>
    <row r="675">
      <c r="A675" s="325">
        <v>150.0</v>
      </c>
      <c r="B675" s="326" t="s">
        <v>712</v>
      </c>
      <c r="C675" s="329">
        <v>14.0</v>
      </c>
      <c r="D675" s="329">
        <v>56.0</v>
      </c>
    </row>
    <row r="676">
      <c r="A676" s="325">
        <v>186.0</v>
      </c>
      <c r="B676" s="326" t="s">
        <v>727</v>
      </c>
      <c r="C676" s="329">
        <v>64.0</v>
      </c>
      <c r="D676" s="328">
        <v>256.0</v>
      </c>
    </row>
    <row r="677">
      <c r="A677" s="325">
        <v>1861.0</v>
      </c>
      <c r="B677" s="326" t="s">
        <v>725</v>
      </c>
      <c r="C677" s="329">
        <v>64.0</v>
      </c>
      <c r="D677" s="328">
        <v>256.0</v>
      </c>
    </row>
    <row r="678">
      <c r="A678" s="332"/>
      <c r="B678" s="339"/>
      <c r="C678" s="323"/>
      <c r="D678" s="324"/>
    </row>
    <row r="679">
      <c r="A679" s="321" t="s">
        <v>2645</v>
      </c>
      <c r="B679" s="339"/>
      <c r="C679" s="323"/>
      <c r="D679" s="324"/>
    </row>
    <row r="680">
      <c r="A680" s="325" t="s">
        <v>950</v>
      </c>
      <c r="B680" s="326" t="s">
        <v>951</v>
      </c>
      <c r="C680" s="327">
        <v>66.0</v>
      </c>
      <c r="D680" s="328">
        <v>198.0</v>
      </c>
    </row>
    <row r="681">
      <c r="A681" s="325" t="s">
        <v>953</v>
      </c>
      <c r="B681" s="326" t="s">
        <v>798</v>
      </c>
      <c r="C681" s="327">
        <v>60.0</v>
      </c>
      <c r="D681" s="328">
        <v>240.0</v>
      </c>
    </row>
    <row r="682">
      <c r="A682" s="325" t="s">
        <v>954</v>
      </c>
      <c r="B682" s="326" t="s">
        <v>306</v>
      </c>
      <c r="C682" s="327">
        <v>46.0</v>
      </c>
      <c r="D682" s="328">
        <v>184.0</v>
      </c>
    </row>
    <row r="683">
      <c r="A683" s="325" t="s">
        <v>955</v>
      </c>
      <c r="B683" s="326" t="s">
        <v>801</v>
      </c>
      <c r="C683" s="329">
        <v>60.0</v>
      </c>
      <c r="D683" s="328">
        <v>240.0</v>
      </c>
    </row>
    <row r="684">
      <c r="A684" s="325" t="s">
        <v>956</v>
      </c>
      <c r="B684" s="326" t="s">
        <v>803</v>
      </c>
      <c r="C684" s="329">
        <v>46.0</v>
      </c>
      <c r="D684" s="328">
        <v>184.0</v>
      </c>
    </row>
    <row r="685">
      <c r="A685" s="325" t="s">
        <v>957</v>
      </c>
      <c r="B685" s="326" t="s">
        <v>958</v>
      </c>
      <c r="C685" s="329">
        <v>46.0</v>
      </c>
      <c r="D685" s="328">
        <v>184.0</v>
      </c>
    </row>
    <row r="686">
      <c r="A686" s="325" t="s">
        <v>959</v>
      </c>
      <c r="B686" s="326" t="s">
        <v>363</v>
      </c>
      <c r="C686" s="329">
        <v>66.0</v>
      </c>
      <c r="D686" s="328">
        <v>198.0</v>
      </c>
    </row>
    <row r="687">
      <c r="A687" s="325" t="s">
        <v>960</v>
      </c>
      <c r="B687" s="326" t="s">
        <v>961</v>
      </c>
      <c r="C687" s="329">
        <v>24.0</v>
      </c>
      <c r="D687" s="328">
        <v>96.0</v>
      </c>
    </row>
    <row r="688">
      <c r="A688" s="325" t="s">
        <v>962</v>
      </c>
      <c r="B688" s="326" t="s">
        <v>939</v>
      </c>
      <c r="C688" s="329">
        <v>66.0</v>
      </c>
      <c r="D688" s="328">
        <v>198.0</v>
      </c>
    </row>
    <row r="689">
      <c r="A689" s="325" t="s">
        <v>963</v>
      </c>
      <c r="B689" s="326" t="s">
        <v>756</v>
      </c>
      <c r="C689" s="329">
        <v>30.0</v>
      </c>
      <c r="D689" s="328">
        <v>120.0</v>
      </c>
    </row>
    <row r="690">
      <c r="A690" s="325" t="s">
        <v>964</v>
      </c>
      <c r="B690" s="326" t="s">
        <v>756</v>
      </c>
      <c r="C690" s="329">
        <v>30.0</v>
      </c>
      <c r="D690" s="328">
        <v>120.0</v>
      </c>
    </row>
    <row r="691">
      <c r="A691" s="325" t="s">
        <v>965</v>
      </c>
      <c r="B691" s="326" t="s">
        <v>966</v>
      </c>
      <c r="C691" s="329">
        <v>13.0</v>
      </c>
      <c r="D691" s="328">
        <v>52.0</v>
      </c>
    </row>
    <row r="692">
      <c r="A692" s="325" t="s">
        <v>967</v>
      </c>
      <c r="B692" s="326" t="s">
        <v>968</v>
      </c>
      <c r="C692" s="329">
        <v>13.0</v>
      </c>
      <c r="D692" s="329">
        <v>52.0</v>
      </c>
    </row>
    <row r="693">
      <c r="A693" s="325" t="s">
        <v>969</v>
      </c>
      <c r="B693" s="326" t="s">
        <v>970</v>
      </c>
      <c r="C693" s="329">
        <v>13.0</v>
      </c>
      <c r="D693" s="329">
        <v>52.0</v>
      </c>
    </row>
    <row r="694">
      <c r="A694" s="325" t="s">
        <v>971</v>
      </c>
      <c r="B694" s="326" t="s">
        <v>972</v>
      </c>
      <c r="C694" s="329">
        <v>13.0</v>
      </c>
      <c r="D694" s="329">
        <v>52.0</v>
      </c>
    </row>
    <row r="695">
      <c r="A695" s="325" t="s">
        <v>974</v>
      </c>
      <c r="B695" s="326" t="s">
        <v>734</v>
      </c>
      <c r="C695" s="329">
        <v>6.0</v>
      </c>
      <c r="D695" s="329">
        <v>24.0</v>
      </c>
    </row>
    <row r="696">
      <c r="A696" s="325" t="s">
        <v>975</v>
      </c>
      <c r="B696" s="326" t="s">
        <v>719</v>
      </c>
      <c r="C696" s="327">
        <v>66.0</v>
      </c>
      <c r="D696" s="328">
        <v>198.0</v>
      </c>
    </row>
    <row r="697">
      <c r="A697" s="325" t="s">
        <v>976</v>
      </c>
      <c r="B697" s="326" t="s">
        <v>717</v>
      </c>
      <c r="C697" s="327">
        <v>66.0</v>
      </c>
      <c r="D697" s="328">
        <v>198.0</v>
      </c>
    </row>
    <row r="698">
      <c r="A698" s="325" t="s">
        <v>977</v>
      </c>
      <c r="B698" s="326" t="s">
        <v>978</v>
      </c>
      <c r="C698" s="329">
        <v>90.0</v>
      </c>
      <c r="D698" s="328">
        <v>270.0</v>
      </c>
    </row>
    <row r="699">
      <c r="A699" s="325" t="s">
        <v>979</v>
      </c>
      <c r="B699" s="326" t="s">
        <v>980</v>
      </c>
      <c r="C699" s="329">
        <v>35.0</v>
      </c>
      <c r="D699" s="328">
        <v>140.0</v>
      </c>
    </row>
    <row r="700">
      <c r="A700" s="325" t="s">
        <v>981</v>
      </c>
      <c r="B700" s="326" t="s">
        <v>663</v>
      </c>
      <c r="C700" s="329">
        <v>64.0</v>
      </c>
      <c r="D700" s="329">
        <v>256.0</v>
      </c>
    </row>
    <row r="701">
      <c r="A701" s="325" t="s">
        <v>982</v>
      </c>
      <c r="B701" s="326" t="s">
        <v>710</v>
      </c>
      <c r="C701" s="329">
        <v>30.0</v>
      </c>
      <c r="D701" s="328">
        <v>120.0</v>
      </c>
    </row>
    <row r="702">
      <c r="A702" s="325" t="s">
        <v>983</v>
      </c>
      <c r="B702" s="326" t="s">
        <v>601</v>
      </c>
      <c r="C702" s="329">
        <v>30.0</v>
      </c>
      <c r="D702" s="328">
        <v>120.0</v>
      </c>
    </row>
    <row r="703">
      <c r="A703" s="325" t="s">
        <v>984</v>
      </c>
      <c r="B703" s="326" t="s">
        <v>731</v>
      </c>
      <c r="C703" s="329">
        <v>30.0</v>
      </c>
      <c r="D703" s="328">
        <v>120.0</v>
      </c>
    </row>
    <row r="704">
      <c r="A704" s="325" t="s">
        <v>985</v>
      </c>
      <c r="B704" s="326" t="s">
        <v>712</v>
      </c>
      <c r="C704" s="329">
        <v>14.0</v>
      </c>
      <c r="D704" s="329">
        <v>56.0</v>
      </c>
    </row>
    <row r="705">
      <c r="A705" s="332"/>
      <c r="B705" s="322"/>
      <c r="C705" s="323"/>
      <c r="D705" s="324"/>
    </row>
    <row r="706">
      <c r="A706" s="321" t="s">
        <v>2651</v>
      </c>
      <c r="B706" s="322"/>
      <c r="C706" s="323"/>
      <c r="D706" s="324"/>
    </row>
    <row r="707">
      <c r="A707" s="325" t="s">
        <v>987</v>
      </c>
      <c r="B707" s="326" t="s">
        <v>951</v>
      </c>
      <c r="C707" s="329">
        <v>66.0</v>
      </c>
      <c r="D707" s="329">
        <v>198.0</v>
      </c>
    </row>
    <row r="708">
      <c r="A708" s="325" t="s">
        <v>989</v>
      </c>
      <c r="B708" s="326" t="s">
        <v>798</v>
      </c>
      <c r="C708" s="327">
        <v>60.0</v>
      </c>
      <c r="D708" s="329">
        <v>240.0</v>
      </c>
    </row>
    <row r="709">
      <c r="A709" s="325" t="s">
        <v>990</v>
      </c>
      <c r="B709" s="326" t="s">
        <v>306</v>
      </c>
      <c r="C709" s="327">
        <v>46.0</v>
      </c>
      <c r="D709" s="329">
        <v>184.0</v>
      </c>
    </row>
    <row r="710">
      <c r="A710" s="325" t="s">
        <v>991</v>
      </c>
      <c r="B710" s="326" t="s">
        <v>801</v>
      </c>
      <c r="C710" s="329">
        <v>60.0</v>
      </c>
      <c r="D710" s="329">
        <v>240.0</v>
      </c>
    </row>
    <row r="711">
      <c r="A711" s="325" t="s">
        <v>992</v>
      </c>
      <c r="B711" s="326" t="s">
        <v>803</v>
      </c>
      <c r="C711" s="329">
        <v>46.0</v>
      </c>
      <c r="D711" s="329">
        <v>184.0</v>
      </c>
    </row>
    <row r="712">
      <c r="A712" s="325" t="s">
        <v>993</v>
      </c>
      <c r="B712" s="326" t="s">
        <v>958</v>
      </c>
      <c r="C712" s="329">
        <v>46.0</v>
      </c>
      <c r="D712" s="329">
        <v>184.0</v>
      </c>
    </row>
    <row r="713">
      <c r="A713" s="325" t="s">
        <v>994</v>
      </c>
      <c r="B713" s="326" t="s">
        <v>363</v>
      </c>
      <c r="C713" s="329">
        <v>66.0</v>
      </c>
      <c r="D713" s="329">
        <v>198.0</v>
      </c>
    </row>
    <row r="714">
      <c r="A714" s="325" t="s">
        <v>995</v>
      </c>
      <c r="B714" s="326" t="s">
        <v>961</v>
      </c>
      <c r="C714" s="329">
        <v>24.0</v>
      </c>
      <c r="D714" s="329">
        <v>96.0</v>
      </c>
    </row>
    <row r="715">
      <c r="A715" s="325" t="s">
        <v>996</v>
      </c>
      <c r="B715" s="326" t="s">
        <v>939</v>
      </c>
      <c r="C715" s="329">
        <v>66.0</v>
      </c>
      <c r="D715" s="329">
        <v>198.0</v>
      </c>
    </row>
    <row r="716">
      <c r="A716" s="325" t="s">
        <v>997</v>
      </c>
      <c r="B716" s="326" t="s">
        <v>756</v>
      </c>
      <c r="C716" s="329">
        <v>30.0</v>
      </c>
      <c r="D716" s="329">
        <v>120.0</v>
      </c>
    </row>
    <row r="717">
      <c r="A717" s="325" t="s">
        <v>998</v>
      </c>
      <c r="B717" s="326" t="s">
        <v>756</v>
      </c>
      <c r="C717" s="329">
        <v>30.0</v>
      </c>
      <c r="D717" s="329">
        <v>120.0</v>
      </c>
    </row>
    <row r="718">
      <c r="A718" s="325" t="s">
        <v>999</v>
      </c>
      <c r="B718" s="326" t="s">
        <v>966</v>
      </c>
      <c r="C718" s="329">
        <v>13.0</v>
      </c>
      <c r="D718" s="329">
        <v>52.0</v>
      </c>
    </row>
    <row r="719">
      <c r="A719" s="325" t="s">
        <v>1002</v>
      </c>
      <c r="B719" s="326" t="s">
        <v>968</v>
      </c>
      <c r="C719" s="329">
        <v>13.0</v>
      </c>
      <c r="D719" s="329">
        <v>52.0</v>
      </c>
    </row>
    <row r="720">
      <c r="A720" s="325" t="s">
        <v>1003</v>
      </c>
      <c r="B720" s="326" t="s">
        <v>970</v>
      </c>
      <c r="C720" s="329">
        <v>13.0</v>
      </c>
      <c r="D720" s="329">
        <v>52.0</v>
      </c>
    </row>
    <row r="721">
      <c r="A721" s="325" t="s">
        <v>1005</v>
      </c>
      <c r="B721" s="326" t="s">
        <v>972</v>
      </c>
      <c r="C721" s="329">
        <v>13.0</v>
      </c>
      <c r="D721" s="329">
        <v>52.0</v>
      </c>
    </row>
    <row r="722">
      <c r="A722" s="325" t="s">
        <v>1007</v>
      </c>
      <c r="B722" s="326" t="s">
        <v>734</v>
      </c>
      <c r="C722" s="329">
        <v>6.0</v>
      </c>
      <c r="D722" s="329">
        <v>24.0</v>
      </c>
    </row>
    <row r="723">
      <c r="A723" s="325" t="s">
        <v>1008</v>
      </c>
      <c r="B723" s="326" t="s">
        <v>719</v>
      </c>
      <c r="C723" s="329">
        <v>66.0</v>
      </c>
      <c r="D723" s="329">
        <v>264.0</v>
      </c>
    </row>
    <row r="724">
      <c r="A724" s="325" t="s">
        <v>1009</v>
      </c>
      <c r="B724" s="326" t="s">
        <v>717</v>
      </c>
      <c r="C724" s="329">
        <v>132.0</v>
      </c>
      <c r="D724" s="329">
        <v>264.0</v>
      </c>
    </row>
    <row r="725">
      <c r="A725" s="325" t="s">
        <v>1010</v>
      </c>
      <c r="B725" s="326" t="s">
        <v>723</v>
      </c>
      <c r="C725" s="329">
        <v>66.0</v>
      </c>
      <c r="D725" s="329">
        <v>264.0</v>
      </c>
    </row>
    <row r="726">
      <c r="A726" s="325" t="s">
        <v>1011</v>
      </c>
      <c r="B726" s="326" t="s">
        <v>978</v>
      </c>
      <c r="C726" s="329">
        <v>90.0</v>
      </c>
      <c r="D726" s="329">
        <v>270.0</v>
      </c>
    </row>
    <row r="727">
      <c r="A727" s="325" t="s">
        <v>1012</v>
      </c>
      <c r="B727" s="326" t="s">
        <v>980</v>
      </c>
      <c r="C727" s="329">
        <v>35.0</v>
      </c>
      <c r="D727" s="329">
        <v>140.0</v>
      </c>
    </row>
    <row r="728">
      <c r="A728" s="325" t="s">
        <v>1013</v>
      </c>
      <c r="B728" s="326" t="s">
        <v>663</v>
      </c>
      <c r="C728" s="329">
        <v>64.0</v>
      </c>
      <c r="D728" s="329">
        <v>256.0</v>
      </c>
    </row>
    <row r="729">
      <c r="A729" s="325" t="s">
        <v>1014</v>
      </c>
      <c r="B729" s="326" t="s">
        <v>710</v>
      </c>
      <c r="C729" s="329">
        <v>30.0</v>
      </c>
      <c r="D729" s="329">
        <v>120.0</v>
      </c>
    </row>
    <row r="730">
      <c r="A730" s="325" t="s">
        <v>1015</v>
      </c>
      <c r="B730" s="326" t="s">
        <v>601</v>
      </c>
      <c r="C730" s="329">
        <v>30.0</v>
      </c>
      <c r="D730" s="329">
        <v>120.0</v>
      </c>
    </row>
    <row r="731">
      <c r="A731" s="325" t="s">
        <v>1016</v>
      </c>
      <c r="B731" s="326" t="s">
        <v>731</v>
      </c>
      <c r="C731" s="329">
        <v>30.0</v>
      </c>
      <c r="D731" s="329">
        <v>120.0</v>
      </c>
    </row>
    <row r="732">
      <c r="A732" s="325" t="s">
        <v>1017</v>
      </c>
      <c r="B732" s="326" t="s">
        <v>712</v>
      </c>
      <c r="C732" s="329">
        <v>14.0</v>
      </c>
      <c r="D732" s="329">
        <v>56.0</v>
      </c>
    </row>
    <row r="733">
      <c r="A733" s="332"/>
      <c r="B733" s="322"/>
      <c r="C733" s="323"/>
      <c r="D733" s="324"/>
    </row>
    <row r="734">
      <c r="A734" s="321" t="s">
        <v>2657</v>
      </c>
      <c r="B734" s="322"/>
      <c r="C734" s="323"/>
      <c r="D734" s="324"/>
    </row>
    <row r="735">
      <c r="A735" s="325" t="s">
        <v>1019</v>
      </c>
      <c r="B735" s="326" t="s">
        <v>795</v>
      </c>
      <c r="C735" s="329">
        <v>108.0</v>
      </c>
      <c r="D735" s="329">
        <v>324.0</v>
      </c>
    </row>
    <row r="736">
      <c r="A736" s="325" t="s">
        <v>1021</v>
      </c>
      <c r="B736" s="326" t="s">
        <v>798</v>
      </c>
      <c r="C736" s="329">
        <v>46.0</v>
      </c>
      <c r="D736" s="329">
        <v>184.0</v>
      </c>
    </row>
    <row r="737">
      <c r="A737" s="325" t="s">
        <v>1022</v>
      </c>
      <c r="B737" s="326" t="s">
        <v>306</v>
      </c>
      <c r="C737" s="329">
        <v>46.0</v>
      </c>
      <c r="D737" s="329">
        <v>184.0</v>
      </c>
    </row>
    <row r="738">
      <c r="A738" s="325" t="s">
        <v>1023</v>
      </c>
      <c r="B738" s="326" t="s">
        <v>801</v>
      </c>
      <c r="C738" s="327">
        <v>60.0</v>
      </c>
      <c r="D738" s="329">
        <v>240.0</v>
      </c>
    </row>
    <row r="739">
      <c r="A739" s="325" t="s">
        <v>1024</v>
      </c>
      <c r="B739" s="326" t="s">
        <v>803</v>
      </c>
      <c r="C739" s="329">
        <v>46.0</v>
      </c>
      <c r="D739" s="329">
        <v>184.0</v>
      </c>
    </row>
    <row r="740">
      <c r="A740" s="325" t="s">
        <v>1025</v>
      </c>
      <c r="B740" s="326" t="s">
        <v>339</v>
      </c>
      <c r="C740" s="329">
        <v>46.0</v>
      </c>
      <c r="D740" s="329">
        <v>184.0</v>
      </c>
    </row>
    <row r="741">
      <c r="A741" s="325" t="s">
        <v>1026</v>
      </c>
      <c r="B741" s="326" t="s">
        <v>806</v>
      </c>
      <c r="C741" s="329">
        <v>66.0</v>
      </c>
      <c r="D741" s="329">
        <v>198.0</v>
      </c>
    </row>
    <row r="742">
      <c r="A742" s="325" t="s">
        <v>1027</v>
      </c>
      <c r="B742" s="326" t="s">
        <v>808</v>
      </c>
      <c r="C742" s="329">
        <v>24.0</v>
      </c>
      <c r="D742" s="329">
        <v>96.0</v>
      </c>
    </row>
    <row r="743">
      <c r="A743" s="325" t="s">
        <v>1028</v>
      </c>
      <c r="B743" s="326" t="s">
        <v>810</v>
      </c>
      <c r="C743" s="329">
        <v>66.0</v>
      </c>
      <c r="D743" s="329">
        <v>198.0</v>
      </c>
    </row>
    <row r="744">
      <c r="A744" s="325" t="s">
        <v>1029</v>
      </c>
      <c r="B744" s="326" t="s">
        <v>781</v>
      </c>
      <c r="C744" s="329">
        <v>30.0</v>
      </c>
      <c r="D744" s="329">
        <v>132.0</v>
      </c>
    </row>
    <row r="745">
      <c r="A745" s="325" t="s">
        <v>1030</v>
      </c>
      <c r="B745" s="326" t="s">
        <v>813</v>
      </c>
      <c r="C745" s="329">
        <v>13.0</v>
      </c>
      <c r="D745" s="329">
        <v>52.0</v>
      </c>
    </row>
    <row r="746">
      <c r="A746" s="325" t="s">
        <v>1031</v>
      </c>
      <c r="B746" s="326" t="s">
        <v>815</v>
      </c>
      <c r="C746" s="329">
        <v>13.0</v>
      </c>
      <c r="D746" s="329">
        <v>52.0</v>
      </c>
    </row>
    <row r="747">
      <c r="A747" s="325" t="s">
        <v>1032</v>
      </c>
      <c r="B747" s="326" t="s">
        <v>482</v>
      </c>
      <c r="C747" s="329">
        <v>13.0</v>
      </c>
      <c r="D747" s="329">
        <v>52.0</v>
      </c>
    </row>
    <row r="748">
      <c r="A748" s="325" t="s">
        <v>1033</v>
      </c>
      <c r="B748" s="326" t="s">
        <v>502</v>
      </c>
      <c r="C748" s="329">
        <v>13.0</v>
      </c>
      <c r="D748" s="329">
        <v>52.0</v>
      </c>
    </row>
    <row r="749">
      <c r="A749" s="325" t="s">
        <v>1035</v>
      </c>
      <c r="B749" s="326" t="s">
        <v>820</v>
      </c>
      <c r="C749" s="329">
        <v>6.0</v>
      </c>
      <c r="D749" s="329">
        <v>24.0</v>
      </c>
    </row>
    <row r="750">
      <c r="A750" s="325" t="s">
        <v>1036</v>
      </c>
      <c r="B750" s="326" t="s">
        <v>719</v>
      </c>
      <c r="C750" s="329">
        <v>132.0</v>
      </c>
      <c r="D750" s="329">
        <v>264.0</v>
      </c>
    </row>
    <row r="751">
      <c r="A751" s="325" t="s">
        <v>1037</v>
      </c>
      <c r="B751" s="326" t="s">
        <v>823</v>
      </c>
      <c r="C751" s="329">
        <v>66.0</v>
      </c>
      <c r="D751" s="329">
        <v>198.0</v>
      </c>
    </row>
    <row r="752">
      <c r="A752" s="325" t="s">
        <v>1038</v>
      </c>
      <c r="B752" s="326" t="s">
        <v>717</v>
      </c>
      <c r="C752" s="329">
        <v>132.0</v>
      </c>
      <c r="D752" s="329">
        <v>264.0</v>
      </c>
    </row>
    <row r="753">
      <c r="A753" s="325" t="s">
        <v>1039</v>
      </c>
      <c r="B753" s="326" t="s">
        <v>723</v>
      </c>
      <c r="C753" s="329">
        <v>64.0</v>
      </c>
      <c r="D753" s="329">
        <v>256.0</v>
      </c>
    </row>
    <row r="754">
      <c r="A754" s="325" t="s">
        <v>1040</v>
      </c>
      <c r="B754" s="326" t="s">
        <v>395</v>
      </c>
      <c r="C754" s="329">
        <v>90.0</v>
      </c>
      <c r="D754" s="329">
        <v>270.0</v>
      </c>
    </row>
    <row r="755">
      <c r="A755" s="325" t="s">
        <v>1041</v>
      </c>
      <c r="B755" s="326" t="s">
        <v>829</v>
      </c>
      <c r="C755" s="329">
        <v>30.0</v>
      </c>
      <c r="D755" s="329">
        <v>120.0</v>
      </c>
    </row>
    <row r="756">
      <c r="A756" s="325" t="s">
        <v>1042</v>
      </c>
      <c r="B756" s="326" t="s">
        <v>663</v>
      </c>
      <c r="C756" s="327">
        <v>64.0</v>
      </c>
      <c r="D756" s="329">
        <v>256.0</v>
      </c>
    </row>
    <row r="757">
      <c r="A757" s="325" t="s">
        <v>1043</v>
      </c>
      <c r="B757" s="326" t="s">
        <v>690</v>
      </c>
      <c r="C757" s="327">
        <v>64.0</v>
      </c>
      <c r="D757" s="329">
        <v>256.0</v>
      </c>
    </row>
    <row r="758">
      <c r="A758" s="325" t="s">
        <v>1044</v>
      </c>
      <c r="B758" s="326" t="s">
        <v>710</v>
      </c>
      <c r="C758" s="329">
        <v>30.0</v>
      </c>
      <c r="D758" s="329">
        <v>120.0</v>
      </c>
    </row>
    <row r="759">
      <c r="A759" s="325" t="s">
        <v>1045</v>
      </c>
      <c r="B759" s="326" t="s">
        <v>601</v>
      </c>
      <c r="C759" s="329">
        <v>30.0</v>
      </c>
      <c r="D759" s="329">
        <v>120.0</v>
      </c>
    </row>
    <row r="760">
      <c r="A760" s="325" t="s">
        <v>1046</v>
      </c>
      <c r="B760" s="326" t="s">
        <v>731</v>
      </c>
      <c r="C760" s="329">
        <v>30.0</v>
      </c>
      <c r="D760" s="329">
        <v>120.0</v>
      </c>
    </row>
    <row r="761">
      <c r="A761" s="325" t="s">
        <v>1047</v>
      </c>
      <c r="B761" s="326" t="s">
        <v>712</v>
      </c>
      <c r="C761" s="329">
        <v>14.0</v>
      </c>
      <c r="D761" s="329">
        <v>56.0</v>
      </c>
    </row>
    <row r="762">
      <c r="A762" s="330"/>
      <c r="B762" s="331"/>
      <c r="C762" s="323"/>
      <c r="D762" s="324"/>
    </row>
    <row r="763">
      <c r="A763" s="321" t="s">
        <v>2664</v>
      </c>
      <c r="B763" s="322"/>
      <c r="C763" s="323"/>
      <c r="D763" s="324"/>
    </row>
    <row r="764">
      <c r="A764" s="325" t="s">
        <v>1049</v>
      </c>
      <c r="B764" s="326" t="s">
        <v>1050</v>
      </c>
      <c r="C764" s="329">
        <v>66.0</v>
      </c>
      <c r="D764" s="329">
        <v>198.0</v>
      </c>
    </row>
    <row r="765">
      <c r="A765" s="325" t="s">
        <v>1052</v>
      </c>
      <c r="B765" s="326" t="s">
        <v>333</v>
      </c>
      <c r="C765" s="327">
        <v>60.0</v>
      </c>
      <c r="D765" s="329">
        <v>180.0</v>
      </c>
    </row>
    <row r="766">
      <c r="A766" s="325" t="s">
        <v>1053</v>
      </c>
      <c r="B766" s="326" t="s">
        <v>437</v>
      </c>
      <c r="C766" s="327">
        <v>46.0</v>
      </c>
      <c r="D766" s="329">
        <v>184.0</v>
      </c>
    </row>
    <row r="767">
      <c r="A767" s="325" t="s">
        <v>1054</v>
      </c>
      <c r="B767" s="326" t="s">
        <v>1055</v>
      </c>
      <c r="C767" s="329">
        <v>60.0</v>
      </c>
      <c r="D767" s="329">
        <v>240.0</v>
      </c>
    </row>
    <row r="768">
      <c r="A768" s="325" t="s">
        <v>1056</v>
      </c>
      <c r="B768" s="326" t="s">
        <v>803</v>
      </c>
      <c r="C768" s="329">
        <v>46.0</v>
      </c>
      <c r="D768" s="329">
        <v>184.0</v>
      </c>
    </row>
    <row r="769">
      <c r="A769" s="325" t="s">
        <v>1057</v>
      </c>
      <c r="B769" s="326" t="s">
        <v>339</v>
      </c>
      <c r="C769" s="329">
        <v>46.0</v>
      </c>
      <c r="D769" s="329">
        <v>184.0</v>
      </c>
    </row>
    <row r="770">
      <c r="A770" s="325" t="s">
        <v>1058</v>
      </c>
      <c r="B770" s="326" t="s">
        <v>363</v>
      </c>
      <c r="C770" s="329">
        <v>66.0</v>
      </c>
      <c r="D770" s="329">
        <v>198.0</v>
      </c>
    </row>
    <row r="771">
      <c r="A771" s="325" t="s">
        <v>1059</v>
      </c>
      <c r="B771" s="326" t="s">
        <v>808</v>
      </c>
      <c r="C771" s="329">
        <v>24.0</v>
      </c>
      <c r="D771" s="329">
        <v>96.0</v>
      </c>
    </row>
    <row r="772">
      <c r="A772" s="325" t="s">
        <v>1060</v>
      </c>
      <c r="B772" s="326" t="s">
        <v>399</v>
      </c>
      <c r="C772" s="329">
        <v>66.0</v>
      </c>
      <c r="D772" s="329">
        <v>198.0</v>
      </c>
    </row>
    <row r="773">
      <c r="A773" s="325" t="s">
        <v>1061</v>
      </c>
      <c r="B773" s="326" t="s">
        <v>756</v>
      </c>
      <c r="C773" s="329">
        <v>30.0</v>
      </c>
      <c r="D773" s="329">
        <v>120.0</v>
      </c>
    </row>
    <row r="774">
      <c r="A774" s="325" t="s">
        <v>1062</v>
      </c>
      <c r="B774" s="326" t="s">
        <v>756</v>
      </c>
      <c r="C774" s="329">
        <v>30.0</v>
      </c>
      <c r="D774" s="329">
        <v>120.0</v>
      </c>
    </row>
    <row r="775">
      <c r="A775" s="325" t="s">
        <v>1063</v>
      </c>
      <c r="B775" s="326" t="s">
        <v>419</v>
      </c>
      <c r="C775" s="329">
        <v>13.0</v>
      </c>
      <c r="D775" s="329">
        <v>52.0</v>
      </c>
    </row>
    <row r="776">
      <c r="A776" s="325" t="s">
        <v>1064</v>
      </c>
      <c r="B776" s="326" t="s">
        <v>439</v>
      </c>
      <c r="C776" s="329">
        <v>30.0</v>
      </c>
      <c r="D776" s="329">
        <v>120.0</v>
      </c>
    </row>
    <row r="777">
      <c r="A777" s="325" t="s">
        <v>1066</v>
      </c>
      <c r="B777" s="326" t="s">
        <v>462</v>
      </c>
      <c r="C777" s="329">
        <v>13.0</v>
      </c>
      <c r="D777" s="329">
        <v>52.0</v>
      </c>
    </row>
    <row r="778">
      <c r="A778" s="325" t="s">
        <v>1067</v>
      </c>
      <c r="B778" s="326" t="s">
        <v>482</v>
      </c>
      <c r="C778" s="329">
        <v>13.0</v>
      </c>
      <c r="D778" s="329">
        <v>52.0</v>
      </c>
    </row>
    <row r="779">
      <c r="A779" s="325" t="s">
        <v>1069</v>
      </c>
      <c r="B779" s="326" t="s">
        <v>545</v>
      </c>
      <c r="C779" s="329">
        <v>6.0</v>
      </c>
      <c r="D779" s="329">
        <v>24.0</v>
      </c>
    </row>
    <row r="780">
      <c r="A780" s="325" t="s">
        <v>1070</v>
      </c>
      <c r="B780" s="326" t="s">
        <v>719</v>
      </c>
      <c r="C780" s="329">
        <v>66.0</v>
      </c>
      <c r="D780" s="329">
        <v>264.0</v>
      </c>
    </row>
    <row r="781">
      <c r="A781" s="325" t="s">
        <v>1071</v>
      </c>
      <c r="B781" s="326" t="s">
        <v>717</v>
      </c>
      <c r="C781" s="329">
        <v>66.0</v>
      </c>
      <c r="D781" s="329">
        <v>264.0</v>
      </c>
    </row>
    <row r="782">
      <c r="A782" s="325" t="s">
        <v>1072</v>
      </c>
      <c r="B782" s="326" t="s">
        <v>723</v>
      </c>
      <c r="C782" s="329">
        <v>64.0</v>
      </c>
      <c r="D782" s="329">
        <v>256.0</v>
      </c>
    </row>
    <row r="783">
      <c r="A783" s="325" t="s">
        <v>1073</v>
      </c>
      <c r="B783" s="326" t="s">
        <v>395</v>
      </c>
      <c r="C783" s="329">
        <v>90.0</v>
      </c>
      <c r="D783" s="329">
        <v>180.0</v>
      </c>
    </row>
    <row r="784">
      <c r="A784" s="325" t="s">
        <v>1074</v>
      </c>
      <c r="B784" s="326" t="s">
        <v>1075</v>
      </c>
      <c r="C784" s="329">
        <v>35.0</v>
      </c>
      <c r="D784" s="329">
        <v>140.0</v>
      </c>
    </row>
    <row r="785">
      <c r="A785" s="325" t="s">
        <v>1076</v>
      </c>
      <c r="B785" s="326" t="s">
        <v>663</v>
      </c>
      <c r="C785" s="329">
        <v>64.0</v>
      </c>
      <c r="D785" s="329">
        <v>256.0</v>
      </c>
    </row>
    <row r="786">
      <c r="A786" s="325" t="s">
        <v>850</v>
      </c>
      <c r="B786" s="326" t="s">
        <v>678</v>
      </c>
      <c r="C786" s="329">
        <v>64.0</v>
      </c>
      <c r="D786" s="329">
        <v>128.0</v>
      </c>
    </row>
    <row r="787">
      <c r="A787" s="325" t="s">
        <v>852</v>
      </c>
      <c r="B787" s="326" t="s">
        <v>693</v>
      </c>
      <c r="C787" s="329">
        <v>64.0</v>
      </c>
      <c r="D787" s="329">
        <v>128.0</v>
      </c>
    </row>
    <row r="788">
      <c r="A788" s="325" t="s">
        <v>1078</v>
      </c>
      <c r="B788" s="326" t="s">
        <v>710</v>
      </c>
      <c r="C788" s="329">
        <v>30.0</v>
      </c>
      <c r="D788" s="329">
        <v>120.0</v>
      </c>
    </row>
    <row r="789">
      <c r="A789" s="325" t="s">
        <v>1079</v>
      </c>
      <c r="B789" s="326" t="s">
        <v>1081</v>
      </c>
      <c r="C789" s="329">
        <v>30.0</v>
      </c>
      <c r="D789" s="329">
        <v>120.0</v>
      </c>
    </row>
    <row r="790">
      <c r="A790" s="325" t="s">
        <v>1082</v>
      </c>
      <c r="B790" s="326" t="s">
        <v>690</v>
      </c>
      <c r="C790" s="329">
        <v>64.0</v>
      </c>
      <c r="D790" s="329">
        <v>256.0</v>
      </c>
    </row>
    <row r="791">
      <c r="A791" s="325" t="s">
        <v>1083</v>
      </c>
      <c r="B791" s="326" t="s">
        <v>731</v>
      </c>
      <c r="C791" s="329">
        <v>30.0</v>
      </c>
      <c r="D791" s="329">
        <v>120.0</v>
      </c>
    </row>
    <row r="792">
      <c r="A792" s="325" t="s">
        <v>1086</v>
      </c>
      <c r="B792" s="326" t="s">
        <v>712</v>
      </c>
      <c r="C792" s="329">
        <v>14.0</v>
      </c>
      <c r="D792" s="329">
        <v>56.0</v>
      </c>
    </row>
    <row r="793">
      <c r="A793" s="330"/>
      <c r="B793" s="331"/>
      <c r="C793" s="323"/>
      <c r="D793" s="324"/>
    </row>
    <row r="794">
      <c r="A794" s="321" t="s">
        <v>2671</v>
      </c>
      <c r="B794" s="322"/>
      <c r="C794" s="323"/>
      <c r="D794" s="324"/>
    </row>
    <row r="795">
      <c r="A795" s="325" t="s">
        <v>2555</v>
      </c>
      <c r="B795" s="326" t="s">
        <v>1050</v>
      </c>
      <c r="C795" s="329">
        <v>66.0</v>
      </c>
      <c r="D795" s="329">
        <v>198.0</v>
      </c>
    </row>
    <row r="796">
      <c r="A796" s="325" t="s">
        <v>2557</v>
      </c>
      <c r="B796" s="326" t="s">
        <v>636</v>
      </c>
      <c r="C796" s="329">
        <v>60.0</v>
      </c>
      <c r="D796" s="329">
        <v>180.0</v>
      </c>
    </row>
    <row r="797">
      <c r="A797" s="325" t="s">
        <v>2558</v>
      </c>
      <c r="B797" s="326" t="s">
        <v>417</v>
      </c>
      <c r="C797" s="329">
        <v>46.0</v>
      </c>
      <c r="D797" s="329">
        <v>184.0</v>
      </c>
    </row>
    <row r="798">
      <c r="A798" s="325" t="s">
        <v>2560</v>
      </c>
      <c r="B798" s="326" t="s">
        <v>1055</v>
      </c>
      <c r="C798" s="329">
        <v>60.0</v>
      </c>
      <c r="D798" s="329">
        <v>240.0</v>
      </c>
    </row>
    <row r="799">
      <c r="A799" s="325" t="s">
        <v>2562</v>
      </c>
      <c r="B799" s="326" t="s">
        <v>2563</v>
      </c>
      <c r="C799" s="329">
        <v>46.0</v>
      </c>
      <c r="D799" s="329">
        <v>184.0</v>
      </c>
    </row>
    <row r="800">
      <c r="A800" s="325" t="s">
        <v>2565</v>
      </c>
      <c r="B800" s="326" t="s">
        <v>2566</v>
      </c>
      <c r="C800" s="329">
        <v>46.0</v>
      </c>
      <c r="D800" s="329">
        <v>184.0</v>
      </c>
    </row>
    <row r="801">
      <c r="A801" s="325" t="s">
        <v>2567</v>
      </c>
      <c r="B801" s="326" t="s">
        <v>363</v>
      </c>
      <c r="C801" s="329">
        <v>66.0</v>
      </c>
      <c r="D801" s="329">
        <v>198.0</v>
      </c>
    </row>
    <row r="802">
      <c r="A802" s="325" t="s">
        <v>2569</v>
      </c>
      <c r="B802" s="326" t="s">
        <v>808</v>
      </c>
      <c r="C802" s="329">
        <v>24.0</v>
      </c>
      <c r="D802" s="329">
        <v>96.0</v>
      </c>
    </row>
    <row r="803">
      <c r="A803" s="325" t="s">
        <v>2570</v>
      </c>
      <c r="B803" s="326" t="s">
        <v>399</v>
      </c>
      <c r="C803" s="329">
        <v>66.0</v>
      </c>
      <c r="D803" s="329">
        <v>198.0</v>
      </c>
    </row>
    <row r="804">
      <c r="A804" s="325" t="s">
        <v>2571</v>
      </c>
      <c r="B804" s="326" t="s">
        <v>756</v>
      </c>
      <c r="C804" s="329">
        <v>30.0</v>
      </c>
      <c r="D804" s="329">
        <v>120.0</v>
      </c>
    </row>
    <row r="805">
      <c r="A805" s="325" t="s">
        <v>2572</v>
      </c>
      <c r="B805" s="326" t="s">
        <v>756</v>
      </c>
      <c r="C805" s="329">
        <v>30.0</v>
      </c>
      <c r="D805" s="329">
        <v>120.0</v>
      </c>
    </row>
    <row r="806">
      <c r="A806" s="325" t="s">
        <v>2574</v>
      </c>
      <c r="B806" s="326" t="s">
        <v>2465</v>
      </c>
      <c r="C806" s="329">
        <v>13.0</v>
      </c>
      <c r="D806" s="329">
        <v>52.0</v>
      </c>
    </row>
    <row r="807">
      <c r="A807" s="325" t="s">
        <v>2576</v>
      </c>
      <c r="B807" s="326" t="s">
        <v>2673</v>
      </c>
      <c r="C807" s="329">
        <v>30.0</v>
      </c>
      <c r="D807" s="329">
        <v>120.0</v>
      </c>
    </row>
    <row r="808">
      <c r="A808" s="325" t="s">
        <v>2579</v>
      </c>
      <c r="B808" s="326" t="s">
        <v>2580</v>
      </c>
      <c r="C808" s="329">
        <v>13.0</v>
      </c>
      <c r="D808" s="329">
        <v>52.0</v>
      </c>
    </row>
    <row r="809">
      <c r="A809" s="325" t="s">
        <v>2582</v>
      </c>
      <c r="B809" s="326" t="s">
        <v>913</v>
      </c>
      <c r="C809" s="329">
        <v>13.0</v>
      </c>
      <c r="D809" s="329">
        <v>52.0</v>
      </c>
    </row>
    <row r="810">
      <c r="A810" s="325" t="s">
        <v>2583</v>
      </c>
      <c r="B810" s="326" t="s">
        <v>2584</v>
      </c>
      <c r="C810" s="329">
        <v>6.0</v>
      </c>
      <c r="D810" s="329">
        <v>24.0</v>
      </c>
    </row>
    <row r="811">
      <c r="A811" s="325" t="s">
        <v>2586</v>
      </c>
      <c r="B811" s="326" t="s">
        <v>719</v>
      </c>
      <c r="C811" s="329">
        <v>66.0</v>
      </c>
      <c r="D811" s="329">
        <v>264.0</v>
      </c>
    </row>
    <row r="812">
      <c r="A812" s="325" t="s">
        <v>2587</v>
      </c>
      <c r="B812" s="326" t="s">
        <v>717</v>
      </c>
      <c r="C812" s="329">
        <v>66.0</v>
      </c>
      <c r="D812" s="329">
        <v>264.0</v>
      </c>
    </row>
    <row r="813">
      <c r="A813" s="325" t="s">
        <v>2588</v>
      </c>
      <c r="B813" s="326" t="s">
        <v>723</v>
      </c>
      <c r="C813" s="329">
        <v>64.0</v>
      </c>
      <c r="D813" s="329">
        <v>256.0</v>
      </c>
    </row>
    <row r="814">
      <c r="A814" s="325" t="s">
        <v>2590</v>
      </c>
      <c r="B814" s="326" t="s">
        <v>395</v>
      </c>
      <c r="C814" s="329">
        <v>90.0</v>
      </c>
      <c r="D814" s="329">
        <v>180.0</v>
      </c>
    </row>
    <row r="815">
      <c r="A815" s="325" t="s">
        <v>2591</v>
      </c>
      <c r="B815" s="326" t="s">
        <v>829</v>
      </c>
      <c r="C815" s="329">
        <v>35.0</v>
      </c>
      <c r="D815" s="329">
        <v>140.0</v>
      </c>
    </row>
    <row r="816">
      <c r="A816" s="325" t="s">
        <v>2592</v>
      </c>
      <c r="B816" s="326" t="s">
        <v>663</v>
      </c>
      <c r="C816" s="329">
        <v>64.0</v>
      </c>
      <c r="D816" s="329">
        <v>256.0</v>
      </c>
    </row>
    <row r="817">
      <c r="A817" s="325" t="s">
        <v>2594</v>
      </c>
      <c r="B817" s="326" t="s">
        <v>690</v>
      </c>
      <c r="C817" s="329">
        <v>64.0</v>
      </c>
      <c r="D817" s="329">
        <v>256.0</v>
      </c>
    </row>
    <row r="818">
      <c r="A818" s="325" t="s">
        <v>2595</v>
      </c>
      <c r="B818" s="326" t="s">
        <v>2596</v>
      </c>
      <c r="C818" s="329">
        <v>30.0</v>
      </c>
      <c r="D818" s="329">
        <v>120.0</v>
      </c>
    </row>
    <row r="819">
      <c r="A819" s="325" t="s">
        <v>2597</v>
      </c>
      <c r="B819" s="326" t="s">
        <v>1081</v>
      </c>
      <c r="C819" s="329">
        <v>30.0</v>
      </c>
      <c r="D819" s="329">
        <v>120.0</v>
      </c>
    </row>
    <row r="820">
      <c r="A820" s="325" t="s">
        <v>2600</v>
      </c>
      <c r="B820" s="326" t="s">
        <v>731</v>
      </c>
      <c r="C820" s="329">
        <v>30.0</v>
      </c>
      <c r="D820" s="329">
        <v>120.0</v>
      </c>
    </row>
    <row r="821">
      <c r="A821" s="325" t="s">
        <v>2601</v>
      </c>
      <c r="B821" s="326" t="s">
        <v>712</v>
      </c>
      <c r="C821" s="329">
        <v>14.0</v>
      </c>
      <c r="D821" s="329">
        <v>56.0</v>
      </c>
    </row>
    <row r="822">
      <c r="A822" s="332"/>
      <c r="B822" s="322"/>
      <c r="C822" s="323"/>
      <c r="D822" s="324"/>
    </row>
    <row r="823">
      <c r="A823" s="321" t="s">
        <v>2677</v>
      </c>
      <c r="B823" s="322"/>
      <c r="C823" s="323"/>
      <c r="D823" s="324"/>
    </row>
    <row r="824">
      <c r="A824" s="325" t="s">
        <v>2604</v>
      </c>
      <c r="B824" s="326" t="s">
        <v>1050</v>
      </c>
      <c r="C824" s="329">
        <v>66.0</v>
      </c>
      <c r="D824" s="329">
        <v>198.0</v>
      </c>
    </row>
    <row r="825">
      <c r="A825" s="325" t="s">
        <v>2605</v>
      </c>
      <c r="B825" s="326" t="s">
        <v>636</v>
      </c>
      <c r="C825" s="329">
        <v>60.0</v>
      </c>
      <c r="D825" s="329">
        <v>180.0</v>
      </c>
    </row>
    <row r="826">
      <c r="A826" s="325" t="s">
        <v>2606</v>
      </c>
      <c r="B826" s="326" t="s">
        <v>417</v>
      </c>
      <c r="C826" s="329">
        <v>46.0</v>
      </c>
      <c r="D826" s="329">
        <v>184.0</v>
      </c>
    </row>
    <row r="827">
      <c r="A827" s="325" t="s">
        <v>2608</v>
      </c>
      <c r="B827" s="326" t="s">
        <v>1055</v>
      </c>
      <c r="C827" s="329">
        <v>60.0</v>
      </c>
      <c r="D827" s="329">
        <v>240.0</v>
      </c>
    </row>
    <row r="828">
      <c r="A828" s="325" t="s">
        <v>2609</v>
      </c>
      <c r="B828" s="326" t="s">
        <v>2563</v>
      </c>
      <c r="C828" s="329">
        <v>46.0</v>
      </c>
      <c r="D828" s="329">
        <v>184.0</v>
      </c>
    </row>
    <row r="829">
      <c r="A829" s="325" t="s">
        <v>2610</v>
      </c>
      <c r="B829" s="326" t="s">
        <v>2566</v>
      </c>
      <c r="C829" s="329">
        <v>46.0</v>
      </c>
      <c r="D829" s="329">
        <v>184.0</v>
      </c>
    </row>
    <row r="830">
      <c r="A830" s="325" t="s">
        <v>2611</v>
      </c>
      <c r="B830" s="326" t="s">
        <v>363</v>
      </c>
      <c r="C830" s="329">
        <v>66.0</v>
      </c>
      <c r="D830" s="329">
        <v>198.0</v>
      </c>
    </row>
    <row r="831">
      <c r="A831" s="325" t="s">
        <v>2613</v>
      </c>
      <c r="B831" s="326" t="s">
        <v>808</v>
      </c>
      <c r="C831" s="329">
        <v>24.0</v>
      </c>
      <c r="D831" s="329">
        <v>96.0</v>
      </c>
    </row>
    <row r="832">
      <c r="A832" s="325" t="s">
        <v>2614</v>
      </c>
      <c r="B832" s="326" t="s">
        <v>399</v>
      </c>
      <c r="C832" s="329">
        <v>66.0</v>
      </c>
      <c r="D832" s="329">
        <v>198.0</v>
      </c>
    </row>
    <row r="833">
      <c r="A833" s="325" t="s">
        <v>2615</v>
      </c>
      <c r="B833" s="326" t="s">
        <v>756</v>
      </c>
      <c r="C833" s="329">
        <v>30.0</v>
      </c>
      <c r="D833" s="329">
        <v>120.0</v>
      </c>
    </row>
    <row r="834">
      <c r="A834" s="325" t="s">
        <v>2616</v>
      </c>
      <c r="B834" s="326" t="s">
        <v>756</v>
      </c>
      <c r="C834" s="329">
        <v>30.0</v>
      </c>
      <c r="D834" s="329">
        <v>120.0</v>
      </c>
    </row>
    <row r="835">
      <c r="A835" s="325" t="s">
        <v>2617</v>
      </c>
      <c r="B835" s="326" t="s">
        <v>2465</v>
      </c>
      <c r="C835" s="329">
        <v>13.0</v>
      </c>
      <c r="D835" s="329">
        <v>52.0</v>
      </c>
    </row>
    <row r="836">
      <c r="A836" s="325" t="s">
        <v>2619</v>
      </c>
      <c r="B836" s="326" t="s">
        <v>2673</v>
      </c>
      <c r="C836" s="329">
        <v>30.0</v>
      </c>
      <c r="D836" s="329">
        <v>120.0</v>
      </c>
    </row>
    <row r="837">
      <c r="A837" s="325" t="s">
        <v>2620</v>
      </c>
      <c r="B837" s="326" t="s">
        <v>2580</v>
      </c>
      <c r="C837" s="329">
        <v>13.0</v>
      </c>
      <c r="D837" s="329">
        <v>52.0</v>
      </c>
    </row>
    <row r="838">
      <c r="A838" s="325" t="s">
        <v>2621</v>
      </c>
      <c r="B838" s="326" t="s">
        <v>913</v>
      </c>
      <c r="C838" s="329">
        <v>13.0</v>
      </c>
      <c r="D838" s="329">
        <v>52.0</v>
      </c>
    </row>
    <row r="839">
      <c r="A839" s="325" t="s">
        <v>2622</v>
      </c>
      <c r="B839" s="326" t="s">
        <v>2584</v>
      </c>
      <c r="C839" s="329">
        <v>6.0</v>
      </c>
      <c r="D839" s="329">
        <v>24.0</v>
      </c>
    </row>
    <row r="840">
      <c r="A840" s="325" t="s">
        <v>2623</v>
      </c>
      <c r="B840" s="326" t="s">
        <v>719</v>
      </c>
      <c r="C840" s="329">
        <v>66.0</v>
      </c>
      <c r="D840" s="329">
        <v>264.0</v>
      </c>
    </row>
    <row r="841">
      <c r="A841" s="325" t="s">
        <v>2625</v>
      </c>
      <c r="B841" s="326" t="s">
        <v>717</v>
      </c>
      <c r="C841" s="329">
        <v>66.0</v>
      </c>
      <c r="D841" s="329">
        <v>264.0</v>
      </c>
    </row>
    <row r="842">
      <c r="A842" s="325" t="s">
        <v>2626</v>
      </c>
      <c r="B842" s="326" t="s">
        <v>723</v>
      </c>
      <c r="C842" s="329">
        <v>64.0</v>
      </c>
      <c r="D842" s="329">
        <v>256.0</v>
      </c>
    </row>
    <row r="843">
      <c r="A843" s="325" t="s">
        <v>2627</v>
      </c>
      <c r="B843" s="326" t="s">
        <v>395</v>
      </c>
      <c r="C843" s="329">
        <v>90.0</v>
      </c>
      <c r="D843" s="329">
        <v>180.0</v>
      </c>
    </row>
    <row r="844">
      <c r="A844" s="325" t="s">
        <v>2628</v>
      </c>
      <c r="B844" s="326" t="s">
        <v>829</v>
      </c>
      <c r="C844" s="329">
        <v>35.0</v>
      </c>
      <c r="D844" s="329">
        <v>140.0</v>
      </c>
    </row>
    <row r="845">
      <c r="A845" s="325" t="s">
        <v>2629</v>
      </c>
      <c r="B845" s="326" t="s">
        <v>663</v>
      </c>
      <c r="C845" s="329">
        <v>64.0</v>
      </c>
      <c r="D845" s="329">
        <v>256.0</v>
      </c>
    </row>
    <row r="846">
      <c r="A846" s="325" t="s">
        <v>2630</v>
      </c>
      <c r="B846" s="326" t="s">
        <v>690</v>
      </c>
      <c r="C846" s="329">
        <v>64.0</v>
      </c>
      <c r="D846" s="329">
        <v>256.0</v>
      </c>
    </row>
    <row r="847">
      <c r="A847" s="325" t="s">
        <v>2632</v>
      </c>
      <c r="B847" s="326" t="s">
        <v>2596</v>
      </c>
      <c r="C847" s="329">
        <v>30.0</v>
      </c>
      <c r="D847" s="329">
        <v>120.0</v>
      </c>
    </row>
    <row r="848">
      <c r="A848" s="325" t="s">
        <v>2633</v>
      </c>
      <c r="B848" s="326" t="s">
        <v>1081</v>
      </c>
      <c r="C848" s="329">
        <v>30.0</v>
      </c>
      <c r="D848" s="329">
        <v>120.0</v>
      </c>
    </row>
    <row r="849">
      <c r="A849" s="325" t="s">
        <v>2634</v>
      </c>
      <c r="B849" s="326" t="s">
        <v>731</v>
      </c>
      <c r="C849" s="329">
        <v>30.0</v>
      </c>
      <c r="D849" s="329">
        <v>120.0</v>
      </c>
    </row>
    <row r="850">
      <c r="A850" s="325" t="s">
        <v>2635</v>
      </c>
      <c r="B850" s="326" t="s">
        <v>712</v>
      </c>
      <c r="C850" s="329">
        <v>14.0</v>
      </c>
      <c r="D850" s="329">
        <v>56.0</v>
      </c>
    </row>
    <row r="851">
      <c r="A851" s="332"/>
      <c r="B851" s="322"/>
      <c r="C851" s="323"/>
      <c r="D851" s="324"/>
    </row>
    <row r="852">
      <c r="A852" s="321" t="s">
        <v>2684</v>
      </c>
      <c r="B852" s="322"/>
      <c r="C852" s="323"/>
      <c r="D852" s="324"/>
    </row>
    <row r="853">
      <c r="A853" s="325" t="s">
        <v>2637</v>
      </c>
      <c r="B853" s="326" t="s">
        <v>1050</v>
      </c>
      <c r="C853" s="329">
        <v>66.0</v>
      </c>
      <c r="D853" s="329">
        <v>198.0</v>
      </c>
    </row>
    <row r="854">
      <c r="A854" s="325" t="s">
        <v>2639</v>
      </c>
      <c r="B854" s="326" t="s">
        <v>636</v>
      </c>
      <c r="C854" s="329">
        <v>60.0</v>
      </c>
      <c r="D854" s="329">
        <v>180.0</v>
      </c>
    </row>
    <row r="855">
      <c r="A855" s="325" t="s">
        <v>2640</v>
      </c>
      <c r="B855" s="326" t="s">
        <v>417</v>
      </c>
      <c r="C855" s="329">
        <v>46.0</v>
      </c>
      <c r="D855" s="329">
        <v>184.0</v>
      </c>
    </row>
    <row r="856">
      <c r="A856" s="325" t="s">
        <v>2641</v>
      </c>
      <c r="B856" s="326" t="s">
        <v>1055</v>
      </c>
      <c r="C856" s="329">
        <v>60.0</v>
      </c>
      <c r="D856" s="329">
        <v>240.0</v>
      </c>
    </row>
    <row r="857">
      <c r="A857" s="325" t="s">
        <v>2642</v>
      </c>
      <c r="B857" s="326" t="s">
        <v>2563</v>
      </c>
      <c r="C857" s="329">
        <v>46.0</v>
      </c>
      <c r="D857" s="329">
        <v>184.0</v>
      </c>
    </row>
    <row r="858">
      <c r="A858" s="325" t="s">
        <v>2643</v>
      </c>
      <c r="B858" s="326" t="s">
        <v>2566</v>
      </c>
      <c r="C858" s="329">
        <v>46.0</v>
      </c>
      <c r="D858" s="329">
        <v>184.0</v>
      </c>
    </row>
    <row r="859">
      <c r="A859" s="325" t="s">
        <v>2644</v>
      </c>
      <c r="B859" s="326" t="s">
        <v>363</v>
      </c>
      <c r="C859" s="329">
        <v>66.0</v>
      </c>
      <c r="D859" s="329">
        <v>198.0</v>
      </c>
    </row>
    <row r="860">
      <c r="A860" s="325" t="s">
        <v>2646</v>
      </c>
      <c r="B860" s="326" t="s">
        <v>808</v>
      </c>
      <c r="C860" s="329">
        <v>24.0</v>
      </c>
      <c r="D860" s="329">
        <v>96.0</v>
      </c>
    </row>
    <row r="861">
      <c r="A861" s="325" t="s">
        <v>2647</v>
      </c>
      <c r="B861" s="326" t="s">
        <v>399</v>
      </c>
      <c r="C861" s="329">
        <v>66.0</v>
      </c>
      <c r="D861" s="329">
        <v>198.0</v>
      </c>
    </row>
    <row r="862">
      <c r="A862" s="325" t="s">
        <v>2648</v>
      </c>
      <c r="B862" s="326" t="s">
        <v>756</v>
      </c>
      <c r="C862" s="329">
        <v>30.0</v>
      </c>
      <c r="D862" s="329">
        <v>120.0</v>
      </c>
    </row>
    <row r="863">
      <c r="A863" s="325" t="s">
        <v>2649</v>
      </c>
      <c r="B863" s="326" t="s">
        <v>756</v>
      </c>
      <c r="C863" s="329">
        <v>30.0</v>
      </c>
      <c r="D863" s="329">
        <v>120.0</v>
      </c>
    </row>
    <row r="864">
      <c r="A864" s="325" t="s">
        <v>2650</v>
      </c>
      <c r="B864" s="326" t="s">
        <v>2465</v>
      </c>
      <c r="C864" s="329">
        <v>13.0</v>
      </c>
      <c r="D864" s="329">
        <v>52.0</v>
      </c>
    </row>
    <row r="865">
      <c r="A865" s="325" t="s">
        <v>2652</v>
      </c>
      <c r="B865" s="326" t="s">
        <v>2673</v>
      </c>
      <c r="C865" s="329">
        <v>30.0</v>
      </c>
      <c r="D865" s="329">
        <v>120.0</v>
      </c>
    </row>
    <row r="866">
      <c r="A866" s="325" t="s">
        <v>2653</v>
      </c>
      <c r="B866" s="326" t="s">
        <v>2580</v>
      </c>
      <c r="C866" s="329">
        <v>13.0</v>
      </c>
      <c r="D866" s="329">
        <v>52.0</v>
      </c>
    </row>
    <row r="867">
      <c r="A867" s="325" t="s">
        <v>2654</v>
      </c>
      <c r="B867" s="326" t="s">
        <v>913</v>
      </c>
      <c r="C867" s="329">
        <v>13.0</v>
      </c>
      <c r="D867" s="329">
        <v>52.0</v>
      </c>
    </row>
    <row r="868">
      <c r="A868" s="325" t="s">
        <v>2655</v>
      </c>
      <c r="B868" s="326" t="s">
        <v>2584</v>
      </c>
      <c r="C868" s="329">
        <v>6.0</v>
      </c>
      <c r="D868" s="329">
        <v>24.0</v>
      </c>
    </row>
    <row r="869">
      <c r="A869" s="325" t="s">
        <v>2656</v>
      </c>
      <c r="B869" s="326" t="s">
        <v>719</v>
      </c>
      <c r="C869" s="329">
        <v>66.0</v>
      </c>
      <c r="D869" s="329">
        <v>264.0</v>
      </c>
    </row>
    <row r="870">
      <c r="A870" s="325" t="s">
        <v>2658</v>
      </c>
      <c r="B870" s="326" t="s">
        <v>717</v>
      </c>
      <c r="C870" s="329">
        <v>66.0</v>
      </c>
      <c r="D870" s="329">
        <v>264.0</v>
      </c>
    </row>
    <row r="871">
      <c r="A871" s="325" t="s">
        <v>2659</v>
      </c>
      <c r="B871" s="326" t="s">
        <v>723</v>
      </c>
      <c r="C871" s="329">
        <v>64.0</v>
      </c>
      <c r="D871" s="329">
        <v>256.0</v>
      </c>
    </row>
    <row r="872">
      <c r="A872" s="325" t="s">
        <v>2660</v>
      </c>
      <c r="B872" s="326" t="s">
        <v>395</v>
      </c>
      <c r="C872" s="329">
        <v>90.0</v>
      </c>
      <c r="D872" s="329">
        <v>180.0</v>
      </c>
    </row>
    <row r="873">
      <c r="A873" s="325" t="s">
        <v>2661</v>
      </c>
      <c r="B873" s="326" t="s">
        <v>829</v>
      </c>
      <c r="C873" s="329">
        <v>35.0</v>
      </c>
      <c r="D873" s="329">
        <v>140.0</v>
      </c>
    </row>
    <row r="874">
      <c r="A874" s="325" t="s">
        <v>2662</v>
      </c>
      <c r="B874" s="326" t="s">
        <v>663</v>
      </c>
      <c r="C874" s="329">
        <v>64.0</v>
      </c>
      <c r="D874" s="329">
        <v>256.0</v>
      </c>
    </row>
    <row r="875">
      <c r="A875" s="325" t="s">
        <v>2663</v>
      </c>
      <c r="B875" s="326" t="s">
        <v>690</v>
      </c>
      <c r="C875" s="329">
        <v>64.0</v>
      </c>
      <c r="D875" s="329">
        <v>256.0</v>
      </c>
    </row>
    <row r="876">
      <c r="A876" s="325" t="s">
        <v>2665</v>
      </c>
      <c r="B876" s="326" t="s">
        <v>2596</v>
      </c>
      <c r="C876" s="329">
        <v>30.0</v>
      </c>
      <c r="D876" s="329">
        <v>120.0</v>
      </c>
    </row>
    <row r="877">
      <c r="A877" s="325" t="s">
        <v>2666</v>
      </c>
      <c r="B877" s="326" t="s">
        <v>1081</v>
      </c>
      <c r="C877" s="329">
        <v>30.0</v>
      </c>
      <c r="D877" s="329">
        <v>120.0</v>
      </c>
    </row>
    <row r="878">
      <c r="A878" s="325" t="s">
        <v>2667</v>
      </c>
      <c r="B878" s="326" t="s">
        <v>731</v>
      </c>
      <c r="C878" s="329">
        <v>30.0</v>
      </c>
      <c r="D878" s="329">
        <v>120.0</v>
      </c>
    </row>
    <row r="879">
      <c r="A879" s="325" t="s">
        <v>2668</v>
      </c>
      <c r="B879" s="326" t="s">
        <v>712</v>
      </c>
      <c r="C879" s="329">
        <v>14.0</v>
      </c>
      <c r="D879" s="329">
        <v>56.0</v>
      </c>
    </row>
    <row r="880">
      <c r="A880" s="332"/>
      <c r="B880" s="322"/>
      <c r="C880" s="323"/>
      <c r="D880" s="324"/>
    </row>
    <row r="881">
      <c r="A881" s="321" t="s">
        <v>2690</v>
      </c>
      <c r="B881" s="322"/>
      <c r="C881" s="323"/>
      <c r="D881" s="324"/>
    </row>
    <row r="882">
      <c r="A882" s="325" t="s">
        <v>2670</v>
      </c>
      <c r="B882" s="326" t="s">
        <v>1050</v>
      </c>
      <c r="C882" s="329">
        <v>66.0</v>
      </c>
      <c r="D882" s="329">
        <v>198.0</v>
      </c>
    </row>
    <row r="883">
      <c r="A883" s="325" t="s">
        <v>2672</v>
      </c>
      <c r="B883" s="326" t="s">
        <v>636</v>
      </c>
      <c r="C883" s="329">
        <v>60.0</v>
      </c>
      <c r="D883" s="329">
        <v>180.0</v>
      </c>
    </row>
    <row r="884">
      <c r="A884" s="325" t="s">
        <v>2674</v>
      </c>
      <c r="B884" s="326" t="s">
        <v>417</v>
      </c>
      <c r="C884" s="329">
        <v>46.0</v>
      </c>
      <c r="D884" s="329">
        <v>184.0</v>
      </c>
    </row>
    <row r="885">
      <c r="A885" s="325" t="s">
        <v>2675</v>
      </c>
      <c r="B885" s="326" t="s">
        <v>1055</v>
      </c>
      <c r="C885" s="329">
        <v>60.0</v>
      </c>
      <c r="D885" s="329">
        <v>240.0</v>
      </c>
    </row>
    <row r="886">
      <c r="A886" s="325" t="s">
        <v>2676</v>
      </c>
      <c r="B886" s="326" t="s">
        <v>2563</v>
      </c>
      <c r="C886" s="329">
        <v>46.0</v>
      </c>
      <c r="D886" s="329">
        <v>184.0</v>
      </c>
    </row>
    <row r="887">
      <c r="A887" s="325" t="s">
        <v>2678</v>
      </c>
      <c r="B887" s="326" t="s">
        <v>2566</v>
      </c>
      <c r="C887" s="329">
        <v>46.0</v>
      </c>
      <c r="D887" s="329">
        <v>184.0</v>
      </c>
    </row>
    <row r="888">
      <c r="A888" s="325" t="s">
        <v>2679</v>
      </c>
      <c r="B888" s="326" t="s">
        <v>363</v>
      </c>
      <c r="C888" s="329">
        <v>66.0</v>
      </c>
      <c r="D888" s="329">
        <v>198.0</v>
      </c>
    </row>
    <row r="889">
      <c r="A889" s="325" t="s">
        <v>2680</v>
      </c>
      <c r="B889" s="326" t="s">
        <v>808</v>
      </c>
      <c r="C889" s="329">
        <v>24.0</v>
      </c>
      <c r="D889" s="329">
        <v>96.0</v>
      </c>
    </row>
    <row r="890">
      <c r="A890" s="325" t="s">
        <v>2681</v>
      </c>
      <c r="B890" s="326" t="s">
        <v>399</v>
      </c>
      <c r="C890" s="329">
        <v>66.0</v>
      </c>
      <c r="D890" s="329">
        <v>198.0</v>
      </c>
    </row>
    <row r="891">
      <c r="A891" s="325" t="s">
        <v>2682</v>
      </c>
      <c r="B891" s="326" t="s">
        <v>756</v>
      </c>
      <c r="C891" s="329">
        <v>30.0</v>
      </c>
      <c r="D891" s="329">
        <v>120.0</v>
      </c>
    </row>
    <row r="892">
      <c r="A892" s="325" t="s">
        <v>2683</v>
      </c>
      <c r="B892" s="326" t="s">
        <v>756</v>
      </c>
      <c r="C892" s="329">
        <v>30.0</v>
      </c>
      <c r="D892" s="329">
        <v>120.0</v>
      </c>
    </row>
    <row r="893">
      <c r="A893" s="325" t="s">
        <v>2685</v>
      </c>
      <c r="B893" s="326" t="s">
        <v>2465</v>
      </c>
      <c r="C893" s="329">
        <v>13.0</v>
      </c>
      <c r="D893" s="329">
        <v>52.0</v>
      </c>
    </row>
    <row r="894">
      <c r="A894" s="325" t="s">
        <v>2686</v>
      </c>
      <c r="B894" s="326" t="s">
        <v>2673</v>
      </c>
      <c r="C894" s="329">
        <v>30.0</v>
      </c>
      <c r="D894" s="329">
        <v>120.0</v>
      </c>
    </row>
    <row r="895">
      <c r="A895" s="325" t="s">
        <v>2687</v>
      </c>
      <c r="B895" s="326" t="s">
        <v>2580</v>
      </c>
      <c r="C895" s="329">
        <v>13.0</v>
      </c>
      <c r="D895" s="329">
        <v>52.0</v>
      </c>
    </row>
    <row r="896">
      <c r="A896" s="325" t="s">
        <v>2688</v>
      </c>
      <c r="B896" s="326" t="s">
        <v>913</v>
      </c>
      <c r="C896" s="329">
        <v>13.0</v>
      </c>
      <c r="D896" s="329">
        <v>52.0</v>
      </c>
    </row>
    <row r="897">
      <c r="A897" s="325" t="s">
        <v>2689</v>
      </c>
      <c r="B897" s="326" t="s">
        <v>2584</v>
      </c>
      <c r="C897" s="329">
        <v>6.0</v>
      </c>
      <c r="D897" s="329">
        <v>24.0</v>
      </c>
    </row>
    <row r="898">
      <c r="A898" s="325" t="s">
        <v>2691</v>
      </c>
      <c r="B898" s="326" t="s">
        <v>719</v>
      </c>
      <c r="C898" s="329">
        <v>66.0</v>
      </c>
      <c r="D898" s="329">
        <v>264.0</v>
      </c>
    </row>
    <row r="899">
      <c r="A899" s="325" t="s">
        <v>2692</v>
      </c>
      <c r="B899" s="326" t="s">
        <v>717</v>
      </c>
      <c r="C899" s="329">
        <v>66.0</v>
      </c>
      <c r="D899" s="329">
        <v>264.0</v>
      </c>
    </row>
    <row r="900">
      <c r="A900" s="325" t="s">
        <v>2693</v>
      </c>
      <c r="B900" s="326" t="s">
        <v>723</v>
      </c>
      <c r="C900" s="329">
        <v>64.0</v>
      </c>
      <c r="D900" s="329">
        <v>256.0</v>
      </c>
    </row>
    <row r="901">
      <c r="A901" s="325" t="s">
        <v>2694</v>
      </c>
      <c r="B901" s="326" t="s">
        <v>395</v>
      </c>
      <c r="C901" s="329">
        <v>90.0</v>
      </c>
      <c r="D901" s="329">
        <v>180.0</v>
      </c>
    </row>
    <row r="902">
      <c r="A902" s="325" t="s">
        <v>2695</v>
      </c>
      <c r="B902" s="326" t="s">
        <v>829</v>
      </c>
      <c r="C902" s="329">
        <v>35.0</v>
      </c>
      <c r="D902" s="329">
        <v>140.0</v>
      </c>
    </row>
    <row r="903">
      <c r="A903" s="325" t="s">
        <v>2696</v>
      </c>
      <c r="B903" s="326" t="s">
        <v>663</v>
      </c>
      <c r="C903" s="329">
        <v>64.0</v>
      </c>
      <c r="D903" s="329">
        <v>256.0</v>
      </c>
    </row>
    <row r="904">
      <c r="A904" s="325" t="s">
        <v>2697</v>
      </c>
      <c r="B904" s="326" t="s">
        <v>690</v>
      </c>
      <c r="C904" s="329">
        <v>64.0</v>
      </c>
      <c r="D904" s="329">
        <v>256.0</v>
      </c>
    </row>
    <row r="905">
      <c r="A905" s="325" t="s">
        <v>2698</v>
      </c>
      <c r="B905" s="326" t="s">
        <v>2596</v>
      </c>
      <c r="C905" s="329">
        <v>30.0</v>
      </c>
      <c r="D905" s="329">
        <v>120.0</v>
      </c>
    </row>
    <row r="906">
      <c r="A906" s="325" t="s">
        <v>2699</v>
      </c>
      <c r="B906" s="326" t="s">
        <v>1081</v>
      </c>
      <c r="C906" s="329">
        <v>30.0</v>
      </c>
      <c r="D906" s="329">
        <v>120.0</v>
      </c>
    </row>
    <row r="907">
      <c r="A907" s="325" t="s">
        <v>2700</v>
      </c>
      <c r="B907" s="326" t="s">
        <v>731</v>
      </c>
      <c r="C907" s="329">
        <v>30.0</v>
      </c>
      <c r="D907" s="329">
        <v>120.0</v>
      </c>
    </row>
    <row r="908">
      <c r="A908" s="325" t="s">
        <v>2701</v>
      </c>
      <c r="B908" s="326" t="s">
        <v>712</v>
      </c>
      <c r="C908" s="329">
        <v>14.0</v>
      </c>
      <c r="D908" s="329">
        <v>56.0</v>
      </c>
    </row>
    <row r="909">
      <c r="A909" s="330"/>
      <c r="B909" s="331"/>
      <c r="C909" s="323"/>
      <c r="D909" s="324"/>
    </row>
    <row r="910">
      <c r="A910" s="321" t="s">
        <v>2702</v>
      </c>
      <c r="B910" s="332"/>
      <c r="C910" s="323"/>
      <c r="D910" s="324"/>
    </row>
    <row r="911">
      <c r="A911" s="325">
        <v>120.0</v>
      </c>
      <c r="B911" s="325" t="s">
        <v>1173</v>
      </c>
      <c r="C911" s="329">
        <v>90.0</v>
      </c>
      <c r="D911" s="329">
        <v>270.0</v>
      </c>
    </row>
    <row r="912">
      <c r="A912" s="325" t="s">
        <v>1176</v>
      </c>
      <c r="B912" s="325" t="s">
        <v>1177</v>
      </c>
      <c r="C912" s="329">
        <v>90.0</v>
      </c>
      <c r="D912" s="329">
        <v>270.0</v>
      </c>
    </row>
    <row r="913">
      <c r="A913" s="325" t="s">
        <v>1179</v>
      </c>
      <c r="B913" s="325" t="s">
        <v>1180</v>
      </c>
      <c r="C913" s="329">
        <v>60.0</v>
      </c>
      <c r="D913" s="328">
        <v>240.0</v>
      </c>
    </row>
    <row r="914">
      <c r="A914" s="325" t="s">
        <v>1182</v>
      </c>
      <c r="B914" s="325" t="s">
        <v>1183</v>
      </c>
      <c r="C914" s="329">
        <v>132.0</v>
      </c>
      <c r="D914" s="329">
        <v>264.0</v>
      </c>
    </row>
    <row r="915">
      <c r="A915" s="325" t="s">
        <v>1185</v>
      </c>
      <c r="B915" s="325" t="s">
        <v>1186</v>
      </c>
      <c r="C915" s="329">
        <v>60.0</v>
      </c>
      <c r="D915" s="329">
        <v>240.0</v>
      </c>
    </row>
    <row r="916">
      <c r="A916" s="325" t="s">
        <v>1188</v>
      </c>
      <c r="B916" s="325" t="s">
        <v>1189</v>
      </c>
      <c r="C916" s="329">
        <v>60.0</v>
      </c>
      <c r="D916" s="329">
        <v>240.0</v>
      </c>
    </row>
    <row r="917">
      <c r="A917" s="325" t="s">
        <v>1191</v>
      </c>
      <c r="B917" s="325" t="s">
        <v>1192</v>
      </c>
      <c r="C917" s="329">
        <v>90.0</v>
      </c>
      <c r="D917" s="329">
        <v>360.0</v>
      </c>
    </row>
    <row r="918">
      <c r="A918" s="325" t="s">
        <v>1194</v>
      </c>
      <c r="B918" s="325" t="s">
        <v>1195</v>
      </c>
      <c r="C918" s="329">
        <v>90.0</v>
      </c>
      <c r="D918" s="329">
        <v>360.0</v>
      </c>
    </row>
    <row r="919">
      <c r="A919" s="325" t="s">
        <v>1196</v>
      </c>
      <c r="B919" s="325" t="s">
        <v>1197</v>
      </c>
      <c r="C919" s="329">
        <v>108.0</v>
      </c>
      <c r="D919" s="329">
        <v>324.0</v>
      </c>
    </row>
    <row r="920">
      <c r="A920" s="325" t="s">
        <v>1198</v>
      </c>
      <c r="B920" s="325" t="s">
        <v>1199</v>
      </c>
      <c r="C920" s="329">
        <v>108.0</v>
      </c>
      <c r="D920" s="329">
        <v>324.0</v>
      </c>
    </row>
    <row r="921">
      <c r="A921" s="325" t="s">
        <v>1200</v>
      </c>
      <c r="B921" s="325" t="s">
        <v>1201</v>
      </c>
      <c r="C921" s="329">
        <v>54.0</v>
      </c>
      <c r="D921" s="329">
        <v>216.0</v>
      </c>
    </row>
    <row r="922">
      <c r="A922" s="325" t="s">
        <v>1204</v>
      </c>
      <c r="B922" s="325" t="s">
        <v>1205</v>
      </c>
      <c r="C922" s="329">
        <v>54.0</v>
      </c>
      <c r="D922" s="329">
        <v>216.0</v>
      </c>
    </row>
    <row r="923">
      <c r="A923" s="325" t="s">
        <v>1206</v>
      </c>
      <c r="B923" s="325" t="s">
        <v>1207</v>
      </c>
      <c r="C923" s="329">
        <v>60.0</v>
      </c>
      <c r="D923" s="329">
        <v>240.0</v>
      </c>
    </row>
    <row r="924">
      <c r="A924" s="325" t="s">
        <v>1210</v>
      </c>
      <c r="B924" s="325" t="s">
        <v>1211</v>
      </c>
      <c r="C924" s="329">
        <v>60.0</v>
      </c>
      <c r="D924" s="329">
        <v>240.0</v>
      </c>
    </row>
    <row r="925">
      <c r="A925" s="325" t="s">
        <v>1212</v>
      </c>
      <c r="B925" s="325" t="s">
        <v>1213</v>
      </c>
      <c r="C925" s="329">
        <v>60.0</v>
      </c>
      <c r="D925" s="329">
        <v>180.0</v>
      </c>
    </row>
    <row r="926">
      <c r="A926" s="332"/>
      <c r="B926" s="332"/>
      <c r="C926" s="323"/>
      <c r="D926" s="324"/>
    </row>
    <row r="927">
      <c r="A927" s="321" t="s">
        <v>2703</v>
      </c>
      <c r="B927" s="332"/>
      <c r="C927" s="323"/>
      <c r="D927" s="324"/>
    </row>
    <row r="928">
      <c r="A928" s="325">
        <v>136.0</v>
      </c>
      <c r="B928" s="325" t="s">
        <v>1229</v>
      </c>
      <c r="C928" s="329">
        <v>208.0</v>
      </c>
      <c r="D928" s="329">
        <v>416.0</v>
      </c>
    </row>
    <row r="929">
      <c r="A929" s="325">
        <v>137.0</v>
      </c>
      <c r="B929" s="325" t="s">
        <v>1234</v>
      </c>
      <c r="C929" s="329">
        <v>1000.0</v>
      </c>
      <c r="D929" s="329">
        <v>1000.0</v>
      </c>
    </row>
    <row r="930">
      <c r="A930" s="325">
        <v>138.0</v>
      </c>
      <c r="B930" s="325" t="s">
        <v>1237</v>
      </c>
      <c r="C930" s="329">
        <v>208.0</v>
      </c>
      <c r="D930" s="329">
        <v>416.0</v>
      </c>
    </row>
    <row r="931">
      <c r="A931" s="325">
        <v>139.0</v>
      </c>
      <c r="B931" s="325" t="s">
        <v>1239</v>
      </c>
      <c r="C931" s="329">
        <v>320.0</v>
      </c>
      <c r="D931" s="329">
        <v>640.0</v>
      </c>
    </row>
    <row r="932">
      <c r="A932" s="325" t="s">
        <v>1241</v>
      </c>
      <c r="B932" s="325" t="s">
        <v>1242</v>
      </c>
      <c r="C932" s="329">
        <v>180.0</v>
      </c>
      <c r="D932" s="329">
        <v>540.0</v>
      </c>
    </row>
    <row r="933">
      <c r="A933" s="325">
        <v>1391.0</v>
      </c>
      <c r="B933" s="325" t="s">
        <v>1244</v>
      </c>
      <c r="C933" s="329">
        <v>192.0</v>
      </c>
      <c r="D933" s="329">
        <v>576.0</v>
      </c>
    </row>
    <row r="934">
      <c r="A934" s="325" t="s">
        <v>1246</v>
      </c>
      <c r="B934" s="325" t="s">
        <v>1247</v>
      </c>
      <c r="C934" s="329">
        <v>180.0</v>
      </c>
      <c r="D934" s="329">
        <v>540.0</v>
      </c>
    </row>
    <row r="935">
      <c r="A935" s="325">
        <v>140.0</v>
      </c>
      <c r="B935" s="325" t="s">
        <v>1249</v>
      </c>
      <c r="C935" s="329">
        <v>192.0</v>
      </c>
      <c r="D935" s="329">
        <v>576.0</v>
      </c>
    </row>
    <row r="936">
      <c r="A936" s="330"/>
      <c r="B936" s="331"/>
      <c r="C936" s="323"/>
      <c r="D936" s="324"/>
    </row>
    <row r="937">
      <c r="A937" s="321" t="s">
        <v>2705</v>
      </c>
      <c r="B937" s="322"/>
      <c r="C937" s="323"/>
      <c r="D937" s="324"/>
    </row>
    <row r="938">
      <c r="A938" s="325" t="s">
        <v>1259</v>
      </c>
      <c r="B938" s="326" t="s">
        <v>1260</v>
      </c>
      <c r="C938" s="329">
        <v>33.0</v>
      </c>
      <c r="D938" s="329">
        <v>132.0</v>
      </c>
    </row>
    <row r="939">
      <c r="A939" s="325" t="s">
        <v>1261</v>
      </c>
      <c r="B939" s="326" t="s">
        <v>339</v>
      </c>
      <c r="C939" s="329">
        <v>33.0</v>
      </c>
      <c r="D939" s="329">
        <v>99.0</v>
      </c>
    </row>
    <row r="940">
      <c r="A940" s="325" t="s">
        <v>1262</v>
      </c>
      <c r="B940" s="326" t="s">
        <v>363</v>
      </c>
      <c r="C940" s="329">
        <v>33.0</v>
      </c>
      <c r="D940" s="329">
        <v>132.0</v>
      </c>
    </row>
    <row r="941">
      <c r="A941" s="325" t="s">
        <v>1264</v>
      </c>
      <c r="B941" s="326" t="s">
        <v>382</v>
      </c>
      <c r="C941" s="329">
        <v>24.0</v>
      </c>
      <c r="D941" s="329">
        <v>48.0</v>
      </c>
    </row>
    <row r="942">
      <c r="A942" s="325" t="s">
        <v>1265</v>
      </c>
      <c r="B942" s="326" t="s">
        <v>399</v>
      </c>
      <c r="C942" s="329">
        <v>30.0</v>
      </c>
      <c r="D942" s="328">
        <v>90.0</v>
      </c>
    </row>
    <row r="943">
      <c r="A943" s="325" t="s">
        <v>1266</v>
      </c>
      <c r="B943" s="326" t="s">
        <v>419</v>
      </c>
      <c r="C943" s="329">
        <v>13.0</v>
      </c>
      <c r="D943" s="329">
        <v>52.0</v>
      </c>
    </row>
    <row r="944">
      <c r="A944" s="325" t="s">
        <v>1268</v>
      </c>
      <c r="B944" s="326" t="s">
        <v>1269</v>
      </c>
      <c r="C944" s="327">
        <v>30.0</v>
      </c>
      <c r="D944" s="329">
        <v>120.0</v>
      </c>
    </row>
    <row r="945">
      <c r="A945" s="325" t="s">
        <v>1270</v>
      </c>
      <c r="B945" s="326" t="s">
        <v>1271</v>
      </c>
      <c r="C945" s="329">
        <v>13.0</v>
      </c>
      <c r="D945" s="329">
        <v>52.0</v>
      </c>
    </row>
    <row r="946">
      <c r="A946" s="325" t="s">
        <v>1272</v>
      </c>
      <c r="B946" s="326" t="s">
        <v>482</v>
      </c>
      <c r="C946" s="329">
        <v>13.0</v>
      </c>
      <c r="D946" s="329">
        <v>52.0</v>
      </c>
    </row>
    <row r="947">
      <c r="A947" s="325" t="s">
        <v>1274</v>
      </c>
      <c r="B947" s="326" t="s">
        <v>502</v>
      </c>
      <c r="C947" s="329">
        <v>13.0</v>
      </c>
      <c r="D947" s="329">
        <v>52.0</v>
      </c>
    </row>
    <row r="948">
      <c r="A948" s="325" t="s">
        <v>1275</v>
      </c>
      <c r="B948" s="326" t="s">
        <v>1276</v>
      </c>
      <c r="C948" s="329">
        <v>6.0</v>
      </c>
      <c r="D948" s="329">
        <v>24.0</v>
      </c>
    </row>
    <row r="949">
      <c r="A949" s="325" t="s">
        <v>1277</v>
      </c>
      <c r="B949" s="326" t="s">
        <v>395</v>
      </c>
      <c r="C949" s="329">
        <v>66.0</v>
      </c>
      <c r="D949" s="329">
        <v>198.0</v>
      </c>
    </row>
    <row r="950">
      <c r="A950" s="325" t="s">
        <v>1278</v>
      </c>
      <c r="B950" s="326" t="s">
        <v>359</v>
      </c>
      <c r="C950" s="329">
        <v>23.0</v>
      </c>
      <c r="D950" s="329">
        <v>92.0</v>
      </c>
    </row>
    <row r="951">
      <c r="A951" s="325" t="s">
        <v>1279</v>
      </c>
      <c r="B951" s="326" t="s">
        <v>601</v>
      </c>
      <c r="C951" s="327">
        <v>30.0</v>
      </c>
      <c r="D951" s="329">
        <v>120.0</v>
      </c>
    </row>
    <row r="952">
      <c r="A952" s="325" t="s">
        <v>853</v>
      </c>
      <c r="B952" s="326" t="s">
        <v>678</v>
      </c>
      <c r="C952" s="329">
        <v>64.0</v>
      </c>
      <c r="D952" s="329">
        <v>128.0</v>
      </c>
    </row>
    <row r="953">
      <c r="A953" s="325" t="s">
        <v>854</v>
      </c>
      <c r="B953" s="326" t="s">
        <v>693</v>
      </c>
      <c r="C953" s="329">
        <v>64.0</v>
      </c>
      <c r="D953" s="329">
        <v>128.0</v>
      </c>
    </row>
    <row r="954">
      <c r="A954" s="325" t="s">
        <v>1282</v>
      </c>
      <c r="B954" s="326" t="s">
        <v>712</v>
      </c>
      <c r="C954" s="329">
        <v>14.0</v>
      </c>
      <c r="D954" s="329">
        <v>56.0</v>
      </c>
    </row>
    <row r="955">
      <c r="A955" s="330"/>
      <c r="B955" s="331"/>
      <c r="C955" s="323"/>
      <c r="D955" s="324"/>
    </row>
    <row r="956">
      <c r="A956" s="321" t="s">
        <v>2706</v>
      </c>
      <c r="B956" s="322"/>
      <c r="C956" s="323"/>
      <c r="D956" s="324"/>
    </row>
    <row r="957">
      <c r="A957" s="325" t="s">
        <v>2707</v>
      </c>
      <c r="B957" s="326" t="s">
        <v>1260</v>
      </c>
      <c r="C957" s="329">
        <v>33.0</v>
      </c>
      <c r="D957" s="329">
        <v>132.0</v>
      </c>
    </row>
    <row r="958">
      <c r="A958" s="325" t="s">
        <v>2708</v>
      </c>
      <c r="B958" s="326" t="s">
        <v>339</v>
      </c>
      <c r="C958" s="329">
        <v>33.0</v>
      </c>
      <c r="D958" s="329">
        <v>99.0</v>
      </c>
    </row>
    <row r="959">
      <c r="A959" s="325" t="s">
        <v>2709</v>
      </c>
      <c r="B959" s="326" t="s">
        <v>363</v>
      </c>
      <c r="C959" s="329">
        <v>33.0</v>
      </c>
      <c r="D959" s="329">
        <v>132.0</v>
      </c>
    </row>
    <row r="960">
      <c r="A960" s="325" t="s">
        <v>2710</v>
      </c>
      <c r="B960" s="326" t="s">
        <v>382</v>
      </c>
      <c r="C960" s="329">
        <v>24.0</v>
      </c>
      <c r="D960" s="329">
        <v>48.0</v>
      </c>
    </row>
    <row r="961">
      <c r="A961" s="325" t="s">
        <v>2711</v>
      </c>
      <c r="B961" s="326" t="s">
        <v>399</v>
      </c>
      <c r="C961" s="329">
        <v>30.0</v>
      </c>
      <c r="D961" s="329">
        <v>90.0</v>
      </c>
    </row>
    <row r="962">
      <c r="A962" s="325" t="s">
        <v>2712</v>
      </c>
      <c r="B962" s="326" t="s">
        <v>419</v>
      </c>
      <c r="C962" s="329">
        <v>13.0</v>
      </c>
      <c r="D962" s="329">
        <v>52.0</v>
      </c>
    </row>
    <row r="963">
      <c r="A963" s="325" t="s">
        <v>2713</v>
      </c>
      <c r="B963" s="326" t="s">
        <v>1269</v>
      </c>
      <c r="C963" s="329">
        <v>30.0</v>
      </c>
      <c r="D963" s="329">
        <v>120.0</v>
      </c>
    </row>
    <row r="964">
      <c r="A964" s="325" t="s">
        <v>2714</v>
      </c>
      <c r="B964" s="326" t="s">
        <v>1271</v>
      </c>
      <c r="C964" s="329">
        <v>13.0</v>
      </c>
      <c r="D964" s="329">
        <v>52.0</v>
      </c>
    </row>
    <row r="965">
      <c r="A965" s="325" t="s">
        <v>2715</v>
      </c>
      <c r="B965" s="326" t="s">
        <v>482</v>
      </c>
      <c r="C965" s="329">
        <v>13.0</v>
      </c>
      <c r="D965" s="329">
        <v>52.0</v>
      </c>
    </row>
    <row r="966">
      <c r="A966" s="325" t="s">
        <v>2716</v>
      </c>
      <c r="B966" s="326" t="s">
        <v>502</v>
      </c>
      <c r="C966" s="329">
        <v>13.0</v>
      </c>
      <c r="D966" s="329">
        <v>52.0</v>
      </c>
    </row>
    <row r="967">
      <c r="A967" s="325" t="s">
        <v>2717</v>
      </c>
      <c r="B967" s="326" t="s">
        <v>1276</v>
      </c>
      <c r="C967" s="329">
        <v>6.0</v>
      </c>
      <c r="D967" s="329">
        <v>24.0</v>
      </c>
    </row>
    <row r="968">
      <c r="A968" s="325" t="s">
        <v>2718</v>
      </c>
      <c r="B968" s="326" t="s">
        <v>395</v>
      </c>
      <c r="C968" s="329">
        <v>66.0</v>
      </c>
      <c r="D968" s="329">
        <v>198.0</v>
      </c>
    </row>
    <row r="969">
      <c r="A969" s="325" t="s">
        <v>2719</v>
      </c>
      <c r="B969" s="326" t="s">
        <v>359</v>
      </c>
      <c r="C969" s="329">
        <v>23.0</v>
      </c>
      <c r="D969" s="329">
        <v>92.0</v>
      </c>
    </row>
    <row r="970">
      <c r="A970" s="325" t="s">
        <v>2720</v>
      </c>
      <c r="B970" s="326" t="s">
        <v>2721</v>
      </c>
      <c r="C970" s="329">
        <v>30.0</v>
      </c>
      <c r="D970" s="329">
        <v>120.0</v>
      </c>
    </row>
    <row r="971">
      <c r="A971" s="325" t="s">
        <v>2722</v>
      </c>
      <c r="B971" s="326" t="s">
        <v>712</v>
      </c>
      <c r="C971" s="329">
        <v>14.0</v>
      </c>
      <c r="D971" s="329">
        <v>56.0</v>
      </c>
    </row>
    <row r="972">
      <c r="A972" s="332"/>
      <c r="B972" s="322"/>
      <c r="C972" s="323"/>
      <c r="D972" s="324"/>
    </row>
    <row r="973">
      <c r="A973" s="321" t="s">
        <v>2723</v>
      </c>
      <c r="B973" s="322"/>
      <c r="C973" s="323"/>
      <c r="D973" s="324"/>
    </row>
    <row r="974">
      <c r="A974" s="325" t="s">
        <v>2724</v>
      </c>
      <c r="B974" s="326" t="s">
        <v>1260</v>
      </c>
      <c r="C974" s="329">
        <v>33.0</v>
      </c>
      <c r="D974" s="329">
        <v>132.0</v>
      </c>
    </row>
    <row r="975">
      <c r="A975" s="325" t="s">
        <v>2725</v>
      </c>
      <c r="B975" s="326" t="s">
        <v>339</v>
      </c>
      <c r="C975" s="329">
        <v>33.0</v>
      </c>
      <c r="D975" s="329">
        <v>99.0</v>
      </c>
    </row>
    <row r="976">
      <c r="A976" s="325" t="s">
        <v>2726</v>
      </c>
      <c r="B976" s="326" t="s">
        <v>363</v>
      </c>
      <c r="C976" s="329">
        <v>33.0</v>
      </c>
      <c r="D976" s="329">
        <v>132.0</v>
      </c>
    </row>
    <row r="977">
      <c r="A977" s="325" t="s">
        <v>2727</v>
      </c>
      <c r="B977" s="326" t="s">
        <v>382</v>
      </c>
      <c r="C977" s="329">
        <v>24.0</v>
      </c>
      <c r="D977" s="329">
        <v>48.0</v>
      </c>
    </row>
    <row r="978">
      <c r="A978" s="325" t="s">
        <v>2728</v>
      </c>
      <c r="B978" s="326" t="s">
        <v>399</v>
      </c>
      <c r="C978" s="329">
        <v>30.0</v>
      </c>
      <c r="D978" s="329">
        <v>90.0</v>
      </c>
    </row>
    <row r="979">
      <c r="A979" s="325" t="s">
        <v>2729</v>
      </c>
      <c r="B979" s="326" t="s">
        <v>419</v>
      </c>
      <c r="C979" s="329">
        <v>13.0</v>
      </c>
      <c r="D979" s="329">
        <v>52.0</v>
      </c>
    </row>
    <row r="980">
      <c r="A980" s="325" t="s">
        <v>2730</v>
      </c>
      <c r="B980" s="326" t="s">
        <v>1269</v>
      </c>
      <c r="C980" s="329">
        <v>30.0</v>
      </c>
      <c r="D980" s="329">
        <v>120.0</v>
      </c>
    </row>
    <row r="981">
      <c r="A981" s="325" t="s">
        <v>2731</v>
      </c>
      <c r="B981" s="326" t="s">
        <v>1271</v>
      </c>
      <c r="C981" s="329">
        <v>13.0</v>
      </c>
      <c r="D981" s="329">
        <v>52.0</v>
      </c>
    </row>
    <row r="982">
      <c r="A982" s="325" t="s">
        <v>2732</v>
      </c>
      <c r="B982" s="326" t="s">
        <v>482</v>
      </c>
      <c r="C982" s="329">
        <v>13.0</v>
      </c>
      <c r="D982" s="329">
        <v>52.0</v>
      </c>
    </row>
    <row r="983">
      <c r="A983" s="325" t="s">
        <v>2733</v>
      </c>
      <c r="B983" s="326" t="s">
        <v>502</v>
      </c>
      <c r="C983" s="329">
        <v>13.0</v>
      </c>
      <c r="D983" s="329">
        <v>52.0</v>
      </c>
    </row>
    <row r="984">
      <c r="A984" s="325" t="s">
        <v>2734</v>
      </c>
      <c r="B984" s="326" t="s">
        <v>1276</v>
      </c>
      <c r="C984" s="329">
        <v>6.0</v>
      </c>
      <c r="D984" s="329">
        <v>24.0</v>
      </c>
    </row>
    <row r="985">
      <c r="A985" s="325" t="s">
        <v>2735</v>
      </c>
      <c r="B985" s="326" t="s">
        <v>395</v>
      </c>
      <c r="C985" s="329">
        <v>66.0</v>
      </c>
      <c r="D985" s="329">
        <v>198.0</v>
      </c>
    </row>
    <row r="986">
      <c r="A986" s="325" t="s">
        <v>2736</v>
      </c>
      <c r="B986" s="326" t="s">
        <v>359</v>
      </c>
      <c r="C986" s="329">
        <v>23.0</v>
      </c>
      <c r="D986" s="329">
        <v>92.0</v>
      </c>
    </row>
    <row r="987">
      <c r="A987" s="325" t="s">
        <v>2737</v>
      </c>
      <c r="B987" s="326" t="s">
        <v>2721</v>
      </c>
      <c r="C987" s="329">
        <v>30.0</v>
      </c>
      <c r="D987" s="329">
        <v>120.0</v>
      </c>
    </row>
    <row r="988">
      <c r="A988" s="325" t="s">
        <v>2738</v>
      </c>
      <c r="B988" s="326" t="s">
        <v>712</v>
      </c>
      <c r="C988" s="329">
        <v>14.0</v>
      </c>
      <c r="D988" s="329">
        <v>56.0</v>
      </c>
    </row>
    <row r="989">
      <c r="A989" s="332"/>
      <c r="B989" s="322"/>
      <c r="C989" s="323"/>
      <c r="D989" s="324"/>
    </row>
    <row r="990">
      <c r="A990" s="321" t="s">
        <v>2739</v>
      </c>
      <c r="B990" s="322"/>
      <c r="C990" s="323"/>
      <c r="D990" s="324"/>
    </row>
    <row r="991">
      <c r="A991" s="325" t="s">
        <v>2740</v>
      </c>
      <c r="B991" s="326" t="s">
        <v>1260</v>
      </c>
      <c r="C991" s="329">
        <v>33.0</v>
      </c>
      <c r="D991" s="329">
        <v>132.0</v>
      </c>
    </row>
    <row r="992">
      <c r="A992" s="325" t="s">
        <v>2741</v>
      </c>
      <c r="B992" s="326" t="s">
        <v>339</v>
      </c>
      <c r="C992" s="329">
        <v>33.0</v>
      </c>
      <c r="D992" s="329">
        <v>99.0</v>
      </c>
    </row>
    <row r="993">
      <c r="A993" s="325" t="s">
        <v>2742</v>
      </c>
      <c r="B993" s="326" t="s">
        <v>363</v>
      </c>
      <c r="C993" s="329">
        <v>33.0</v>
      </c>
      <c r="D993" s="329">
        <v>132.0</v>
      </c>
    </row>
    <row r="994">
      <c r="A994" s="325" t="s">
        <v>2743</v>
      </c>
      <c r="B994" s="326" t="s">
        <v>382</v>
      </c>
      <c r="C994" s="329">
        <v>24.0</v>
      </c>
      <c r="D994" s="328">
        <v>48.0</v>
      </c>
    </row>
    <row r="995">
      <c r="A995" s="325" t="s">
        <v>2744</v>
      </c>
      <c r="B995" s="326" t="s">
        <v>399</v>
      </c>
      <c r="C995" s="329">
        <v>30.0</v>
      </c>
      <c r="D995" s="328">
        <v>90.0</v>
      </c>
    </row>
    <row r="996">
      <c r="A996" s="325" t="s">
        <v>2745</v>
      </c>
      <c r="B996" s="326" t="s">
        <v>419</v>
      </c>
      <c r="C996" s="329">
        <v>13.0</v>
      </c>
      <c r="D996" s="329">
        <v>52.0</v>
      </c>
    </row>
    <row r="997">
      <c r="A997" s="325" t="s">
        <v>2746</v>
      </c>
      <c r="B997" s="326" t="s">
        <v>1269</v>
      </c>
      <c r="C997" s="329">
        <v>30.0</v>
      </c>
      <c r="D997" s="329">
        <v>120.0</v>
      </c>
    </row>
    <row r="998">
      <c r="A998" s="325" t="s">
        <v>2747</v>
      </c>
      <c r="B998" s="326" t="s">
        <v>1271</v>
      </c>
      <c r="C998" s="329">
        <v>13.0</v>
      </c>
      <c r="D998" s="329">
        <v>52.0</v>
      </c>
    </row>
    <row r="999">
      <c r="A999" s="325" t="s">
        <v>2748</v>
      </c>
      <c r="B999" s="326" t="s">
        <v>482</v>
      </c>
      <c r="C999" s="329">
        <v>13.0</v>
      </c>
      <c r="D999" s="329">
        <v>52.0</v>
      </c>
    </row>
    <row r="1000">
      <c r="A1000" s="325" t="s">
        <v>2749</v>
      </c>
      <c r="B1000" s="326" t="s">
        <v>502</v>
      </c>
      <c r="C1000" s="329">
        <v>13.0</v>
      </c>
      <c r="D1000" s="329">
        <v>52.0</v>
      </c>
    </row>
    <row r="1001">
      <c r="A1001" s="325" t="s">
        <v>2750</v>
      </c>
      <c r="B1001" s="326" t="s">
        <v>1276</v>
      </c>
      <c r="C1001" s="329">
        <v>6.0</v>
      </c>
      <c r="D1001" s="329">
        <v>24.0</v>
      </c>
    </row>
    <row r="1002">
      <c r="A1002" s="325" t="s">
        <v>2751</v>
      </c>
      <c r="B1002" s="326" t="s">
        <v>395</v>
      </c>
      <c r="C1002" s="329">
        <v>66.0</v>
      </c>
      <c r="D1002" s="329">
        <v>198.0</v>
      </c>
    </row>
    <row r="1003">
      <c r="A1003" s="325" t="s">
        <v>2752</v>
      </c>
      <c r="B1003" s="326" t="s">
        <v>359</v>
      </c>
      <c r="C1003" s="329">
        <v>23.0</v>
      </c>
      <c r="D1003" s="329">
        <v>92.0</v>
      </c>
    </row>
    <row r="1004">
      <c r="A1004" s="325" t="s">
        <v>2753</v>
      </c>
      <c r="B1004" s="326" t="s">
        <v>2721</v>
      </c>
      <c r="C1004" s="329">
        <v>30.0</v>
      </c>
      <c r="D1004" s="329">
        <v>120.0</v>
      </c>
    </row>
    <row r="1005">
      <c r="A1005" s="325" t="s">
        <v>2754</v>
      </c>
      <c r="B1005" s="326" t="s">
        <v>712</v>
      </c>
      <c r="C1005" s="329">
        <v>14.0</v>
      </c>
      <c r="D1005" s="329">
        <v>56.0</v>
      </c>
    </row>
    <row r="1006">
      <c r="A1006" s="332"/>
      <c r="B1006" s="322"/>
      <c r="C1006" s="323"/>
      <c r="D1006" s="324"/>
    </row>
    <row r="1007">
      <c r="A1007" s="321" t="s">
        <v>2755</v>
      </c>
      <c r="B1007" s="322"/>
      <c r="C1007" s="323"/>
      <c r="D1007" s="324"/>
    </row>
    <row r="1008">
      <c r="A1008" s="325" t="s">
        <v>2756</v>
      </c>
      <c r="B1008" s="326" t="s">
        <v>1260</v>
      </c>
      <c r="C1008" s="329">
        <v>33.0</v>
      </c>
      <c r="D1008" s="329">
        <v>132.0</v>
      </c>
    </row>
    <row r="1009">
      <c r="A1009" s="325" t="s">
        <v>2757</v>
      </c>
      <c r="B1009" s="326" t="s">
        <v>339</v>
      </c>
      <c r="C1009" s="329">
        <v>33.0</v>
      </c>
      <c r="D1009" s="329">
        <v>99.0</v>
      </c>
    </row>
    <row r="1010">
      <c r="A1010" s="325" t="s">
        <v>2758</v>
      </c>
      <c r="B1010" s="326" t="s">
        <v>363</v>
      </c>
      <c r="C1010" s="329">
        <v>33.0</v>
      </c>
      <c r="D1010" s="329">
        <v>132.0</v>
      </c>
    </row>
    <row r="1011">
      <c r="A1011" s="325" t="s">
        <v>2759</v>
      </c>
      <c r="B1011" s="326" t="s">
        <v>382</v>
      </c>
      <c r="C1011" s="329">
        <v>24.0</v>
      </c>
      <c r="D1011" s="328">
        <v>48.0</v>
      </c>
    </row>
    <row r="1012">
      <c r="A1012" s="325" t="s">
        <v>2760</v>
      </c>
      <c r="B1012" s="326" t="s">
        <v>399</v>
      </c>
      <c r="C1012" s="329">
        <v>30.0</v>
      </c>
      <c r="D1012" s="328">
        <v>90.0</v>
      </c>
    </row>
    <row r="1013">
      <c r="A1013" s="325" t="s">
        <v>2761</v>
      </c>
      <c r="B1013" s="326" t="s">
        <v>419</v>
      </c>
      <c r="C1013" s="329">
        <v>13.0</v>
      </c>
      <c r="D1013" s="329">
        <v>52.0</v>
      </c>
    </row>
    <row r="1014">
      <c r="A1014" s="325" t="s">
        <v>2762</v>
      </c>
      <c r="B1014" s="326" t="s">
        <v>1269</v>
      </c>
      <c r="C1014" s="329">
        <v>30.0</v>
      </c>
      <c r="D1014" s="329">
        <v>120.0</v>
      </c>
    </row>
    <row r="1015">
      <c r="A1015" s="325" t="s">
        <v>2763</v>
      </c>
      <c r="B1015" s="326" t="s">
        <v>1271</v>
      </c>
      <c r="C1015" s="329">
        <v>13.0</v>
      </c>
      <c r="D1015" s="329">
        <v>52.0</v>
      </c>
    </row>
    <row r="1016">
      <c r="A1016" s="325" t="s">
        <v>2764</v>
      </c>
      <c r="B1016" s="326" t="s">
        <v>482</v>
      </c>
      <c r="C1016" s="329">
        <v>13.0</v>
      </c>
      <c r="D1016" s="329">
        <v>52.0</v>
      </c>
    </row>
    <row r="1017">
      <c r="A1017" s="325" t="s">
        <v>2765</v>
      </c>
      <c r="B1017" s="326" t="s">
        <v>502</v>
      </c>
      <c r="C1017" s="329">
        <v>13.0</v>
      </c>
      <c r="D1017" s="329">
        <v>52.0</v>
      </c>
    </row>
    <row r="1018">
      <c r="A1018" s="325" t="s">
        <v>2766</v>
      </c>
      <c r="B1018" s="326" t="s">
        <v>1276</v>
      </c>
      <c r="C1018" s="329">
        <v>6.0</v>
      </c>
      <c r="D1018" s="329">
        <v>24.0</v>
      </c>
    </row>
    <row r="1019">
      <c r="A1019" s="325" t="s">
        <v>2767</v>
      </c>
      <c r="B1019" s="326" t="s">
        <v>395</v>
      </c>
      <c r="C1019" s="329">
        <v>66.0</v>
      </c>
      <c r="D1019" s="329">
        <v>198.0</v>
      </c>
    </row>
    <row r="1020">
      <c r="A1020" s="325" t="s">
        <v>2768</v>
      </c>
      <c r="B1020" s="326" t="s">
        <v>359</v>
      </c>
      <c r="C1020" s="329">
        <v>23.0</v>
      </c>
      <c r="D1020" s="329">
        <v>92.0</v>
      </c>
    </row>
    <row r="1021">
      <c r="A1021" s="325" t="s">
        <v>2769</v>
      </c>
      <c r="B1021" s="326" t="s">
        <v>2721</v>
      </c>
      <c r="C1021" s="329">
        <v>30.0</v>
      </c>
      <c r="D1021" s="329">
        <v>120.0</v>
      </c>
    </row>
    <row r="1022">
      <c r="A1022" s="325" t="s">
        <v>2770</v>
      </c>
      <c r="B1022" s="326" t="s">
        <v>712</v>
      </c>
      <c r="C1022" s="329">
        <v>14.0</v>
      </c>
      <c r="D1022" s="329">
        <v>56.0</v>
      </c>
    </row>
    <row r="1023">
      <c r="A1023" s="332"/>
      <c r="B1023" s="322"/>
      <c r="C1023" s="323"/>
      <c r="D1023" s="324"/>
    </row>
    <row r="1024">
      <c r="A1024" s="321" t="s">
        <v>2771</v>
      </c>
      <c r="B1024" s="322"/>
      <c r="C1024" s="323"/>
      <c r="D1024" s="324"/>
    </row>
    <row r="1025">
      <c r="A1025" s="325" t="s">
        <v>2772</v>
      </c>
      <c r="B1025" s="326" t="s">
        <v>1260</v>
      </c>
      <c r="C1025" s="329">
        <v>33.0</v>
      </c>
      <c r="D1025" s="329">
        <v>132.0</v>
      </c>
    </row>
    <row r="1026">
      <c r="A1026" s="325" t="s">
        <v>2773</v>
      </c>
      <c r="B1026" s="326" t="s">
        <v>339</v>
      </c>
      <c r="C1026" s="329">
        <v>33.0</v>
      </c>
      <c r="D1026" s="329">
        <v>99.0</v>
      </c>
    </row>
    <row r="1027">
      <c r="A1027" s="325" t="s">
        <v>2774</v>
      </c>
      <c r="B1027" s="326" t="s">
        <v>363</v>
      </c>
      <c r="C1027" s="329">
        <v>33.0</v>
      </c>
      <c r="D1027" s="329">
        <v>132.0</v>
      </c>
    </row>
    <row r="1028">
      <c r="A1028" s="325" t="s">
        <v>2775</v>
      </c>
      <c r="B1028" s="326" t="s">
        <v>382</v>
      </c>
      <c r="C1028" s="329">
        <v>24.0</v>
      </c>
      <c r="D1028" s="329">
        <v>48.0</v>
      </c>
    </row>
    <row r="1029">
      <c r="A1029" s="325" t="s">
        <v>2776</v>
      </c>
      <c r="B1029" s="326" t="s">
        <v>399</v>
      </c>
      <c r="C1029" s="329">
        <v>30.0</v>
      </c>
      <c r="D1029" s="329">
        <v>90.0</v>
      </c>
    </row>
    <row r="1030">
      <c r="A1030" s="325" t="s">
        <v>2777</v>
      </c>
      <c r="B1030" s="326" t="s">
        <v>419</v>
      </c>
      <c r="C1030" s="329">
        <v>13.0</v>
      </c>
      <c r="D1030" s="329">
        <v>52.0</v>
      </c>
    </row>
    <row r="1031">
      <c r="A1031" s="325" t="s">
        <v>2778</v>
      </c>
      <c r="B1031" s="326" t="s">
        <v>1269</v>
      </c>
      <c r="C1031" s="329">
        <v>30.0</v>
      </c>
      <c r="D1031" s="329">
        <v>120.0</v>
      </c>
    </row>
    <row r="1032">
      <c r="A1032" s="325" t="s">
        <v>2779</v>
      </c>
      <c r="B1032" s="326" t="s">
        <v>1271</v>
      </c>
      <c r="C1032" s="329">
        <v>13.0</v>
      </c>
      <c r="D1032" s="329">
        <v>52.0</v>
      </c>
    </row>
    <row r="1033">
      <c r="A1033" s="325" t="s">
        <v>2780</v>
      </c>
      <c r="B1033" s="326" t="s">
        <v>482</v>
      </c>
      <c r="C1033" s="329">
        <v>13.0</v>
      </c>
      <c r="D1033" s="329">
        <v>52.0</v>
      </c>
    </row>
    <row r="1034">
      <c r="A1034" s="325" t="s">
        <v>2781</v>
      </c>
      <c r="B1034" s="326" t="s">
        <v>502</v>
      </c>
      <c r="C1034" s="329">
        <v>13.0</v>
      </c>
      <c r="D1034" s="329">
        <v>52.0</v>
      </c>
    </row>
    <row r="1035">
      <c r="A1035" s="325" t="s">
        <v>2782</v>
      </c>
      <c r="B1035" s="326" t="s">
        <v>1276</v>
      </c>
      <c r="C1035" s="329">
        <v>6.0</v>
      </c>
      <c r="D1035" s="329">
        <v>24.0</v>
      </c>
    </row>
    <row r="1036">
      <c r="A1036" s="325" t="s">
        <v>2783</v>
      </c>
      <c r="B1036" s="326" t="s">
        <v>395</v>
      </c>
      <c r="C1036" s="329">
        <v>66.0</v>
      </c>
      <c r="D1036" s="329">
        <v>198.0</v>
      </c>
    </row>
    <row r="1037">
      <c r="A1037" s="325" t="s">
        <v>2784</v>
      </c>
      <c r="B1037" s="326" t="s">
        <v>359</v>
      </c>
      <c r="C1037" s="329">
        <v>23.0</v>
      </c>
      <c r="D1037" s="329">
        <v>92.0</v>
      </c>
    </row>
    <row r="1038">
      <c r="A1038" s="325" t="s">
        <v>2785</v>
      </c>
      <c r="B1038" s="326" t="s">
        <v>2721</v>
      </c>
      <c r="C1038" s="329">
        <v>30.0</v>
      </c>
      <c r="D1038" s="329">
        <v>120.0</v>
      </c>
    </row>
    <row r="1039">
      <c r="A1039" s="325" t="s">
        <v>2786</v>
      </c>
      <c r="B1039" s="326" t="s">
        <v>712</v>
      </c>
      <c r="C1039" s="329">
        <v>14.0</v>
      </c>
      <c r="D1039" s="329">
        <v>56.0</v>
      </c>
    </row>
    <row r="1040">
      <c r="A1040" s="330"/>
      <c r="B1040" s="331"/>
      <c r="C1040" s="323"/>
      <c r="D1040" s="324"/>
    </row>
    <row r="1041">
      <c r="A1041" s="321" t="s">
        <v>2787</v>
      </c>
      <c r="B1041" s="322"/>
      <c r="C1041" s="323"/>
      <c r="D1041" s="324"/>
    </row>
    <row r="1042">
      <c r="A1042" s="325" t="s">
        <v>1284</v>
      </c>
      <c r="B1042" s="326" t="s">
        <v>773</v>
      </c>
      <c r="C1042" s="329">
        <v>48.0</v>
      </c>
      <c r="D1042" s="329">
        <v>192.0</v>
      </c>
    </row>
    <row r="1043">
      <c r="A1043" s="336" t="s">
        <v>1285</v>
      </c>
      <c r="B1043" s="281" t="s">
        <v>748</v>
      </c>
      <c r="C1043" s="327">
        <v>33.0</v>
      </c>
      <c r="D1043" s="329">
        <v>132.0</v>
      </c>
    </row>
    <row r="1044">
      <c r="A1044" s="325" t="s">
        <v>1286</v>
      </c>
      <c r="B1044" s="326" t="s">
        <v>748</v>
      </c>
      <c r="C1044" s="329">
        <v>33.0</v>
      </c>
      <c r="D1044" s="329">
        <v>132.0</v>
      </c>
    </row>
    <row r="1045">
      <c r="A1045" s="325" t="s">
        <v>1288</v>
      </c>
      <c r="B1045" s="326" t="s">
        <v>777</v>
      </c>
      <c r="C1045" s="329">
        <v>60.0</v>
      </c>
      <c r="D1045" s="329">
        <v>240.0</v>
      </c>
    </row>
    <row r="1046">
      <c r="A1046" s="325" t="s">
        <v>1289</v>
      </c>
      <c r="B1046" s="326" t="s">
        <v>382</v>
      </c>
      <c r="C1046" s="329">
        <v>30.0</v>
      </c>
      <c r="D1046" s="329">
        <v>120.0</v>
      </c>
    </row>
    <row r="1047">
      <c r="A1047" s="325" t="s">
        <v>1290</v>
      </c>
      <c r="B1047" s="326" t="s">
        <v>399</v>
      </c>
      <c r="C1047" s="329">
        <v>33.0</v>
      </c>
      <c r="D1047" s="329">
        <v>132.0</v>
      </c>
    </row>
    <row r="1048">
      <c r="A1048" s="325" t="s">
        <v>1292</v>
      </c>
      <c r="B1048" s="326" t="s">
        <v>781</v>
      </c>
      <c r="C1048" s="329">
        <v>33.0</v>
      </c>
      <c r="D1048" s="329">
        <v>132.0</v>
      </c>
    </row>
    <row r="1049">
      <c r="A1049" s="325" t="s">
        <v>1295</v>
      </c>
      <c r="B1049" s="326" t="s">
        <v>1296</v>
      </c>
      <c r="C1049" s="329">
        <v>13.0</v>
      </c>
      <c r="D1049" s="329">
        <v>52.0</v>
      </c>
    </row>
    <row r="1050">
      <c r="A1050" s="325" t="s">
        <v>1298</v>
      </c>
      <c r="B1050" s="326" t="s">
        <v>1269</v>
      </c>
      <c r="C1050" s="329">
        <v>30.0</v>
      </c>
      <c r="D1050" s="329">
        <v>120.0</v>
      </c>
    </row>
    <row r="1051">
      <c r="A1051" s="325" t="s">
        <v>1301</v>
      </c>
      <c r="B1051" s="326" t="s">
        <v>1302</v>
      </c>
      <c r="C1051" s="329">
        <v>13.0</v>
      </c>
      <c r="D1051" s="329">
        <v>52.0</v>
      </c>
    </row>
    <row r="1052">
      <c r="A1052" s="325" t="s">
        <v>1307</v>
      </c>
      <c r="B1052" s="326" t="s">
        <v>734</v>
      </c>
      <c r="C1052" s="329">
        <v>6.0</v>
      </c>
      <c r="D1052" s="329">
        <v>24.0</v>
      </c>
    </row>
    <row r="1053">
      <c r="A1053" s="325" t="s">
        <v>1308</v>
      </c>
      <c r="B1053" s="326" t="s">
        <v>395</v>
      </c>
      <c r="C1053" s="329">
        <v>66.0</v>
      </c>
      <c r="D1053" s="329">
        <v>264.0</v>
      </c>
    </row>
    <row r="1054">
      <c r="A1054" s="325" t="s">
        <v>1311</v>
      </c>
      <c r="B1054" s="326" t="s">
        <v>359</v>
      </c>
      <c r="C1054" s="329">
        <v>23.0</v>
      </c>
      <c r="D1054" s="329">
        <v>92.0</v>
      </c>
    </row>
    <row r="1055">
      <c r="A1055" s="325" t="s">
        <v>1313</v>
      </c>
      <c r="B1055" s="326" t="s">
        <v>710</v>
      </c>
      <c r="C1055" s="329">
        <v>30.0</v>
      </c>
      <c r="D1055" s="329">
        <v>120.0</v>
      </c>
    </row>
    <row r="1056">
      <c r="A1056" s="325" t="s">
        <v>1314</v>
      </c>
      <c r="B1056" s="326" t="s">
        <v>601</v>
      </c>
      <c r="C1056" s="329">
        <v>30.0</v>
      </c>
      <c r="D1056" s="329">
        <v>120.0</v>
      </c>
    </row>
    <row r="1057">
      <c r="A1057" s="325" t="s">
        <v>1315</v>
      </c>
      <c r="B1057" s="326" t="s">
        <v>712</v>
      </c>
      <c r="C1057" s="329">
        <v>14.0</v>
      </c>
      <c r="D1057" s="329">
        <v>56.0</v>
      </c>
    </row>
    <row r="1058">
      <c r="A1058" s="325" t="s">
        <v>1316</v>
      </c>
      <c r="B1058" s="326" t="s">
        <v>744</v>
      </c>
      <c r="C1058" s="329">
        <v>14.0</v>
      </c>
      <c r="D1058" s="329">
        <v>56.0</v>
      </c>
    </row>
    <row r="1059">
      <c r="A1059" s="330"/>
      <c r="B1059" s="331"/>
      <c r="C1059" s="323"/>
      <c r="D1059" s="324"/>
    </row>
    <row r="1060">
      <c r="A1060" s="321" t="s">
        <v>2790</v>
      </c>
      <c r="B1060" s="322"/>
      <c r="C1060" s="323"/>
      <c r="D1060" s="324"/>
    </row>
    <row r="1061">
      <c r="A1061" s="325" t="s">
        <v>2791</v>
      </c>
      <c r="B1061" s="326" t="s">
        <v>773</v>
      </c>
      <c r="C1061" s="329">
        <v>48.0</v>
      </c>
      <c r="D1061" s="329">
        <v>192.0</v>
      </c>
    </row>
    <row r="1062">
      <c r="A1062" s="280" t="s">
        <v>2792</v>
      </c>
      <c r="B1062" s="281" t="s">
        <v>748</v>
      </c>
      <c r="C1062" s="329">
        <v>33.0</v>
      </c>
      <c r="D1062" s="329">
        <v>132.0</v>
      </c>
    </row>
    <row r="1063">
      <c r="A1063" s="325" t="s">
        <v>2793</v>
      </c>
      <c r="B1063" s="326" t="s">
        <v>748</v>
      </c>
      <c r="C1063" s="329">
        <v>33.0</v>
      </c>
      <c r="D1063" s="329">
        <v>132.0</v>
      </c>
    </row>
    <row r="1064">
      <c r="A1064" s="325" t="s">
        <v>2794</v>
      </c>
      <c r="B1064" s="326" t="s">
        <v>777</v>
      </c>
      <c r="C1064" s="329">
        <v>60.0</v>
      </c>
      <c r="D1064" s="329">
        <v>240.0</v>
      </c>
    </row>
    <row r="1065">
      <c r="A1065" s="325" t="s">
        <v>2797</v>
      </c>
      <c r="B1065" s="326" t="s">
        <v>382</v>
      </c>
      <c r="C1065" s="329">
        <v>30.0</v>
      </c>
      <c r="D1065" s="329">
        <v>120.0</v>
      </c>
    </row>
    <row r="1066">
      <c r="A1066" s="325" t="s">
        <v>2799</v>
      </c>
      <c r="B1066" s="326" t="s">
        <v>399</v>
      </c>
      <c r="C1066" s="329">
        <v>33.0</v>
      </c>
      <c r="D1066" s="329">
        <v>132.0</v>
      </c>
    </row>
    <row r="1067">
      <c r="A1067" s="325" t="s">
        <v>2801</v>
      </c>
      <c r="B1067" s="326" t="s">
        <v>781</v>
      </c>
      <c r="C1067" s="329">
        <v>33.0</v>
      </c>
      <c r="D1067" s="329">
        <v>132.0</v>
      </c>
    </row>
    <row r="1068">
      <c r="A1068" s="325" t="s">
        <v>2802</v>
      </c>
      <c r="B1068" s="326" t="s">
        <v>1296</v>
      </c>
      <c r="C1068" s="329">
        <v>13.0</v>
      </c>
      <c r="D1068" s="329">
        <v>52.0</v>
      </c>
    </row>
    <row r="1069">
      <c r="A1069" s="325" t="s">
        <v>2803</v>
      </c>
      <c r="B1069" s="326" t="s">
        <v>1269</v>
      </c>
      <c r="C1069" s="329">
        <v>30.0</v>
      </c>
      <c r="D1069" s="329">
        <v>120.0</v>
      </c>
    </row>
    <row r="1070">
      <c r="A1070" s="325" t="s">
        <v>2804</v>
      </c>
      <c r="B1070" s="326" t="s">
        <v>1302</v>
      </c>
      <c r="C1070" s="329">
        <v>13.0</v>
      </c>
      <c r="D1070" s="329">
        <v>52.0</v>
      </c>
    </row>
    <row r="1071">
      <c r="A1071" s="325" t="s">
        <v>2806</v>
      </c>
      <c r="B1071" s="326" t="s">
        <v>734</v>
      </c>
      <c r="C1071" s="329">
        <v>6.0</v>
      </c>
      <c r="D1071" s="329">
        <v>24.0</v>
      </c>
    </row>
    <row r="1072">
      <c r="A1072" s="325" t="s">
        <v>2807</v>
      </c>
      <c r="B1072" s="326" t="s">
        <v>395</v>
      </c>
      <c r="C1072" s="329">
        <v>66.0</v>
      </c>
      <c r="D1072" s="329">
        <v>264.0</v>
      </c>
    </row>
    <row r="1073">
      <c r="A1073" s="325" t="s">
        <v>2808</v>
      </c>
      <c r="B1073" s="326" t="s">
        <v>359</v>
      </c>
      <c r="C1073" s="329">
        <v>23.0</v>
      </c>
      <c r="D1073" s="329">
        <v>92.0</v>
      </c>
    </row>
    <row r="1074">
      <c r="A1074" s="325" t="s">
        <v>2809</v>
      </c>
      <c r="B1074" s="326" t="s">
        <v>710</v>
      </c>
      <c r="C1074" s="329">
        <v>30.0</v>
      </c>
      <c r="D1074" s="329">
        <v>120.0</v>
      </c>
    </row>
    <row r="1075">
      <c r="A1075" s="325" t="s">
        <v>2810</v>
      </c>
      <c r="B1075" s="326" t="s">
        <v>601</v>
      </c>
      <c r="C1075" s="329">
        <v>30.0</v>
      </c>
      <c r="D1075" s="329">
        <v>120.0</v>
      </c>
    </row>
    <row r="1076">
      <c r="A1076" s="325" t="s">
        <v>2811</v>
      </c>
      <c r="B1076" s="326" t="s">
        <v>712</v>
      </c>
      <c r="C1076" s="329">
        <v>14.0</v>
      </c>
      <c r="D1076" s="329">
        <v>56.0</v>
      </c>
    </row>
    <row r="1077">
      <c r="A1077" s="325" t="s">
        <v>2812</v>
      </c>
      <c r="B1077" s="326" t="s">
        <v>744</v>
      </c>
      <c r="C1077" s="329">
        <v>14.0</v>
      </c>
      <c r="D1077" s="329">
        <v>56.0</v>
      </c>
    </row>
    <row r="1078">
      <c r="A1078" s="332"/>
      <c r="B1078" s="322"/>
      <c r="C1078" s="323"/>
      <c r="D1078" s="324"/>
    </row>
    <row r="1079">
      <c r="A1079" s="321" t="s">
        <v>2813</v>
      </c>
      <c r="B1079" s="322"/>
      <c r="C1079" s="323"/>
      <c r="D1079" s="324"/>
    </row>
    <row r="1080">
      <c r="A1080" s="325" t="s">
        <v>2814</v>
      </c>
      <c r="B1080" s="326" t="s">
        <v>773</v>
      </c>
      <c r="C1080" s="329">
        <v>48.0</v>
      </c>
      <c r="D1080" s="329">
        <v>192.0</v>
      </c>
    </row>
    <row r="1081">
      <c r="A1081" s="280" t="s">
        <v>2815</v>
      </c>
      <c r="B1081" s="281" t="s">
        <v>748</v>
      </c>
      <c r="C1081" s="329">
        <v>33.0</v>
      </c>
      <c r="D1081" s="329">
        <v>132.0</v>
      </c>
    </row>
    <row r="1082">
      <c r="A1082" s="325" t="s">
        <v>2816</v>
      </c>
      <c r="B1082" s="326" t="s">
        <v>748</v>
      </c>
      <c r="C1082" s="329">
        <v>33.0</v>
      </c>
      <c r="D1082" s="329">
        <v>132.0</v>
      </c>
    </row>
    <row r="1083">
      <c r="A1083" s="325" t="s">
        <v>2817</v>
      </c>
      <c r="B1083" s="326" t="s">
        <v>777</v>
      </c>
      <c r="C1083" s="329">
        <v>60.0</v>
      </c>
      <c r="D1083" s="329">
        <v>240.0</v>
      </c>
    </row>
    <row r="1084">
      <c r="A1084" s="325" t="s">
        <v>2818</v>
      </c>
      <c r="B1084" s="326" t="s">
        <v>382</v>
      </c>
      <c r="C1084" s="329">
        <v>30.0</v>
      </c>
      <c r="D1084" s="329">
        <v>120.0</v>
      </c>
    </row>
    <row r="1085">
      <c r="A1085" s="325" t="s">
        <v>2819</v>
      </c>
      <c r="B1085" s="326" t="s">
        <v>399</v>
      </c>
      <c r="C1085" s="329">
        <v>33.0</v>
      </c>
      <c r="D1085" s="329">
        <v>132.0</v>
      </c>
    </row>
    <row r="1086">
      <c r="A1086" s="325" t="s">
        <v>2820</v>
      </c>
      <c r="B1086" s="326" t="s">
        <v>781</v>
      </c>
      <c r="C1086" s="329">
        <v>33.0</v>
      </c>
      <c r="D1086" s="329">
        <v>132.0</v>
      </c>
    </row>
    <row r="1087">
      <c r="A1087" s="325" t="s">
        <v>2821</v>
      </c>
      <c r="B1087" s="326" t="s">
        <v>1296</v>
      </c>
      <c r="C1087" s="329">
        <v>13.0</v>
      </c>
      <c r="D1087" s="329">
        <v>52.0</v>
      </c>
    </row>
    <row r="1088">
      <c r="A1088" s="325" t="s">
        <v>2822</v>
      </c>
      <c r="B1088" s="326" t="s">
        <v>1269</v>
      </c>
      <c r="C1088" s="329">
        <v>30.0</v>
      </c>
      <c r="D1088" s="329">
        <v>120.0</v>
      </c>
    </row>
    <row r="1089">
      <c r="A1089" s="325" t="s">
        <v>2823</v>
      </c>
      <c r="B1089" s="326" t="s">
        <v>1302</v>
      </c>
      <c r="C1089" s="329">
        <v>13.0</v>
      </c>
      <c r="D1089" s="329">
        <v>52.0</v>
      </c>
    </row>
    <row r="1090">
      <c r="A1090" s="325" t="s">
        <v>2824</v>
      </c>
      <c r="B1090" s="326" t="s">
        <v>734</v>
      </c>
      <c r="C1090" s="329">
        <v>6.0</v>
      </c>
      <c r="D1090" s="329">
        <v>24.0</v>
      </c>
    </row>
    <row r="1091">
      <c r="A1091" s="325" t="s">
        <v>2825</v>
      </c>
      <c r="B1091" s="326" t="s">
        <v>395</v>
      </c>
      <c r="C1091" s="329">
        <v>66.0</v>
      </c>
      <c r="D1091" s="329">
        <v>264.0</v>
      </c>
    </row>
    <row r="1092">
      <c r="A1092" s="325" t="s">
        <v>2826</v>
      </c>
      <c r="B1092" s="326" t="s">
        <v>359</v>
      </c>
      <c r="C1092" s="329">
        <v>23.0</v>
      </c>
      <c r="D1092" s="329">
        <v>92.0</v>
      </c>
    </row>
    <row r="1093">
      <c r="A1093" s="325" t="s">
        <v>2827</v>
      </c>
      <c r="B1093" s="326" t="s">
        <v>710</v>
      </c>
      <c r="C1093" s="329">
        <v>30.0</v>
      </c>
      <c r="D1093" s="329">
        <v>120.0</v>
      </c>
    </row>
    <row r="1094">
      <c r="A1094" s="325" t="s">
        <v>2828</v>
      </c>
      <c r="B1094" s="326" t="s">
        <v>601</v>
      </c>
      <c r="C1094" s="329">
        <v>30.0</v>
      </c>
      <c r="D1094" s="329">
        <v>120.0</v>
      </c>
    </row>
    <row r="1095">
      <c r="A1095" s="325" t="s">
        <v>2829</v>
      </c>
      <c r="B1095" s="326" t="s">
        <v>712</v>
      </c>
      <c r="C1095" s="329">
        <v>14.0</v>
      </c>
      <c r="D1095" s="329">
        <v>56.0</v>
      </c>
    </row>
    <row r="1096">
      <c r="A1096" s="325" t="s">
        <v>2830</v>
      </c>
      <c r="B1096" s="326" t="s">
        <v>744</v>
      </c>
      <c r="C1096" s="329">
        <v>14.0</v>
      </c>
      <c r="D1096" s="329">
        <v>56.0</v>
      </c>
    </row>
    <row r="1097">
      <c r="A1097" s="332"/>
      <c r="B1097" s="322"/>
      <c r="C1097" s="323"/>
      <c r="D1097" s="324"/>
    </row>
    <row r="1098">
      <c r="A1098" s="321" t="s">
        <v>2831</v>
      </c>
      <c r="B1098" s="322"/>
      <c r="C1098" s="323"/>
      <c r="D1098" s="324"/>
    </row>
    <row r="1099">
      <c r="A1099" s="325" t="s">
        <v>2832</v>
      </c>
      <c r="B1099" s="326" t="s">
        <v>773</v>
      </c>
      <c r="C1099" s="329">
        <v>48.0</v>
      </c>
      <c r="D1099" s="329">
        <v>192.0</v>
      </c>
    </row>
    <row r="1100">
      <c r="A1100" s="280" t="s">
        <v>2833</v>
      </c>
      <c r="B1100" s="281" t="s">
        <v>748</v>
      </c>
      <c r="C1100" s="329">
        <v>33.0</v>
      </c>
      <c r="D1100" s="329">
        <v>132.0</v>
      </c>
    </row>
    <row r="1101">
      <c r="A1101" s="325" t="s">
        <v>2834</v>
      </c>
      <c r="B1101" s="326" t="s">
        <v>748</v>
      </c>
      <c r="C1101" s="329">
        <v>33.0</v>
      </c>
      <c r="D1101" s="329">
        <v>132.0</v>
      </c>
    </row>
    <row r="1102">
      <c r="A1102" s="325" t="s">
        <v>2835</v>
      </c>
      <c r="B1102" s="326" t="s">
        <v>777</v>
      </c>
      <c r="C1102" s="329">
        <v>60.0</v>
      </c>
      <c r="D1102" s="329">
        <v>240.0</v>
      </c>
    </row>
    <row r="1103">
      <c r="A1103" s="325" t="s">
        <v>2836</v>
      </c>
      <c r="B1103" s="326" t="s">
        <v>382</v>
      </c>
      <c r="C1103" s="329">
        <v>30.0</v>
      </c>
      <c r="D1103" s="329">
        <v>120.0</v>
      </c>
    </row>
    <row r="1104">
      <c r="A1104" s="325" t="s">
        <v>2837</v>
      </c>
      <c r="B1104" s="326" t="s">
        <v>399</v>
      </c>
      <c r="C1104" s="329">
        <v>33.0</v>
      </c>
      <c r="D1104" s="329">
        <v>132.0</v>
      </c>
    </row>
    <row r="1105">
      <c r="A1105" s="325" t="s">
        <v>2838</v>
      </c>
      <c r="B1105" s="326" t="s">
        <v>781</v>
      </c>
      <c r="C1105" s="329">
        <v>33.0</v>
      </c>
      <c r="D1105" s="329">
        <v>132.0</v>
      </c>
    </row>
    <row r="1106">
      <c r="A1106" s="325" t="s">
        <v>2839</v>
      </c>
      <c r="B1106" s="326" t="s">
        <v>1296</v>
      </c>
      <c r="C1106" s="329">
        <v>13.0</v>
      </c>
      <c r="D1106" s="329">
        <v>52.0</v>
      </c>
    </row>
    <row r="1107">
      <c r="A1107" s="325" t="s">
        <v>2841</v>
      </c>
      <c r="B1107" s="326" t="s">
        <v>1269</v>
      </c>
      <c r="C1107" s="329">
        <v>30.0</v>
      </c>
      <c r="D1107" s="329">
        <v>120.0</v>
      </c>
    </row>
    <row r="1108">
      <c r="A1108" s="325" t="s">
        <v>2842</v>
      </c>
      <c r="B1108" s="326" t="s">
        <v>1302</v>
      </c>
      <c r="C1108" s="329">
        <v>13.0</v>
      </c>
      <c r="D1108" s="329">
        <v>52.0</v>
      </c>
    </row>
    <row r="1109">
      <c r="A1109" s="325" t="s">
        <v>2843</v>
      </c>
      <c r="B1109" s="326" t="s">
        <v>734</v>
      </c>
      <c r="C1109" s="329">
        <v>6.0</v>
      </c>
      <c r="D1109" s="329">
        <v>24.0</v>
      </c>
    </row>
    <row r="1110">
      <c r="A1110" s="325" t="s">
        <v>2845</v>
      </c>
      <c r="B1110" s="326" t="s">
        <v>395</v>
      </c>
      <c r="C1110" s="329">
        <v>66.0</v>
      </c>
      <c r="D1110" s="329">
        <v>264.0</v>
      </c>
    </row>
    <row r="1111">
      <c r="A1111" s="325" t="s">
        <v>2849</v>
      </c>
      <c r="B1111" s="326" t="s">
        <v>359</v>
      </c>
      <c r="C1111" s="329">
        <v>23.0</v>
      </c>
      <c r="D1111" s="329">
        <v>92.0</v>
      </c>
    </row>
    <row r="1112">
      <c r="A1112" s="325" t="s">
        <v>2850</v>
      </c>
      <c r="B1112" s="326" t="s">
        <v>710</v>
      </c>
      <c r="C1112" s="329">
        <v>30.0</v>
      </c>
      <c r="D1112" s="329">
        <v>120.0</v>
      </c>
    </row>
    <row r="1113">
      <c r="A1113" s="325" t="s">
        <v>2851</v>
      </c>
      <c r="B1113" s="326" t="s">
        <v>601</v>
      </c>
      <c r="C1113" s="329">
        <v>30.0</v>
      </c>
      <c r="D1113" s="329">
        <v>120.0</v>
      </c>
    </row>
    <row r="1114">
      <c r="A1114" s="325" t="s">
        <v>2852</v>
      </c>
      <c r="B1114" s="326" t="s">
        <v>712</v>
      </c>
      <c r="C1114" s="329">
        <v>14.0</v>
      </c>
      <c r="D1114" s="329">
        <v>56.0</v>
      </c>
    </row>
    <row r="1115">
      <c r="A1115" s="325" t="s">
        <v>2853</v>
      </c>
      <c r="B1115" s="326" t="s">
        <v>744</v>
      </c>
      <c r="C1115" s="329">
        <v>14.0</v>
      </c>
      <c r="D1115" s="329">
        <v>56.0</v>
      </c>
    </row>
    <row r="1116">
      <c r="A1116" s="332"/>
      <c r="B1116" s="322"/>
      <c r="C1116" s="323"/>
      <c r="D1116" s="324"/>
    </row>
    <row r="1117">
      <c r="A1117" s="321" t="s">
        <v>2854</v>
      </c>
      <c r="B1117" s="322"/>
      <c r="C1117" s="323"/>
      <c r="D1117" s="324"/>
    </row>
    <row r="1118">
      <c r="A1118" s="325" t="s">
        <v>2855</v>
      </c>
      <c r="B1118" s="326" t="s">
        <v>773</v>
      </c>
      <c r="C1118" s="329">
        <v>48.0</v>
      </c>
      <c r="D1118" s="329">
        <v>192.0</v>
      </c>
    </row>
    <row r="1119">
      <c r="A1119" s="280" t="s">
        <v>2856</v>
      </c>
      <c r="B1119" s="281" t="s">
        <v>748</v>
      </c>
      <c r="C1119" s="329">
        <v>33.0</v>
      </c>
      <c r="D1119" s="329">
        <v>132.0</v>
      </c>
    </row>
    <row r="1120">
      <c r="A1120" s="325" t="s">
        <v>2857</v>
      </c>
      <c r="B1120" s="326" t="s">
        <v>748</v>
      </c>
      <c r="C1120" s="329">
        <v>33.0</v>
      </c>
      <c r="D1120" s="329">
        <v>132.0</v>
      </c>
    </row>
    <row r="1121">
      <c r="A1121" s="325" t="s">
        <v>2858</v>
      </c>
      <c r="B1121" s="326" t="s">
        <v>777</v>
      </c>
      <c r="C1121" s="329">
        <v>60.0</v>
      </c>
      <c r="D1121" s="329">
        <v>240.0</v>
      </c>
    </row>
    <row r="1122">
      <c r="A1122" s="325" t="s">
        <v>2859</v>
      </c>
      <c r="B1122" s="326" t="s">
        <v>382</v>
      </c>
      <c r="C1122" s="329">
        <v>30.0</v>
      </c>
      <c r="D1122" s="329">
        <v>120.0</v>
      </c>
    </row>
    <row r="1123">
      <c r="A1123" s="325" t="s">
        <v>2860</v>
      </c>
      <c r="B1123" s="326" t="s">
        <v>399</v>
      </c>
      <c r="C1123" s="329">
        <v>33.0</v>
      </c>
      <c r="D1123" s="329">
        <v>132.0</v>
      </c>
    </row>
    <row r="1124">
      <c r="A1124" s="325" t="s">
        <v>2863</v>
      </c>
      <c r="B1124" s="326" t="s">
        <v>781</v>
      </c>
      <c r="C1124" s="329">
        <v>33.0</v>
      </c>
      <c r="D1124" s="329">
        <v>132.0</v>
      </c>
    </row>
    <row r="1125">
      <c r="A1125" s="325" t="s">
        <v>2866</v>
      </c>
      <c r="B1125" s="326" t="s">
        <v>1296</v>
      </c>
      <c r="C1125" s="329">
        <v>13.0</v>
      </c>
      <c r="D1125" s="329">
        <v>52.0</v>
      </c>
    </row>
    <row r="1126">
      <c r="A1126" s="325" t="s">
        <v>2867</v>
      </c>
      <c r="B1126" s="326" t="s">
        <v>1269</v>
      </c>
      <c r="C1126" s="329">
        <v>30.0</v>
      </c>
      <c r="D1126" s="329">
        <v>120.0</v>
      </c>
    </row>
    <row r="1127">
      <c r="A1127" s="325" t="s">
        <v>2868</v>
      </c>
      <c r="B1127" s="326" t="s">
        <v>1302</v>
      </c>
      <c r="C1127" s="329">
        <v>13.0</v>
      </c>
      <c r="D1127" s="329">
        <v>52.0</v>
      </c>
    </row>
    <row r="1128">
      <c r="A1128" s="325" t="s">
        <v>2869</v>
      </c>
      <c r="B1128" s="326" t="s">
        <v>734</v>
      </c>
      <c r="C1128" s="329">
        <v>6.0</v>
      </c>
      <c r="D1128" s="329">
        <v>24.0</v>
      </c>
    </row>
    <row r="1129">
      <c r="A1129" s="325" t="s">
        <v>2870</v>
      </c>
      <c r="B1129" s="326" t="s">
        <v>395</v>
      </c>
      <c r="C1129" s="329">
        <v>66.0</v>
      </c>
      <c r="D1129" s="329">
        <v>264.0</v>
      </c>
    </row>
    <row r="1130">
      <c r="A1130" s="325" t="s">
        <v>2871</v>
      </c>
      <c r="B1130" s="326" t="s">
        <v>359</v>
      </c>
      <c r="C1130" s="329">
        <v>23.0</v>
      </c>
      <c r="D1130" s="329">
        <v>92.0</v>
      </c>
    </row>
    <row r="1131">
      <c r="A1131" s="325" t="s">
        <v>2875</v>
      </c>
      <c r="B1131" s="326" t="s">
        <v>710</v>
      </c>
      <c r="C1131" s="329">
        <v>30.0</v>
      </c>
      <c r="D1131" s="329">
        <v>120.0</v>
      </c>
    </row>
    <row r="1132">
      <c r="A1132" s="325" t="s">
        <v>2877</v>
      </c>
      <c r="B1132" s="326" t="s">
        <v>601</v>
      </c>
      <c r="C1132" s="329">
        <v>30.0</v>
      </c>
      <c r="D1132" s="329">
        <v>120.0</v>
      </c>
    </row>
    <row r="1133">
      <c r="A1133" s="325" t="s">
        <v>2878</v>
      </c>
      <c r="B1133" s="326" t="s">
        <v>712</v>
      </c>
      <c r="C1133" s="329">
        <v>14.0</v>
      </c>
      <c r="D1133" s="329">
        <v>56.0</v>
      </c>
    </row>
    <row r="1134">
      <c r="A1134" s="325" t="s">
        <v>2879</v>
      </c>
      <c r="B1134" s="326" t="s">
        <v>744</v>
      </c>
      <c r="C1134" s="329">
        <v>14.0</v>
      </c>
      <c r="D1134" s="329">
        <v>56.0</v>
      </c>
    </row>
    <row r="1135">
      <c r="A1135" s="330"/>
      <c r="B1135" s="331"/>
      <c r="C1135" s="323"/>
      <c r="D1135" s="324"/>
    </row>
    <row r="1136">
      <c r="A1136" s="321" t="s">
        <v>2883</v>
      </c>
      <c r="B1136" s="322"/>
      <c r="C1136" s="323"/>
      <c r="D1136" s="324"/>
    </row>
    <row r="1137">
      <c r="A1137" s="325" t="s">
        <v>1321</v>
      </c>
      <c r="B1137" s="326" t="s">
        <v>798</v>
      </c>
      <c r="C1137" s="329">
        <v>108.0</v>
      </c>
      <c r="D1137" s="329">
        <v>324.0</v>
      </c>
    </row>
    <row r="1138">
      <c r="A1138" s="325" t="s">
        <v>1326</v>
      </c>
      <c r="B1138" s="326" t="s">
        <v>803</v>
      </c>
      <c r="C1138" s="327">
        <v>54.0</v>
      </c>
      <c r="D1138" s="329">
        <v>216.0</v>
      </c>
    </row>
    <row r="1139">
      <c r="A1139" s="325" t="s">
        <v>1327</v>
      </c>
      <c r="B1139" s="326" t="s">
        <v>363</v>
      </c>
      <c r="C1139" s="329">
        <v>66.0</v>
      </c>
      <c r="D1139" s="329">
        <v>198.0</v>
      </c>
    </row>
    <row r="1140">
      <c r="A1140" s="325" t="s">
        <v>1330</v>
      </c>
      <c r="B1140" s="326" t="s">
        <v>378</v>
      </c>
      <c r="C1140" s="329">
        <v>24.0</v>
      </c>
      <c r="D1140" s="329">
        <v>96.0</v>
      </c>
    </row>
    <row r="1141">
      <c r="A1141" s="325" t="s">
        <v>1331</v>
      </c>
      <c r="B1141" s="326" t="s">
        <v>416</v>
      </c>
      <c r="C1141" s="329">
        <v>30.0</v>
      </c>
      <c r="D1141" s="329">
        <v>120.0</v>
      </c>
    </row>
    <row r="1142">
      <c r="A1142" s="325" t="s">
        <v>1332</v>
      </c>
      <c r="B1142" s="326" t="s">
        <v>419</v>
      </c>
      <c r="C1142" s="329">
        <v>13.0</v>
      </c>
      <c r="D1142" s="329">
        <v>52.0</v>
      </c>
    </row>
    <row r="1143">
      <c r="A1143" s="325" t="s">
        <v>1334</v>
      </c>
      <c r="B1143" s="326" t="s">
        <v>1335</v>
      </c>
      <c r="C1143" s="329">
        <v>30.0</v>
      </c>
      <c r="D1143" s="329">
        <v>120.0</v>
      </c>
    </row>
    <row r="1144">
      <c r="A1144" s="325" t="s">
        <v>1337</v>
      </c>
      <c r="B1144" s="326" t="s">
        <v>1302</v>
      </c>
      <c r="C1144" s="329">
        <v>13.0</v>
      </c>
      <c r="D1144" s="329">
        <v>52.0</v>
      </c>
    </row>
    <row r="1145">
      <c r="A1145" s="325" t="s">
        <v>1339</v>
      </c>
      <c r="B1145" s="326" t="s">
        <v>482</v>
      </c>
      <c r="C1145" s="329">
        <v>13.0</v>
      </c>
      <c r="D1145" s="329">
        <v>52.0</v>
      </c>
    </row>
    <row r="1146">
      <c r="A1146" s="325" t="s">
        <v>1341</v>
      </c>
      <c r="B1146" s="326" t="s">
        <v>502</v>
      </c>
      <c r="C1146" s="329">
        <v>13.0</v>
      </c>
      <c r="D1146" s="329">
        <v>52.0</v>
      </c>
    </row>
    <row r="1147">
      <c r="A1147" s="325" t="s">
        <v>1343</v>
      </c>
      <c r="B1147" s="326" t="s">
        <v>734</v>
      </c>
      <c r="C1147" s="329">
        <v>6.0</v>
      </c>
      <c r="D1147" s="329">
        <v>24.0</v>
      </c>
    </row>
    <row r="1148">
      <c r="A1148" s="325" t="s">
        <v>1345</v>
      </c>
      <c r="B1148" s="326" t="s">
        <v>395</v>
      </c>
      <c r="C1148" s="329">
        <v>90.0</v>
      </c>
      <c r="D1148" s="329">
        <v>270.0</v>
      </c>
    </row>
    <row r="1149">
      <c r="A1149" s="325" t="s">
        <v>1347</v>
      </c>
      <c r="B1149" s="326" t="s">
        <v>829</v>
      </c>
      <c r="C1149" s="329">
        <v>30.0</v>
      </c>
      <c r="D1149" s="329">
        <v>120.0</v>
      </c>
    </row>
    <row r="1150">
      <c r="A1150" s="325" t="s">
        <v>1349</v>
      </c>
      <c r="B1150" s="326" t="s">
        <v>1350</v>
      </c>
      <c r="C1150" s="329">
        <v>30.0</v>
      </c>
      <c r="D1150" s="329">
        <v>120.0</v>
      </c>
    </row>
    <row r="1151">
      <c r="A1151" s="325" t="s">
        <v>1352</v>
      </c>
      <c r="B1151" s="326" t="s">
        <v>731</v>
      </c>
      <c r="C1151" s="329">
        <v>66.0</v>
      </c>
      <c r="D1151" s="329">
        <v>198.0</v>
      </c>
    </row>
    <row r="1152">
      <c r="A1152" s="330"/>
      <c r="B1152" s="331"/>
      <c r="C1152" s="323"/>
      <c r="D1152" s="324"/>
    </row>
    <row r="1153">
      <c r="A1153" s="321" t="s">
        <v>2895</v>
      </c>
      <c r="B1153" s="322"/>
      <c r="C1153" s="323"/>
      <c r="D1153" s="324"/>
    </row>
    <row r="1154">
      <c r="A1154" s="325" t="s">
        <v>2896</v>
      </c>
      <c r="B1154" s="326" t="s">
        <v>306</v>
      </c>
      <c r="C1154" s="329">
        <v>108.0</v>
      </c>
      <c r="D1154" s="329">
        <v>324.0</v>
      </c>
    </row>
    <row r="1155">
      <c r="A1155" s="325" t="s">
        <v>2897</v>
      </c>
      <c r="B1155" s="326" t="s">
        <v>751</v>
      </c>
      <c r="C1155" s="329">
        <v>54.0</v>
      </c>
      <c r="D1155" s="329">
        <v>216.0</v>
      </c>
    </row>
    <row r="1156">
      <c r="A1156" s="325" t="s">
        <v>2898</v>
      </c>
      <c r="B1156" s="326" t="s">
        <v>363</v>
      </c>
      <c r="C1156" s="329">
        <v>66.0</v>
      </c>
      <c r="D1156" s="329">
        <v>198.0</v>
      </c>
    </row>
    <row r="1157">
      <c r="A1157" s="325" t="s">
        <v>2901</v>
      </c>
      <c r="B1157" s="326" t="s">
        <v>378</v>
      </c>
      <c r="C1157" s="329">
        <v>24.0</v>
      </c>
      <c r="D1157" s="329">
        <v>96.0</v>
      </c>
    </row>
    <row r="1158">
      <c r="A1158" s="325" t="s">
        <v>2904</v>
      </c>
      <c r="B1158" s="326" t="s">
        <v>416</v>
      </c>
      <c r="C1158" s="329">
        <v>30.0</v>
      </c>
      <c r="D1158" s="329">
        <v>120.0</v>
      </c>
    </row>
    <row r="1159">
      <c r="A1159" s="325" t="s">
        <v>2905</v>
      </c>
      <c r="B1159" s="326" t="s">
        <v>419</v>
      </c>
      <c r="C1159" s="329">
        <v>13.0</v>
      </c>
      <c r="D1159" s="329">
        <v>52.0</v>
      </c>
    </row>
    <row r="1160">
      <c r="A1160" s="325" t="s">
        <v>2906</v>
      </c>
      <c r="B1160" s="326" t="s">
        <v>1335</v>
      </c>
      <c r="C1160" s="329">
        <v>30.0</v>
      </c>
      <c r="D1160" s="329">
        <v>120.0</v>
      </c>
    </row>
    <row r="1161">
      <c r="A1161" s="325" t="s">
        <v>2907</v>
      </c>
      <c r="B1161" s="326" t="s">
        <v>1302</v>
      </c>
      <c r="C1161" s="329">
        <v>13.0</v>
      </c>
      <c r="D1161" s="329">
        <v>52.0</v>
      </c>
    </row>
    <row r="1162">
      <c r="A1162" s="325" t="s">
        <v>2910</v>
      </c>
      <c r="B1162" s="326" t="s">
        <v>482</v>
      </c>
      <c r="C1162" s="329">
        <v>13.0</v>
      </c>
      <c r="D1162" s="329">
        <v>52.0</v>
      </c>
    </row>
    <row r="1163">
      <c r="A1163" s="325" t="s">
        <v>2913</v>
      </c>
      <c r="B1163" s="326" t="s">
        <v>502</v>
      </c>
      <c r="C1163" s="329">
        <v>13.0</v>
      </c>
      <c r="D1163" s="329">
        <v>52.0</v>
      </c>
    </row>
    <row r="1164">
      <c r="A1164" s="325" t="s">
        <v>2914</v>
      </c>
      <c r="B1164" s="326" t="s">
        <v>1598</v>
      </c>
      <c r="C1164" s="329">
        <v>6.0</v>
      </c>
      <c r="D1164" s="329">
        <v>24.0</v>
      </c>
    </row>
    <row r="1165">
      <c r="A1165" s="325" t="s">
        <v>2915</v>
      </c>
      <c r="B1165" s="326" t="s">
        <v>395</v>
      </c>
      <c r="C1165" s="329">
        <v>90.0</v>
      </c>
      <c r="D1165" s="329">
        <v>270.0</v>
      </c>
    </row>
    <row r="1166">
      <c r="A1166" s="325" t="s">
        <v>2916</v>
      </c>
      <c r="B1166" s="326" t="s">
        <v>359</v>
      </c>
      <c r="C1166" s="329">
        <v>30.0</v>
      </c>
      <c r="D1166" s="329">
        <v>120.0</v>
      </c>
    </row>
    <row r="1167">
      <c r="A1167" s="325" t="s">
        <v>2918</v>
      </c>
      <c r="B1167" s="326" t="s">
        <v>710</v>
      </c>
      <c r="C1167" s="329">
        <v>30.0</v>
      </c>
      <c r="D1167" s="329">
        <v>120.0</v>
      </c>
    </row>
    <row r="1168">
      <c r="A1168" s="325" t="s">
        <v>2921</v>
      </c>
      <c r="B1168" s="326" t="s">
        <v>731</v>
      </c>
      <c r="C1168" s="329">
        <v>66.0</v>
      </c>
      <c r="D1168" s="329">
        <v>198.0</v>
      </c>
    </row>
    <row r="1169">
      <c r="A1169" s="332"/>
      <c r="B1169" s="322"/>
      <c r="C1169" s="323"/>
      <c r="D1169" s="324"/>
    </row>
    <row r="1170">
      <c r="A1170" s="321" t="s">
        <v>2922</v>
      </c>
      <c r="B1170" s="322"/>
      <c r="C1170" s="323"/>
      <c r="D1170" s="324"/>
    </row>
    <row r="1171">
      <c r="A1171" s="325" t="s">
        <v>2923</v>
      </c>
      <c r="B1171" s="326" t="s">
        <v>306</v>
      </c>
      <c r="C1171" s="329">
        <v>108.0</v>
      </c>
      <c r="D1171" s="329">
        <v>324.0</v>
      </c>
    </row>
    <row r="1172">
      <c r="A1172" s="325" t="s">
        <v>2924</v>
      </c>
      <c r="B1172" s="326" t="s">
        <v>751</v>
      </c>
      <c r="C1172" s="329">
        <v>54.0</v>
      </c>
      <c r="D1172" s="329">
        <v>216.0</v>
      </c>
    </row>
    <row r="1173">
      <c r="A1173" s="325" t="s">
        <v>2927</v>
      </c>
      <c r="B1173" s="326" t="s">
        <v>363</v>
      </c>
      <c r="C1173" s="329">
        <v>66.0</v>
      </c>
      <c r="D1173" s="328">
        <v>198.0</v>
      </c>
    </row>
    <row r="1174">
      <c r="A1174" s="325" t="s">
        <v>2930</v>
      </c>
      <c r="B1174" s="326" t="s">
        <v>378</v>
      </c>
      <c r="C1174" s="329">
        <v>24.0</v>
      </c>
      <c r="D1174" s="329">
        <v>96.0</v>
      </c>
    </row>
    <row r="1175">
      <c r="A1175" s="325" t="s">
        <v>2931</v>
      </c>
      <c r="B1175" s="326" t="s">
        <v>416</v>
      </c>
      <c r="C1175" s="329">
        <v>30.0</v>
      </c>
      <c r="D1175" s="329">
        <v>120.0</v>
      </c>
    </row>
    <row r="1176">
      <c r="A1176" s="325" t="s">
        <v>2932</v>
      </c>
      <c r="B1176" s="326" t="s">
        <v>419</v>
      </c>
      <c r="C1176" s="329">
        <v>13.0</v>
      </c>
      <c r="D1176" s="329">
        <v>52.0</v>
      </c>
    </row>
    <row r="1177">
      <c r="A1177" s="325" t="s">
        <v>2933</v>
      </c>
      <c r="B1177" s="326" t="s">
        <v>1335</v>
      </c>
      <c r="C1177" s="329">
        <v>30.0</v>
      </c>
      <c r="D1177" s="329">
        <v>120.0</v>
      </c>
    </row>
    <row r="1178">
      <c r="A1178" s="325" t="s">
        <v>2934</v>
      </c>
      <c r="B1178" s="326" t="s">
        <v>1302</v>
      </c>
      <c r="C1178" s="329">
        <v>13.0</v>
      </c>
      <c r="D1178" s="329">
        <v>52.0</v>
      </c>
    </row>
    <row r="1179">
      <c r="A1179" s="325" t="s">
        <v>2935</v>
      </c>
      <c r="B1179" s="326" t="s">
        <v>482</v>
      </c>
      <c r="C1179" s="329">
        <v>13.0</v>
      </c>
      <c r="D1179" s="329">
        <v>52.0</v>
      </c>
    </row>
    <row r="1180">
      <c r="A1180" s="325" t="s">
        <v>2936</v>
      </c>
      <c r="B1180" s="326" t="s">
        <v>502</v>
      </c>
      <c r="C1180" s="329">
        <v>13.0</v>
      </c>
      <c r="D1180" s="329">
        <v>52.0</v>
      </c>
    </row>
    <row r="1181">
      <c r="A1181" s="325" t="s">
        <v>2937</v>
      </c>
      <c r="B1181" s="326" t="s">
        <v>1598</v>
      </c>
      <c r="C1181" s="329">
        <v>6.0</v>
      </c>
      <c r="D1181" s="329">
        <v>24.0</v>
      </c>
    </row>
    <row r="1182">
      <c r="A1182" s="325" t="s">
        <v>2938</v>
      </c>
      <c r="B1182" s="326" t="s">
        <v>395</v>
      </c>
      <c r="C1182" s="329">
        <v>90.0</v>
      </c>
      <c r="D1182" s="329">
        <v>270.0</v>
      </c>
    </row>
    <row r="1183">
      <c r="A1183" s="325" t="s">
        <v>2940</v>
      </c>
      <c r="B1183" s="326" t="s">
        <v>359</v>
      </c>
      <c r="C1183" s="329">
        <v>30.0</v>
      </c>
      <c r="D1183" s="329">
        <v>120.0</v>
      </c>
    </row>
    <row r="1184">
      <c r="A1184" s="325" t="s">
        <v>2941</v>
      </c>
      <c r="B1184" s="326" t="s">
        <v>710</v>
      </c>
      <c r="C1184" s="329">
        <v>30.0</v>
      </c>
      <c r="D1184" s="329">
        <v>120.0</v>
      </c>
    </row>
    <row r="1185">
      <c r="A1185" s="325" t="s">
        <v>2943</v>
      </c>
      <c r="B1185" s="326" t="s">
        <v>731</v>
      </c>
      <c r="C1185" s="329">
        <v>66.0</v>
      </c>
      <c r="D1185" s="329">
        <v>198.0</v>
      </c>
    </row>
    <row r="1186">
      <c r="A1186" s="332"/>
      <c r="B1186" s="322"/>
      <c r="C1186" s="323"/>
      <c r="D1186" s="324"/>
    </row>
    <row r="1187">
      <c r="A1187" s="321" t="s">
        <v>2947</v>
      </c>
      <c r="B1187" s="322"/>
      <c r="C1187" s="323"/>
      <c r="D1187" s="324"/>
    </row>
    <row r="1188">
      <c r="A1188" s="325" t="s">
        <v>2948</v>
      </c>
      <c r="B1188" s="326" t="s">
        <v>306</v>
      </c>
      <c r="C1188" s="329">
        <v>108.0</v>
      </c>
      <c r="D1188" s="329">
        <v>324.0</v>
      </c>
    </row>
    <row r="1189">
      <c r="A1189" s="325" t="s">
        <v>2949</v>
      </c>
      <c r="B1189" s="326" t="s">
        <v>751</v>
      </c>
      <c r="C1189" s="329">
        <v>54.0</v>
      </c>
      <c r="D1189" s="329">
        <v>216.0</v>
      </c>
    </row>
    <row r="1190">
      <c r="A1190" s="325" t="s">
        <v>2950</v>
      </c>
      <c r="B1190" s="326" t="s">
        <v>363</v>
      </c>
      <c r="C1190" s="329">
        <v>66.0</v>
      </c>
      <c r="D1190" s="329">
        <v>198.0</v>
      </c>
    </row>
    <row r="1191">
      <c r="A1191" s="325" t="s">
        <v>2951</v>
      </c>
      <c r="B1191" s="326" t="s">
        <v>378</v>
      </c>
      <c r="C1191" s="329">
        <v>24.0</v>
      </c>
      <c r="D1191" s="329">
        <v>96.0</v>
      </c>
    </row>
    <row r="1192">
      <c r="A1192" s="325" t="s">
        <v>2952</v>
      </c>
      <c r="B1192" s="326" t="s">
        <v>416</v>
      </c>
      <c r="C1192" s="329">
        <v>30.0</v>
      </c>
      <c r="D1192" s="329">
        <v>120.0</v>
      </c>
    </row>
    <row r="1193">
      <c r="A1193" s="325" t="s">
        <v>2953</v>
      </c>
      <c r="B1193" s="326" t="s">
        <v>419</v>
      </c>
      <c r="C1193" s="329">
        <v>13.0</v>
      </c>
      <c r="D1193" s="329">
        <v>52.0</v>
      </c>
    </row>
    <row r="1194">
      <c r="A1194" s="325" t="s">
        <v>2954</v>
      </c>
      <c r="B1194" s="326" t="s">
        <v>1335</v>
      </c>
      <c r="C1194" s="329">
        <v>30.0</v>
      </c>
      <c r="D1194" s="329">
        <v>120.0</v>
      </c>
    </row>
    <row r="1195">
      <c r="A1195" s="325" t="s">
        <v>2955</v>
      </c>
      <c r="B1195" s="326" t="s">
        <v>1302</v>
      </c>
      <c r="C1195" s="329">
        <v>13.0</v>
      </c>
      <c r="D1195" s="329">
        <v>52.0</v>
      </c>
    </row>
    <row r="1196">
      <c r="A1196" s="325" t="s">
        <v>2956</v>
      </c>
      <c r="B1196" s="326" t="s">
        <v>482</v>
      </c>
      <c r="C1196" s="329">
        <v>13.0</v>
      </c>
      <c r="D1196" s="329">
        <v>52.0</v>
      </c>
    </row>
    <row r="1197">
      <c r="A1197" s="325" t="s">
        <v>2957</v>
      </c>
      <c r="B1197" s="326" t="s">
        <v>502</v>
      </c>
      <c r="C1197" s="329">
        <v>13.0</v>
      </c>
      <c r="D1197" s="329">
        <v>52.0</v>
      </c>
    </row>
    <row r="1198">
      <c r="A1198" s="325" t="s">
        <v>2958</v>
      </c>
      <c r="B1198" s="326" t="s">
        <v>1598</v>
      </c>
      <c r="C1198" s="329">
        <v>6.0</v>
      </c>
      <c r="D1198" s="329">
        <v>24.0</v>
      </c>
    </row>
    <row r="1199">
      <c r="A1199" s="325" t="s">
        <v>2960</v>
      </c>
      <c r="B1199" s="326" t="s">
        <v>395</v>
      </c>
      <c r="C1199" s="329">
        <v>90.0</v>
      </c>
      <c r="D1199" s="329">
        <v>270.0</v>
      </c>
    </row>
    <row r="1200">
      <c r="A1200" s="325" t="s">
        <v>2962</v>
      </c>
      <c r="B1200" s="326" t="s">
        <v>359</v>
      </c>
      <c r="C1200" s="329">
        <v>30.0</v>
      </c>
      <c r="D1200" s="329">
        <v>120.0</v>
      </c>
    </row>
    <row r="1201">
      <c r="A1201" s="325" t="s">
        <v>2963</v>
      </c>
      <c r="B1201" s="326" t="s">
        <v>710</v>
      </c>
      <c r="C1201" s="329">
        <v>30.0</v>
      </c>
      <c r="D1201" s="329">
        <v>120.0</v>
      </c>
    </row>
    <row r="1202">
      <c r="A1202" s="325" t="s">
        <v>2964</v>
      </c>
      <c r="B1202" s="326" t="s">
        <v>731</v>
      </c>
      <c r="C1202" s="329">
        <v>30.0</v>
      </c>
      <c r="D1202" s="329">
        <v>120.0</v>
      </c>
    </row>
    <row r="1203">
      <c r="A1203" s="332"/>
      <c r="B1203" s="322"/>
      <c r="C1203" s="323"/>
      <c r="D1203" s="324"/>
    </row>
    <row r="1204">
      <c r="A1204" s="321" t="s">
        <v>2965</v>
      </c>
      <c r="B1204" s="322"/>
      <c r="C1204" s="323"/>
      <c r="D1204" s="324"/>
    </row>
    <row r="1205">
      <c r="A1205" s="325" t="s">
        <v>2968</v>
      </c>
      <c r="B1205" s="326" t="s">
        <v>306</v>
      </c>
      <c r="C1205" s="329">
        <v>108.0</v>
      </c>
      <c r="D1205" s="329">
        <v>324.0</v>
      </c>
    </row>
    <row r="1206">
      <c r="A1206" s="325" t="s">
        <v>2970</v>
      </c>
      <c r="B1206" s="326" t="s">
        <v>751</v>
      </c>
      <c r="C1206" s="329">
        <v>54.0</v>
      </c>
      <c r="D1206" s="329">
        <v>216.0</v>
      </c>
    </row>
    <row r="1207">
      <c r="A1207" s="325" t="s">
        <v>2971</v>
      </c>
      <c r="B1207" s="326" t="s">
        <v>363</v>
      </c>
      <c r="C1207" s="329">
        <v>66.0</v>
      </c>
      <c r="D1207" s="329">
        <v>198.0</v>
      </c>
    </row>
    <row r="1208">
      <c r="A1208" s="325" t="s">
        <v>2972</v>
      </c>
      <c r="B1208" s="326" t="s">
        <v>378</v>
      </c>
      <c r="C1208" s="329">
        <v>24.0</v>
      </c>
      <c r="D1208" s="329">
        <v>96.0</v>
      </c>
    </row>
    <row r="1209">
      <c r="A1209" s="325" t="s">
        <v>2973</v>
      </c>
      <c r="B1209" s="326" t="s">
        <v>416</v>
      </c>
      <c r="C1209" s="329">
        <v>30.0</v>
      </c>
      <c r="D1209" s="329">
        <v>120.0</v>
      </c>
    </row>
    <row r="1210">
      <c r="A1210" s="325" t="s">
        <v>2975</v>
      </c>
      <c r="B1210" s="326" t="s">
        <v>419</v>
      </c>
      <c r="C1210" s="329">
        <v>13.0</v>
      </c>
      <c r="D1210" s="329">
        <v>52.0</v>
      </c>
    </row>
    <row r="1211">
      <c r="A1211" s="325" t="s">
        <v>2977</v>
      </c>
      <c r="B1211" s="326" t="s">
        <v>1335</v>
      </c>
      <c r="C1211" s="329">
        <v>30.0</v>
      </c>
      <c r="D1211" s="329">
        <v>120.0</v>
      </c>
    </row>
    <row r="1212">
      <c r="A1212" s="325" t="s">
        <v>2978</v>
      </c>
      <c r="B1212" s="326" t="s">
        <v>1302</v>
      </c>
      <c r="C1212" s="329">
        <v>13.0</v>
      </c>
      <c r="D1212" s="329">
        <v>52.0</v>
      </c>
    </row>
    <row r="1213">
      <c r="A1213" s="325" t="s">
        <v>2979</v>
      </c>
      <c r="B1213" s="326" t="s">
        <v>482</v>
      </c>
      <c r="C1213" s="329">
        <v>13.0</v>
      </c>
      <c r="D1213" s="329">
        <v>52.0</v>
      </c>
    </row>
    <row r="1214">
      <c r="A1214" s="325" t="s">
        <v>2980</v>
      </c>
      <c r="B1214" s="326" t="s">
        <v>502</v>
      </c>
      <c r="C1214" s="329">
        <v>13.0</v>
      </c>
      <c r="D1214" s="329">
        <v>52.0</v>
      </c>
    </row>
    <row r="1215">
      <c r="A1215" s="325" t="s">
        <v>2981</v>
      </c>
      <c r="B1215" s="326" t="s">
        <v>1598</v>
      </c>
      <c r="C1215" s="329">
        <v>6.0</v>
      </c>
      <c r="D1215" s="329">
        <v>24.0</v>
      </c>
    </row>
    <row r="1216">
      <c r="A1216" s="325" t="s">
        <v>2984</v>
      </c>
      <c r="B1216" s="326" t="s">
        <v>395</v>
      </c>
      <c r="C1216" s="329">
        <v>90.0</v>
      </c>
      <c r="D1216" s="329">
        <v>270.0</v>
      </c>
    </row>
    <row r="1217">
      <c r="A1217" s="325" t="s">
        <v>2985</v>
      </c>
      <c r="B1217" s="326" t="s">
        <v>359</v>
      </c>
      <c r="C1217" s="329">
        <v>30.0</v>
      </c>
      <c r="D1217" s="329">
        <v>120.0</v>
      </c>
    </row>
    <row r="1218">
      <c r="A1218" s="325" t="s">
        <v>2986</v>
      </c>
      <c r="B1218" s="326" t="s">
        <v>710</v>
      </c>
      <c r="C1218" s="329">
        <v>30.0</v>
      </c>
      <c r="D1218" s="329">
        <v>120.0</v>
      </c>
    </row>
    <row r="1219">
      <c r="A1219" s="325" t="s">
        <v>2987</v>
      </c>
      <c r="B1219" s="326" t="s">
        <v>731</v>
      </c>
      <c r="C1219" s="329">
        <v>66.0</v>
      </c>
      <c r="D1219" s="329">
        <v>198.0</v>
      </c>
    </row>
    <row r="1220">
      <c r="A1220" s="332"/>
      <c r="B1220" s="322"/>
      <c r="C1220" s="323"/>
      <c r="D1220" s="324"/>
    </row>
    <row r="1221">
      <c r="A1221" s="321" t="s">
        <v>2990</v>
      </c>
      <c r="B1221" s="322"/>
      <c r="C1221" s="323"/>
      <c r="D1221" s="324"/>
    </row>
    <row r="1222">
      <c r="A1222" s="325" t="s">
        <v>1582</v>
      </c>
      <c r="B1222" s="326" t="s">
        <v>306</v>
      </c>
      <c r="C1222" s="329">
        <v>108.0</v>
      </c>
      <c r="D1222" s="329">
        <v>324.0</v>
      </c>
    </row>
    <row r="1223">
      <c r="A1223" s="325" t="s">
        <v>1583</v>
      </c>
      <c r="B1223" s="326" t="s">
        <v>751</v>
      </c>
      <c r="C1223" s="329">
        <v>54.0</v>
      </c>
      <c r="D1223" s="329">
        <v>216.0</v>
      </c>
    </row>
    <row r="1224">
      <c r="A1224" s="325" t="s">
        <v>1585</v>
      </c>
      <c r="B1224" s="326" t="s">
        <v>363</v>
      </c>
      <c r="C1224" s="329">
        <v>66.0</v>
      </c>
      <c r="D1224" s="329">
        <v>198.0</v>
      </c>
    </row>
    <row r="1225">
      <c r="A1225" s="325" t="s">
        <v>1586</v>
      </c>
      <c r="B1225" s="326" t="s">
        <v>378</v>
      </c>
      <c r="C1225" s="329">
        <v>24.0</v>
      </c>
      <c r="D1225" s="329">
        <v>96.0</v>
      </c>
    </row>
    <row r="1226">
      <c r="A1226" s="325" t="s">
        <v>1588</v>
      </c>
      <c r="B1226" s="326" t="s">
        <v>416</v>
      </c>
      <c r="C1226" s="329">
        <v>30.0</v>
      </c>
      <c r="D1226" s="329">
        <v>120.0</v>
      </c>
    </row>
    <row r="1227">
      <c r="A1227" s="325" t="s">
        <v>1589</v>
      </c>
      <c r="B1227" s="326" t="s">
        <v>419</v>
      </c>
      <c r="C1227" s="329">
        <v>13.0</v>
      </c>
      <c r="D1227" s="329">
        <v>52.0</v>
      </c>
    </row>
    <row r="1228">
      <c r="A1228" s="325" t="s">
        <v>1591</v>
      </c>
      <c r="B1228" s="326" t="s">
        <v>1335</v>
      </c>
      <c r="C1228" s="329">
        <v>30.0</v>
      </c>
      <c r="D1228" s="329">
        <v>120.0</v>
      </c>
    </row>
    <row r="1229">
      <c r="A1229" s="325" t="s">
        <v>1593</v>
      </c>
      <c r="B1229" s="326" t="s">
        <v>1302</v>
      </c>
      <c r="C1229" s="329">
        <v>13.0</v>
      </c>
      <c r="D1229" s="329">
        <v>52.0</v>
      </c>
    </row>
    <row r="1230">
      <c r="A1230" s="325" t="s">
        <v>1594</v>
      </c>
      <c r="B1230" s="326" t="s">
        <v>482</v>
      </c>
      <c r="C1230" s="329">
        <v>13.0</v>
      </c>
      <c r="D1230" s="329">
        <v>52.0</v>
      </c>
    </row>
    <row r="1231">
      <c r="A1231" s="325" t="s">
        <v>1596</v>
      </c>
      <c r="B1231" s="326" t="s">
        <v>502</v>
      </c>
      <c r="C1231" s="329">
        <v>13.0</v>
      </c>
      <c r="D1231" s="329">
        <v>52.0</v>
      </c>
    </row>
    <row r="1232">
      <c r="A1232" s="325" t="s">
        <v>1597</v>
      </c>
      <c r="B1232" s="326" t="s">
        <v>1598</v>
      </c>
      <c r="C1232" s="329">
        <v>6.0</v>
      </c>
      <c r="D1232" s="329">
        <v>24.0</v>
      </c>
    </row>
    <row r="1233">
      <c r="A1233" s="325" t="s">
        <v>1600</v>
      </c>
      <c r="B1233" s="326" t="s">
        <v>395</v>
      </c>
      <c r="C1233" s="329">
        <v>90.0</v>
      </c>
      <c r="D1233" s="329">
        <v>270.0</v>
      </c>
    </row>
    <row r="1234">
      <c r="A1234" s="325" t="s">
        <v>1602</v>
      </c>
      <c r="B1234" s="326" t="s">
        <v>359</v>
      </c>
      <c r="C1234" s="329">
        <v>30.0</v>
      </c>
      <c r="D1234" s="329">
        <v>120.0</v>
      </c>
    </row>
    <row r="1235">
      <c r="A1235" s="325" t="s">
        <v>1603</v>
      </c>
      <c r="B1235" s="326" t="s">
        <v>710</v>
      </c>
      <c r="C1235" s="329">
        <v>30.0</v>
      </c>
      <c r="D1235" s="329">
        <v>120.0</v>
      </c>
    </row>
    <row r="1236">
      <c r="A1236" s="325" t="s">
        <v>1605</v>
      </c>
      <c r="B1236" s="326" t="s">
        <v>731</v>
      </c>
      <c r="C1236" s="329">
        <v>66.0</v>
      </c>
      <c r="D1236" s="329">
        <v>198.0</v>
      </c>
    </row>
    <row r="1237">
      <c r="A1237" s="330"/>
      <c r="B1237" s="331"/>
      <c r="C1237" s="323"/>
      <c r="D1237" s="324"/>
    </row>
    <row r="1238">
      <c r="A1238" s="321" t="s">
        <v>2997</v>
      </c>
      <c r="B1238" s="322"/>
      <c r="C1238" s="323"/>
      <c r="D1238" s="324"/>
    </row>
    <row r="1239">
      <c r="A1239" s="325" t="s">
        <v>1356</v>
      </c>
      <c r="B1239" s="326" t="s">
        <v>798</v>
      </c>
      <c r="C1239" s="329">
        <v>108.0</v>
      </c>
      <c r="D1239" s="329">
        <v>324.0</v>
      </c>
    </row>
    <row r="1240">
      <c r="A1240" s="325" t="s">
        <v>1360</v>
      </c>
      <c r="B1240" s="326" t="s">
        <v>803</v>
      </c>
      <c r="C1240" s="327">
        <v>54.0</v>
      </c>
      <c r="D1240" s="329">
        <v>216.0</v>
      </c>
    </row>
    <row r="1241">
      <c r="A1241" s="325" t="s">
        <v>1362</v>
      </c>
      <c r="B1241" s="326" t="s">
        <v>1363</v>
      </c>
      <c r="C1241" s="327">
        <v>46.0</v>
      </c>
      <c r="D1241" s="328">
        <v>184.0</v>
      </c>
    </row>
    <row r="1242">
      <c r="A1242" s="325" t="s">
        <v>1365</v>
      </c>
      <c r="B1242" s="326" t="s">
        <v>363</v>
      </c>
      <c r="C1242" s="329">
        <v>66.0</v>
      </c>
      <c r="D1242" s="329">
        <v>198.0</v>
      </c>
    </row>
    <row r="1243">
      <c r="A1243" s="325" t="s">
        <v>1368</v>
      </c>
      <c r="B1243" s="326" t="s">
        <v>378</v>
      </c>
      <c r="C1243" s="329">
        <v>24.0</v>
      </c>
      <c r="D1243" s="329">
        <v>96.0</v>
      </c>
    </row>
    <row r="1244">
      <c r="A1244" s="325" t="s">
        <v>1369</v>
      </c>
      <c r="B1244" s="326" t="s">
        <v>416</v>
      </c>
      <c r="C1244" s="329">
        <v>30.0</v>
      </c>
      <c r="D1244" s="329">
        <v>120.0</v>
      </c>
    </row>
    <row r="1245">
      <c r="A1245" s="325" t="s">
        <v>1370</v>
      </c>
      <c r="B1245" s="326" t="s">
        <v>419</v>
      </c>
      <c r="C1245" s="329">
        <v>13.0</v>
      </c>
      <c r="D1245" s="329">
        <v>52.0</v>
      </c>
    </row>
    <row r="1246">
      <c r="A1246" s="325" t="s">
        <v>1372</v>
      </c>
      <c r="B1246" s="326" t="s">
        <v>1335</v>
      </c>
      <c r="C1246" s="329">
        <v>30.0</v>
      </c>
      <c r="D1246" s="329">
        <v>120.0</v>
      </c>
    </row>
    <row r="1247">
      <c r="A1247" s="325" t="s">
        <v>1375</v>
      </c>
      <c r="B1247" s="326" t="s">
        <v>1376</v>
      </c>
      <c r="C1247" s="329">
        <v>13.0</v>
      </c>
      <c r="D1247" s="329">
        <v>52.0</v>
      </c>
    </row>
    <row r="1248">
      <c r="A1248" s="325" t="s">
        <v>1378</v>
      </c>
      <c r="B1248" s="326" t="s">
        <v>482</v>
      </c>
      <c r="C1248" s="329">
        <v>13.0</v>
      </c>
      <c r="D1248" s="329">
        <v>52.0</v>
      </c>
    </row>
    <row r="1249">
      <c r="A1249" s="325" t="s">
        <v>1379</v>
      </c>
      <c r="B1249" s="326" t="s">
        <v>502</v>
      </c>
      <c r="C1249" s="329">
        <v>13.0</v>
      </c>
      <c r="D1249" s="329">
        <v>52.0</v>
      </c>
    </row>
    <row r="1250">
      <c r="A1250" s="325" t="s">
        <v>1384</v>
      </c>
      <c r="B1250" s="326" t="s">
        <v>820</v>
      </c>
      <c r="C1250" s="329">
        <v>6.0</v>
      </c>
      <c r="D1250" s="329">
        <v>24.0</v>
      </c>
    </row>
    <row r="1251">
      <c r="A1251" s="325" t="s">
        <v>1387</v>
      </c>
      <c r="B1251" s="326" t="s">
        <v>395</v>
      </c>
      <c r="C1251" s="329">
        <v>90.0</v>
      </c>
      <c r="D1251" s="329">
        <v>270.0</v>
      </c>
    </row>
    <row r="1252">
      <c r="A1252" s="325" t="s">
        <v>1389</v>
      </c>
      <c r="B1252" s="326" t="s">
        <v>829</v>
      </c>
      <c r="C1252" s="329">
        <v>30.0</v>
      </c>
      <c r="D1252" s="329">
        <v>120.0</v>
      </c>
    </row>
    <row r="1253">
      <c r="A1253" s="325" t="s">
        <v>1391</v>
      </c>
      <c r="B1253" s="326" t="s">
        <v>1392</v>
      </c>
      <c r="C1253" s="329">
        <v>30.0</v>
      </c>
      <c r="D1253" s="329">
        <v>120.0</v>
      </c>
    </row>
    <row r="1254">
      <c r="A1254" s="325" t="s">
        <v>1394</v>
      </c>
      <c r="B1254" s="326" t="s">
        <v>1395</v>
      </c>
      <c r="C1254" s="329">
        <v>66.0</v>
      </c>
      <c r="D1254" s="329">
        <v>198.0</v>
      </c>
    </row>
    <row r="1255">
      <c r="A1255" s="330"/>
      <c r="B1255" s="331"/>
      <c r="C1255" s="323"/>
      <c r="D1255" s="324"/>
    </row>
    <row r="1256">
      <c r="A1256" s="321" t="s">
        <v>3003</v>
      </c>
      <c r="B1256" s="322"/>
      <c r="C1256" s="323"/>
      <c r="D1256" s="324"/>
    </row>
    <row r="1257">
      <c r="A1257" s="325" t="s">
        <v>3005</v>
      </c>
      <c r="B1257" s="326" t="s">
        <v>798</v>
      </c>
      <c r="C1257" s="329">
        <v>108.0</v>
      </c>
      <c r="D1257" s="329">
        <v>324.0</v>
      </c>
    </row>
    <row r="1258">
      <c r="A1258" s="325" t="s">
        <v>3007</v>
      </c>
      <c r="B1258" s="326" t="s">
        <v>751</v>
      </c>
      <c r="C1258" s="329">
        <v>54.0</v>
      </c>
      <c r="D1258" s="329">
        <v>216.0</v>
      </c>
    </row>
    <row r="1259">
      <c r="A1259" s="325" t="s">
        <v>3008</v>
      </c>
      <c r="B1259" s="326" t="s">
        <v>1363</v>
      </c>
      <c r="C1259" s="329">
        <v>46.0</v>
      </c>
      <c r="D1259" s="328">
        <v>184.0</v>
      </c>
    </row>
    <row r="1260">
      <c r="A1260" s="325" t="s">
        <v>3009</v>
      </c>
      <c r="B1260" s="326" t="s">
        <v>363</v>
      </c>
      <c r="C1260" s="329">
        <v>66.0</v>
      </c>
      <c r="D1260" s="329">
        <v>198.0</v>
      </c>
    </row>
    <row r="1261">
      <c r="A1261" s="325" t="s">
        <v>3010</v>
      </c>
      <c r="B1261" s="326" t="s">
        <v>3011</v>
      </c>
      <c r="C1261" s="329">
        <v>24.0</v>
      </c>
      <c r="D1261" s="329">
        <v>96.0</v>
      </c>
    </row>
    <row r="1262">
      <c r="A1262" s="325" t="s">
        <v>3012</v>
      </c>
      <c r="B1262" s="326" t="s">
        <v>416</v>
      </c>
      <c r="C1262" s="329">
        <v>30.0</v>
      </c>
      <c r="D1262" s="329">
        <v>120.0</v>
      </c>
    </row>
    <row r="1263">
      <c r="A1263" s="325" t="s">
        <v>3013</v>
      </c>
      <c r="B1263" s="326" t="s">
        <v>2465</v>
      </c>
      <c r="C1263" s="329">
        <v>13.0</v>
      </c>
      <c r="D1263" s="329">
        <v>52.0</v>
      </c>
    </row>
    <row r="1264">
      <c r="A1264" s="325" t="s">
        <v>3014</v>
      </c>
      <c r="B1264" s="326" t="s">
        <v>1335</v>
      </c>
      <c r="C1264" s="329">
        <v>30.0</v>
      </c>
      <c r="D1264" s="329">
        <v>120.0</v>
      </c>
    </row>
    <row r="1265">
      <c r="A1265" s="325" t="s">
        <v>3015</v>
      </c>
      <c r="B1265" s="326" t="s">
        <v>2580</v>
      </c>
      <c r="C1265" s="329">
        <v>13.0</v>
      </c>
      <c r="D1265" s="329">
        <v>52.0</v>
      </c>
    </row>
    <row r="1266">
      <c r="A1266" s="325" t="s">
        <v>3016</v>
      </c>
      <c r="B1266" s="326" t="s">
        <v>482</v>
      </c>
      <c r="C1266" s="329">
        <v>13.0</v>
      </c>
      <c r="D1266" s="329">
        <v>52.0</v>
      </c>
    </row>
    <row r="1267">
      <c r="A1267" s="325" t="s">
        <v>3019</v>
      </c>
      <c r="B1267" s="326" t="s">
        <v>502</v>
      </c>
      <c r="C1267" s="329">
        <v>13.0</v>
      </c>
      <c r="D1267" s="329">
        <v>52.0</v>
      </c>
    </row>
    <row r="1268">
      <c r="A1268" s="325" t="s">
        <v>3020</v>
      </c>
      <c r="B1268" s="326" t="s">
        <v>820</v>
      </c>
      <c r="C1268" s="329">
        <v>6.0</v>
      </c>
      <c r="D1268" s="329">
        <v>24.0</v>
      </c>
    </row>
    <row r="1269">
      <c r="A1269" s="325" t="s">
        <v>3021</v>
      </c>
      <c r="B1269" s="326" t="s">
        <v>395</v>
      </c>
      <c r="C1269" s="329">
        <v>90.0</v>
      </c>
      <c r="D1269" s="329">
        <v>270.0</v>
      </c>
    </row>
    <row r="1270">
      <c r="A1270" s="325" t="s">
        <v>3022</v>
      </c>
      <c r="B1270" s="326" t="s">
        <v>829</v>
      </c>
      <c r="C1270" s="329">
        <v>30.0</v>
      </c>
      <c r="D1270" s="329">
        <v>120.0</v>
      </c>
    </row>
    <row r="1271">
      <c r="A1271" s="325" t="s">
        <v>3023</v>
      </c>
      <c r="B1271" s="326" t="s">
        <v>2596</v>
      </c>
      <c r="C1271" s="329">
        <v>30.0</v>
      </c>
      <c r="D1271" s="329">
        <v>120.0</v>
      </c>
    </row>
    <row r="1272">
      <c r="A1272" s="325" t="s">
        <v>3026</v>
      </c>
      <c r="B1272" s="326" t="s">
        <v>731</v>
      </c>
      <c r="C1272" s="329">
        <v>66.0</v>
      </c>
      <c r="D1272" s="329">
        <v>198.0</v>
      </c>
    </row>
    <row r="1273">
      <c r="A1273" s="332"/>
      <c r="B1273" s="322"/>
      <c r="C1273" s="323"/>
      <c r="D1273" s="324"/>
    </row>
    <row r="1274">
      <c r="A1274" s="321" t="s">
        <v>3027</v>
      </c>
      <c r="B1274" s="322"/>
      <c r="C1274" s="323"/>
      <c r="D1274" s="324"/>
    </row>
    <row r="1275">
      <c r="A1275" s="325" t="s">
        <v>3028</v>
      </c>
      <c r="B1275" s="326" t="s">
        <v>306</v>
      </c>
      <c r="C1275" s="329">
        <v>108.0</v>
      </c>
      <c r="D1275" s="329">
        <v>324.0</v>
      </c>
    </row>
    <row r="1276">
      <c r="A1276" s="325" t="s">
        <v>3029</v>
      </c>
      <c r="B1276" s="326" t="s">
        <v>751</v>
      </c>
      <c r="C1276" s="329">
        <v>54.0</v>
      </c>
      <c r="D1276" s="329">
        <v>216.0</v>
      </c>
    </row>
    <row r="1277">
      <c r="A1277" s="325" t="s">
        <v>3030</v>
      </c>
      <c r="B1277" s="326" t="s">
        <v>1363</v>
      </c>
      <c r="C1277" s="329">
        <v>46.0</v>
      </c>
      <c r="D1277" s="328">
        <v>184.0</v>
      </c>
    </row>
    <row r="1278">
      <c r="A1278" s="325" t="s">
        <v>3033</v>
      </c>
      <c r="B1278" s="326" t="s">
        <v>363</v>
      </c>
      <c r="C1278" s="329">
        <v>66.0</v>
      </c>
      <c r="D1278" s="329">
        <v>198.0</v>
      </c>
    </row>
    <row r="1279">
      <c r="A1279" s="325" t="s">
        <v>3034</v>
      </c>
      <c r="B1279" s="326" t="s">
        <v>808</v>
      </c>
      <c r="C1279" s="329">
        <v>24.0</v>
      </c>
      <c r="D1279" s="329">
        <v>96.0</v>
      </c>
    </row>
    <row r="1280">
      <c r="A1280" s="325" t="s">
        <v>3035</v>
      </c>
      <c r="B1280" s="326" t="s">
        <v>416</v>
      </c>
      <c r="C1280" s="329">
        <v>30.0</v>
      </c>
      <c r="D1280" s="329">
        <v>120.0</v>
      </c>
    </row>
    <row r="1281">
      <c r="A1281" s="325" t="s">
        <v>3036</v>
      </c>
      <c r="B1281" s="326" t="s">
        <v>2465</v>
      </c>
      <c r="C1281" s="329">
        <v>13.0</v>
      </c>
      <c r="D1281" s="329">
        <v>52.0</v>
      </c>
    </row>
    <row r="1282">
      <c r="A1282" s="325" t="s">
        <v>3037</v>
      </c>
      <c r="B1282" s="326" t="s">
        <v>3038</v>
      </c>
      <c r="C1282" s="329">
        <v>30.0</v>
      </c>
      <c r="D1282" s="329">
        <v>120.0</v>
      </c>
    </row>
    <row r="1283">
      <c r="A1283" s="325" t="s">
        <v>3039</v>
      </c>
      <c r="B1283" s="326" t="s">
        <v>2580</v>
      </c>
      <c r="C1283" s="329">
        <v>13.0</v>
      </c>
      <c r="D1283" s="329">
        <v>52.0</v>
      </c>
    </row>
    <row r="1284">
      <c r="A1284" s="325" t="s">
        <v>3041</v>
      </c>
      <c r="B1284" s="326" t="s">
        <v>482</v>
      </c>
      <c r="C1284" s="329">
        <v>13.0</v>
      </c>
      <c r="D1284" s="329">
        <v>52.0</v>
      </c>
    </row>
    <row r="1285">
      <c r="A1285" s="325" t="s">
        <v>3042</v>
      </c>
      <c r="B1285" s="326" t="s">
        <v>502</v>
      </c>
      <c r="C1285" s="329">
        <v>13.0</v>
      </c>
      <c r="D1285" s="329">
        <v>52.0</v>
      </c>
    </row>
    <row r="1286">
      <c r="A1286" s="325" t="s">
        <v>3044</v>
      </c>
      <c r="B1286" s="326" t="s">
        <v>1598</v>
      </c>
      <c r="C1286" s="329">
        <v>6.0</v>
      </c>
      <c r="D1286" s="329">
        <v>24.0</v>
      </c>
    </row>
    <row r="1287">
      <c r="A1287" s="325" t="s">
        <v>3045</v>
      </c>
      <c r="B1287" s="326" t="s">
        <v>395</v>
      </c>
      <c r="C1287" s="329">
        <v>90.0</v>
      </c>
      <c r="D1287" s="329">
        <v>270.0</v>
      </c>
    </row>
    <row r="1288">
      <c r="A1288" s="325" t="s">
        <v>3047</v>
      </c>
      <c r="B1288" s="326" t="s">
        <v>829</v>
      </c>
      <c r="C1288" s="329">
        <v>30.0</v>
      </c>
      <c r="D1288" s="329">
        <v>120.0</v>
      </c>
    </row>
    <row r="1289">
      <c r="A1289" s="325" t="s">
        <v>3050</v>
      </c>
      <c r="B1289" s="326" t="s">
        <v>2596</v>
      </c>
      <c r="C1289" s="329">
        <v>30.0</v>
      </c>
      <c r="D1289" s="329">
        <v>120.0</v>
      </c>
    </row>
    <row r="1290">
      <c r="A1290" s="325" t="s">
        <v>3051</v>
      </c>
      <c r="B1290" s="326" t="s">
        <v>731</v>
      </c>
      <c r="C1290" s="329">
        <v>66.0</v>
      </c>
      <c r="D1290" s="329">
        <v>198.0</v>
      </c>
    </row>
    <row r="1291">
      <c r="A1291" s="332"/>
      <c r="B1291" s="322"/>
      <c r="C1291" s="323"/>
      <c r="D1291" s="324"/>
    </row>
    <row r="1292">
      <c r="A1292" s="321" t="s">
        <v>3052</v>
      </c>
      <c r="B1292" s="322"/>
      <c r="C1292" s="323"/>
      <c r="D1292" s="324"/>
    </row>
    <row r="1293">
      <c r="A1293" s="325" t="s">
        <v>3053</v>
      </c>
      <c r="B1293" s="326" t="s">
        <v>306</v>
      </c>
      <c r="C1293" s="329">
        <v>108.0</v>
      </c>
      <c r="D1293" s="329">
        <v>324.0</v>
      </c>
    </row>
    <row r="1294">
      <c r="A1294" s="325" t="s">
        <v>3056</v>
      </c>
      <c r="B1294" s="326" t="s">
        <v>751</v>
      </c>
      <c r="C1294" s="329">
        <v>54.0</v>
      </c>
      <c r="D1294" s="329">
        <v>216.0</v>
      </c>
    </row>
    <row r="1295">
      <c r="A1295" s="325" t="s">
        <v>3057</v>
      </c>
      <c r="B1295" s="326" t="s">
        <v>1363</v>
      </c>
      <c r="C1295" s="329">
        <v>46.0</v>
      </c>
      <c r="D1295" s="328">
        <v>184.0</v>
      </c>
    </row>
    <row r="1296">
      <c r="A1296" s="325" t="s">
        <v>3058</v>
      </c>
      <c r="B1296" s="326" t="s">
        <v>363</v>
      </c>
      <c r="C1296" s="329">
        <v>66.0</v>
      </c>
      <c r="D1296" s="329">
        <v>198.0</v>
      </c>
    </row>
    <row r="1297">
      <c r="A1297" s="325" t="s">
        <v>3059</v>
      </c>
      <c r="B1297" s="326" t="s">
        <v>808</v>
      </c>
      <c r="C1297" s="329">
        <v>24.0</v>
      </c>
      <c r="D1297" s="329">
        <v>96.0</v>
      </c>
    </row>
    <row r="1298">
      <c r="A1298" s="325" t="s">
        <v>3060</v>
      </c>
      <c r="B1298" s="326" t="s">
        <v>416</v>
      </c>
      <c r="C1298" s="329">
        <v>30.0</v>
      </c>
      <c r="D1298" s="329">
        <v>120.0</v>
      </c>
    </row>
    <row r="1299">
      <c r="A1299" s="325" t="s">
        <v>3063</v>
      </c>
      <c r="B1299" s="326" t="s">
        <v>2465</v>
      </c>
      <c r="C1299" s="329">
        <v>13.0</v>
      </c>
      <c r="D1299" s="329">
        <v>52.0</v>
      </c>
    </row>
    <row r="1300">
      <c r="A1300" s="325" t="s">
        <v>3065</v>
      </c>
      <c r="B1300" s="326" t="s">
        <v>3038</v>
      </c>
      <c r="C1300" s="329">
        <v>30.0</v>
      </c>
      <c r="D1300" s="329">
        <v>120.0</v>
      </c>
    </row>
    <row r="1301">
      <c r="A1301" s="325" t="s">
        <v>3066</v>
      </c>
      <c r="B1301" s="326" t="s">
        <v>2580</v>
      </c>
      <c r="C1301" s="329">
        <v>13.0</v>
      </c>
      <c r="D1301" s="329">
        <v>52.0</v>
      </c>
    </row>
    <row r="1302">
      <c r="A1302" s="325" t="s">
        <v>3067</v>
      </c>
      <c r="B1302" s="326" t="s">
        <v>482</v>
      </c>
      <c r="C1302" s="329">
        <v>13.0</v>
      </c>
      <c r="D1302" s="329">
        <v>52.0</v>
      </c>
    </row>
    <row r="1303">
      <c r="A1303" s="325" t="s">
        <v>3069</v>
      </c>
      <c r="B1303" s="326" t="s">
        <v>502</v>
      </c>
      <c r="C1303" s="329">
        <v>13.0</v>
      </c>
      <c r="D1303" s="329">
        <v>52.0</v>
      </c>
    </row>
    <row r="1304">
      <c r="A1304" s="325" t="s">
        <v>3070</v>
      </c>
      <c r="B1304" s="326" t="s">
        <v>1598</v>
      </c>
      <c r="C1304" s="329">
        <v>6.0</v>
      </c>
      <c r="D1304" s="329">
        <v>24.0</v>
      </c>
    </row>
    <row r="1305">
      <c r="A1305" s="325" t="s">
        <v>3071</v>
      </c>
      <c r="B1305" s="326" t="s">
        <v>395</v>
      </c>
      <c r="C1305" s="329">
        <v>90.0</v>
      </c>
      <c r="D1305" s="329">
        <v>270.0</v>
      </c>
    </row>
    <row r="1306">
      <c r="A1306" s="325" t="s">
        <v>3073</v>
      </c>
      <c r="B1306" s="326" t="s">
        <v>829</v>
      </c>
      <c r="C1306" s="329">
        <v>30.0</v>
      </c>
      <c r="D1306" s="329">
        <v>120.0</v>
      </c>
    </row>
    <row r="1307">
      <c r="A1307" s="325" t="s">
        <v>3076</v>
      </c>
      <c r="B1307" s="326" t="s">
        <v>2596</v>
      </c>
      <c r="C1307" s="329">
        <v>30.0</v>
      </c>
      <c r="D1307" s="329">
        <v>120.0</v>
      </c>
    </row>
    <row r="1308">
      <c r="A1308" s="325" t="s">
        <v>3077</v>
      </c>
      <c r="B1308" s="326" t="s">
        <v>731</v>
      </c>
      <c r="C1308" s="329">
        <v>66.0</v>
      </c>
      <c r="D1308" s="329">
        <v>198.0</v>
      </c>
    </row>
    <row r="1309">
      <c r="A1309" s="332"/>
      <c r="B1309" s="322"/>
      <c r="C1309" s="323"/>
      <c r="D1309" s="324"/>
    </row>
    <row r="1310">
      <c r="A1310" s="321" t="s">
        <v>3078</v>
      </c>
      <c r="B1310" s="322"/>
      <c r="C1310" s="323"/>
      <c r="D1310" s="324"/>
    </row>
    <row r="1311">
      <c r="A1311" s="325" t="s">
        <v>3079</v>
      </c>
      <c r="B1311" s="326" t="s">
        <v>306</v>
      </c>
      <c r="C1311" s="329">
        <v>108.0</v>
      </c>
      <c r="D1311" s="329">
        <v>324.0</v>
      </c>
    </row>
    <row r="1312">
      <c r="A1312" s="325" t="s">
        <v>3080</v>
      </c>
      <c r="B1312" s="326" t="s">
        <v>751</v>
      </c>
      <c r="C1312" s="329">
        <v>54.0</v>
      </c>
      <c r="D1312" s="329">
        <v>216.0</v>
      </c>
    </row>
    <row r="1313">
      <c r="A1313" s="325" t="s">
        <v>3082</v>
      </c>
      <c r="B1313" s="326" t="s">
        <v>1363</v>
      </c>
      <c r="C1313" s="329">
        <v>46.0</v>
      </c>
      <c r="D1313" s="328">
        <v>184.0</v>
      </c>
    </row>
    <row r="1314">
      <c r="A1314" s="325" t="s">
        <v>3083</v>
      </c>
      <c r="B1314" s="326" t="s">
        <v>363</v>
      </c>
      <c r="C1314" s="329">
        <v>66.0</v>
      </c>
      <c r="D1314" s="329">
        <v>198.0</v>
      </c>
    </row>
    <row r="1315">
      <c r="A1315" s="325" t="s">
        <v>3084</v>
      </c>
      <c r="B1315" s="326" t="s">
        <v>808</v>
      </c>
      <c r="C1315" s="329">
        <v>24.0</v>
      </c>
      <c r="D1315" s="329">
        <v>96.0</v>
      </c>
    </row>
    <row r="1316">
      <c r="A1316" s="325" t="s">
        <v>3085</v>
      </c>
      <c r="B1316" s="326" t="s">
        <v>416</v>
      </c>
      <c r="C1316" s="329">
        <v>30.0</v>
      </c>
      <c r="D1316" s="329">
        <v>120.0</v>
      </c>
    </row>
    <row r="1317">
      <c r="A1317" s="325" t="s">
        <v>3086</v>
      </c>
      <c r="B1317" s="326" t="s">
        <v>2465</v>
      </c>
      <c r="C1317" s="329">
        <v>13.0</v>
      </c>
      <c r="D1317" s="329">
        <v>52.0</v>
      </c>
    </row>
    <row r="1318">
      <c r="A1318" s="325" t="s">
        <v>3088</v>
      </c>
      <c r="B1318" s="326" t="s">
        <v>3038</v>
      </c>
      <c r="C1318" s="329">
        <v>30.0</v>
      </c>
      <c r="D1318" s="329">
        <v>120.0</v>
      </c>
    </row>
    <row r="1319">
      <c r="A1319" s="325" t="s">
        <v>3089</v>
      </c>
      <c r="B1319" s="326" t="s">
        <v>2580</v>
      </c>
      <c r="C1319" s="329">
        <v>13.0</v>
      </c>
      <c r="D1319" s="329">
        <v>52.0</v>
      </c>
    </row>
    <row r="1320">
      <c r="A1320" s="325" t="s">
        <v>3090</v>
      </c>
      <c r="B1320" s="326" t="s">
        <v>482</v>
      </c>
      <c r="C1320" s="329">
        <v>13.0</v>
      </c>
      <c r="D1320" s="329">
        <v>52.0</v>
      </c>
    </row>
    <row r="1321">
      <c r="A1321" s="325" t="s">
        <v>3091</v>
      </c>
      <c r="B1321" s="326" t="s">
        <v>502</v>
      </c>
      <c r="C1321" s="329">
        <v>13.0</v>
      </c>
      <c r="D1321" s="329">
        <v>52.0</v>
      </c>
    </row>
    <row r="1322">
      <c r="A1322" s="325" t="s">
        <v>3092</v>
      </c>
      <c r="B1322" s="326" t="s">
        <v>1598</v>
      </c>
      <c r="C1322" s="329">
        <v>6.0</v>
      </c>
      <c r="D1322" s="329">
        <v>24.0</v>
      </c>
    </row>
    <row r="1323">
      <c r="A1323" s="325" t="s">
        <v>3094</v>
      </c>
      <c r="B1323" s="326" t="s">
        <v>395</v>
      </c>
      <c r="C1323" s="329">
        <v>90.0</v>
      </c>
      <c r="D1323" s="329">
        <v>270.0</v>
      </c>
    </row>
    <row r="1324">
      <c r="A1324" s="325" t="s">
        <v>3095</v>
      </c>
      <c r="B1324" s="326" t="s">
        <v>829</v>
      </c>
      <c r="C1324" s="329">
        <v>30.0</v>
      </c>
      <c r="D1324" s="329">
        <v>120.0</v>
      </c>
    </row>
    <row r="1325">
      <c r="A1325" s="325" t="s">
        <v>3096</v>
      </c>
      <c r="B1325" s="326" t="s">
        <v>2596</v>
      </c>
      <c r="C1325" s="329">
        <v>30.0</v>
      </c>
      <c r="D1325" s="329">
        <v>120.0</v>
      </c>
    </row>
    <row r="1326">
      <c r="A1326" s="325" t="s">
        <v>3097</v>
      </c>
      <c r="B1326" s="326" t="s">
        <v>731</v>
      </c>
      <c r="C1326" s="329">
        <v>66.0</v>
      </c>
      <c r="D1326" s="329">
        <v>198.0</v>
      </c>
    </row>
    <row r="1327">
      <c r="A1327" s="330"/>
      <c r="B1327" s="331"/>
      <c r="C1327" s="323"/>
      <c r="D1327" s="324"/>
    </row>
    <row r="1328">
      <c r="A1328" s="321" t="s">
        <v>3099</v>
      </c>
      <c r="B1328" s="385" t="s">
        <v>1381</v>
      </c>
      <c r="C1328" s="323"/>
      <c r="D1328" s="324"/>
    </row>
    <row r="1329">
      <c r="A1329" s="325" t="s">
        <v>1401</v>
      </c>
      <c r="B1329" s="326" t="s">
        <v>798</v>
      </c>
      <c r="C1329" s="327">
        <v>66.0</v>
      </c>
      <c r="D1329" s="328">
        <v>198.0</v>
      </c>
    </row>
    <row r="1330">
      <c r="A1330" s="325" t="s">
        <v>1405</v>
      </c>
      <c r="B1330" s="326" t="s">
        <v>803</v>
      </c>
      <c r="C1330" s="327">
        <v>54.0</v>
      </c>
      <c r="D1330" s="328">
        <v>216.0</v>
      </c>
    </row>
    <row r="1331">
      <c r="A1331" s="325" t="s">
        <v>1558</v>
      </c>
      <c r="B1331" s="326" t="s">
        <v>1363</v>
      </c>
      <c r="C1331" s="327">
        <v>46.0</v>
      </c>
      <c r="D1331" s="329">
        <v>184.0</v>
      </c>
    </row>
    <row r="1332">
      <c r="A1332" s="325" t="s">
        <v>1407</v>
      </c>
      <c r="B1332" s="326" t="s">
        <v>363</v>
      </c>
      <c r="C1332" s="329">
        <v>66.0</v>
      </c>
      <c r="D1332" s="328">
        <v>198.0</v>
      </c>
    </row>
    <row r="1333">
      <c r="A1333" s="325" t="s">
        <v>1409</v>
      </c>
      <c r="B1333" s="326" t="s">
        <v>378</v>
      </c>
      <c r="C1333" s="329">
        <v>24.0</v>
      </c>
      <c r="D1333" s="328">
        <v>96.0</v>
      </c>
    </row>
    <row r="1334">
      <c r="A1334" s="325" t="s">
        <v>1410</v>
      </c>
      <c r="B1334" s="326" t="s">
        <v>416</v>
      </c>
      <c r="C1334" s="329">
        <v>30.0</v>
      </c>
      <c r="D1334" s="328">
        <v>120.0</v>
      </c>
    </row>
    <row r="1335">
      <c r="A1335" s="325" t="s">
        <v>1412</v>
      </c>
      <c r="B1335" s="326" t="s">
        <v>419</v>
      </c>
      <c r="C1335" s="329">
        <v>13.0</v>
      </c>
      <c r="D1335" s="328">
        <v>52.0</v>
      </c>
    </row>
    <row r="1336">
      <c r="A1336" s="325" t="s">
        <v>1413</v>
      </c>
      <c r="B1336" s="326" t="s">
        <v>1335</v>
      </c>
      <c r="C1336" s="329">
        <v>30.0</v>
      </c>
      <c r="D1336" s="328">
        <v>120.0</v>
      </c>
    </row>
    <row r="1337">
      <c r="A1337" s="325" t="s">
        <v>1414</v>
      </c>
      <c r="B1337" s="326" t="s">
        <v>1376</v>
      </c>
      <c r="C1337" s="329">
        <v>13.0</v>
      </c>
      <c r="D1337" s="329">
        <v>52.0</v>
      </c>
    </row>
    <row r="1338">
      <c r="A1338" s="325" t="s">
        <v>1415</v>
      </c>
      <c r="B1338" s="326" t="s">
        <v>482</v>
      </c>
      <c r="C1338" s="329">
        <v>13.0</v>
      </c>
      <c r="D1338" s="329">
        <v>52.0</v>
      </c>
    </row>
    <row r="1339">
      <c r="A1339" s="325" t="s">
        <v>1416</v>
      </c>
      <c r="B1339" s="326" t="s">
        <v>502</v>
      </c>
      <c r="C1339" s="329">
        <v>13.0</v>
      </c>
      <c r="D1339" s="329">
        <v>52.0</v>
      </c>
    </row>
    <row r="1340">
      <c r="A1340" s="325" t="s">
        <v>1418</v>
      </c>
      <c r="B1340" s="326" t="s">
        <v>1419</v>
      </c>
      <c r="C1340" s="329">
        <v>6.0</v>
      </c>
      <c r="D1340" s="329">
        <v>24.0</v>
      </c>
    </row>
    <row r="1341">
      <c r="A1341" s="325" t="s">
        <v>1420</v>
      </c>
      <c r="B1341" s="326" t="s">
        <v>395</v>
      </c>
      <c r="C1341" s="329">
        <v>90.0</v>
      </c>
      <c r="D1341" s="328">
        <v>270.0</v>
      </c>
    </row>
    <row r="1342">
      <c r="A1342" s="325" t="s">
        <v>1422</v>
      </c>
      <c r="B1342" s="326" t="s">
        <v>829</v>
      </c>
      <c r="C1342" s="327">
        <v>35.0</v>
      </c>
      <c r="D1342" s="328">
        <v>140.0</v>
      </c>
    </row>
    <row r="1343">
      <c r="A1343" s="325" t="s">
        <v>1424</v>
      </c>
      <c r="B1343" s="326" t="s">
        <v>1392</v>
      </c>
      <c r="C1343" s="329">
        <v>30.0</v>
      </c>
      <c r="D1343" s="328">
        <v>120.0</v>
      </c>
    </row>
    <row r="1344">
      <c r="A1344" s="325" t="s">
        <v>1425</v>
      </c>
      <c r="B1344" s="326" t="s">
        <v>1395</v>
      </c>
      <c r="C1344" s="329">
        <v>66.0</v>
      </c>
      <c r="D1344" s="328">
        <v>198.0</v>
      </c>
    </row>
    <row r="1345">
      <c r="A1345" s="332"/>
      <c r="B1345" s="322"/>
      <c r="C1345" s="323"/>
      <c r="D1345" s="324"/>
    </row>
    <row r="1346">
      <c r="A1346" s="321" t="s">
        <v>3110</v>
      </c>
      <c r="B1346" s="385" t="s">
        <v>1386</v>
      </c>
      <c r="C1346" s="323"/>
      <c r="D1346" s="324"/>
    </row>
    <row r="1347">
      <c r="A1347" s="325" t="s">
        <v>1427</v>
      </c>
      <c r="B1347" s="326" t="s">
        <v>798</v>
      </c>
      <c r="C1347" s="327">
        <v>66.0</v>
      </c>
      <c r="D1347" s="328">
        <v>198.0</v>
      </c>
    </row>
    <row r="1348">
      <c r="A1348" s="325" t="s">
        <v>1432</v>
      </c>
      <c r="B1348" s="326" t="s">
        <v>803</v>
      </c>
      <c r="C1348" s="329">
        <v>46.0</v>
      </c>
      <c r="D1348" s="328">
        <v>184.0</v>
      </c>
    </row>
    <row r="1349">
      <c r="A1349" s="325" t="s">
        <v>1561</v>
      </c>
      <c r="B1349" s="326" t="s">
        <v>1363</v>
      </c>
      <c r="C1349" s="329">
        <v>46.0</v>
      </c>
      <c r="D1349" s="329">
        <v>184.0</v>
      </c>
    </row>
    <row r="1350">
      <c r="A1350" s="325" t="s">
        <v>1433</v>
      </c>
      <c r="B1350" s="326" t="s">
        <v>363</v>
      </c>
      <c r="C1350" s="329">
        <v>66.0</v>
      </c>
      <c r="D1350" s="328">
        <v>198.0</v>
      </c>
    </row>
    <row r="1351">
      <c r="A1351" s="325" t="s">
        <v>1434</v>
      </c>
      <c r="B1351" s="326" t="s">
        <v>378</v>
      </c>
      <c r="C1351" s="329">
        <v>24.0</v>
      </c>
      <c r="D1351" s="328">
        <v>96.0</v>
      </c>
    </row>
    <row r="1352">
      <c r="A1352" s="325" t="s">
        <v>1435</v>
      </c>
      <c r="B1352" s="326" t="s">
        <v>416</v>
      </c>
      <c r="C1352" s="329">
        <v>30.0</v>
      </c>
      <c r="D1352" s="328">
        <v>120.0</v>
      </c>
    </row>
    <row r="1353">
      <c r="A1353" s="325" t="s">
        <v>1436</v>
      </c>
      <c r="B1353" s="326" t="s">
        <v>419</v>
      </c>
      <c r="C1353" s="329">
        <v>13.0</v>
      </c>
      <c r="D1353" s="328">
        <v>52.0</v>
      </c>
    </row>
    <row r="1354">
      <c r="A1354" s="325" t="s">
        <v>1437</v>
      </c>
      <c r="B1354" s="326" t="s">
        <v>1335</v>
      </c>
      <c r="C1354" s="329">
        <v>30.0</v>
      </c>
      <c r="D1354" s="328">
        <v>120.0</v>
      </c>
    </row>
    <row r="1355">
      <c r="A1355" s="325" t="s">
        <v>1439</v>
      </c>
      <c r="B1355" s="326" t="s">
        <v>1376</v>
      </c>
      <c r="C1355" s="329">
        <v>13.0</v>
      </c>
      <c r="D1355" s="329">
        <v>52.0</v>
      </c>
    </row>
    <row r="1356">
      <c r="A1356" s="325" t="s">
        <v>1441</v>
      </c>
      <c r="B1356" s="326" t="s">
        <v>482</v>
      </c>
      <c r="C1356" s="329">
        <v>13.0</v>
      </c>
      <c r="D1356" s="329">
        <v>52.0</v>
      </c>
    </row>
    <row r="1357">
      <c r="A1357" s="325" t="s">
        <v>1443</v>
      </c>
      <c r="B1357" s="326" t="s">
        <v>502</v>
      </c>
      <c r="C1357" s="329">
        <v>13.0</v>
      </c>
      <c r="D1357" s="329">
        <v>52.0</v>
      </c>
    </row>
    <row r="1358">
      <c r="A1358" s="325" t="s">
        <v>1447</v>
      </c>
      <c r="B1358" s="326" t="s">
        <v>820</v>
      </c>
      <c r="C1358" s="329">
        <v>6.0</v>
      </c>
      <c r="D1358" s="329">
        <v>24.0</v>
      </c>
    </row>
    <row r="1359">
      <c r="A1359" s="325" t="s">
        <v>1449</v>
      </c>
      <c r="B1359" s="326" t="s">
        <v>395</v>
      </c>
      <c r="C1359" s="329">
        <v>90.0</v>
      </c>
      <c r="D1359" s="328">
        <v>270.0</v>
      </c>
    </row>
    <row r="1360">
      <c r="A1360" s="325" t="s">
        <v>1451</v>
      </c>
      <c r="B1360" s="326" t="s">
        <v>829</v>
      </c>
      <c r="C1360" s="327">
        <v>35.0</v>
      </c>
      <c r="D1360" s="328">
        <v>140.0</v>
      </c>
    </row>
    <row r="1361">
      <c r="A1361" s="325" t="s">
        <v>1454</v>
      </c>
      <c r="B1361" s="326" t="s">
        <v>1392</v>
      </c>
      <c r="C1361" s="329">
        <v>30.0</v>
      </c>
      <c r="D1361" s="328">
        <v>120.0</v>
      </c>
    </row>
    <row r="1362">
      <c r="A1362" s="325" t="s">
        <v>1456</v>
      </c>
      <c r="B1362" s="326" t="s">
        <v>1395</v>
      </c>
      <c r="C1362" s="329">
        <v>66.0</v>
      </c>
      <c r="D1362" s="328">
        <v>198.0</v>
      </c>
    </row>
    <row r="1363">
      <c r="A1363" s="332"/>
      <c r="B1363" s="322"/>
      <c r="C1363" s="323"/>
      <c r="D1363" s="324"/>
    </row>
    <row r="1364">
      <c r="A1364" s="321" t="s">
        <v>3123</v>
      </c>
      <c r="B1364" s="322"/>
      <c r="C1364" s="323"/>
      <c r="D1364" s="324"/>
    </row>
    <row r="1365">
      <c r="A1365" s="325" t="s">
        <v>1464</v>
      </c>
      <c r="B1365" s="326" t="s">
        <v>798</v>
      </c>
      <c r="C1365" s="327">
        <v>66.0</v>
      </c>
      <c r="D1365" s="328">
        <v>198.0</v>
      </c>
    </row>
    <row r="1366">
      <c r="A1366" s="325" t="s">
        <v>1468</v>
      </c>
      <c r="B1366" s="326" t="s">
        <v>803</v>
      </c>
      <c r="C1366" s="327">
        <v>54.0</v>
      </c>
      <c r="D1366" s="328">
        <v>216.0</v>
      </c>
    </row>
    <row r="1367">
      <c r="A1367" s="325" t="s">
        <v>1563</v>
      </c>
      <c r="B1367" s="326" t="s">
        <v>1363</v>
      </c>
      <c r="C1367" s="327">
        <v>46.0</v>
      </c>
      <c r="D1367" s="328">
        <v>184.0</v>
      </c>
    </row>
    <row r="1368">
      <c r="A1368" s="325" t="s">
        <v>1470</v>
      </c>
      <c r="B1368" s="326" t="s">
        <v>363</v>
      </c>
      <c r="C1368" s="329">
        <v>66.0</v>
      </c>
      <c r="D1368" s="329">
        <v>198.0</v>
      </c>
    </row>
    <row r="1369">
      <c r="A1369" s="325" t="s">
        <v>1473</v>
      </c>
      <c r="B1369" s="326" t="s">
        <v>378</v>
      </c>
      <c r="C1369" s="329">
        <v>24.0</v>
      </c>
      <c r="D1369" s="329">
        <v>96.0</v>
      </c>
    </row>
    <row r="1370">
      <c r="A1370" s="325" t="s">
        <v>1475</v>
      </c>
      <c r="B1370" s="326" t="s">
        <v>416</v>
      </c>
      <c r="C1370" s="329">
        <v>30.0</v>
      </c>
      <c r="D1370" s="329">
        <v>120.0</v>
      </c>
    </row>
    <row r="1371">
      <c r="A1371" s="325" t="s">
        <v>1478</v>
      </c>
      <c r="B1371" s="326" t="s">
        <v>419</v>
      </c>
      <c r="C1371" s="329">
        <v>13.0</v>
      </c>
      <c r="D1371" s="329">
        <v>52.0</v>
      </c>
    </row>
    <row r="1372">
      <c r="A1372" s="325" t="s">
        <v>1480</v>
      </c>
      <c r="B1372" s="326" t="s">
        <v>1335</v>
      </c>
      <c r="C1372" s="329">
        <v>30.0</v>
      </c>
      <c r="D1372" s="329">
        <v>120.0</v>
      </c>
    </row>
    <row r="1373">
      <c r="A1373" s="325" t="s">
        <v>1482</v>
      </c>
      <c r="B1373" s="326" t="s">
        <v>1376</v>
      </c>
      <c r="C1373" s="329">
        <v>13.0</v>
      </c>
      <c r="D1373" s="329">
        <v>52.0</v>
      </c>
    </row>
    <row r="1374">
      <c r="A1374" s="325" t="s">
        <v>1484</v>
      </c>
      <c r="B1374" s="326" t="s">
        <v>482</v>
      </c>
      <c r="C1374" s="329">
        <v>13.0</v>
      </c>
      <c r="D1374" s="329">
        <v>52.0</v>
      </c>
    </row>
    <row r="1375">
      <c r="A1375" s="325" t="s">
        <v>1486</v>
      </c>
      <c r="B1375" s="326" t="s">
        <v>502</v>
      </c>
      <c r="C1375" s="329">
        <v>13.0</v>
      </c>
      <c r="D1375" s="329">
        <v>52.0</v>
      </c>
    </row>
    <row r="1376">
      <c r="A1376" s="325" t="s">
        <v>1489</v>
      </c>
      <c r="B1376" s="326" t="s">
        <v>820</v>
      </c>
      <c r="C1376" s="329">
        <v>6.0</v>
      </c>
      <c r="D1376" s="329">
        <v>24.0</v>
      </c>
    </row>
    <row r="1377">
      <c r="A1377" s="325" t="s">
        <v>1491</v>
      </c>
      <c r="B1377" s="326" t="s">
        <v>395</v>
      </c>
      <c r="C1377" s="329">
        <v>90.0</v>
      </c>
      <c r="D1377" s="329">
        <v>270.0</v>
      </c>
    </row>
    <row r="1378">
      <c r="A1378" s="325" t="s">
        <v>1496</v>
      </c>
      <c r="B1378" s="326" t="s">
        <v>829</v>
      </c>
      <c r="C1378" s="329">
        <v>30.0</v>
      </c>
      <c r="D1378" s="329">
        <v>120.0</v>
      </c>
    </row>
    <row r="1379">
      <c r="A1379" s="325" t="s">
        <v>1498</v>
      </c>
      <c r="B1379" s="326" t="s">
        <v>1392</v>
      </c>
      <c r="C1379" s="329">
        <v>30.0</v>
      </c>
      <c r="D1379" s="329">
        <v>120.0</v>
      </c>
    </row>
    <row r="1380">
      <c r="A1380" s="325" t="s">
        <v>1501</v>
      </c>
      <c r="B1380" s="326" t="s">
        <v>1395</v>
      </c>
      <c r="C1380" s="329">
        <v>66.0</v>
      </c>
      <c r="D1380" s="329">
        <v>198.0</v>
      </c>
    </row>
    <row r="1381">
      <c r="A1381" s="332"/>
      <c r="B1381" s="322"/>
      <c r="C1381" s="323"/>
      <c r="D1381" s="324"/>
    </row>
    <row r="1382">
      <c r="A1382" s="321" t="s">
        <v>3134</v>
      </c>
      <c r="B1382" s="322"/>
      <c r="C1382" s="323"/>
      <c r="D1382" s="324"/>
    </row>
    <row r="1383">
      <c r="A1383" s="325" t="s">
        <v>1508</v>
      </c>
      <c r="B1383" s="326" t="s">
        <v>798</v>
      </c>
      <c r="C1383" s="329">
        <v>108.0</v>
      </c>
      <c r="D1383" s="329">
        <v>324.0</v>
      </c>
    </row>
    <row r="1384">
      <c r="A1384" s="325" t="s">
        <v>1513</v>
      </c>
      <c r="B1384" s="326" t="s">
        <v>803</v>
      </c>
      <c r="C1384" s="327">
        <v>54.0</v>
      </c>
      <c r="D1384" s="329">
        <v>216.0</v>
      </c>
    </row>
    <row r="1385">
      <c r="A1385" s="325" t="s">
        <v>1516</v>
      </c>
      <c r="B1385" s="326" t="s">
        <v>1363</v>
      </c>
      <c r="C1385" s="327">
        <v>46.0</v>
      </c>
      <c r="D1385" s="328">
        <v>184.0</v>
      </c>
    </row>
    <row r="1386">
      <c r="A1386" s="325" t="s">
        <v>1519</v>
      </c>
      <c r="B1386" s="326" t="s">
        <v>363</v>
      </c>
      <c r="C1386" s="329">
        <v>66.0</v>
      </c>
      <c r="D1386" s="329">
        <v>264.0</v>
      </c>
    </row>
    <row r="1387">
      <c r="A1387" s="325" t="s">
        <v>1522</v>
      </c>
      <c r="B1387" s="326" t="s">
        <v>378</v>
      </c>
      <c r="C1387" s="329">
        <v>24.0</v>
      </c>
      <c r="D1387" s="329">
        <v>96.0</v>
      </c>
    </row>
    <row r="1388">
      <c r="A1388" s="325" t="s">
        <v>1524</v>
      </c>
      <c r="B1388" s="326" t="s">
        <v>416</v>
      </c>
      <c r="C1388" s="329">
        <v>30.0</v>
      </c>
      <c r="D1388" s="329">
        <v>120.0</v>
      </c>
    </row>
    <row r="1389">
      <c r="A1389" s="325" t="s">
        <v>1527</v>
      </c>
      <c r="B1389" s="326" t="s">
        <v>419</v>
      </c>
      <c r="C1389" s="329">
        <v>13.0</v>
      </c>
      <c r="D1389" s="329">
        <v>52.0</v>
      </c>
    </row>
    <row r="1390">
      <c r="A1390" s="325" t="s">
        <v>1529</v>
      </c>
      <c r="B1390" s="326" t="s">
        <v>1335</v>
      </c>
      <c r="C1390" s="329">
        <v>30.0</v>
      </c>
      <c r="D1390" s="329">
        <v>120.0</v>
      </c>
    </row>
    <row r="1391">
      <c r="A1391" s="325" t="s">
        <v>1532</v>
      </c>
      <c r="B1391" s="326" t="s">
        <v>1533</v>
      </c>
      <c r="C1391" s="329">
        <v>13.0</v>
      </c>
      <c r="D1391" s="329">
        <v>52.0</v>
      </c>
    </row>
    <row r="1392">
      <c r="A1392" s="325" t="s">
        <v>1535</v>
      </c>
      <c r="B1392" s="326" t="s">
        <v>482</v>
      </c>
      <c r="C1392" s="329">
        <v>13.0</v>
      </c>
      <c r="D1392" s="329">
        <v>52.0</v>
      </c>
    </row>
    <row r="1393">
      <c r="A1393" s="325" t="s">
        <v>1538</v>
      </c>
      <c r="B1393" s="326" t="s">
        <v>502</v>
      </c>
      <c r="C1393" s="329">
        <v>13.0</v>
      </c>
      <c r="D1393" s="329">
        <v>52.0</v>
      </c>
    </row>
    <row r="1394">
      <c r="A1394" s="325" t="s">
        <v>1540</v>
      </c>
      <c r="B1394" s="326" t="s">
        <v>734</v>
      </c>
      <c r="C1394" s="329">
        <v>6.0</v>
      </c>
      <c r="D1394" s="329">
        <v>24.0</v>
      </c>
    </row>
    <row r="1395">
      <c r="A1395" s="325" t="s">
        <v>1543</v>
      </c>
      <c r="B1395" s="326" t="s">
        <v>395</v>
      </c>
      <c r="C1395" s="329">
        <v>90.0</v>
      </c>
      <c r="D1395" s="329">
        <v>270.0</v>
      </c>
    </row>
    <row r="1396">
      <c r="A1396" s="325" t="s">
        <v>1545</v>
      </c>
      <c r="B1396" s="326" t="s">
        <v>829</v>
      </c>
      <c r="C1396" s="329">
        <v>30.0</v>
      </c>
      <c r="D1396" s="329">
        <v>120.0</v>
      </c>
    </row>
    <row r="1397">
      <c r="A1397" s="325" t="s">
        <v>1548</v>
      </c>
      <c r="B1397" s="326" t="s">
        <v>1350</v>
      </c>
      <c r="C1397" s="329">
        <v>30.0</v>
      </c>
      <c r="D1397" s="329">
        <v>120.0</v>
      </c>
    </row>
    <row r="1398">
      <c r="A1398" s="325" t="s">
        <v>1550</v>
      </c>
      <c r="B1398" s="326" t="s">
        <v>731</v>
      </c>
      <c r="C1398" s="329">
        <v>66.0</v>
      </c>
      <c r="D1398" s="329">
        <v>198.0</v>
      </c>
    </row>
    <row r="1399">
      <c r="A1399" s="332"/>
      <c r="B1399" s="322"/>
      <c r="C1399" s="323"/>
      <c r="D1399" s="324"/>
    </row>
    <row r="1400">
      <c r="A1400" s="321" t="s">
        <v>3148</v>
      </c>
      <c r="B1400" s="322"/>
      <c r="C1400" s="323"/>
      <c r="D1400" s="324"/>
    </row>
    <row r="1401">
      <c r="A1401" s="325" t="s">
        <v>1556</v>
      </c>
      <c r="B1401" s="326" t="s">
        <v>1050</v>
      </c>
      <c r="C1401" s="329">
        <v>108.0</v>
      </c>
      <c r="D1401" s="329">
        <v>324.0</v>
      </c>
    </row>
    <row r="1402">
      <c r="A1402" s="325" t="s">
        <v>1557</v>
      </c>
      <c r="B1402" s="326" t="s">
        <v>798</v>
      </c>
      <c r="C1402" s="329">
        <v>60.0</v>
      </c>
      <c r="D1402" s="329">
        <v>240.0</v>
      </c>
    </row>
    <row r="1403">
      <c r="A1403" s="325" t="s">
        <v>1559</v>
      </c>
      <c r="B1403" s="326" t="s">
        <v>306</v>
      </c>
      <c r="C1403" s="329">
        <v>60.0</v>
      </c>
      <c r="D1403" s="329">
        <v>240.0</v>
      </c>
    </row>
    <row r="1404">
      <c r="A1404" s="325" t="s">
        <v>1560</v>
      </c>
      <c r="B1404" s="326" t="s">
        <v>801</v>
      </c>
      <c r="C1404" s="329">
        <v>60.0</v>
      </c>
      <c r="D1404" s="329">
        <v>240.0</v>
      </c>
    </row>
    <row r="1405">
      <c r="A1405" s="325" t="s">
        <v>1562</v>
      </c>
      <c r="B1405" s="326" t="s">
        <v>358</v>
      </c>
      <c r="C1405" s="329">
        <v>60.0</v>
      </c>
      <c r="D1405" s="329">
        <v>240.0</v>
      </c>
    </row>
    <row r="1406">
      <c r="A1406" s="325" t="s">
        <v>1564</v>
      </c>
      <c r="B1406" s="326" t="s">
        <v>520</v>
      </c>
      <c r="C1406" s="329">
        <v>60.0</v>
      </c>
      <c r="D1406" s="329">
        <v>240.0</v>
      </c>
    </row>
    <row r="1407">
      <c r="A1407" s="325" t="s">
        <v>1566</v>
      </c>
      <c r="B1407" s="326" t="s">
        <v>806</v>
      </c>
      <c r="C1407" s="329">
        <v>66.0</v>
      </c>
      <c r="D1407" s="329">
        <v>198.0</v>
      </c>
    </row>
    <row r="1408">
      <c r="A1408" s="325" t="s">
        <v>1568</v>
      </c>
      <c r="B1408" s="326" t="s">
        <v>808</v>
      </c>
      <c r="C1408" s="329">
        <v>24.0</v>
      </c>
      <c r="D1408" s="329">
        <v>96.0</v>
      </c>
    </row>
    <row r="1409">
      <c r="A1409" s="325" t="s">
        <v>1570</v>
      </c>
      <c r="B1409" s="326" t="s">
        <v>416</v>
      </c>
      <c r="C1409" s="329">
        <v>60.0</v>
      </c>
      <c r="D1409" s="329">
        <v>240.0</v>
      </c>
    </row>
    <row r="1410">
      <c r="A1410" s="325" t="s">
        <v>1572</v>
      </c>
      <c r="B1410" s="326" t="s">
        <v>1573</v>
      </c>
      <c r="C1410" s="329">
        <v>13.0</v>
      </c>
      <c r="D1410" s="329">
        <v>52.0</v>
      </c>
    </row>
    <row r="1411">
      <c r="A1411" s="325" t="s">
        <v>1574</v>
      </c>
      <c r="B1411" s="326" t="s">
        <v>1302</v>
      </c>
      <c r="C1411" s="329">
        <v>13.0</v>
      </c>
      <c r="D1411" s="329">
        <v>52.0</v>
      </c>
    </row>
    <row r="1412">
      <c r="A1412" s="325" t="s">
        <v>1576</v>
      </c>
      <c r="B1412" s="326" t="s">
        <v>1577</v>
      </c>
      <c r="C1412" s="329">
        <v>13.0</v>
      </c>
      <c r="D1412" s="329">
        <v>52.0</v>
      </c>
    </row>
    <row r="1413">
      <c r="A1413" s="325" t="s">
        <v>1579</v>
      </c>
      <c r="B1413" s="326" t="s">
        <v>1580</v>
      </c>
      <c r="C1413" s="329">
        <v>13.0</v>
      </c>
      <c r="D1413" s="329">
        <v>52.0</v>
      </c>
    </row>
    <row r="1414">
      <c r="A1414" s="325" t="s">
        <v>1584</v>
      </c>
      <c r="B1414" s="326" t="s">
        <v>734</v>
      </c>
      <c r="C1414" s="329">
        <v>6.0</v>
      </c>
      <c r="D1414" s="329">
        <v>24.0</v>
      </c>
    </row>
    <row r="1415">
      <c r="A1415" s="325" t="s">
        <v>1587</v>
      </c>
      <c r="B1415" s="326" t="s">
        <v>719</v>
      </c>
      <c r="C1415" s="329">
        <v>132.0</v>
      </c>
      <c r="D1415" s="329">
        <v>264.0</v>
      </c>
    </row>
    <row r="1416">
      <c r="A1416" s="325" t="s">
        <v>1590</v>
      </c>
      <c r="B1416" s="326" t="s">
        <v>717</v>
      </c>
      <c r="C1416" s="329">
        <v>132.0</v>
      </c>
      <c r="D1416" s="329">
        <v>264.0</v>
      </c>
    </row>
    <row r="1417">
      <c r="A1417" s="325" t="s">
        <v>1592</v>
      </c>
      <c r="B1417" s="326" t="s">
        <v>723</v>
      </c>
      <c r="C1417" s="329">
        <v>64.0</v>
      </c>
      <c r="D1417" s="329">
        <v>256.0</v>
      </c>
    </row>
    <row r="1418">
      <c r="A1418" s="325" t="s">
        <v>1595</v>
      </c>
      <c r="B1418" s="326" t="s">
        <v>395</v>
      </c>
      <c r="C1418" s="329">
        <v>132.0</v>
      </c>
      <c r="D1418" s="329">
        <v>264.0</v>
      </c>
    </row>
    <row r="1419">
      <c r="A1419" s="325" t="s">
        <v>1599</v>
      </c>
      <c r="B1419" s="326" t="s">
        <v>359</v>
      </c>
      <c r="C1419" s="327">
        <v>30.0</v>
      </c>
      <c r="D1419" s="329">
        <v>120.0</v>
      </c>
    </row>
    <row r="1420">
      <c r="A1420" s="325" t="s">
        <v>1601</v>
      </c>
      <c r="B1420" s="326" t="s">
        <v>663</v>
      </c>
      <c r="C1420" s="329">
        <v>64.0</v>
      </c>
      <c r="D1420" s="329">
        <v>256.0</v>
      </c>
    </row>
    <row r="1421">
      <c r="A1421" s="325" t="s">
        <v>1604</v>
      </c>
      <c r="B1421" s="326" t="s">
        <v>690</v>
      </c>
      <c r="C1421" s="329">
        <v>64.0</v>
      </c>
      <c r="D1421" s="329">
        <v>256.0</v>
      </c>
    </row>
    <row r="1422">
      <c r="A1422" s="325" t="s">
        <v>1606</v>
      </c>
      <c r="B1422" s="326" t="s">
        <v>1350</v>
      </c>
      <c r="C1422" s="329">
        <v>30.0</v>
      </c>
      <c r="D1422" s="329">
        <v>120.0</v>
      </c>
    </row>
    <row r="1423">
      <c r="A1423" s="325" t="s">
        <v>1607</v>
      </c>
      <c r="B1423" s="326" t="s">
        <v>601</v>
      </c>
      <c r="C1423" s="329">
        <v>30.0</v>
      </c>
      <c r="D1423" s="329">
        <v>120.0</v>
      </c>
    </row>
    <row r="1424">
      <c r="A1424" s="325" t="s">
        <v>1608</v>
      </c>
      <c r="B1424" s="326" t="s">
        <v>1395</v>
      </c>
      <c r="C1424" s="327">
        <v>66.0</v>
      </c>
      <c r="D1424" s="329">
        <v>198.0</v>
      </c>
    </row>
    <row r="1425">
      <c r="A1425" s="325" t="s">
        <v>1609</v>
      </c>
      <c r="B1425" s="326" t="s">
        <v>712</v>
      </c>
      <c r="C1425" s="329">
        <v>14.0</v>
      </c>
      <c r="D1425" s="329">
        <v>56.0</v>
      </c>
    </row>
    <row r="1426">
      <c r="A1426" s="332"/>
      <c r="B1426" s="322"/>
      <c r="C1426" s="323"/>
      <c r="D1426" s="324"/>
    </row>
    <row r="1427">
      <c r="A1427" s="321" t="s">
        <v>3166</v>
      </c>
      <c r="B1427" s="322"/>
      <c r="C1427" s="323"/>
      <c r="D1427" s="324"/>
    </row>
    <row r="1428">
      <c r="A1428" s="325">
        <v>1231.0</v>
      </c>
      <c r="B1428" s="326" t="s">
        <v>1611</v>
      </c>
      <c r="C1428" s="329">
        <v>60.0</v>
      </c>
      <c r="D1428" s="329">
        <v>180.0</v>
      </c>
    </row>
    <row r="1429">
      <c r="A1429" s="325" t="s">
        <v>1612</v>
      </c>
      <c r="B1429" s="326" t="s">
        <v>1613</v>
      </c>
      <c r="C1429" s="329">
        <v>46.0</v>
      </c>
      <c r="D1429" s="329">
        <v>184.0</v>
      </c>
    </row>
    <row r="1430">
      <c r="A1430" s="325" t="s">
        <v>1614</v>
      </c>
      <c r="B1430" s="326" t="s">
        <v>1615</v>
      </c>
      <c r="C1430" s="329">
        <v>60.0</v>
      </c>
      <c r="D1430" s="328">
        <v>180.0</v>
      </c>
    </row>
    <row r="1431">
      <c r="A1431" s="325">
        <v>1241.0</v>
      </c>
      <c r="B1431" s="326" t="s">
        <v>1616</v>
      </c>
      <c r="C1431" s="329">
        <v>46.0</v>
      </c>
      <c r="D1431" s="329">
        <v>184.0</v>
      </c>
    </row>
    <row r="1432">
      <c r="A1432" s="325" t="s">
        <v>1617</v>
      </c>
      <c r="B1432" s="326" t="s">
        <v>1618</v>
      </c>
      <c r="C1432" s="329">
        <v>46.0</v>
      </c>
      <c r="D1432" s="329">
        <v>184.0</v>
      </c>
    </row>
    <row r="1433">
      <c r="A1433" s="325">
        <v>1291.0</v>
      </c>
      <c r="B1433" s="326" t="s">
        <v>1619</v>
      </c>
      <c r="C1433" s="329">
        <v>24.0</v>
      </c>
      <c r="D1433" s="329">
        <v>96.0</v>
      </c>
    </row>
    <row r="1434">
      <c r="A1434" s="325">
        <v>1311.0</v>
      </c>
      <c r="B1434" s="326" t="s">
        <v>1620</v>
      </c>
      <c r="C1434" s="329">
        <v>30.0</v>
      </c>
      <c r="D1434" s="329">
        <v>120.0</v>
      </c>
    </row>
    <row r="1435">
      <c r="A1435" s="325" t="s">
        <v>1621</v>
      </c>
      <c r="B1435" s="326" t="s">
        <v>1622</v>
      </c>
      <c r="C1435" s="329">
        <v>30.0</v>
      </c>
      <c r="D1435" s="329">
        <v>120.0</v>
      </c>
    </row>
    <row r="1436">
      <c r="A1436" s="325">
        <v>1321.0</v>
      </c>
      <c r="B1436" s="326" t="s">
        <v>1623</v>
      </c>
      <c r="C1436" s="329">
        <v>13.0</v>
      </c>
      <c r="D1436" s="329">
        <v>52.0</v>
      </c>
    </row>
    <row r="1437">
      <c r="A1437" s="325">
        <v>1323.0</v>
      </c>
      <c r="B1437" s="326" t="s">
        <v>1624</v>
      </c>
      <c r="C1437" s="329">
        <v>30.0</v>
      </c>
      <c r="D1437" s="329">
        <v>120.0</v>
      </c>
    </row>
    <row r="1438">
      <c r="A1438" s="325">
        <v>1332.0</v>
      </c>
      <c r="B1438" s="326" t="s">
        <v>1625</v>
      </c>
      <c r="C1438" s="329">
        <v>13.0</v>
      </c>
      <c r="D1438" s="329">
        <v>52.0</v>
      </c>
    </row>
    <row r="1439">
      <c r="A1439" s="325">
        <v>1341.0</v>
      </c>
      <c r="B1439" s="326" t="s">
        <v>1626</v>
      </c>
      <c r="C1439" s="329">
        <v>13.0</v>
      </c>
      <c r="D1439" s="329">
        <v>52.0</v>
      </c>
    </row>
    <row r="1440">
      <c r="A1440" s="325">
        <v>1351.0</v>
      </c>
      <c r="B1440" s="326" t="s">
        <v>1627</v>
      </c>
      <c r="C1440" s="329">
        <v>13.0</v>
      </c>
      <c r="D1440" s="329">
        <v>52.0</v>
      </c>
    </row>
    <row r="1441">
      <c r="A1441" s="325">
        <v>1375.0</v>
      </c>
      <c r="B1441" s="326" t="s">
        <v>1628</v>
      </c>
      <c r="C1441" s="329">
        <v>6.0</v>
      </c>
      <c r="D1441" s="329">
        <v>24.0</v>
      </c>
    </row>
    <row r="1442">
      <c r="A1442" s="325">
        <v>1411.0</v>
      </c>
      <c r="B1442" s="326" t="s">
        <v>1629</v>
      </c>
      <c r="C1442" s="329">
        <v>64.0</v>
      </c>
      <c r="D1442" s="329">
        <v>256.0</v>
      </c>
    </row>
    <row r="1443">
      <c r="A1443" s="325">
        <v>1421.0</v>
      </c>
      <c r="B1443" s="326" t="s">
        <v>1630</v>
      </c>
      <c r="C1443" s="329">
        <v>64.0</v>
      </c>
      <c r="D1443" s="329">
        <v>256.0</v>
      </c>
    </row>
    <row r="1444">
      <c r="A1444" s="325">
        <v>1431.0</v>
      </c>
      <c r="B1444" s="326" t="s">
        <v>1631</v>
      </c>
      <c r="C1444" s="329">
        <v>64.0</v>
      </c>
      <c r="D1444" s="329">
        <v>256.0</v>
      </c>
    </row>
    <row r="1445">
      <c r="A1445" s="325">
        <v>1441.0</v>
      </c>
      <c r="B1445" s="326" t="s">
        <v>1632</v>
      </c>
      <c r="C1445" s="329">
        <v>90.0</v>
      </c>
      <c r="D1445" s="329">
        <v>180.0</v>
      </c>
    </row>
    <row r="1446">
      <c r="A1446" s="325">
        <v>1451.0</v>
      </c>
      <c r="B1446" s="326" t="s">
        <v>1633</v>
      </c>
      <c r="C1446" s="329">
        <v>35.0</v>
      </c>
      <c r="D1446" s="329">
        <v>140.0</v>
      </c>
    </row>
    <row r="1447">
      <c r="A1447" s="325">
        <v>1461.0</v>
      </c>
      <c r="B1447" s="326" t="s">
        <v>1634</v>
      </c>
      <c r="C1447" s="329">
        <v>64.0</v>
      </c>
      <c r="D1447" s="329">
        <v>256.0</v>
      </c>
    </row>
    <row r="1448">
      <c r="A1448" s="325">
        <v>1481.0</v>
      </c>
      <c r="B1448" s="326" t="s">
        <v>1635</v>
      </c>
      <c r="C1448" s="329">
        <v>64.0</v>
      </c>
      <c r="D1448" s="329">
        <v>256.0</v>
      </c>
    </row>
    <row r="1449">
      <c r="A1449" s="325">
        <v>1471.0</v>
      </c>
      <c r="B1449" s="326" t="s">
        <v>1636</v>
      </c>
      <c r="C1449" s="329">
        <v>30.0</v>
      </c>
      <c r="D1449" s="329">
        <v>120.0</v>
      </c>
    </row>
    <row r="1450">
      <c r="A1450" s="325" t="s">
        <v>1637</v>
      </c>
      <c r="B1450" s="326" t="s">
        <v>1638</v>
      </c>
      <c r="C1450" s="329">
        <v>30.0</v>
      </c>
      <c r="D1450" s="329">
        <v>120.0</v>
      </c>
    </row>
    <row r="1451">
      <c r="A1451" s="325">
        <v>1491.0</v>
      </c>
      <c r="B1451" s="326" t="s">
        <v>1639</v>
      </c>
      <c r="C1451" s="329">
        <v>30.0</v>
      </c>
      <c r="D1451" s="329">
        <v>120.0</v>
      </c>
    </row>
    <row r="1452">
      <c r="A1452" s="325">
        <v>1501.0</v>
      </c>
      <c r="B1452" s="326" t="s">
        <v>1640</v>
      </c>
      <c r="C1452" s="329">
        <v>14.0</v>
      </c>
      <c r="D1452" s="329">
        <v>56.0</v>
      </c>
    </row>
    <row r="1453">
      <c r="A1453" s="330"/>
      <c r="B1453" s="331"/>
      <c r="C1453" s="323"/>
      <c r="D1453" s="324"/>
    </row>
    <row r="1454">
      <c r="A1454" s="321" t="s">
        <v>1641</v>
      </c>
      <c r="B1454" s="332"/>
      <c r="C1454" s="323"/>
      <c r="D1454" s="324"/>
    </row>
    <row r="1455">
      <c r="A1455" s="325">
        <v>101.0</v>
      </c>
      <c r="B1455" s="325" t="s">
        <v>1642</v>
      </c>
      <c r="C1455" s="329">
        <v>108.0</v>
      </c>
      <c r="D1455" s="329">
        <v>432.0</v>
      </c>
    </row>
    <row r="1456">
      <c r="A1456" s="325">
        <v>102.0</v>
      </c>
      <c r="B1456" s="325" t="s">
        <v>1643</v>
      </c>
      <c r="C1456" s="329">
        <v>70.0</v>
      </c>
      <c r="D1456" s="329">
        <v>280.0</v>
      </c>
    </row>
    <row r="1457">
      <c r="A1457" s="325">
        <v>103.0</v>
      </c>
      <c r="B1457" s="325" t="s">
        <v>1644</v>
      </c>
      <c r="C1457" s="329">
        <v>108.0</v>
      </c>
      <c r="D1457" s="329">
        <v>432.0</v>
      </c>
    </row>
    <row r="1458">
      <c r="A1458" s="325">
        <v>104.0</v>
      </c>
      <c r="B1458" s="325" t="s">
        <v>1645</v>
      </c>
      <c r="C1458" s="329">
        <v>108.0</v>
      </c>
      <c r="D1458" s="329">
        <v>432.0</v>
      </c>
    </row>
    <row r="1459">
      <c r="A1459" s="325">
        <v>105.0</v>
      </c>
      <c r="B1459" s="325" t="s">
        <v>1646</v>
      </c>
      <c r="C1459" s="329">
        <v>32.0</v>
      </c>
      <c r="D1459" s="329">
        <v>32.0</v>
      </c>
    </row>
    <row r="1460">
      <c r="A1460" s="325">
        <v>106.0</v>
      </c>
      <c r="B1460" s="325" t="s">
        <v>1647</v>
      </c>
      <c r="C1460" s="329">
        <v>32.0</v>
      </c>
      <c r="D1460" s="329">
        <v>32.0</v>
      </c>
    </row>
    <row r="1461">
      <c r="A1461" s="325">
        <v>107.0</v>
      </c>
      <c r="B1461" s="325" t="s">
        <v>1648</v>
      </c>
      <c r="C1461" s="329">
        <v>15.0</v>
      </c>
      <c r="D1461" s="329">
        <v>60.0</v>
      </c>
    </row>
    <row r="1462">
      <c r="A1462" s="325">
        <v>110.0</v>
      </c>
      <c r="B1462" s="325" t="s">
        <v>1649</v>
      </c>
      <c r="C1462" s="329">
        <v>124.0</v>
      </c>
      <c r="D1462" s="329">
        <v>496.0</v>
      </c>
    </row>
    <row r="1463">
      <c r="A1463" s="325">
        <v>111.0</v>
      </c>
      <c r="B1463" s="325" t="s">
        <v>1650</v>
      </c>
      <c r="C1463" s="329">
        <v>330.0</v>
      </c>
      <c r="D1463" s="329">
        <v>1320.0</v>
      </c>
    </row>
    <row r="1464">
      <c r="A1464" s="325">
        <v>1111.0</v>
      </c>
      <c r="B1464" s="325" t="s">
        <v>1651</v>
      </c>
      <c r="C1464" s="329">
        <v>330.0</v>
      </c>
      <c r="D1464" s="329">
        <v>1320.0</v>
      </c>
    </row>
    <row r="1465">
      <c r="A1465" s="325">
        <v>112.0</v>
      </c>
      <c r="B1465" s="325" t="s">
        <v>1652</v>
      </c>
      <c r="C1465" s="329">
        <v>168.0</v>
      </c>
      <c r="D1465" s="329">
        <v>672.0</v>
      </c>
    </row>
    <row r="1466">
      <c r="A1466" s="325">
        <v>113.0</v>
      </c>
      <c r="B1466" s="325" t="s">
        <v>1653</v>
      </c>
      <c r="C1466" s="329">
        <v>168.0</v>
      </c>
      <c r="D1466" s="329">
        <v>672.0</v>
      </c>
    </row>
    <row r="1467">
      <c r="A1467" s="325">
        <v>114.0</v>
      </c>
      <c r="B1467" s="325" t="s">
        <v>1654</v>
      </c>
      <c r="C1467" s="329">
        <v>153.0</v>
      </c>
      <c r="D1467" s="329">
        <v>612.0</v>
      </c>
    </row>
    <row r="1468">
      <c r="A1468" s="325">
        <v>115.0</v>
      </c>
      <c r="B1468" s="325" t="s">
        <v>1655</v>
      </c>
      <c r="C1468" s="329">
        <v>51.0</v>
      </c>
      <c r="D1468" s="329">
        <v>204.0</v>
      </c>
    </row>
    <row r="1469">
      <c r="A1469" s="325">
        <v>116.0</v>
      </c>
      <c r="B1469" s="325" t="s">
        <v>1656</v>
      </c>
      <c r="C1469" s="329">
        <v>51.0</v>
      </c>
      <c r="D1469" s="329">
        <v>204.0</v>
      </c>
    </row>
    <row r="1470">
      <c r="A1470" s="325">
        <v>117.0</v>
      </c>
      <c r="B1470" s="325" t="s">
        <v>1657</v>
      </c>
      <c r="C1470" s="329">
        <v>64.0</v>
      </c>
      <c r="D1470" s="329">
        <v>256.0</v>
      </c>
    </row>
    <row r="1471">
      <c r="A1471" s="325">
        <v>118.0</v>
      </c>
      <c r="B1471" s="325" t="s">
        <v>1658</v>
      </c>
      <c r="C1471" s="329">
        <v>153.0</v>
      </c>
      <c r="D1471" s="329">
        <v>612.0</v>
      </c>
    </row>
    <row r="1472">
      <c r="A1472" s="325">
        <v>119.0</v>
      </c>
      <c r="B1472" s="325" t="s">
        <v>1659</v>
      </c>
      <c r="C1472" s="329">
        <v>23.0</v>
      </c>
      <c r="D1472" s="329">
        <v>92.0</v>
      </c>
    </row>
    <row r="1473">
      <c r="A1473" s="325" t="s">
        <v>1660</v>
      </c>
      <c r="B1473" s="325" t="s">
        <v>1661</v>
      </c>
      <c r="C1473" s="329">
        <v>23.0</v>
      </c>
      <c r="D1473" s="329">
        <v>92.0</v>
      </c>
    </row>
    <row r="1474">
      <c r="A1474" s="325">
        <v>1191.0</v>
      </c>
      <c r="B1474" s="325" t="s">
        <v>1662</v>
      </c>
      <c r="C1474" s="329">
        <v>29.0</v>
      </c>
      <c r="D1474" s="329">
        <v>116.0</v>
      </c>
    </row>
    <row r="1475">
      <c r="A1475" s="332"/>
      <c r="B1475" s="332"/>
      <c r="C1475" s="323"/>
      <c r="D1475" s="324"/>
    </row>
    <row r="1476">
      <c r="A1476" s="321" t="s">
        <v>1541</v>
      </c>
      <c r="B1476" s="332"/>
      <c r="C1476" s="323"/>
      <c r="D1476" s="324"/>
    </row>
    <row r="1477">
      <c r="A1477" s="325">
        <v>181.0</v>
      </c>
      <c r="B1477" s="325" t="s">
        <v>1663</v>
      </c>
      <c r="C1477" s="329">
        <v>108.0</v>
      </c>
      <c r="D1477" s="329">
        <v>432.0</v>
      </c>
    </row>
    <row r="1478">
      <c r="A1478" s="325">
        <v>1813.0</v>
      </c>
      <c r="B1478" s="325" t="s">
        <v>1664</v>
      </c>
      <c r="C1478" s="329">
        <v>42.0</v>
      </c>
      <c r="D1478" s="329">
        <v>168.0</v>
      </c>
    </row>
    <row r="1479">
      <c r="A1479" s="325">
        <v>1816.0</v>
      </c>
      <c r="B1479" s="325" t="s">
        <v>1665</v>
      </c>
      <c r="C1479" s="329">
        <v>8.0</v>
      </c>
      <c r="D1479" s="329">
        <v>32.0</v>
      </c>
    </row>
    <row r="1480">
      <c r="A1480" s="325">
        <v>1811.0</v>
      </c>
      <c r="B1480" s="325" t="s">
        <v>1666</v>
      </c>
      <c r="C1480" s="329">
        <v>38.0</v>
      </c>
      <c r="D1480" s="329">
        <v>152.0</v>
      </c>
    </row>
    <row r="1481">
      <c r="A1481" s="325">
        <v>1814.0</v>
      </c>
      <c r="B1481" s="325" t="s">
        <v>1667</v>
      </c>
      <c r="C1481" s="329">
        <v>42.0</v>
      </c>
      <c r="D1481" s="329">
        <v>168.0</v>
      </c>
    </row>
    <row r="1482">
      <c r="A1482" s="325">
        <v>1815.0</v>
      </c>
      <c r="B1482" s="325" t="s">
        <v>1668</v>
      </c>
      <c r="C1482" s="329">
        <v>42.0</v>
      </c>
      <c r="D1482" s="329">
        <v>168.0</v>
      </c>
    </row>
    <row r="1483">
      <c r="A1483" s="325">
        <v>1817.0</v>
      </c>
      <c r="B1483" s="325" t="s">
        <v>1669</v>
      </c>
      <c r="C1483" s="329">
        <v>42.0</v>
      </c>
      <c r="D1483" s="329">
        <v>168.0</v>
      </c>
    </row>
    <row r="1484">
      <c r="A1484" s="325">
        <v>1821.0</v>
      </c>
      <c r="B1484" s="325" t="s">
        <v>1670</v>
      </c>
      <c r="C1484" s="329">
        <v>8.0</v>
      </c>
      <c r="D1484" s="329">
        <v>32.0</v>
      </c>
    </row>
    <row r="1485">
      <c r="A1485" s="325">
        <v>183.0</v>
      </c>
      <c r="B1485" s="325" t="s">
        <v>1671</v>
      </c>
      <c r="C1485" s="329">
        <v>14.0</v>
      </c>
      <c r="D1485" s="329">
        <v>56.0</v>
      </c>
    </row>
    <row r="1486">
      <c r="A1486" s="325">
        <v>1831.0</v>
      </c>
      <c r="B1486" s="325" t="s">
        <v>1672</v>
      </c>
      <c r="C1486" s="329">
        <v>14.0</v>
      </c>
      <c r="D1486" s="329">
        <v>56.0</v>
      </c>
    </row>
    <row r="1487">
      <c r="A1487" s="325">
        <v>184.0</v>
      </c>
      <c r="B1487" s="325" t="s">
        <v>3178</v>
      </c>
      <c r="C1487" s="329">
        <v>124.0</v>
      </c>
      <c r="D1487" s="329">
        <v>496.0</v>
      </c>
    </row>
    <row r="1488">
      <c r="A1488" s="325">
        <v>1841.0</v>
      </c>
      <c r="B1488" s="325" t="s">
        <v>1674</v>
      </c>
      <c r="C1488" s="329">
        <v>124.0</v>
      </c>
      <c r="D1488" s="329">
        <v>496.0</v>
      </c>
    </row>
    <row r="1489">
      <c r="A1489" s="325">
        <v>1842.0</v>
      </c>
      <c r="B1489" s="325" t="s">
        <v>1675</v>
      </c>
      <c r="C1489" s="329">
        <v>96.0</v>
      </c>
      <c r="D1489" s="329">
        <v>384.0</v>
      </c>
    </row>
    <row r="1490">
      <c r="A1490" s="325">
        <v>190.0</v>
      </c>
      <c r="B1490" s="325" t="s">
        <v>1676</v>
      </c>
      <c r="C1490" s="329">
        <v>28.0</v>
      </c>
      <c r="D1490" s="329">
        <v>112.0</v>
      </c>
    </row>
    <row r="1491">
      <c r="A1491" s="325">
        <v>191.0</v>
      </c>
      <c r="B1491" s="325" t="s">
        <v>1677</v>
      </c>
      <c r="C1491" s="329">
        <v>45.0</v>
      </c>
      <c r="D1491" s="329">
        <v>45.0</v>
      </c>
    </row>
    <row r="1492">
      <c r="A1492" s="325">
        <v>192.0</v>
      </c>
      <c r="B1492" s="325" t="s">
        <v>1678</v>
      </c>
      <c r="C1492" s="329">
        <v>27.0</v>
      </c>
      <c r="D1492" s="329">
        <v>108.0</v>
      </c>
    </row>
    <row r="1493">
      <c r="A1493" s="325">
        <v>194.0</v>
      </c>
      <c r="B1493" s="325" t="s">
        <v>1679</v>
      </c>
      <c r="C1493" s="329">
        <v>28.0</v>
      </c>
      <c r="D1493" s="329">
        <v>112.0</v>
      </c>
    </row>
    <row r="1494">
      <c r="A1494" s="325">
        <v>195.0</v>
      </c>
      <c r="B1494" s="325" t="s">
        <v>1680</v>
      </c>
      <c r="C1494" s="329">
        <v>38.0</v>
      </c>
      <c r="D1494" s="329">
        <v>152.0</v>
      </c>
    </row>
    <row r="1495">
      <c r="A1495" s="325">
        <v>1951.0</v>
      </c>
      <c r="B1495" s="325" t="s">
        <v>1681</v>
      </c>
      <c r="C1495" s="329">
        <v>52.0</v>
      </c>
      <c r="D1495" s="329">
        <v>208.0</v>
      </c>
    </row>
    <row r="1496">
      <c r="A1496" s="325">
        <v>196.0</v>
      </c>
      <c r="B1496" s="325" t="s">
        <v>1682</v>
      </c>
      <c r="C1496" s="329">
        <v>26.0</v>
      </c>
      <c r="D1496" s="329">
        <v>104.0</v>
      </c>
    </row>
    <row r="1497">
      <c r="A1497" s="325">
        <v>1961.0</v>
      </c>
      <c r="B1497" s="325" t="s">
        <v>1683</v>
      </c>
      <c r="C1497" s="329">
        <v>27.0</v>
      </c>
      <c r="D1497" s="329">
        <v>108.0</v>
      </c>
    </row>
    <row r="1498">
      <c r="A1498" s="325">
        <v>197.0</v>
      </c>
      <c r="B1498" s="325" t="s">
        <v>1684</v>
      </c>
      <c r="C1498" s="329">
        <v>32.0</v>
      </c>
      <c r="D1498" s="329">
        <v>128.0</v>
      </c>
    </row>
    <row r="1499">
      <c r="A1499" s="325">
        <v>198.0</v>
      </c>
      <c r="B1499" s="325" t="s">
        <v>1685</v>
      </c>
      <c r="C1499" s="329">
        <v>28.0</v>
      </c>
      <c r="D1499" s="329">
        <v>112.0</v>
      </c>
    </row>
    <row r="1500">
      <c r="A1500" s="325">
        <v>199.0</v>
      </c>
      <c r="B1500" s="325" t="s">
        <v>1686</v>
      </c>
      <c r="C1500" s="329">
        <v>50.0</v>
      </c>
      <c r="D1500" s="329">
        <v>50.0</v>
      </c>
    </row>
    <row r="1501">
      <c r="A1501" s="325">
        <v>200.0</v>
      </c>
      <c r="B1501" s="325" t="s">
        <v>1687</v>
      </c>
      <c r="C1501" s="329">
        <v>30.0</v>
      </c>
      <c r="D1501" s="329">
        <v>30.0</v>
      </c>
    </row>
    <row r="1502">
      <c r="A1502" s="325">
        <v>575.0</v>
      </c>
      <c r="B1502" s="325" t="s">
        <v>1688</v>
      </c>
      <c r="C1502" s="329">
        <v>70.0</v>
      </c>
      <c r="D1502" s="329">
        <v>280.0</v>
      </c>
    </row>
    <row r="1503">
      <c r="A1503" s="325">
        <v>552.0</v>
      </c>
      <c r="B1503" s="325" t="s">
        <v>1689</v>
      </c>
      <c r="C1503" s="329">
        <v>10.0</v>
      </c>
      <c r="D1503" s="329">
        <v>10.0</v>
      </c>
    </row>
    <row r="1504">
      <c r="A1504" s="325">
        <v>126.0</v>
      </c>
      <c r="B1504" s="325" t="s">
        <v>1690</v>
      </c>
      <c r="C1504" s="329">
        <v>1000.0</v>
      </c>
      <c r="D1504" s="329">
        <v>2000.0</v>
      </c>
    </row>
    <row r="1505">
      <c r="A1505" s="325" t="s">
        <v>1691</v>
      </c>
      <c r="B1505" s="325" t="s">
        <v>1692</v>
      </c>
      <c r="C1505" s="329">
        <v>1000.0</v>
      </c>
      <c r="D1505" s="329">
        <v>2000.0</v>
      </c>
    </row>
    <row r="1506">
      <c r="A1506" s="325" t="s">
        <v>1693</v>
      </c>
      <c r="B1506" s="325" t="s">
        <v>1694</v>
      </c>
      <c r="C1506" s="329">
        <v>50.0</v>
      </c>
      <c r="D1506" s="328"/>
    </row>
    <row r="1507">
      <c r="A1507" s="325" t="s">
        <v>1695</v>
      </c>
      <c r="B1507" s="325" t="s">
        <v>1696</v>
      </c>
      <c r="C1507" s="329">
        <v>50.0</v>
      </c>
      <c r="D1507" s="328"/>
    </row>
    <row r="1508">
      <c r="A1508" s="332"/>
      <c r="B1508" s="332"/>
      <c r="C1508" s="323"/>
      <c r="D1508" s="324"/>
    </row>
    <row r="1509">
      <c r="A1509" s="321" t="s">
        <v>1546</v>
      </c>
      <c r="B1509" s="332"/>
      <c r="C1509" s="323"/>
      <c r="D1509" s="324"/>
    </row>
    <row r="1510">
      <c r="A1510" s="325" t="s">
        <v>1697</v>
      </c>
      <c r="B1510" s="325" t="s">
        <v>1698</v>
      </c>
      <c r="C1510" s="329">
        <v>40.0</v>
      </c>
      <c r="D1510" s="329">
        <v>160.0</v>
      </c>
    </row>
    <row r="1511">
      <c r="A1511" s="325" t="s">
        <v>1699</v>
      </c>
      <c r="B1511" s="325" t="s">
        <v>1700</v>
      </c>
      <c r="C1511" s="329">
        <v>30.0</v>
      </c>
      <c r="D1511" s="329">
        <v>120.0</v>
      </c>
    </row>
    <row r="1512">
      <c r="A1512" s="325" t="s">
        <v>1701</v>
      </c>
      <c r="B1512" s="325" t="s">
        <v>1702</v>
      </c>
      <c r="C1512" s="329">
        <v>30.0</v>
      </c>
      <c r="D1512" s="329">
        <v>120.0</v>
      </c>
    </row>
    <row r="1513">
      <c r="A1513" s="325" t="s">
        <v>1703</v>
      </c>
      <c r="B1513" s="325" t="s">
        <v>1704</v>
      </c>
      <c r="C1513" s="329">
        <v>30.0</v>
      </c>
      <c r="D1513" s="329">
        <v>120.0</v>
      </c>
    </row>
    <row r="1514">
      <c r="A1514" s="325" t="s">
        <v>1705</v>
      </c>
      <c r="B1514" s="325" t="s">
        <v>1706</v>
      </c>
      <c r="C1514" s="329">
        <v>24.0</v>
      </c>
      <c r="D1514" s="329">
        <v>48.0</v>
      </c>
    </row>
    <row r="1515">
      <c r="A1515" s="325" t="s">
        <v>1707</v>
      </c>
      <c r="B1515" s="325" t="s">
        <v>1708</v>
      </c>
      <c r="C1515" s="329">
        <v>30.0</v>
      </c>
      <c r="D1515" s="329">
        <v>120.0</v>
      </c>
    </row>
    <row r="1516">
      <c r="A1516" s="325" t="s">
        <v>1709</v>
      </c>
      <c r="B1516" s="325" t="s">
        <v>1710</v>
      </c>
      <c r="C1516" s="329">
        <v>30.0</v>
      </c>
      <c r="D1516" s="329">
        <v>120.0</v>
      </c>
    </row>
    <row r="1517">
      <c r="A1517" s="325" t="s">
        <v>1711</v>
      </c>
      <c r="B1517" s="325" t="s">
        <v>1712</v>
      </c>
      <c r="C1517" s="329">
        <v>30.0</v>
      </c>
      <c r="D1517" s="329">
        <v>120.0</v>
      </c>
    </row>
    <row r="1518">
      <c r="A1518" s="325" t="s">
        <v>1713</v>
      </c>
      <c r="B1518" s="325" t="s">
        <v>1714</v>
      </c>
      <c r="C1518" s="329">
        <v>30.0</v>
      </c>
      <c r="D1518" s="329">
        <v>120.0</v>
      </c>
    </row>
    <row r="1519">
      <c r="A1519" s="325" t="s">
        <v>1715</v>
      </c>
      <c r="B1519" s="325" t="s">
        <v>1716</v>
      </c>
      <c r="C1519" s="329">
        <v>30.0</v>
      </c>
      <c r="D1519" s="329">
        <v>120.0</v>
      </c>
    </row>
    <row r="1520">
      <c r="A1520" s="330"/>
      <c r="B1520" s="331"/>
      <c r="C1520" s="323"/>
      <c r="D1520" s="324"/>
    </row>
    <row r="1521">
      <c r="A1521" s="396" t="s">
        <v>3205</v>
      </c>
      <c r="B1521" s="322"/>
      <c r="C1521" s="323"/>
      <c r="D1521" s="324"/>
    </row>
    <row r="1522">
      <c r="A1522" s="326" t="s">
        <v>3206</v>
      </c>
      <c r="B1522" s="326" t="s">
        <v>3207</v>
      </c>
      <c r="C1522" s="329">
        <v>30.0</v>
      </c>
      <c r="D1522" s="329">
        <v>120.0</v>
      </c>
    </row>
    <row r="1523">
      <c r="A1523" s="326" t="s">
        <v>3210</v>
      </c>
      <c r="B1523" s="326" t="s">
        <v>1708</v>
      </c>
      <c r="C1523" s="329">
        <v>30.0</v>
      </c>
      <c r="D1523" s="329">
        <v>120.0</v>
      </c>
    </row>
    <row r="1524">
      <c r="A1524" s="326" t="s">
        <v>3211</v>
      </c>
      <c r="B1524" s="326" t="s">
        <v>1700</v>
      </c>
      <c r="C1524" s="329">
        <v>30.0</v>
      </c>
      <c r="D1524" s="329">
        <v>120.0</v>
      </c>
    </row>
    <row r="1525">
      <c r="A1525" s="326" t="s">
        <v>3212</v>
      </c>
      <c r="B1525" s="326" t="s">
        <v>1667</v>
      </c>
      <c r="C1525" s="329">
        <v>42.0</v>
      </c>
      <c r="D1525" s="329">
        <v>168.0</v>
      </c>
    </row>
    <row r="1526">
      <c r="A1526" s="326" t="s">
        <v>3213</v>
      </c>
      <c r="B1526" s="326" t="s">
        <v>1710</v>
      </c>
      <c r="C1526" s="329">
        <v>30.0</v>
      </c>
      <c r="D1526" s="329">
        <v>120.0</v>
      </c>
    </row>
    <row r="1527">
      <c r="A1527" s="326" t="s">
        <v>3214</v>
      </c>
      <c r="B1527" s="326" t="s">
        <v>1712</v>
      </c>
      <c r="C1527" s="329">
        <v>30.0</v>
      </c>
      <c r="D1527" s="329">
        <v>120.0</v>
      </c>
    </row>
    <row r="1528">
      <c r="A1528" s="326" t="s">
        <v>3217</v>
      </c>
      <c r="B1528" s="326" t="s">
        <v>1671</v>
      </c>
      <c r="C1528" s="329">
        <v>14.0</v>
      </c>
      <c r="D1528" s="329">
        <v>56.0</v>
      </c>
    </row>
    <row r="1529">
      <c r="A1529" s="326" t="s">
        <v>3219</v>
      </c>
      <c r="B1529" s="326" t="s">
        <v>1728</v>
      </c>
      <c r="C1529" s="329">
        <v>22.0</v>
      </c>
      <c r="D1529" s="329">
        <v>88.0</v>
      </c>
    </row>
    <row r="1530">
      <c r="A1530" s="326" t="s">
        <v>3220</v>
      </c>
      <c r="B1530" s="326" t="s">
        <v>1730</v>
      </c>
      <c r="C1530" s="329">
        <v>22.0</v>
      </c>
      <c r="D1530" s="329">
        <v>88.0</v>
      </c>
    </row>
    <row r="1531">
      <c r="A1531" s="326" t="s">
        <v>3221</v>
      </c>
      <c r="B1531" s="326" t="s">
        <v>1731</v>
      </c>
      <c r="C1531" s="329">
        <v>55.0</v>
      </c>
      <c r="D1531" s="329">
        <v>220.0</v>
      </c>
    </row>
    <row r="1532">
      <c r="A1532" s="326" t="s">
        <v>3222</v>
      </c>
      <c r="B1532" s="326" t="s">
        <v>1679</v>
      </c>
      <c r="C1532" s="329">
        <v>28.0</v>
      </c>
      <c r="D1532" s="329">
        <v>112.0</v>
      </c>
    </row>
    <row r="1533">
      <c r="A1533" s="330"/>
      <c r="B1533" s="331"/>
      <c r="C1533" s="323"/>
      <c r="D1533" s="324"/>
    </row>
    <row r="1534">
      <c r="A1534" s="396" t="s">
        <v>3223</v>
      </c>
      <c r="B1534" s="322"/>
      <c r="C1534" s="323"/>
      <c r="D1534" s="324"/>
    </row>
    <row r="1535">
      <c r="A1535" s="326" t="s">
        <v>3224</v>
      </c>
      <c r="B1535" s="326" t="s">
        <v>3207</v>
      </c>
      <c r="C1535" s="329">
        <v>42.0</v>
      </c>
      <c r="D1535" s="329">
        <v>168.0</v>
      </c>
    </row>
    <row r="1536">
      <c r="A1536" s="326" t="s">
        <v>3225</v>
      </c>
      <c r="B1536" s="326" t="s">
        <v>1708</v>
      </c>
      <c r="C1536" s="329">
        <v>30.0</v>
      </c>
      <c r="D1536" s="329">
        <v>120.0</v>
      </c>
    </row>
    <row r="1537">
      <c r="A1537" s="326" t="s">
        <v>3226</v>
      </c>
      <c r="B1537" s="326" t="s">
        <v>1700</v>
      </c>
      <c r="C1537" s="329">
        <v>30.0</v>
      </c>
      <c r="D1537" s="329">
        <v>120.0</v>
      </c>
    </row>
    <row r="1538">
      <c r="A1538" s="326" t="s">
        <v>3227</v>
      </c>
      <c r="B1538" s="326" t="s">
        <v>1667</v>
      </c>
      <c r="C1538" s="329">
        <v>42.0</v>
      </c>
      <c r="D1538" s="329">
        <v>168.0</v>
      </c>
    </row>
    <row r="1539">
      <c r="A1539" s="326" t="s">
        <v>3230</v>
      </c>
      <c r="B1539" s="326" t="s">
        <v>1710</v>
      </c>
      <c r="C1539" s="329">
        <v>30.0</v>
      </c>
      <c r="D1539" s="329">
        <v>120.0</v>
      </c>
    </row>
    <row r="1540">
      <c r="A1540" s="326" t="s">
        <v>3231</v>
      </c>
      <c r="B1540" s="326" t="s">
        <v>1712</v>
      </c>
      <c r="C1540" s="329">
        <v>30.0</v>
      </c>
      <c r="D1540" s="329">
        <v>120.0</v>
      </c>
    </row>
    <row r="1541">
      <c r="A1541" s="326" t="s">
        <v>3234</v>
      </c>
      <c r="B1541" s="326" t="s">
        <v>1671</v>
      </c>
      <c r="C1541" s="329">
        <v>14.0</v>
      </c>
      <c r="D1541" s="329">
        <v>56.0</v>
      </c>
    </row>
    <row r="1542">
      <c r="A1542" s="326" t="s">
        <v>3235</v>
      </c>
      <c r="B1542" s="326" t="s">
        <v>1728</v>
      </c>
      <c r="C1542" s="329">
        <v>22.0</v>
      </c>
      <c r="D1542" s="329">
        <v>88.0</v>
      </c>
    </row>
    <row r="1543">
      <c r="A1543" s="326" t="s">
        <v>3236</v>
      </c>
      <c r="B1543" s="326" t="s">
        <v>1730</v>
      </c>
      <c r="C1543" s="329">
        <v>22.0</v>
      </c>
      <c r="D1543" s="329">
        <v>88.0</v>
      </c>
    </row>
    <row r="1544">
      <c r="A1544" s="326" t="s">
        <v>3237</v>
      </c>
      <c r="B1544" s="326" t="s">
        <v>1731</v>
      </c>
      <c r="C1544" s="329">
        <v>55.0</v>
      </c>
      <c r="D1544" s="329">
        <v>220.0</v>
      </c>
    </row>
    <row r="1545">
      <c r="A1545" s="326" t="s">
        <v>3240</v>
      </c>
      <c r="B1545" s="326" t="s">
        <v>1679</v>
      </c>
      <c r="C1545" s="329">
        <v>28.0</v>
      </c>
      <c r="D1545" s="329">
        <v>112.0</v>
      </c>
    </row>
    <row r="1546">
      <c r="A1546" s="322"/>
      <c r="B1546" s="322"/>
      <c r="C1546" s="323"/>
      <c r="D1546" s="324"/>
    </row>
    <row r="1547">
      <c r="A1547" s="396" t="s">
        <v>3241</v>
      </c>
      <c r="B1547" s="322"/>
      <c r="C1547" s="323"/>
      <c r="D1547" s="324"/>
    </row>
    <row r="1548">
      <c r="A1548" s="326" t="s">
        <v>3242</v>
      </c>
      <c r="B1548" s="326" t="s">
        <v>3207</v>
      </c>
      <c r="C1548" s="329">
        <v>42.0</v>
      </c>
      <c r="D1548" s="329">
        <v>168.0</v>
      </c>
    </row>
    <row r="1549">
      <c r="A1549" s="326" t="s">
        <v>3243</v>
      </c>
      <c r="B1549" s="326" t="s">
        <v>1708</v>
      </c>
      <c r="C1549" s="329">
        <v>30.0</v>
      </c>
      <c r="D1549" s="329">
        <v>120.0</v>
      </c>
    </row>
    <row r="1550">
      <c r="A1550" s="326" t="s">
        <v>3244</v>
      </c>
      <c r="B1550" s="326" t="s">
        <v>1700</v>
      </c>
      <c r="C1550" s="329">
        <v>30.0</v>
      </c>
      <c r="D1550" s="329">
        <v>120.0</v>
      </c>
    </row>
    <row r="1551">
      <c r="A1551" s="326" t="s">
        <v>3247</v>
      </c>
      <c r="B1551" s="326" t="s">
        <v>1667</v>
      </c>
      <c r="C1551" s="329">
        <v>42.0</v>
      </c>
      <c r="D1551" s="329">
        <v>168.0</v>
      </c>
    </row>
    <row r="1552">
      <c r="A1552" s="326" t="s">
        <v>3248</v>
      </c>
      <c r="B1552" s="326" t="s">
        <v>1710</v>
      </c>
      <c r="C1552" s="329">
        <v>30.0</v>
      </c>
      <c r="D1552" s="329">
        <v>120.0</v>
      </c>
    </row>
    <row r="1553">
      <c r="A1553" s="326" t="s">
        <v>3249</v>
      </c>
      <c r="B1553" s="326" t="s">
        <v>1712</v>
      </c>
      <c r="C1553" s="329">
        <v>30.0</v>
      </c>
      <c r="D1553" s="329">
        <v>120.0</v>
      </c>
    </row>
    <row r="1554">
      <c r="A1554" s="326" t="s">
        <v>3250</v>
      </c>
      <c r="B1554" s="326" t="s">
        <v>1671</v>
      </c>
      <c r="C1554" s="329">
        <v>14.0</v>
      </c>
      <c r="D1554" s="329">
        <v>56.0</v>
      </c>
    </row>
    <row r="1555">
      <c r="A1555" s="326" t="s">
        <v>3251</v>
      </c>
      <c r="B1555" s="326" t="s">
        <v>1728</v>
      </c>
      <c r="C1555" s="329">
        <v>22.0</v>
      </c>
      <c r="D1555" s="329">
        <v>88.0</v>
      </c>
    </row>
    <row r="1556">
      <c r="A1556" s="326" t="s">
        <v>3252</v>
      </c>
      <c r="B1556" s="326" t="s">
        <v>1730</v>
      </c>
      <c r="C1556" s="329">
        <v>22.0</v>
      </c>
      <c r="D1556" s="329">
        <v>88.0</v>
      </c>
    </row>
    <row r="1557">
      <c r="A1557" s="326" t="s">
        <v>3253</v>
      </c>
      <c r="B1557" s="326" t="s">
        <v>1731</v>
      </c>
      <c r="C1557" s="329">
        <v>55.0</v>
      </c>
      <c r="D1557" s="329">
        <v>220.0</v>
      </c>
    </row>
    <row r="1558">
      <c r="A1558" s="326" t="s">
        <v>3254</v>
      </c>
      <c r="B1558" s="326" t="s">
        <v>1679</v>
      </c>
      <c r="C1558" s="329">
        <v>28.0</v>
      </c>
      <c r="D1558" s="329">
        <v>112.0</v>
      </c>
    </row>
    <row r="1559">
      <c r="A1559" s="322"/>
      <c r="B1559" s="322"/>
      <c r="C1559" s="323"/>
      <c r="D1559" s="324"/>
    </row>
    <row r="1560">
      <c r="A1560" s="396" t="s">
        <v>3256</v>
      </c>
      <c r="B1560" s="322"/>
      <c r="C1560" s="323"/>
      <c r="D1560" s="324"/>
    </row>
    <row r="1561">
      <c r="A1561" s="326" t="s">
        <v>3257</v>
      </c>
      <c r="B1561" s="326" t="s">
        <v>3207</v>
      </c>
      <c r="C1561" s="329">
        <v>42.0</v>
      </c>
      <c r="D1561" s="329">
        <v>168.0</v>
      </c>
    </row>
    <row r="1562">
      <c r="A1562" s="326" t="s">
        <v>3260</v>
      </c>
      <c r="B1562" s="326" t="s">
        <v>1708</v>
      </c>
      <c r="C1562" s="329">
        <v>30.0</v>
      </c>
      <c r="D1562" s="329">
        <v>120.0</v>
      </c>
    </row>
    <row r="1563">
      <c r="A1563" s="326" t="s">
        <v>3261</v>
      </c>
      <c r="B1563" s="326" t="s">
        <v>1700</v>
      </c>
      <c r="C1563" s="329">
        <v>30.0</v>
      </c>
      <c r="D1563" s="329">
        <v>120.0</v>
      </c>
    </row>
    <row r="1564">
      <c r="A1564" s="326" t="s">
        <v>3262</v>
      </c>
      <c r="B1564" s="326" t="s">
        <v>1667</v>
      </c>
      <c r="C1564" s="329">
        <v>42.0</v>
      </c>
      <c r="D1564" s="329">
        <v>168.0</v>
      </c>
    </row>
    <row r="1565">
      <c r="A1565" s="326" t="s">
        <v>3263</v>
      </c>
      <c r="B1565" s="326" t="s">
        <v>1710</v>
      </c>
      <c r="C1565" s="329">
        <v>30.0</v>
      </c>
      <c r="D1565" s="329">
        <v>120.0</v>
      </c>
    </row>
    <row r="1566">
      <c r="A1566" s="326" t="s">
        <v>3264</v>
      </c>
      <c r="B1566" s="326" t="s">
        <v>1712</v>
      </c>
      <c r="C1566" s="329">
        <v>30.0</v>
      </c>
      <c r="D1566" s="329">
        <v>120.0</v>
      </c>
    </row>
    <row r="1567">
      <c r="A1567" s="326" t="s">
        <v>3265</v>
      </c>
      <c r="B1567" s="326" t="s">
        <v>1671</v>
      </c>
      <c r="C1567" s="329">
        <v>14.0</v>
      </c>
      <c r="D1567" s="329">
        <v>56.0</v>
      </c>
    </row>
    <row r="1568">
      <c r="A1568" s="326" t="s">
        <v>3266</v>
      </c>
      <c r="B1568" s="326" t="s">
        <v>1728</v>
      </c>
      <c r="C1568" s="329">
        <v>22.0</v>
      </c>
      <c r="D1568" s="329">
        <v>88.0</v>
      </c>
    </row>
    <row r="1569">
      <c r="A1569" s="326" t="s">
        <v>3267</v>
      </c>
      <c r="B1569" s="326" t="s">
        <v>1730</v>
      </c>
      <c r="C1569" s="329">
        <v>22.0</v>
      </c>
      <c r="D1569" s="329">
        <v>88.0</v>
      </c>
    </row>
    <row r="1570">
      <c r="A1570" s="326" t="s">
        <v>3268</v>
      </c>
      <c r="B1570" s="326" t="s">
        <v>1731</v>
      </c>
      <c r="C1570" s="329">
        <v>55.0</v>
      </c>
      <c r="D1570" s="329">
        <v>220.0</v>
      </c>
    </row>
    <row r="1571">
      <c r="A1571" s="326" t="s">
        <v>3270</v>
      </c>
      <c r="B1571" s="326" t="s">
        <v>1679</v>
      </c>
      <c r="C1571" s="329">
        <v>28.0</v>
      </c>
      <c r="D1571" s="329">
        <v>112.0</v>
      </c>
    </row>
    <row r="1572">
      <c r="A1572" s="330"/>
      <c r="B1572" s="331"/>
      <c r="C1572" s="323"/>
      <c r="D1572" s="324"/>
    </row>
    <row r="1573">
      <c r="A1573" s="321" t="s">
        <v>1724</v>
      </c>
      <c r="B1573" s="332"/>
      <c r="C1573" s="323"/>
      <c r="D1573" s="324"/>
    </row>
    <row r="1574">
      <c r="A1574" s="325">
        <v>571.0</v>
      </c>
      <c r="B1574" s="325" t="s">
        <v>1725</v>
      </c>
      <c r="C1574" s="329">
        <v>38.0</v>
      </c>
      <c r="D1574" s="329">
        <v>152.0</v>
      </c>
    </row>
    <row r="1575">
      <c r="A1575" s="325">
        <v>572.0</v>
      </c>
      <c r="B1575" s="325" t="s">
        <v>1726</v>
      </c>
      <c r="C1575" s="329">
        <v>38.0</v>
      </c>
      <c r="D1575" s="329">
        <v>152.0</v>
      </c>
    </row>
    <row r="1576">
      <c r="A1576" s="332"/>
      <c r="B1576" s="332"/>
      <c r="C1576" s="323"/>
      <c r="D1576" s="324"/>
    </row>
    <row r="1577">
      <c r="A1577" s="321" t="s">
        <v>1727</v>
      </c>
      <c r="B1577" s="332"/>
      <c r="C1577" s="323"/>
      <c r="D1577" s="324"/>
    </row>
    <row r="1578">
      <c r="A1578" s="325">
        <v>187.0</v>
      </c>
      <c r="B1578" s="325" t="s">
        <v>1728</v>
      </c>
      <c r="C1578" s="329">
        <v>22.0</v>
      </c>
      <c r="D1578" s="329">
        <v>88.0</v>
      </c>
    </row>
    <row r="1579">
      <c r="A1579" s="325">
        <v>1871.0</v>
      </c>
      <c r="B1579" s="325" t="s">
        <v>1729</v>
      </c>
      <c r="C1579" s="329">
        <v>22.0</v>
      </c>
      <c r="D1579" s="329">
        <v>88.0</v>
      </c>
    </row>
    <row r="1580">
      <c r="A1580" s="325">
        <v>188.0</v>
      </c>
      <c r="B1580" s="325" t="s">
        <v>1730</v>
      </c>
      <c r="C1580" s="329">
        <v>22.0</v>
      </c>
      <c r="D1580" s="329">
        <v>88.0</v>
      </c>
    </row>
    <row r="1581">
      <c r="A1581" s="325">
        <v>1881.0</v>
      </c>
      <c r="B1581" s="325" t="s">
        <v>1730</v>
      </c>
      <c r="C1581" s="329">
        <v>22.0</v>
      </c>
      <c r="D1581" s="329">
        <v>88.0</v>
      </c>
    </row>
    <row r="1582">
      <c r="A1582" s="325">
        <v>189.0</v>
      </c>
      <c r="B1582" s="325" t="s">
        <v>1731</v>
      </c>
      <c r="C1582" s="329">
        <v>55.0</v>
      </c>
      <c r="D1582" s="329">
        <v>220.0</v>
      </c>
    </row>
    <row r="1583">
      <c r="A1583" s="325">
        <v>1891.0</v>
      </c>
      <c r="B1583" s="325" t="s">
        <v>1731</v>
      </c>
      <c r="C1583" s="329">
        <v>48.0</v>
      </c>
      <c r="D1583" s="329">
        <v>192.0</v>
      </c>
    </row>
    <row r="1584">
      <c r="A1584" s="325">
        <v>521.0</v>
      </c>
      <c r="B1584" s="325" t="s">
        <v>1732</v>
      </c>
      <c r="C1584" s="329">
        <v>26.0</v>
      </c>
      <c r="D1584" s="329">
        <v>104.0</v>
      </c>
    </row>
    <row r="1585">
      <c r="A1585" s="325">
        <v>522.0</v>
      </c>
      <c r="B1585" s="325" t="s">
        <v>1733</v>
      </c>
      <c r="C1585" s="329">
        <v>24.0</v>
      </c>
      <c r="D1585" s="329">
        <v>96.0</v>
      </c>
    </row>
    <row r="1586">
      <c r="A1586" s="325">
        <v>5211.0</v>
      </c>
      <c r="B1586" s="325" t="s">
        <v>1734</v>
      </c>
      <c r="C1586" s="329">
        <v>26.0</v>
      </c>
      <c r="D1586" s="329">
        <v>104.0</v>
      </c>
    </row>
    <row r="1587">
      <c r="A1587" s="325">
        <v>5221.0</v>
      </c>
      <c r="B1587" s="325" t="s">
        <v>1735</v>
      </c>
      <c r="C1587" s="329">
        <v>24.0</v>
      </c>
      <c r="D1587" s="329">
        <v>96.0</v>
      </c>
    </row>
    <row r="1588">
      <c r="A1588" s="325" t="s">
        <v>1736</v>
      </c>
      <c r="B1588" s="325" t="s">
        <v>1737</v>
      </c>
      <c r="C1588" s="329">
        <v>22.0</v>
      </c>
      <c r="D1588" s="329">
        <v>88.0</v>
      </c>
    </row>
    <row r="1589">
      <c r="A1589" s="325" t="s">
        <v>1738</v>
      </c>
      <c r="B1589" s="325" t="s">
        <v>1739</v>
      </c>
      <c r="C1589" s="329">
        <v>22.0</v>
      </c>
      <c r="D1589" s="329">
        <v>88.0</v>
      </c>
    </row>
    <row r="1590">
      <c r="A1590" s="325">
        <v>180.0</v>
      </c>
      <c r="B1590" s="325" t="s">
        <v>1731</v>
      </c>
      <c r="C1590" s="329">
        <v>55.0</v>
      </c>
      <c r="D1590" s="329">
        <v>220.0</v>
      </c>
    </row>
    <row r="1591">
      <c r="A1591" s="325" t="s">
        <v>1740</v>
      </c>
      <c r="B1591" s="325" t="s">
        <v>1741</v>
      </c>
      <c r="C1591" s="329">
        <v>29.0</v>
      </c>
      <c r="D1591" s="329">
        <v>116.0</v>
      </c>
    </row>
    <row r="1592">
      <c r="A1592" s="325" t="s">
        <v>1742</v>
      </c>
      <c r="B1592" s="325" t="s">
        <v>1743</v>
      </c>
      <c r="C1592" s="329">
        <v>29.0</v>
      </c>
      <c r="D1592" s="329">
        <v>116.0</v>
      </c>
    </row>
    <row r="1593">
      <c r="A1593" s="325" t="s">
        <v>1744</v>
      </c>
      <c r="B1593" s="325" t="s">
        <v>1745</v>
      </c>
      <c r="C1593" s="327">
        <v>1000.0</v>
      </c>
      <c r="D1593" s="329">
        <v>1000.0</v>
      </c>
    </row>
    <row r="1594">
      <c r="A1594" s="325" t="s">
        <v>1746</v>
      </c>
      <c r="B1594" s="325" t="s">
        <v>1747</v>
      </c>
      <c r="C1594" s="327">
        <v>1000.0</v>
      </c>
      <c r="D1594" s="329">
        <v>1000.0</v>
      </c>
    </row>
    <row r="1595">
      <c r="A1595" s="332"/>
      <c r="B1595" s="332"/>
      <c r="C1595" s="323"/>
      <c r="D1595" s="324"/>
    </row>
    <row r="1596">
      <c r="A1596" s="321" t="s">
        <v>1748</v>
      </c>
      <c r="B1596" s="332"/>
      <c r="C1596" s="323"/>
      <c r="D1596" s="324"/>
    </row>
    <row r="1597">
      <c r="A1597" s="325">
        <v>201.0</v>
      </c>
      <c r="B1597" s="325" t="s">
        <v>1749</v>
      </c>
      <c r="C1597" s="329">
        <v>264.0</v>
      </c>
      <c r="D1597" s="329">
        <v>1056.0</v>
      </c>
    </row>
    <row r="1598">
      <c r="A1598" s="325">
        <v>202.0</v>
      </c>
      <c r="B1598" s="325" t="s">
        <v>1750</v>
      </c>
      <c r="C1598" s="329">
        <v>192.0</v>
      </c>
      <c r="D1598" s="329">
        <v>768.0</v>
      </c>
    </row>
    <row r="1599">
      <c r="A1599" s="325">
        <v>221.0</v>
      </c>
      <c r="B1599" s="325" t="s">
        <v>1751</v>
      </c>
      <c r="C1599" s="329">
        <v>600.0</v>
      </c>
      <c r="D1599" s="329">
        <v>2400.0</v>
      </c>
    </row>
    <row r="1600">
      <c r="A1600" s="325">
        <v>222.0</v>
      </c>
      <c r="B1600" s="325" t="s">
        <v>1752</v>
      </c>
      <c r="C1600" s="329">
        <v>416.0</v>
      </c>
      <c r="D1600" s="329">
        <v>1664.0</v>
      </c>
    </row>
    <row r="1601">
      <c r="A1601" s="325">
        <v>225.0</v>
      </c>
      <c r="B1601" s="325" t="s">
        <v>1753</v>
      </c>
      <c r="C1601" s="329">
        <v>600.0</v>
      </c>
      <c r="D1601" s="329">
        <v>2400.0</v>
      </c>
    </row>
    <row r="1602">
      <c r="A1602" s="325">
        <v>231.0</v>
      </c>
      <c r="B1602" s="325" t="s">
        <v>1754</v>
      </c>
      <c r="C1602" s="329">
        <v>248.0</v>
      </c>
      <c r="D1602" s="329">
        <v>992.0</v>
      </c>
    </row>
    <row r="1603">
      <c r="A1603" s="325">
        <v>232.0</v>
      </c>
      <c r="B1603" s="325" t="s">
        <v>1755</v>
      </c>
      <c r="C1603" s="329">
        <v>160.0</v>
      </c>
      <c r="D1603" s="329">
        <v>640.0</v>
      </c>
    </row>
    <row r="1604">
      <c r="A1604" s="325">
        <v>233.0</v>
      </c>
      <c r="B1604" s="325" t="s">
        <v>1756</v>
      </c>
      <c r="C1604" s="329">
        <v>112.0</v>
      </c>
      <c r="D1604" s="329">
        <v>448.0</v>
      </c>
    </row>
    <row r="1605">
      <c r="A1605" s="332"/>
      <c r="B1605" s="332"/>
      <c r="C1605" s="323"/>
      <c r="D1605" s="324"/>
    </row>
    <row r="1606">
      <c r="A1606" s="321" t="s">
        <v>1757</v>
      </c>
      <c r="B1606" s="332"/>
      <c r="C1606" s="323"/>
      <c r="D1606" s="324"/>
    </row>
    <row r="1607">
      <c r="A1607" s="325">
        <v>331.0</v>
      </c>
      <c r="B1607" s="325" t="s">
        <v>1758</v>
      </c>
      <c r="C1607" s="329">
        <v>312.0</v>
      </c>
      <c r="D1607" s="329">
        <v>1248.0</v>
      </c>
    </row>
    <row r="1608">
      <c r="A1608" s="325">
        <v>332.0</v>
      </c>
      <c r="B1608" s="325" t="s">
        <v>1759</v>
      </c>
      <c r="C1608" s="329">
        <v>204.0</v>
      </c>
      <c r="D1608" s="329">
        <v>816.0</v>
      </c>
    </row>
    <row r="1609">
      <c r="A1609" s="325">
        <v>333.0</v>
      </c>
      <c r="B1609" s="325" t="s">
        <v>1760</v>
      </c>
      <c r="C1609" s="329">
        <v>84.0</v>
      </c>
      <c r="D1609" s="329">
        <v>336.0</v>
      </c>
    </row>
    <row r="1610">
      <c r="A1610" s="325">
        <v>334.0</v>
      </c>
      <c r="B1610" s="325" t="s">
        <v>1761</v>
      </c>
      <c r="C1610" s="329">
        <v>104.0</v>
      </c>
      <c r="D1610" s="329">
        <v>416.0</v>
      </c>
    </row>
    <row r="1611">
      <c r="A1611" s="325">
        <v>335.0</v>
      </c>
      <c r="B1611" s="325" t="s">
        <v>1762</v>
      </c>
      <c r="C1611" s="329">
        <v>64.0</v>
      </c>
      <c r="D1611" s="329">
        <v>256.0</v>
      </c>
    </row>
    <row r="1612">
      <c r="A1612" s="325">
        <v>336.0</v>
      </c>
      <c r="B1612" s="325" t="s">
        <v>1763</v>
      </c>
      <c r="C1612" s="329">
        <v>30.0</v>
      </c>
      <c r="D1612" s="329">
        <v>120.0</v>
      </c>
    </row>
    <row r="1613">
      <c r="A1613" s="325">
        <v>128.0</v>
      </c>
      <c r="B1613" s="325" t="s">
        <v>1764</v>
      </c>
      <c r="C1613" s="329">
        <v>320.0</v>
      </c>
      <c r="D1613" s="329">
        <v>1280.0</v>
      </c>
    </row>
    <row r="1614">
      <c r="A1614" s="325">
        <v>337.0</v>
      </c>
      <c r="B1614" s="325" t="s">
        <v>1765</v>
      </c>
      <c r="C1614" s="329">
        <v>800.0</v>
      </c>
      <c r="D1614" s="329">
        <v>3200.0</v>
      </c>
    </row>
    <row r="1615">
      <c r="A1615" s="325" t="s">
        <v>1766</v>
      </c>
      <c r="B1615" s="325" t="s">
        <v>1767</v>
      </c>
      <c r="C1615" s="329">
        <v>550.0</v>
      </c>
      <c r="D1615" s="329">
        <v>2200.0</v>
      </c>
    </row>
    <row r="1616">
      <c r="A1616" s="332"/>
      <c r="B1616" s="332"/>
      <c r="C1616" s="323"/>
      <c r="D1616" s="324"/>
    </row>
    <row r="1617">
      <c r="A1617" s="321" t="s">
        <v>1768</v>
      </c>
      <c r="B1617" s="332"/>
      <c r="C1617" s="323"/>
      <c r="D1617" s="324"/>
    </row>
    <row r="1618">
      <c r="A1618" s="325" t="s">
        <v>1769</v>
      </c>
      <c r="B1618" s="325" t="s">
        <v>1770</v>
      </c>
      <c r="C1618" s="329">
        <v>24.0</v>
      </c>
      <c r="D1618" s="329">
        <v>48.0</v>
      </c>
    </row>
    <row r="1619">
      <c r="A1619" s="325" t="s">
        <v>1771</v>
      </c>
      <c r="B1619" s="325" t="s">
        <v>1772</v>
      </c>
      <c r="C1619" s="329">
        <v>24.0</v>
      </c>
      <c r="D1619" s="329">
        <v>48.0</v>
      </c>
    </row>
    <row r="1620">
      <c r="A1620" s="325" t="s">
        <v>1773</v>
      </c>
      <c r="B1620" s="325" t="s">
        <v>1774</v>
      </c>
      <c r="C1620" s="329">
        <v>6.0</v>
      </c>
      <c r="D1620" s="329">
        <v>24.0</v>
      </c>
    </row>
    <row r="1621">
      <c r="A1621" s="325" t="s">
        <v>1775</v>
      </c>
      <c r="B1621" s="325" t="s">
        <v>1776</v>
      </c>
      <c r="C1621" s="329">
        <v>6.0</v>
      </c>
      <c r="D1621" s="329">
        <v>24.0</v>
      </c>
    </row>
    <row r="1622">
      <c r="A1622" s="325" t="s">
        <v>1777</v>
      </c>
      <c r="B1622" s="325" t="s">
        <v>1778</v>
      </c>
      <c r="C1622" s="329">
        <v>4.0</v>
      </c>
      <c r="D1622" s="329">
        <v>16.0</v>
      </c>
    </row>
    <row r="1623">
      <c r="A1623" s="325" t="s">
        <v>1779</v>
      </c>
      <c r="B1623" s="325" t="s">
        <v>3285</v>
      </c>
      <c r="C1623" s="327">
        <v>4.0</v>
      </c>
      <c r="D1623" s="329">
        <v>16.0</v>
      </c>
    </row>
    <row r="1624">
      <c r="A1624" s="325" t="s">
        <v>1781</v>
      </c>
      <c r="B1624" s="325" t="s">
        <v>1782</v>
      </c>
      <c r="C1624" s="327">
        <v>24.0</v>
      </c>
      <c r="D1624" s="328">
        <v>48.0</v>
      </c>
    </row>
    <row r="1625">
      <c r="A1625" s="332"/>
      <c r="B1625" s="332"/>
      <c r="C1625" s="323"/>
      <c r="D1625" s="324"/>
    </row>
    <row r="1626">
      <c r="A1626" s="321" t="s">
        <v>1783</v>
      </c>
      <c r="B1626" s="332"/>
      <c r="C1626" s="323"/>
      <c r="D1626" s="324"/>
    </row>
    <row r="1627">
      <c r="A1627" s="325">
        <v>551.0</v>
      </c>
      <c r="B1627" s="325" t="s">
        <v>1784</v>
      </c>
      <c r="C1627" s="329">
        <v>6.0</v>
      </c>
      <c r="D1627" s="329">
        <v>6.0</v>
      </c>
    </row>
    <row r="1628">
      <c r="A1628" s="325" t="s">
        <v>1785</v>
      </c>
      <c r="B1628" s="325" t="s">
        <v>1786</v>
      </c>
      <c r="C1628" s="329">
        <v>6.0</v>
      </c>
      <c r="D1628" s="329">
        <v>6.0</v>
      </c>
    </row>
    <row r="1629">
      <c r="A1629" s="325">
        <v>553.0</v>
      </c>
      <c r="B1629" s="325" t="s">
        <v>1787</v>
      </c>
      <c r="C1629" s="329">
        <v>5.0</v>
      </c>
      <c r="D1629" s="329">
        <v>5.0</v>
      </c>
    </row>
    <row r="1630">
      <c r="A1630" s="325" t="s">
        <v>1788</v>
      </c>
      <c r="B1630" s="325" t="s">
        <v>1789</v>
      </c>
      <c r="C1630" s="329">
        <v>5.0</v>
      </c>
      <c r="D1630" s="329">
        <v>5.0</v>
      </c>
    </row>
    <row r="1631">
      <c r="A1631" s="325">
        <v>554.0</v>
      </c>
      <c r="B1631" s="325" t="s">
        <v>1790</v>
      </c>
      <c r="C1631" s="329">
        <v>4.0</v>
      </c>
      <c r="D1631" s="329">
        <v>4.0</v>
      </c>
    </row>
    <row r="1632">
      <c r="A1632" s="325">
        <v>555.0</v>
      </c>
      <c r="B1632" s="325" t="s">
        <v>1791</v>
      </c>
      <c r="C1632" s="329">
        <v>3.0</v>
      </c>
      <c r="D1632" s="329">
        <v>3.0</v>
      </c>
    </row>
    <row r="1633">
      <c r="A1633" s="325" t="s">
        <v>1792</v>
      </c>
      <c r="B1633" s="325" t="s">
        <v>1793</v>
      </c>
      <c r="C1633" s="329">
        <v>3.0</v>
      </c>
      <c r="D1633" s="329">
        <v>3.0</v>
      </c>
    </row>
    <row r="1634">
      <c r="A1634" s="325">
        <v>556.0</v>
      </c>
      <c r="B1634" s="325" t="s">
        <v>1794</v>
      </c>
      <c r="C1634" s="329">
        <v>4.0</v>
      </c>
      <c r="D1634" s="329">
        <v>4.0</v>
      </c>
    </row>
    <row r="1635">
      <c r="A1635" s="325">
        <v>557.0</v>
      </c>
      <c r="B1635" s="325" t="s">
        <v>1795</v>
      </c>
      <c r="C1635" s="329">
        <v>4.0</v>
      </c>
      <c r="D1635" s="329">
        <v>4.0</v>
      </c>
    </row>
    <row r="1636">
      <c r="A1636" s="325" t="s">
        <v>1796</v>
      </c>
      <c r="B1636" s="325" t="s">
        <v>1797</v>
      </c>
      <c r="C1636" s="329">
        <v>4.0</v>
      </c>
      <c r="D1636" s="329">
        <v>4.0</v>
      </c>
    </row>
    <row r="1637">
      <c r="A1637" s="325">
        <v>661.0</v>
      </c>
      <c r="B1637" s="325" t="s">
        <v>1798</v>
      </c>
      <c r="C1637" s="329">
        <v>4.0</v>
      </c>
      <c r="D1637" s="329">
        <v>4.0</v>
      </c>
    </row>
    <row r="1638">
      <c r="A1638" s="325">
        <v>662.0</v>
      </c>
      <c r="B1638" s="325" t="s">
        <v>1799</v>
      </c>
      <c r="C1638" s="329">
        <v>4.0</v>
      </c>
      <c r="D1638" s="329">
        <v>4.0</v>
      </c>
    </row>
    <row r="1639">
      <c r="A1639" s="325">
        <v>663.0</v>
      </c>
      <c r="B1639" s="325" t="s">
        <v>1800</v>
      </c>
      <c r="C1639" s="329">
        <v>8.0</v>
      </c>
      <c r="D1639" s="329">
        <v>8.0</v>
      </c>
    </row>
    <row r="1640">
      <c r="A1640" s="325" t="s">
        <v>1801</v>
      </c>
      <c r="B1640" s="325" t="s">
        <v>1802</v>
      </c>
      <c r="C1640" s="329">
        <v>8.0</v>
      </c>
      <c r="D1640" s="329">
        <v>8.0</v>
      </c>
    </row>
    <row r="1641">
      <c r="A1641" s="325">
        <v>665.0</v>
      </c>
      <c r="B1641" s="325" t="s">
        <v>1803</v>
      </c>
      <c r="C1641" s="329">
        <v>3.0</v>
      </c>
      <c r="D1641" s="329">
        <v>3.0</v>
      </c>
    </row>
    <row r="1642">
      <c r="A1642" s="325">
        <v>666.0</v>
      </c>
      <c r="B1642" s="325" t="s">
        <v>1804</v>
      </c>
      <c r="C1642" s="329">
        <v>3.0</v>
      </c>
      <c r="D1642" s="329">
        <v>3.0</v>
      </c>
    </row>
    <row r="1643">
      <c r="A1643" s="325">
        <v>667.0</v>
      </c>
      <c r="B1643" s="325" t="s">
        <v>1805</v>
      </c>
      <c r="C1643" s="329">
        <v>6.0</v>
      </c>
      <c r="D1643" s="329">
        <v>6.0</v>
      </c>
    </row>
    <row r="1644">
      <c r="A1644" s="332"/>
      <c r="B1644" s="332"/>
      <c r="C1644" s="323"/>
      <c r="D1644" s="324"/>
    </row>
    <row r="1645">
      <c r="A1645" s="321" t="s">
        <v>1528</v>
      </c>
      <c r="B1645" s="332"/>
      <c r="C1645" s="323"/>
      <c r="D1645" s="324"/>
    </row>
    <row r="1646">
      <c r="A1646" s="325" t="s">
        <v>1806</v>
      </c>
      <c r="B1646" s="325" t="s">
        <v>1807</v>
      </c>
      <c r="C1646" s="327">
        <v>100.0</v>
      </c>
      <c r="D1646" s="328">
        <v>100.0</v>
      </c>
    </row>
    <row r="1647">
      <c r="A1647" s="325">
        <v>151.0</v>
      </c>
      <c r="B1647" s="325" t="s">
        <v>1808</v>
      </c>
      <c r="C1647" s="329">
        <v>70.0</v>
      </c>
      <c r="D1647" s="329">
        <v>70.0</v>
      </c>
    </row>
    <row r="1648">
      <c r="A1648" s="325">
        <v>152.0</v>
      </c>
      <c r="B1648" s="325" t="s">
        <v>1809</v>
      </c>
      <c r="C1648" s="329">
        <v>66.0</v>
      </c>
      <c r="D1648" s="329">
        <v>66.0</v>
      </c>
    </row>
    <row r="1649">
      <c r="A1649" s="325" t="s">
        <v>1530</v>
      </c>
      <c r="B1649" s="325"/>
      <c r="C1649" s="327">
        <v>60.0</v>
      </c>
      <c r="D1649" s="329">
        <v>60.0</v>
      </c>
    </row>
    <row r="1650">
      <c r="A1650" s="325">
        <v>153.0</v>
      </c>
      <c r="B1650" s="325" t="s">
        <v>1810</v>
      </c>
      <c r="C1650" s="329">
        <v>75.0</v>
      </c>
      <c r="D1650" s="329">
        <v>75.0</v>
      </c>
    </row>
    <row r="1651">
      <c r="A1651" s="325">
        <v>154.0</v>
      </c>
      <c r="B1651" s="325" t="s">
        <v>1811</v>
      </c>
      <c r="C1651" s="329">
        <v>75.0</v>
      </c>
      <c r="D1651" s="329">
        <v>75.0</v>
      </c>
    </row>
    <row r="1652">
      <c r="A1652" s="325">
        <v>155.0</v>
      </c>
      <c r="B1652" s="325" t="s">
        <v>1812</v>
      </c>
      <c r="C1652" s="329">
        <v>50.0</v>
      </c>
      <c r="D1652" s="329">
        <v>50.0</v>
      </c>
    </row>
    <row r="1653">
      <c r="A1653" s="325">
        <v>156.0</v>
      </c>
      <c r="B1653" s="325" t="s">
        <v>1813</v>
      </c>
      <c r="C1653" s="329">
        <v>25.0</v>
      </c>
      <c r="D1653" s="329">
        <v>25.0</v>
      </c>
    </row>
    <row r="1654">
      <c r="A1654" s="325">
        <v>161.0</v>
      </c>
      <c r="B1654" s="325" t="s">
        <v>1814</v>
      </c>
      <c r="C1654" s="329">
        <v>121.0</v>
      </c>
      <c r="D1654" s="329">
        <v>484.0</v>
      </c>
    </row>
    <row r="1655">
      <c r="A1655" s="325">
        <v>162.0</v>
      </c>
      <c r="B1655" s="325" t="s">
        <v>1815</v>
      </c>
      <c r="C1655" s="329">
        <v>78.0</v>
      </c>
      <c r="D1655" s="329">
        <v>312.0</v>
      </c>
    </row>
    <row r="1656">
      <c r="A1656" s="325">
        <v>163.0</v>
      </c>
      <c r="B1656" s="325" t="s">
        <v>1816</v>
      </c>
      <c r="C1656" s="329">
        <v>47.0</v>
      </c>
      <c r="D1656" s="329">
        <v>188.0</v>
      </c>
    </row>
    <row r="1657">
      <c r="A1657" s="325">
        <v>164.0</v>
      </c>
      <c r="B1657" s="325" t="s">
        <v>1817</v>
      </c>
      <c r="C1657" s="329">
        <v>30.0</v>
      </c>
      <c r="D1657" s="329">
        <v>120.0</v>
      </c>
    </row>
    <row r="1658">
      <c r="A1658" s="325">
        <v>165.0</v>
      </c>
      <c r="B1658" s="325" t="s">
        <v>1818</v>
      </c>
      <c r="C1658" s="329">
        <v>30.0</v>
      </c>
      <c r="D1658" s="329">
        <v>120.0</v>
      </c>
    </row>
    <row r="1659">
      <c r="A1659" s="325">
        <v>166.0</v>
      </c>
      <c r="B1659" s="325" t="s">
        <v>1819</v>
      </c>
      <c r="C1659" s="329">
        <v>17.0</v>
      </c>
      <c r="D1659" s="329">
        <v>68.0</v>
      </c>
    </row>
    <row r="1660">
      <c r="A1660" s="325">
        <v>167.0</v>
      </c>
      <c r="B1660" s="325" t="s">
        <v>1820</v>
      </c>
      <c r="C1660" s="329">
        <v>1000.0</v>
      </c>
      <c r="D1660" s="329">
        <v>1000.0</v>
      </c>
    </row>
    <row r="1661">
      <c r="A1661" s="325">
        <v>168.0</v>
      </c>
      <c r="B1661" s="325" t="s">
        <v>1821</v>
      </c>
      <c r="C1661" s="329">
        <v>1000.0</v>
      </c>
      <c r="D1661" s="329">
        <v>1000.0</v>
      </c>
    </row>
    <row r="1662">
      <c r="A1662" s="325">
        <v>169.0</v>
      </c>
      <c r="B1662" s="325" t="s">
        <v>1822</v>
      </c>
      <c r="C1662" s="329">
        <v>400.0</v>
      </c>
      <c r="D1662" s="329">
        <v>400.0</v>
      </c>
    </row>
    <row r="1663">
      <c r="A1663" s="325">
        <v>170.0</v>
      </c>
      <c r="B1663" s="325" t="s">
        <v>1823</v>
      </c>
      <c r="C1663" s="329">
        <v>200.0</v>
      </c>
      <c r="D1663" s="329">
        <v>200.0</v>
      </c>
    </row>
    <row r="1664">
      <c r="A1664" s="325">
        <v>171.0</v>
      </c>
      <c r="B1664" s="325" t="s">
        <v>1824</v>
      </c>
      <c r="C1664" s="329">
        <v>200.0</v>
      </c>
      <c r="D1664" s="329">
        <v>200.0</v>
      </c>
    </row>
    <row r="1665">
      <c r="A1665" s="325">
        <v>172.0</v>
      </c>
      <c r="B1665" s="325" t="s">
        <v>1825</v>
      </c>
      <c r="C1665" s="329">
        <v>150.0</v>
      </c>
      <c r="D1665" s="329">
        <v>150.0</v>
      </c>
    </row>
    <row r="1666">
      <c r="A1666" s="325">
        <v>173.0</v>
      </c>
      <c r="B1666" s="325" t="s">
        <v>1826</v>
      </c>
      <c r="C1666" s="329">
        <v>300.0</v>
      </c>
      <c r="D1666" s="329">
        <v>300.0</v>
      </c>
    </row>
    <row r="1667">
      <c r="A1667" s="325">
        <v>174.0</v>
      </c>
      <c r="B1667" s="325" t="s">
        <v>1827</v>
      </c>
      <c r="C1667" s="329">
        <v>225.0</v>
      </c>
      <c r="D1667" s="329">
        <v>225.0</v>
      </c>
    </row>
    <row r="1668">
      <c r="A1668" s="325">
        <v>175.0</v>
      </c>
      <c r="B1668" s="325" t="s">
        <v>1828</v>
      </c>
      <c r="C1668" s="329">
        <v>75.0</v>
      </c>
      <c r="D1668" s="329">
        <v>75.0</v>
      </c>
    </row>
    <row r="1669">
      <c r="A1669" s="325">
        <v>177.0</v>
      </c>
      <c r="B1669" s="325" t="s">
        <v>1829</v>
      </c>
      <c r="C1669" s="329">
        <v>50.0</v>
      </c>
      <c r="D1669" s="329">
        <v>50.0</v>
      </c>
    </row>
    <row r="1670">
      <c r="A1670" s="325">
        <v>178.0</v>
      </c>
      <c r="B1670" s="325" t="s">
        <v>1830</v>
      </c>
      <c r="C1670" s="329">
        <v>25.0</v>
      </c>
      <c r="D1670" s="329">
        <v>25.0</v>
      </c>
    </row>
    <row r="1671">
      <c r="A1671" s="330"/>
      <c r="B1671" s="331"/>
      <c r="C1671" s="323"/>
      <c r="D1671" s="324"/>
    </row>
    <row r="1672">
      <c r="A1672" s="321" t="s">
        <v>1831</v>
      </c>
      <c r="B1672" s="332"/>
      <c r="C1672" s="323"/>
      <c r="D1672" s="324"/>
    </row>
    <row r="1673">
      <c r="A1673" s="325" t="s">
        <v>1833</v>
      </c>
      <c r="B1673" s="325" t="s">
        <v>1808</v>
      </c>
      <c r="C1673" s="327">
        <v>30.0</v>
      </c>
      <c r="D1673" s="324"/>
    </row>
    <row r="1674">
      <c r="A1674" s="325" t="s">
        <v>1834</v>
      </c>
      <c r="B1674" s="325" t="s">
        <v>1809</v>
      </c>
      <c r="C1674" s="327">
        <v>30.0</v>
      </c>
      <c r="D1674" s="324"/>
    </row>
    <row r="1675">
      <c r="A1675" s="325" t="s">
        <v>1835</v>
      </c>
      <c r="B1675" s="325" t="s">
        <v>1810</v>
      </c>
      <c r="C1675" s="327">
        <v>10.0</v>
      </c>
      <c r="D1675" s="324"/>
    </row>
    <row r="1676">
      <c r="A1676" s="325" t="s">
        <v>1836</v>
      </c>
      <c r="B1676" s="325" t="s">
        <v>1812</v>
      </c>
      <c r="C1676" s="327">
        <v>10.0</v>
      </c>
      <c r="D1676" s="324"/>
    </row>
    <row r="1677">
      <c r="A1677" s="325" t="s">
        <v>1837</v>
      </c>
      <c r="B1677" s="325" t="s">
        <v>1838</v>
      </c>
      <c r="C1677" s="327">
        <v>40.0</v>
      </c>
      <c r="D1677" s="324"/>
    </row>
    <row r="1678">
      <c r="A1678" s="325" t="s">
        <v>1839</v>
      </c>
      <c r="B1678" s="325" t="s">
        <v>1840</v>
      </c>
      <c r="C1678" s="327">
        <v>40.0</v>
      </c>
      <c r="D1678" s="324"/>
    </row>
    <row r="1679">
      <c r="A1679" s="325" t="s">
        <v>1841</v>
      </c>
      <c r="B1679" s="325" t="s">
        <v>1842</v>
      </c>
      <c r="C1679" s="327">
        <v>40.0</v>
      </c>
      <c r="D1679" s="324"/>
    </row>
    <row r="1680">
      <c r="A1680" s="325" t="s">
        <v>1843</v>
      </c>
      <c r="B1680" s="325" t="s">
        <v>1844</v>
      </c>
      <c r="C1680" s="327">
        <v>40.0</v>
      </c>
      <c r="D1680" s="324"/>
    </row>
    <row r="1681">
      <c r="A1681" s="325" t="s">
        <v>1845</v>
      </c>
      <c r="B1681" s="325" t="s">
        <v>1846</v>
      </c>
      <c r="C1681" s="327">
        <v>70.0</v>
      </c>
      <c r="D1681" s="324"/>
    </row>
    <row r="1682">
      <c r="A1682" s="325" t="s">
        <v>1847</v>
      </c>
      <c r="B1682" s="325" t="s">
        <v>1848</v>
      </c>
      <c r="C1682" s="327">
        <v>70.0</v>
      </c>
      <c r="D1682" s="324"/>
    </row>
    <row r="1683">
      <c r="A1683" s="325" t="s">
        <v>1849</v>
      </c>
      <c r="B1683" s="325" t="s">
        <v>1850</v>
      </c>
      <c r="C1683" s="327">
        <v>70.0</v>
      </c>
      <c r="D1683" s="324"/>
    </row>
    <row r="1684">
      <c r="A1684" s="325" t="s">
        <v>1851</v>
      </c>
      <c r="B1684" s="325" t="s">
        <v>1852</v>
      </c>
      <c r="C1684" s="329">
        <v>50.0</v>
      </c>
      <c r="D1684" s="324"/>
    </row>
    <row r="1685">
      <c r="A1685" s="325" t="s">
        <v>1853</v>
      </c>
      <c r="B1685" s="325" t="s">
        <v>1826</v>
      </c>
      <c r="C1685" s="323"/>
      <c r="D1685" s="324"/>
    </row>
    <row r="1686">
      <c r="A1686" s="325" t="s">
        <v>1854</v>
      </c>
      <c r="B1686" s="325" t="s">
        <v>1827</v>
      </c>
      <c r="C1686" s="323"/>
      <c r="D1686" s="324"/>
    </row>
    <row r="1687">
      <c r="A1687" s="325" t="s">
        <v>1855</v>
      </c>
      <c r="B1687" s="325" t="s">
        <v>1828</v>
      </c>
      <c r="C1687" s="323"/>
      <c r="D1687" s="324"/>
    </row>
    <row r="1688">
      <c r="A1688" s="325" t="s">
        <v>1856</v>
      </c>
      <c r="B1688" s="325" t="s">
        <v>1857</v>
      </c>
      <c r="C1688" s="323"/>
      <c r="D1688" s="324"/>
    </row>
    <row r="1689">
      <c r="A1689" s="332"/>
      <c r="B1689" s="332"/>
      <c r="C1689" s="323"/>
      <c r="D1689" s="324"/>
    </row>
    <row r="1690">
      <c r="A1690" s="321" t="s">
        <v>1858</v>
      </c>
      <c r="B1690" s="332"/>
      <c r="C1690" s="323"/>
      <c r="D1690" s="324"/>
    </row>
    <row r="1691">
      <c r="A1691" s="325" t="s">
        <v>1859</v>
      </c>
      <c r="B1691" s="325" t="s">
        <v>1860</v>
      </c>
      <c r="C1691" s="327">
        <v>2000.0</v>
      </c>
      <c r="D1691" s="324"/>
    </row>
    <row r="1692">
      <c r="A1692" s="325" t="s">
        <v>1861</v>
      </c>
      <c r="B1692" s="325" t="s">
        <v>1862</v>
      </c>
      <c r="C1692" s="327">
        <v>2000.0</v>
      </c>
      <c r="D1692" s="324"/>
    </row>
    <row r="1693">
      <c r="A1693" s="325" t="s">
        <v>1863</v>
      </c>
      <c r="B1693" s="325" t="s">
        <v>1860</v>
      </c>
      <c r="C1693" s="327">
        <v>2400.0</v>
      </c>
      <c r="D1693" s="324"/>
    </row>
    <row r="1694">
      <c r="A1694" s="332"/>
      <c r="B1694" s="332"/>
      <c r="C1694" s="323"/>
      <c r="D1694" s="324"/>
    </row>
    <row r="1695">
      <c r="A1695" s="321" t="s">
        <v>1864</v>
      </c>
      <c r="B1695" s="332"/>
      <c r="C1695" s="323"/>
      <c r="D1695" s="324"/>
    </row>
    <row r="1696">
      <c r="A1696" s="325">
        <v>321.0</v>
      </c>
      <c r="B1696" s="325" t="s">
        <v>1865</v>
      </c>
      <c r="C1696" s="327">
        <v>100.0</v>
      </c>
      <c r="D1696" s="329">
        <v>300.0</v>
      </c>
    </row>
    <row r="1697">
      <c r="A1697" s="325">
        <v>322.0</v>
      </c>
      <c r="B1697" s="325" t="s">
        <v>1866</v>
      </c>
      <c r="C1697" s="327">
        <v>100.0</v>
      </c>
      <c r="D1697" s="329">
        <v>300.0</v>
      </c>
    </row>
    <row r="1698">
      <c r="A1698" s="325">
        <v>323.0</v>
      </c>
      <c r="B1698" s="325" t="s">
        <v>1867</v>
      </c>
      <c r="C1698" s="327">
        <v>100.0</v>
      </c>
      <c r="D1698" s="329">
        <v>300.0</v>
      </c>
    </row>
    <row r="1699">
      <c r="A1699" s="325">
        <v>324.0</v>
      </c>
      <c r="B1699" s="325" t="s">
        <v>1868</v>
      </c>
      <c r="C1699" s="327">
        <v>100.0</v>
      </c>
      <c r="D1699" s="329">
        <v>300.0</v>
      </c>
    </row>
    <row r="1700">
      <c r="A1700" s="325">
        <v>325.0</v>
      </c>
      <c r="B1700" s="325" t="s">
        <v>1869</v>
      </c>
      <c r="C1700" s="329">
        <v>300.0</v>
      </c>
      <c r="D1700" s="329">
        <v>300.0</v>
      </c>
    </row>
    <row r="1701">
      <c r="A1701" s="325">
        <v>326.0</v>
      </c>
      <c r="B1701" s="325" t="s">
        <v>1870</v>
      </c>
      <c r="C1701" s="329">
        <v>300.0</v>
      </c>
      <c r="D1701" s="329">
        <v>300.0</v>
      </c>
    </row>
    <row r="1702">
      <c r="A1702" s="325" t="s">
        <v>1871</v>
      </c>
      <c r="B1702" s="325" t="s">
        <v>1872</v>
      </c>
      <c r="C1702" s="329">
        <v>200.0</v>
      </c>
      <c r="D1702" s="329">
        <v>200.0</v>
      </c>
    </row>
    <row r="1703">
      <c r="A1703" s="325">
        <v>348.0</v>
      </c>
      <c r="B1703" s="325" t="s">
        <v>1873</v>
      </c>
      <c r="C1703" s="329">
        <v>200.0</v>
      </c>
      <c r="D1703" s="329">
        <v>200.0</v>
      </c>
    </row>
    <row r="1704">
      <c r="A1704" s="325">
        <v>350.0</v>
      </c>
      <c r="B1704" s="325" t="s">
        <v>1874</v>
      </c>
      <c r="C1704" s="329">
        <v>200.0</v>
      </c>
      <c r="D1704" s="329">
        <v>200.0</v>
      </c>
    </row>
    <row r="1705">
      <c r="A1705" s="325" t="s">
        <v>1875</v>
      </c>
      <c r="B1705" s="325" t="s">
        <v>1876</v>
      </c>
      <c r="C1705" s="327">
        <v>100.0</v>
      </c>
      <c r="D1705" s="329">
        <v>300.0</v>
      </c>
    </row>
    <row r="1706">
      <c r="A1706" s="325" t="s">
        <v>1877</v>
      </c>
      <c r="B1706" s="325" t="s">
        <v>1878</v>
      </c>
      <c r="C1706" s="327">
        <v>100.0</v>
      </c>
      <c r="D1706" s="329">
        <v>300.0</v>
      </c>
    </row>
    <row r="1707">
      <c r="A1707" s="325" t="s">
        <v>1879</v>
      </c>
      <c r="B1707" s="325" t="s">
        <v>1880</v>
      </c>
      <c r="C1707" s="329">
        <v>300.0</v>
      </c>
      <c r="D1707" s="329">
        <v>300.0</v>
      </c>
    </row>
    <row r="1708">
      <c r="A1708" s="325" t="s">
        <v>1881</v>
      </c>
      <c r="B1708" s="325" t="s">
        <v>1882</v>
      </c>
      <c r="C1708" s="329">
        <v>300.0</v>
      </c>
      <c r="D1708" s="329">
        <v>300.0</v>
      </c>
    </row>
    <row r="1709">
      <c r="A1709" s="332"/>
      <c r="B1709" s="332"/>
      <c r="C1709" s="323"/>
      <c r="D1709" s="324"/>
    </row>
    <row r="1710">
      <c r="A1710" s="321" t="s">
        <v>1896</v>
      </c>
      <c r="B1710" s="332"/>
      <c r="C1710" s="323"/>
      <c r="D1710" s="324"/>
    </row>
    <row r="1711">
      <c r="A1711" s="325">
        <v>327.0</v>
      </c>
      <c r="B1711" s="325" t="s">
        <v>1897</v>
      </c>
      <c r="C1711" s="329">
        <v>110.0</v>
      </c>
      <c r="D1711" s="329">
        <v>220.0</v>
      </c>
    </row>
    <row r="1712">
      <c r="A1712" s="325">
        <v>328.0</v>
      </c>
      <c r="B1712" s="325" t="s">
        <v>1898</v>
      </c>
      <c r="C1712" s="329">
        <v>110.0</v>
      </c>
      <c r="D1712" s="329">
        <v>220.0</v>
      </c>
    </row>
    <row r="1713">
      <c r="A1713" s="325">
        <v>329.0</v>
      </c>
      <c r="B1713" s="325" t="s">
        <v>1899</v>
      </c>
      <c r="C1713" s="329">
        <v>150.0</v>
      </c>
      <c r="D1713" s="329">
        <v>150.0</v>
      </c>
    </row>
    <row r="1714">
      <c r="A1714" s="325">
        <v>330.0</v>
      </c>
      <c r="B1714" s="325" t="s">
        <v>1900</v>
      </c>
      <c r="C1714" s="329">
        <v>150.0</v>
      </c>
      <c r="D1714" s="329">
        <v>150.0</v>
      </c>
    </row>
    <row r="1715">
      <c r="A1715" s="325">
        <v>3271.0</v>
      </c>
      <c r="B1715" s="325" t="s">
        <v>1901</v>
      </c>
      <c r="C1715" s="329">
        <v>150.0</v>
      </c>
      <c r="D1715" s="329">
        <v>150.0</v>
      </c>
    </row>
    <row r="1716">
      <c r="A1716" s="325">
        <v>3281.0</v>
      </c>
      <c r="B1716" s="325" t="s">
        <v>1902</v>
      </c>
      <c r="C1716" s="329">
        <v>150.0</v>
      </c>
      <c r="D1716" s="329">
        <v>150.0</v>
      </c>
    </row>
    <row r="1717">
      <c r="A1717" s="325">
        <v>3451.0</v>
      </c>
      <c r="B1717" s="325" t="s">
        <v>3304</v>
      </c>
      <c r="C1717" s="329">
        <v>150.0</v>
      </c>
      <c r="D1717" s="329">
        <v>150.0</v>
      </c>
    </row>
    <row r="1718">
      <c r="A1718" s="325">
        <v>3461.0</v>
      </c>
      <c r="B1718" s="325" t="s">
        <v>3305</v>
      </c>
      <c r="C1718" s="329">
        <v>150.0</v>
      </c>
      <c r="D1718" s="329">
        <v>150.0</v>
      </c>
    </row>
    <row r="1719">
      <c r="A1719" s="325">
        <v>345.0</v>
      </c>
      <c r="B1719" s="325" t="s">
        <v>1905</v>
      </c>
      <c r="C1719" s="329">
        <v>100.0</v>
      </c>
      <c r="D1719" s="329">
        <v>100.0</v>
      </c>
    </row>
    <row r="1720">
      <c r="A1720" s="325" t="s">
        <v>1906</v>
      </c>
      <c r="B1720" s="325" t="s">
        <v>3306</v>
      </c>
      <c r="C1720" s="327">
        <v>12.0</v>
      </c>
      <c r="D1720" s="328">
        <v>12.0</v>
      </c>
    </row>
    <row r="1721">
      <c r="A1721" s="325" t="s">
        <v>1908</v>
      </c>
      <c r="B1721" s="325" t="s">
        <v>3307</v>
      </c>
      <c r="C1721" s="327">
        <v>12.0</v>
      </c>
      <c r="D1721" s="328">
        <v>12.0</v>
      </c>
    </row>
    <row r="1722">
      <c r="A1722" s="332"/>
      <c r="B1722" s="332"/>
      <c r="C1722" s="323"/>
      <c r="D1722" s="324"/>
    </row>
    <row r="1723">
      <c r="A1723" s="321" t="s">
        <v>1910</v>
      </c>
      <c r="B1723" s="332"/>
      <c r="C1723" s="323"/>
      <c r="D1723" s="324"/>
    </row>
    <row r="1724">
      <c r="A1724" s="325">
        <v>341.0</v>
      </c>
      <c r="B1724" s="325" t="s">
        <v>1911</v>
      </c>
      <c r="C1724" s="327">
        <v>150.0</v>
      </c>
      <c r="D1724" s="329">
        <v>300.0</v>
      </c>
    </row>
    <row r="1725">
      <c r="A1725" s="325">
        <v>343.0</v>
      </c>
      <c r="B1725" s="325" t="s">
        <v>1912</v>
      </c>
      <c r="C1725" s="329">
        <v>110.0</v>
      </c>
      <c r="D1725" s="329">
        <v>110.0</v>
      </c>
    </row>
    <row r="1726">
      <c r="A1726" s="325">
        <v>342.0</v>
      </c>
      <c r="B1726" s="325" t="s">
        <v>1913</v>
      </c>
      <c r="C1726" s="329">
        <v>100.0</v>
      </c>
      <c r="D1726" s="329">
        <v>100.0</v>
      </c>
    </row>
    <row r="1727">
      <c r="A1727" s="325">
        <v>344.0</v>
      </c>
      <c r="B1727" s="325" t="s">
        <v>1914</v>
      </c>
      <c r="C1727" s="329">
        <v>50.0</v>
      </c>
      <c r="D1727" s="329">
        <v>50.0</v>
      </c>
    </row>
    <row r="1728">
      <c r="A1728" s="325">
        <v>360.0</v>
      </c>
      <c r="B1728" s="325" t="s">
        <v>1915</v>
      </c>
      <c r="C1728" s="329">
        <v>50.0</v>
      </c>
      <c r="D1728" s="329">
        <v>50.0</v>
      </c>
    </row>
    <row r="1729">
      <c r="A1729" s="325">
        <v>361.0</v>
      </c>
      <c r="B1729" s="325" t="s">
        <v>1916</v>
      </c>
      <c r="C1729" s="329">
        <v>50.0</v>
      </c>
      <c r="D1729" s="329">
        <v>50.0</v>
      </c>
    </row>
    <row r="1730">
      <c r="A1730" s="325">
        <v>362.0</v>
      </c>
      <c r="B1730" s="325" t="s">
        <v>1917</v>
      </c>
      <c r="C1730" s="329">
        <v>50.0</v>
      </c>
      <c r="D1730" s="329">
        <v>50.0</v>
      </c>
    </row>
    <row r="1731">
      <c r="A1731" s="332"/>
      <c r="B1731" s="332"/>
      <c r="C1731" s="323"/>
      <c r="D1731" s="324"/>
    </row>
    <row r="1732">
      <c r="A1732" s="321" t="s">
        <v>1918</v>
      </c>
      <c r="B1732" s="332"/>
      <c r="C1732" s="323"/>
      <c r="D1732" s="324"/>
    </row>
    <row r="1733">
      <c r="A1733" s="325">
        <v>3272.0</v>
      </c>
      <c r="B1733" s="325" t="s">
        <v>1919</v>
      </c>
      <c r="C1733" s="329">
        <v>100.0</v>
      </c>
      <c r="D1733" s="329">
        <v>200.0</v>
      </c>
    </row>
    <row r="1734">
      <c r="A1734" s="325" t="s">
        <v>1920</v>
      </c>
      <c r="B1734" s="325" t="s">
        <v>1919</v>
      </c>
      <c r="C1734" s="329">
        <v>100.0</v>
      </c>
      <c r="D1734" s="329">
        <v>200.0</v>
      </c>
    </row>
    <row r="1735">
      <c r="A1735" s="325">
        <v>3274.0</v>
      </c>
      <c r="B1735" s="325" t="s">
        <v>1921</v>
      </c>
      <c r="C1735" s="329">
        <v>100.0</v>
      </c>
      <c r="D1735" s="329">
        <v>200.0</v>
      </c>
    </row>
    <row r="1736">
      <c r="A1736" s="325" t="s">
        <v>1922</v>
      </c>
      <c r="B1736" s="325" t="s">
        <v>1921</v>
      </c>
      <c r="C1736" s="329">
        <v>100.0</v>
      </c>
      <c r="D1736" s="329">
        <v>200.0</v>
      </c>
    </row>
    <row r="1737">
      <c r="A1737" s="325">
        <v>3273.0</v>
      </c>
      <c r="B1737" s="325" t="s">
        <v>1923</v>
      </c>
      <c r="C1737" s="329">
        <v>100.0</v>
      </c>
      <c r="D1737" s="329">
        <v>200.0</v>
      </c>
    </row>
    <row r="1738">
      <c r="A1738" s="325">
        <v>3275.0</v>
      </c>
      <c r="B1738" s="325" t="s">
        <v>1921</v>
      </c>
      <c r="C1738" s="329">
        <v>100.0</v>
      </c>
      <c r="D1738" s="329">
        <v>200.0</v>
      </c>
    </row>
    <row r="1739">
      <c r="A1739" s="325">
        <v>3276.0</v>
      </c>
      <c r="B1739" s="325" t="s">
        <v>1924</v>
      </c>
      <c r="C1739" s="329">
        <v>100.0</v>
      </c>
      <c r="D1739" s="329">
        <v>200.0</v>
      </c>
    </row>
    <row r="1740">
      <c r="A1740" s="325" t="s">
        <v>1925</v>
      </c>
      <c r="B1740" s="325" t="s">
        <v>1926</v>
      </c>
      <c r="C1740" s="329">
        <v>100.0</v>
      </c>
      <c r="D1740" s="329">
        <v>200.0</v>
      </c>
    </row>
    <row r="1741">
      <c r="A1741" s="325" t="s">
        <v>1927</v>
      </c>
      <c r="B1741" s="325" t="s">
        <v>1926</v>
      </c>
      <c r="C1741" s="329">
        <v>100.0</v>
      </c>
      <c r="D1741" s="329">
        <v>200.0</v>
      </c>
    </row>
    <row r="1742">
      <c r="A1742" s="325" t="s">
        <v>1928</v>
      </c>
      <c r="B1742" s="325" t="s">
        <v>1929</v>
      </c>
      <c r="C1742" s="329">
        <v>100.0</v>
      </c>
      <c r="D1742" s="329">
        <v>200.0</v>
      </c>
    </row>
    <row r="1743">
      <c r="A1743" s="325" t="s">
        <v>1930</v>
      </c>
      <c r="B1743" s="325" t="s">
        <v>1929</v>
      </c>
      <c r="C1743" s="329">
        <v>100.0</v>
      </c>
      <c r="D1743" s="329">
        <v>200.0</v>
      </c>
    </row>
    <row r="1744">
      <c r="A1744" s="325" t="s">
        <v>1931</v>
      </c>
      <c r="B1744" s="325" t="s">
        <v>1929</v>
      </c>
      <c r="C1744" s="329">
        <v>100.0</v>
      </c>
      <c r="D1744" s="329">
        <v>200.0</v>
      </c>
    </row>
    <row r="1745">
      <c r="A1745" s="325">
        <v>3727.0</v>
      </c>
      <c r="B1745" s="325" t="s">
        <v>1932</v>
      </c>
      <c r="C1745" s="329">
        <v>12.0</v>
      </c>
      <c r="D1745" s="329">
        <v>12.0</v>
      </c>
    </row>
    <row r="1746">
      <c r="A1746" s="330"/>
      <c r="B1746" s="331"/>
      <c r="C1746" s="323"/>
      <c r="D1746" s="324"/>
    </row>
    <row r="1747">
      <c r="A1747" s="321" t="s">
        <v>1958</v>
      </c>
      <c r="B1747" s="403"/>
      <c r="C1747" s="323"/>
      <c r="D1747" s="324"/>
    </row>
    <row r="1748">
      <c r="A1748" s="325">
        <v>501.0</v>
      </c>
      <c r="B1748" s="404" t="s">
        <v>1960</v>
      </c>
      <c r="C1748" s="329">
        <v>10.0</v>
      </c>
      <c r="D1748" s="328">
        <v>10.0</v>
      </c>
    </row>
    <row r="1749">
      <c r="A1749" s="325" t="s">
        <v>1968</v>
      </c>
      <c r="B1749" s="404" t="s">
        <v>1969</v>
      </c>
      <c r="C1749" s="329">
        <v>10.0</v>
      </c>
      <c r="D1749" s="328">
        <v>10.0</v>
      </c>
    </row>
    <row r="1750">
      <c r="A1750" s="325">
        <v>502.0</v>
      </c>
      <c r="B1750" s="404" t="s">
        <v>1970</v>
      </c>
      <c r="C1750" s="329">
        <v>10.0</v>
      </c>
      <c r="D1750" s="328">
        <v>10.0</v>
      </c>
    </row>
    <row r="1751">
      <c r="A1751" s="325">
        <v>503.0</v>
      </c>
      <c r="B1751" s="404" t="s">
        <v>1971</v>
      </c>
      <c r="C1751" s="329">
        <v>10.0</v>
      </c>
      <c r="D1751" s="328">
        <v>10.0</v>
      </c>
    </row>
    <row r="1752">
      <c r="A1752" s="325">
        <v>504.0</v>
      </c>
      <c r="B1752" s="404" t="s">
        <v>1973</v>
      </c>
      <c r="C1752" s="329">
        <v>10.0</v>
      </c>
      <c r="D1752" s="328">
        <v>10.0</v>
      </c>
    </row>
    <row r="1753">
      <c r="A1753" s="325">
        <v>506.0</v>
      </c>
      <c r="B1753" s="404" t="s">
        <v>1975</v>
      </c>
      <c r="C1753" s="329">
        <v>10.0</v>
      </c>
      <c r="D1753" s="328">
        <v>10.0</v>
      </c>
    </row>
    <row r="1754">
      <c r="A1754" s="325">
        <v>507.0</v>
      </c>
      <c r="B1754" s="404" t="s">
        <v>1976</v>
      </c>
      <c r="C1754" s="329">
        <v>10.0</v>
      </c>
      <c r="D1754" s="328">
        <v>10.0</v>
      </c>
    </row>
    <row r="1755">
      <c r="A1755" s="325">
        <v>508.0</v>
      </c>
      <c r="B1755" s="404" t="s">
        <v>1978</v>
      </c>
      <c r="C1755" s="329">
        <v>10.0</v>
      </c>
      <c r="D1755" s="328">
        <v>10.0</v>
      </c>
    </row>
    <row r="1756">
      <c r="A1756" s="325">
        <v>701.0</v>
      </c>
      <c r="B1756" s="404" t="s">
        <v>1980</v>
      </c>
      <c r="C1756" s="329">
        <v>10.0</v>
      </c>
      <c r="D1756" s="328">
        <v>10.0</v>
      </c>
    </row>
    <row r="1757">
      <c r="A1757" s="325">
        <v>702.0</v>
      </c>
      <c r="B1757" s="404" t="s">
        <v>1981</v>
      </c>
      <c r="C1757" s="329">
        <v>10.0</v>
      </c>
      <c r="D1757" s="328">
        <v>10.0</v>
      </c>
    </row>
    <row r="1758">
      <c r="A1758" s="325">
        <v>703.0</v>
      </c>
      <c r="B1758" s="404" t="s">
        <v>1982</v>
      </c>
      <c r="C1758" s="329">
        <v>10.0</v>
      </c>
      <c r="D1758" s="328">
        <v>10.0</v>
      </c>
    </row>
    <row r="1759">
      <c r="A1759" s="325">
        <v>704.0</v>
      </c>
      <c r="B1759" s="404" t="s">
        <v>1985</v>
      </c>
      <c r="C1759" s="329">
        <v>10.0</v>
      </c>
      <c r="D1759" s="328">
        <v>10.0</v>
      </c>
    </row>
    <row r="1760">
      <c r="A1760" s="325">
        <v>705.0</v>
      </c>
      <c r="B1760" s="404" t="s">
        <v>1986</v>
      </c>
      <c r="C1760" s="329">
        <v>10.0</v>
      </c>
      <c r="D1760" s="328">
        <v>10.0</v>
      </c>
    </row>
    <row r="1761">
      <c r="A1761" s="325">
        <v>706.0</v>
      </c>
      <c r="B1761" s="404" t="s">
        <v>3319</v>
      </c>
      <c r="C1761" s="329">
        <v>10.0</v>
      </c>
      <c r="D1761" s="328">
        <v>10.0</v>
      </c>
    </row>
    <row r="1762">
      <c r="A1762" s="325">
        <v>708.0</v>
      </c>
      <c r="B1762" s="404" t="s">
        <v>1989</v>
      </c>
      <c r="C1762" s="329">
        <v>10.0</v>
      </c>
      <c r="D1762" s="328">
        <v>10.0</v>
      </c>
    </row>
    <row r="1763">
      <c r="A1763" s="325" t="s">
        <v>1990</v>
      </c>
      <c r="B1763" s="404" t="s">
        <v>3320</v>
      </c>
      <c r="C1763" s="329">
        <v>10.0</v>
      </c>
      <c r="D1763" s="328">
        <v>10.0</v>
      </c>
    </row>
    <row r="1764">
      <c r="A1764" s="325" t="s">
        <v>1993</v>
      </c>
      <c r="B1764" s="404" t="s">
        <v>1994</v>
      </c>
      <c r="C1764" s="329">
        <v>10.0</v>
      </c>
      <c r="D1764" s="328">
        <v>10.0</v>
      </c>
    </row>
    <row r="1765">
      <c r="A1765" s="325" t="s">
        <v>1996</v>
      </c>
      <c r="B1765" s="404" t="s">
        <v>1997</v>
      </c>
      <c r="C1765" s="329">
        <v>10.0</v>
      </c>
      <c r="D1765" s="328">
        <v>10.0</v>
      </c>
    </row>
    <row r="1766">
      <c r="A1766" s="332"/>
      <c r="B1766" s="403"/>
      <c r="C1766" s="323"/>
      <c r="D1766" s="324"/>
    </row>
    <row r="1767">
      <c r="A1767" s="321" t="s">
        <v>2000</v>
      </c>
      <c r="B1767" s="403"/>
      <c r="C1767" s="323"/>
      <c r="D1767" s="324"/>
    </row>
    <row r="1768">
      <c r="A1768" s="325">
        <v>723.0</v>
      </c>
      <c r="B1768" s="404" t="s">
        <v>2002</v>
      </c>
      <c r="C1768" s="328">
        <v>20.0</v>
      </c>
      <c r="D1768" s="328">
        <v>20.0</v>
      </c>
    </row>
    <row r="1769">
      <c r="A1769" s="325">
        <v>724.0</v>
      </c>
      <c r="B1769" s="404" t="s">
        <v>2004</v>
      </c>
      <c r="C1769" s="328">
        <v>20.0</v>
      </c>
      <c r="D1769" s="328">
        <v>20.0</v>
      </c>
    </row>
    <row r="1770">
      <c r="A1770" s="325">
        <v>725.0</v>
      </c>
      <c r="B1770" s="404" t="s">
        <v>2006</v>
      </c>
      <c r="C1770" s="328">
        <v>20.0</v>
      </c>
      <c r="D1770" s="328">
        <v>20.0</v>
      </c>
    </row>
    <row r="1771">
      <c r="A1771" s="325">
        <v>722.0</v>
      </c>
      <c r="B1771" s="404" t="s">
        <v>2007</v>
      </c>
      <c r="C1771" s="328">
        <v>20.0</v>
      </c>
      <c r="D1771" s="328">
        <v>20.0</v>
      </c>
    </row>
    <row r="1772">
      <c r="A1772" s="332"/>
      <c r="B1772" s="403"/>
      <c r="C1772" s="323"/>
      <c r="D1772" s="324"/>
    </row>
    <row r="1773">
      <c r="A1773" s="321" t="s">
        <v>2009</v>
      </c>
      <c r="B1773" s="403"/>
      <c r="C1773" s="323"/>
      <c r="D1773" s="324"/>
    </row>
    <row r="1774">
      <c r="A1774" s="325">
        <v>511.0</v>
      </c>
      <c r="B1774" s="404" t="s">
        <v>2011</v>
      </c>
      <c r="C1774" s="328">
        <v>15.0</v>
      </c>
      <c r="D1774" s="328">
        <v>15.0</v>
      </c>
    </row>
    <row r="1775">
      <c r="A1775" s="325">
        <v>512.0</v>
      </c>
      <c r="B1775" s="404" t="s">
        <v>2013</v>
      </c>
      <c r="C1775" s="328">
        <v>12.0</v>
      </c>
      <c r="D1775" s="328">
        <v>12.0</v>
      </c>
    </row>
    <row r="1776">
      <c r="A1776" s="325">
        <v>513.0</v>
      </c>
      <c r="B1776" s="404" t="s">
        <v>14</v>
      </c>
      <c r="C1776" s="328">
        <v>20.0</v>
      </c>
      <c r="D1776" s="328">
        <v>20.0</v>
      </c>
    </row>
    <row r="1777">
      <c r="A1777" s="325">
        <v>514.0</v>
      </c>
      <c r="B1777" s="404" t="s">
        <v>2015</v>
      </c>
      <c r="C1777" s="328">
        <v>12.0</v>
      </c>
      <c r="D1777" s="328">
        <v>12.0</v>
      </c>
    </row>
    <row r="1778">
      <c r="A1778" s="325" t="s">
        <v>2017</v>
      </c>
      <c r="B1778" s="404" t="s">
        <v>2018</v>
      </c>
      <c r="C1778" s="328">
        <v>12.0</v>
      </c>
      <c r="D1778" s="328">
        <v>12.0</v>
      </c>
    </row>
    <row r="1779">
      <c r="A1779" s="325">
        <v>515.0</v>
      </c>
      <c r="B1779" s="404" t="s">
        <v>2019</v>
      </c>
      <c r="C1779" s="328">
        <v>15.0</v>
      </c>
      <c r="D1779" s="328">
        <v>15.0</v>
      </c>
    </row>
    <row r="1780">
      <c r="A1780" s="325">
        <v>516.0</v>
      </c>
      <c r="B1780" s="404" t="s">
        <v>2021</v>
      </c>
      <c r="C1780" s="328">
        <v>20.0</v>
      </c>
      <c r="D1780" s="328">
        <v>20.0</v>
      </c>
    </row>
    <row r="1781">
      <c r="A1781" s="325" t="s">
        <v>2023</v>
      </c>
      <c r="B1781" s="404" t="s">
        <v>2024</v>
      </c>
      <c r="C1781" s="328">
        <v>20.0</v>
      </c>
      <c r="D1781" s="328">
        <v>20.0</v>
      </c>
    </row>
    <row r="1782">
      <c r="A1782" s="325">
        <v>517.0</v>
      </c>
      <c r="B1782" s="404" t="s">
        <v>2025</v>
      </c>
      <c r="C1782" s="328">
        <v>15.0</v>
      </c>
      <c r="D1782" s="328">
        <v>15.0</v>
      </c>
    </row>
    <row r="1783">
      <c r="A1783" s="325">
        <v>721.0</v>
      </c>
      <c r="B1783" s="404" t="s">
        <v>2027</v>
      </c>
      <c r="C1783" s="328">
        <v>20.0</v>
      </c>
      <c r="D1783" s="328">
        <v>20.0</v>
      </c>
    </row>
    <row r="1784">
      <c r="A1784" s="325">
        <v>518.0</v>
      </c>
      <c r="B1784" s="404" t="s">
        <v>2029</v>
      </c>
      <c r="C1784" s="328">
        <v>20.0</v>
      </c>
      <c r="D1784" s="328">
        <v>20.0</v>
      </c>
    </row>
    <row r="1785">
      <c r="A1785" s="332"/>
      <c r="B1785" s="403"/>
      <c r="C1785" s="323"/>
      <c r="D1785" s="324"/>
    </row>
    <row r="1786">
      <c r="A1786" s="321" t="s">
        <v>2031</v>
      </c>
      <c r="B1786" s="403"/>
      <c r="C1786" s="323"/>
      <c r="D1786" s="324"/>
    </row>
    <row r="1787">
      <c r="A1787" s="325">
        <v>4043.0</v>
      </c>
      <c r="B1787" s="404" t="s">
        <v>2033</v>
      </c>
      <c r="C1787" s="323"/>
      <c r="D1787" s="324"/>
    </row>
    <row r="1788">
      <c r="A1788" s="325">
        <v>4044.0</v>
      </c>
      <c r="B1788" s="404" t="s">
        <v>2035</v>
      </c>
      <c r="C1788" s="323"/>
      <c r="D1788" s="324"/>
    </row>
    <row r="1789">
      <c r="A1789" s="325">
        <v>4045.0</v>
      </c>
      <c r="B1789" s="404" t="s">
        <v>2037</v>
      </c>
      <c r="C1789" s="323"/>
      <c r="D1789" s="324"/>
    </row>
    <row r="1790">
      <c r="A1790" s="332"/>
      <c r="B1790" s="403"/>
      <c r="C1790" s="323"/>
      <c r="D1790" s="324"/>
    </row>
    <row r="1791">
      <c r="A1791" s="321" t="s">
        <v>2040</v>
      </c>
      <c r="B1791" s="403"/>
      <c r="C1791" s="323"/>
      <c r="D1791" s="324"/>
    </row>
    <row r="1792">
      <c r="A1792" s="325" t="s">
        <v>2042</v>
      </c>
      <c r="B1792" s="404" t="s">
        <v>2043</v>
      </c>
      <c r="C1792" s="327">
        <v>50.0</v>
      </c>
      <c r="D1792" s="329">
        <v>50.0</v>
      </c>
    </row>
    <row r="1793">
      <c r="A1793" s="325" t="s">
        <v>2045</v>
      </c>
      <c r="B1793" s="404" t="s">
        <v>2046</v>
      </c>
      <c r="C1793" s="327">
        <v>100.0</v>
      </c>
      <c r="D1793" s="329">
        <v>100.0</v>
      </c>
    </row>
    <row r="1794">
      <c r="A1794" s="325" t="s">
        <v>2047</v>
      </c>
      <c r="B1794" s="404" t="s">
        <v>2049</v>
      </c>
      <c r="C1794" s="327">
        <v>100.0</v>
      </c>
      <c r="D1794" s="328">
        <v>200.0</v>
      </c>
    </row>
    <row r="1795">
      <c r="A1795" s="325" t="s">
        <v>2050</v>
      </c>
      <c r="B1795" s="404" t="s">
        <v>2051</v>
      </c>
      <c r="C1795" s="327">
        <v>100.0</v>
      </c>
      <c r="D1795" s="329">
        <v>100.0</v>
      </c>
    </row>
    <row r="1796">
      <c r="A1796" s="325" t="s">
        <v>2053</v>
      </c>
      <c r="B1796" s="404" t="s">
        <v>2054</v>
      </c>
      <c r="C1796" s="327">
        <v>1000.0</v>
      </c>
      <c r="D1796" s="328">
        <v>1000.0</v>
      </c>
    </row>
    <row r="1797">
      <c r="A1797" s="325" t="s">
        <v>2055</v>
      </c>
      <c r="B1797" s="404" t="s">
        <v>2056</v>
      </c>
      <c r="C1797" s="327">
        <v>1000.0</v>
      </c>
      <c r="D1797" s="328">
        <v>1000.0</v>
      </c>
    </row>
    <row r="1798">
      <c r="A1798" s="325" t="s">
        <v>2058</v>
      </c>
      <c r="B1798" s="404" t="s">
        <v>2059</v>
      </c>
      <c r="C1798" s="327">
        <v>50.0</v>
      </c>
      <c r="D1798" s="329">
        <v>50.0</v>
      </c>
    </row>
    <row r="1799">
      <c r="A1799" s="325" t="s">
        <v>2060</v>
      </c>
      <c r="B1799" s="404" t="s">
        <v>2059</v>
      </c>
      <c r="C1799" s="327">
        <v>50.0</v>
      </c>
      <c r="D1799" s="328">
        <v>50.0</v>
      </c>
    </row>
    <row r="1800">
      <c r="A1800" s="325" t="s">
        <v>2063</v>
      </c>
      <c r="B1800" s="404" t="s">
        <v>2064</v>
      </c>
      <c r="C1800" s="327">
        <v>50.0</v>
      </c>
      <c r="D1800" s="328">
        <v>50.0</v>
      </c>
    </row>
    <row r="1801">
      <c r="A1801" s="325" t="s">
        <v>2065</v>
      </c>
      <c r="B1801" s="404" t="s">
        <v>2066</v>
      </c>
      <c r="C1801" s="327">
        <v>100.0</v>
      </c>
      <c r="D1801" s="328">
        <v>100.0</v>
      </c>
    </row>
    <row r="1802">
      <c r="A1802" s="325" t="s">
        <v>2067</v>
      </c>
      <c r="B1802" s="404" t="s">
        <v>2068</v>
      </c>
      <c r="C1802" s="327">
        <v>50.0</v>
      </c>
      <c r="D1802" s="329">
        <v>50.0</v>
      </c>
    </row>
    <row r="1803">
      <c r="A1803" s="325" t="s">
        <v>2069</v>
      </c>
      <c r="B1803" s="404" t="s">
        <v>2070</v>
      </c>
      <c r="C1803" s="327">
        <v>50.0</v>
      </c>
      <c r="D1803" s="328">
        <v>50.0</v>
      </c>
    </row>
    <row r="1804">
      <c r="A1804" s="325" t="s">
        <v>2072</v>
      </c>
      <c r="B1804" s="404" t="s">
        <v>2073</v>
      </c>
      <c r="C1804" s="327">
        <v>50.0</v>
      </c>
      <c r="D1804" s="328">
        <v>50.0</v>
      </c>
    </row>
    <row r="1805">
      <c r="A1805" s="325" t="s">
        <v>2075</v>
      </c>
      <c r="B1805" s="404" t="s">
        <v>2076</v>
      </c>
      <c r="C1805" s="327">
        <v>50.0</v>
      </c>
      <c r="D1805" s="328">
        <v>50.0</v>
      </c>
    </row>
    <row r="1806">
      <c r="A1806" s="325" t="s">
        <v>2077</v>
      </c>
      <c r="B1806" s="404" t="s">
        <v>2078</v>
      </c>
      <c r="C1806" s="327">
        <v>50.0</v>
      </c>
      <c r="D1806" s="328">
        <v>50.0</v>
      </c>
    </row>
    <row r="1807">
      <c r="A1807" s="332"/>
      <c r="B1807" s="403"/>
      <c r="C1807" s="323"/>
      <c r="D1807" s="324"/>
    </row>
    <row r="1808">
      <c r="A1808" s="321" t="s">
        <v>2081</v>
      </c>
      <c r="B1808" s="403"/>
      <c r="C1808" s="323"/>
      <c r="D1808" s="324"/>
    </row>
    <row r="1809">
      <c r="A1809" s="325" t="s">
        <v>2083</v>
      </c>
      <c r="B1809" s="404" t="s">
        <v>2084</v>
      </c>
      <c r="C1809" s="327">
        <v>1000.0</v>
      </c>
      <c r="D1809" s="324"/>
    </row>
    <row r="1810">
      <c r="A1810" s="325" t="s">
        <v>2086</v>
      </c>
      <c r="B1810" s="404" t="s">
        <v>2087</v>
      </c>
      <c r="C1810" s="327">
        <v>1000.0</v>
      </c>
      <c r="D1810" s="324"/>
    </row>
    <row r="1811">
      <c r="A1811" s="325" t="s">
        <v>2088</v>
      </c>
      <c r="B1811" s="404" t="s">
        <v>2089</v>
      </c>
      <c r="C1811" s="327">
        <v>1000.0</v>
      </c>
      <c r="D1811" s="324"/>
    </row>
    <row r="1812">
      <c r="A1812" s="325" t="s">
        <v>2091</v>
      </c>
      <c r="B1812" s="404" t="s">
        <v>2092</v>
      </c>
      <c r="C1812" s="327">
        <v>1000.0</v>
      </c>
      <c r="D1812" s="324"/>
    </row>
    <row r="1813">
      <c r="A1813" s="325" t="s">
        <v>2094</v>
      </c>
      <c r="B1813" s="404" t="s">
        <v>2095</v>
      </c>
      <c r="C1813" s="327">
        <v>1000.0</v>
      </c>
      <c r="D1813" s="324"/>
    </row>
    <row r="1814">
      <c r="A1814" s="325">
        <v>300.0</v>
      </c>
      <c r="B1814" s="404" t="s">
        <v>2096</v>
      </c>
      <c r="C1814" s="327">
        <v>1000.0</v>
      </c>
      <c r="D1814" s="324"/>
    </row>
    <row r="1815">
      <c r="A1815" s="325">
        <v>301.0</v>
      </c>
      <c r="B1815" s="404" t="s">
        <v>2098</v>
      </c>
      <c r="C1815" s="327">
        <v>1000.0</v>
      </c>
      <c r="D1815" s="324"/>
    </row>
    <row r="1816">
      <c r="A1816" s="325">
        <v>302.0</v>
      </c>
      <c r="B1816" s="404" t="s">
        <v>2099</v>
      </c>
      <c r="C1816" s="327">
        <v>1000.0</v>
      </c>
      <c r="D1816" s="324"/>
    </row>
    <row r="1817">
      <c r="A1817" s="325">
        <v>311.0</v>
      </c>
      <c r="B1817" s="404" t="s">
        <v>2101</v>
      </c>
      <c r="C1817" s="327">
        <v>1000.0</v>
      </c>
      <c r="D1817" s="324"/>
    </row>
    <row r="1818">
      <c r="A1818" s="325">
        <v>312.0</v>
      </c>
      <c r="B1818" s="404" t="s">
        <v>2103</v>
      </c>
      <c r="C1818" s="327">
        <v>1000.0</v>
      </c>
      <c r="D1818" s="324"/>
    </row>
    <row r="1819">
      <c r="A1819" s="325">
        <v>313.0</v>
      </c>
      <c r="B1819" s="404" t="s">
        <v>2104</v>
      </c>
      <c r="C1819" s="327">
        <v>1000.0</v>
      </c>
      <c r="D1819" s="324"/>
    </row>
    <row r="1820">
      <c r="A1820" s="325">
        <v>314.0</v>
      </c>
      <c r="B1820" s="404" t="s">
        <v>2106</v>
      </c>
      <c r="C1820" s="327">
        <v>1000.0</v>
      </c>
      <c r="D1820" s="324"/>
    </row>
    <row r="1821">
      <c r="A1821" s="325">
        <v>315.0</v>
      </c>
      <c r="B1821" s="404" t="s">
        <v>2107</v>
      </c>
      <c r="C1821" s="327">
        <v>500.0</v>
      </c>
      <c r="D1821" s="324"/>
    </row>
    <row r="1822">
      <c r="A1822" s="325">
        <v>316.0</v>
      </c>
      <c r="B1822" s="404" t="s">
        <v>2109</v>
      </c>
      <c r="C1822" s="327">
        <v>500.0</v>
      </c>
      <c r="D1822" s="324"/>
    </row>
    <row r="1823">
      <c r="A1823" s="332"/>
      <c r="B1823" s="332"/>
      <c r="C1823" s="323"/>
      <c r="D1823" s="324"/>
    </row>
    <row r="1824">
      <c r="A1824" s="321" t="s">
        <v>3330</v>
      </c>
      <c r="B1824" s="403"/>
      <c r="C1824" s="323"/>
      <c r="D1824" s="324"/>
    </row>
    <row r="1825">
      <c r="A1825" s="407" t="s">
        <v>3332</v>
      </c>
      <c r="B1825" s="407" t="s">
        <v>3333</v>
      </c>
      <c r="C1825" s="323"/>
      <c r="D1825" s="324"/>
    </row>
    <row r="1826">
      <c r="A1826" s="407" t="s">
        <v>3334</v>
      </c>
      <c r="B1826" s="407" t="s">
        <v>3336</v>
      </c>
      <c r="C1826" s="323"/>
      <c r="D1826" s="324"/>
    </row>
    <row r="1827">
      <c r="A1827" s="407" t="s">
        <v>3337</v>
      </c>
      <c r="B1827" s="407" t="s">
        <v>3338</v>
      </c>
      <c r="C1827" s="323"/>
      <c r="D1827" s="324"/>
    </row>
    <row r="1828">
      <c r="A1828" s="407" t="s">
        <v>3340</v>
      </c>
      <c r="B1828" s="407" t="s">
        <v>3341</v>
      </c>
      <c r="C1828" s="323"/>
      <c r="D1828" s="324"/>
    </row>
    <row r="1829">
      <c r="A1829" s="407" t="s">
        <v>3342</v>
      </c>
      <c r="B1829" s="407" t="s">
        <v>3343</v>
      </c>
      <c r="C1829" s="323"/>
      <c r="D1829" s="324"/>
    </row>
    <row r="1830">
      <c r="A1830" s="407" t="s">
        <v>3344</v>
      </c>
      <c r="B1830" s="407" t="s">
        <v>3345</v>
      </c>
      <c r="C1830" s="323"/>
      <c r="D1830" s="324"/>
    </row>
    <row r="1831">
      <c r="A1831" s="407" t="s">
        <v>3346</v>
      </c>
      <c r="B1831" s="407" t="s">
        <v>3347</v>
      </c>
      <c r="C1831" s="323"/>
      <c r="D1831" s="324"/>
    </row>
    <row r="1832">
      <c r="A1832" s="407" t="s">
        <v>3349</v>
      </c>
      <c r="B1832" s="407" t="s">
        <v>3350</v>
      </c>
      <c r="C1832" s="323"/>
      <c r="D1832" s="324"/>
    </row>
    <row r="1833">
      <c r="A1833" s="407" t="s">
        <v>3351</v>
      </c>
      <c r="B1833" s="407" t="s">
        <v>3352</v>
      </c>
      <c r="C1833" s="323"/>
      <c r="D1833" s="324"/>
    </row>
    <row r="1834">
      <c r="A1834" s="407" t="s">
        <v>3353</v>
      </c>
      <c r="B1834" s="407" t="s">
        <v>3354</v>
      </c>
      <c r="C1834" s="323"/>
      <c r="D1834" s="324"/>
    </row>
    <row r="1835">
      <c r="A1835" s="407" t="s">
        <v>3355</v>
      </c>
      <c r="B1835" s="407" t="s">
        <v>3356</v>
      </c>
      <c r="C1835" s="323"/>
      <c r="D1835" s="324"/>
    </row>
    <row r="1836">
      <c r="A1836" s="407" t="s">
        <v>3357</v>
      </c>
      <c r="B1836" s="407" t="s">
        <v>3358</v>
      </c>
      <c r="C1836" s="323"/>
      <c r="D1836" s="324"/>
    </row>
    <row r="1837">
      <c r="A1837" s="407" t="s">
        <v>3359</v>
      </c>
      <c r="B1837" s="407" t="s">
        <v>3358</v>
      </c>
      <c r="C1837" s="323"/>
      <c r="D1837" s="324"/>
    </row>
    <row r="1838">
      <c r="A1838" s="407" t="s">
        <v>3360</v>
      </c>
      <c r="B1838" s="407" t="s">
        <v>3358</v>
      </c>
      <c r="C1838" s="323"/>
      <c r="D1838" s="324"/>
    </row>
    <row r="1839">
      <c r="A1839" s="407" t="s">
        <v>3362</v>
      </c>
      <c r="B1839" s="407" t="s">
        <v>3358</v>
      </c>
      <c r="C1839" s="323"/>
      <c r="D1839" s="324"/>
    </row>
    <row r="1840">
      <c r="A1840" s="407" t="s">
        <v>3363</v>
      </c>
      <c r="B1840" s="407" t="s">
        <v>3364</v>
      </c>
      <c r="C1840" s="323"/>
      <c r="D1840" s="324"/>
    </row>
    <row r="1841">
      <c r="A1841" s="407" t="s">
        <v>3357</v>
      </c>
      <c r="B1841" s="407" t="s">
        <v>3364</v>
      </c>
      <c r="C1841" s="323"/>
      <c r="D1841" s="324"/>
    </row>
    <row r="1842">
      <c r="A1842" s="407" t="s">
        <v>3365</v>
      </c>
      <c r="B1842" s="407" t="s">
        <v>3366</v>
      </c>
      <c r="C1842" s="323"/>
      <c r="D1842" s="324"/>
    </row>
    <row r="1843">
      <c r="A1843" s="407" t="s">
        <v>3367</v>
      </c>
      <c r="B1843" s="407" t="s">
        <v>3368</v>
      </c>
      <c r="C1843" s="323"/>
      <c r="D1843" s="324"/>
    </row>
    <row r="1844">
      <c r="A1844" s="407" t="s">
        <v>3370</v>
      </c>
      <c r="B1844" s="407" t="s">
        <v>3371</v>
      </c>
      <c r="C1844" s="323"/>
      <c r="D1844" s="324"/>
    </row>
    <row r="1845">
      <c r="A1845" s="407" t="s">
        <v>3372</v>
      </c>
      <c r="B1845" s="407" t="s">
        <v>3366</v>
      </c>
      <c r="C1845" s="323"/>
      <c r="D1845" s="324"/>
    </row>
    <row r="1846">
      <c r="A1846" s="407" t="s">
        <v>3373</v>
      </c>
      <c r="B1846" s="407" t="s">
        <v>3368</v>
      </c>
      <c r="C1846" s="323"/>
      <c r="D1846" s="324"/>
    </row>
    <row r="1847">
      <c r="A1847" s="407" t="s">
        <v>3374</v>
      </c>
      <c r="B1847" s="407" t="s">
        <v>3371</v>
      </c>
      <c r="C1847" s="323"/>
      <c r="D1847" s="324"/>
    </row>
    <row r="1848">
      <c r="A1848" s="407" t="s">
        <v>3375</v>
      </c>
      <c r="B1848" s="407" t="s">
        <v>3376</v>
      </c>
      <c r="C1848" s="323"/>
      <c r="D1848" s="324"/>
    </row>
    <row r="1849">
      <c r="A1849" s="407" t="s">
        <v>3377</v>
      </c>
      <c r="B1849" s="407" t="s">
        <v>3378</v>
      </c>
      <c r="C1849" s="323"/>
      <c r="D1849" s="324"/>
    </row>
    <row r="1850">
      <c r="A1850" s="407" t="s">
        <v>3380</v>
      </c>
      <c r="B1850" s="407" t="s">
        <v>3381</v>
      </c>
      <c r="C1850" s="323"/>
      <c r="D1850" s="324"/>
    </row>
    <row r="1851">
      <c r="A1851" s="407" t="s">
        <v>3382</v>
      </c>
      <c r="B1851" s="407" t="s">
        <v>3383</v>
      </c>
      <c r="C1851" s="323"/>
      <c r="D1851" s="324"/>
    </row>
    <row r="1852">
      <c r="A1852" s="407" t="s">
        <v>3384</v>
      </c>
      <c r="B1852" s="407" t="s">
        <v>3385</v>
      </c>
      <c r="C1852" s="323"/>
      <c r="D1852" s="324"/>
    </row>
    <row r="1853">
      <c r="A1853" s="407" t="s">
        <v>3386</v>
      </c>
      <c r="B1853" s="407" t="s">
        <v>3387</v>
      </c>
      <c r="C1853" s="323"/>
      <c r="D1853" s="324"/>
    </row>
    <row r="1854">
      <c r="A1854" s="407" t="s">
        <v>3388</v>
      </c>
      <c r="B1854" s="407" t="s">
        <v>3389</v>
      </c>
      <c r="C1854" s="323"/>
      <c r="D1854" s="324"/>
    </row>
    <row r="1855">
      <c r="A1855" s="407" t="s">
        <v>3391</v>
      </c>
      <c r="B1855" s="407" t="s">
        <v>3392</v>
      </c>
      <c r="C1855" s="323"/>
      <c r="D1855" s="324"/>
    </row>
    <row r="1856">
      <c r="A1856" s="407" t="s">
        <v>3393</v>
      </c>
      <c r="B1856" s="407" t="s">
        <v>3394</v>
      </c>
      <c r="C1856" s="323"/>
      <c r="D1856" s="324"/>
    </row>
    <row r="1857">
      <c r="A1857" s="407" t="s">
        <v>3395</v>
      </c>
      <c r="B1857" s="407" t="s">
        <v>3396</v>
      </c>
      <c r="C1857" s="323"/>
      <c r="D1857" s="324"/>
    </row>
    <row r="1858">
      <c r="A1858" s="407" t="s">
        <v>3397</v>
      </c>
      <c r="B1858" s="407" t="s">
        <v>3398</v>
      </c>
      <c r="C1858" s="323"/>
      <c r="D1858" s="324"/>
    </row>
    <row r="1859">
      <c r="A1859" s="407" t="s">
        <v>3399</v>
      </c>
      <c r="B1859" s="407" t="s">
        <v>3400</v>
      </c>
      <c r="C1859" s="323"/>
      <c r="D1859" s="324"/>
    </row>
    <row r="1860">
      <c r="A1860" s="407" t="s">
        <v>3401</v>
      </c>
      <c r="B1860" s="407" t="s">
        <v>3402</v>
      </c>
      <c r="C1860" s="323"/>
      <c r="D1860" s="324"/>
    </row>
    <row r="1861">
      <c r="A1861" s="407" t="s">
        <v>3404</v>
      </c>
      <c r="B1861" s="407" t="s">
        <v>3405</v>
      </c>
      <c r="C1861" s="323"/>
      <c r="D1861" s="324"/>
    </row>
    <row r="1862">
      <c r="A1862" s="407" t="s">
        <v>3406</v>
      </c>
      <c r="B1862" s="407" t="s">
        <v>3407</v>
      </c>
      <c r="C1862" s="323"/>
      <c r="D1862" s="324"/>
    </row>
    <row r="1863">
      <c r="A1863" s="407" t="s">
        <v>3408</v>
      </c>
      <c r="B1863" s="407" t="s">
        <v>3409</v>
      </c>
      <c r="C1863" s="323"/>
      <c r="D1863" s="324"/>
    </row>
    <row r="1864">
      <c r="A1864" s="407" t="s">
        <v>3410</v>
      </c>
      <c r="B1864" s="407" t="s">
        <v>3411</v>
      </c>
      <c r="C1864" s="323"/>
      <c r="D1864" s="324"/>
    </row>
    <row r="1865">
      <c r="A1865" s="407" t="s">
        <v>3412</v>
      </c>
      <c r="B1865" s="407" t="s">
        <v>3413</v>
      </c>
      <c r="C1865" s="323"/>
      <c r="D1865" s="324"/>
    </row>
    <row r="1866">
      <c r="A1866" s="407" t="s">
        <v>3415</v>
      </c>
      <c r="B1866" s="407" t="s">
        <v>3416</v>
      </c>
      <c r="C1866" s="323"/>
      <c r="D1866" s="324"/>
    </row>
    <row r="1867">
      <c r="A1867" s="407" t="s">
        <v>3417</v>
      </c>
      <c r="B1867" s="407" t="s">
        <v>3418</v>
      </c>
      <c r="C1867" s="323"/>
      <c r="D1867" s="324"/>
    </row>
    <row r="1868">
      <c r="A1868" s="407" t="s">
        <v>3419</v>
      </c>
      <c r="B1868" s="407" t="s">
        <v>3420</v>
      </c>
      <c r="C1868" s="323"/>
      <c r="D1868" s="324"/>
    </row>
    <row r="1869">
      <c r="A1869" s="407" t="s">
        <v>3421</v>
      </c>
      <c r="B1869" s="407" t="s">
        <v>3422</v>
      </c>
      <c r="C1869" s="323"/>
      <c r="D1869" s="324"/>
    </row>
    <row r="1870">
      <c r="A1870" s="407" t="s">
        <v>3423</v>
      </c>
      <c r="B1870" s="407" t="s">
        <v>978</v>
      </c>
      <c r="C1870" s="323"/>
      <c r="D1870" s="324"/>
    </row>
    <row r="1871">
      <c r="A1871" s="407" t="s">
        <v>3425</v>
      </c>
      <c r="B1871" s="407" t="s">
        <v>978</v>
      </c>
      <c r="C1871" s="323"/>
      <c r="D1871" s="32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75" outlineLevelCol="1"/>
  <cols>
    <col customWidth="1" min="1" max="1" width="3.29"/>
    <col customWidth="1" min="2" max="2" width="24.0"/>
    <col customWidth="1" min="3" max="4" width="14.43"/>
    <col customWidth="1" min="5" max="5" width="59.86"/>
    <col customWidth="1" min="6" max="6" width="30.14"/>
    <col customWidth="1" min="7" max="7" width="30.43"/>
    <col customWidth="1" min="8" max="8" width="11.29"/>
    <col customWidth="1" min="9" max="9" width="9.14"/>
    <col customWidth="1" min="10" max="10" width="8.43"/>
    <col customWidth="1" min="11" max="11" width="12.29"/>
    <col customWidth="1" min="12" max="12" width="9.43"/>
    <col customWidth="1" min="13" max="13" width="7.86"/>
    <col customWidth="1" min="14" max="14" width="13.29"/>
    <col customWidth="1" min="15" max="15" width="17.29"/>
  </cols>
  <sheetData>
    <row r="1">
      <c r="A1" s="163">
        <v>0.02</v>
      </c>
      <c r="B1" s="14"/>
      <c r="C1" s="10"/>
      <c r="D1" s="10"/>
      <c r="E1" s="1"/>
      <c r="F1" s="3"/>
      <c r="G1" s="3"/>
      <c r="H1" s="3"/>
      <c r="I1" s="3"/>
      <c r="J1" s="3"/>
      <c r="K1" s="3"/>
      <c r="L1" s="3"/>
      <c r="M1" s="3"/>
      <c r="N1" s="1"/>
      <c r="P1" s="3"/>
      <c r="Q1" s="1"/>
      <c r="R1" s="1"/>
      <c r="S1" s="1"/>
      <c r="T1" s="1"/>
      <c r="U1" s="1"/>
      <c r="V1" s="1"/>
      <c r="W1" s="1"/>
      <c r="X1" s="1"/>
      <c r="Y1" s="1"/>
      <c r="Z1" s="1"/>
    </row>
    <row r="2" ht="55.5" customHeight="1">
      <c r="A2" s="1"/>
      <c r="B2" s="344"/>
      <c r="C2" s="345" t="s">
        <v>878</v>
      </c>
      <c r="D2" s="346" t="s">
        <v>2788</v>
      </c>
      <c r="E2" s="347" t="s">
        <v>5</v>
      </c>
      <c r="F2" s="348" t="s">
        <v>2789</v>
      </c>
      <c r="G2" s="27"/>
      <c r="H2" s="349" t="s">
        <v>836</v>
      </c>
      <c r="I2" s="350" t="s">
        <v>16</v>
      </c>
      <c r="J2" s="27"/>
      <c r="K2" s="351" t="s">
        <v>837</v>
      </c>
      <c r="L2" s="350" t="s">
        <v>16</v>
      </c>
      <c r="M2" s="27"/>
      <c r="N2" s="75" t="s">
        <v>838</v>
      </c>
      <c r="P2" s="3"/>
      <c r="Q2" s="1"/>
      <c r="R2" s="1"/>
      <c r="S2" s="1"/>
      <c r="T2" s="1"/>
      <c r="U2" s="1"/>
      <c r="V2" s="1"/>
      <c r="W2" s="1"/>
      <c r="X2" s="1"/>
      <c r="Y2" s="1"/>
      <c r="Z2" s="1"/>
    </row>
    <row r="3" ht="25.5" customHeight="1">
      <c r="A3" s="1"/>
      <c r="B3" s="14"/>
      <c r="C3" s="10"/>
      <c r="D3" s="10"/>
      <c r="E3" s="1"/>
      <c r="F3" s="352" t="s">
        <v>2795</v>
      </c>
      <c r="G3" s="352" t="s">
        <v>2796</v>
      </c>
      <c r="H3" s="3"/>
      <c r="I3" s="353" t="s">
        <v>2798</v>
      </c>
      <c r="J3" s="353" t="s">
        <v>2800</v>
      </c>
      <c r="K3" s="354"/>
      <c r="L3" s="353" t="s">
        <v>2798</v>
      </c>
      <c r="M3" s="353" t="s">
        <v>2800</v>
      </c>
      <c r="N3" s="353"/>
      <c r="O3" s="355"/>
      <c r="P3" s="3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56" t="s">
        <v>2805</v>
      </c>
      <c r="C4" s="357" t="s">
        <v>629</v>
      </c>
      <c r="D4" s="357"/>
      <c r="E4" s="358"/>
      <c r="F4" s="359"/>
      <c r="G4" s="359"/>
      <c r="H4" s="360">
        <v>570.0</v>
      </c>
      <c r="I4" s="361"/>
      <c r="J4" s="361"/>
      <c r="K4" s="360">
        <v>620.0</v>
      </c>
      <c r="L4" s="359"/>
      <c r="M4" s="359"/>
      <c r="N4" s="362">
        <f t="shared" ref="N4:N5" si="1">IFERROR((K4-H4)/H4,"")</f>
        <v>0.08771929825</v>
      </c>
      <c r="O4" s="157"/>
      <c r="P4" s="3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5"/>
      <c r="C5" s="357" t="s">
        <v>627</v>
      </c>
      <c r="D5" s="357"/>
      <c r="E5" s="358"/>
      <c r="F5" s="359"/>
      <c r="G5" s="359"/>
      <c r="H5" s="360">
        <v>530.0</v>
      </c>
      <c r="I5" s="361"/>
      <c r="J5" s="361"/>
      <c r="K5" s="360">
        <v>570.0</v>
      </c>
      <c r="L5" s="359"/>
      <c r="M5" s="359"/>
      <c r="N5" s="362">
        <f t="shared" si="1"/>
        <v>0.07547169811</v>
      </c>
      <c r="O5" s="157"/>
      <c r="P5" s="3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63"/>
      <c r="C6" s="364"/>
      <c r="D6" s="364"/>
      <c r="E6" s="364"/>
      <c r="F6" s="365"/>
      <c r="G6" s="365"/>
      <c r="H6" s="366"/>
      <c r="I6" s="367"/>
      <c r="J6" s="365"/>
      <c r="K6" s="367"/>
      <c r="L6" s="367"/>
      <c r="M6" s="365"/>
      <c r="N6" s="368"/>
      <c r="O6" s="157"/>
      <c r="P6" s="3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69" t="s">
        <v>2840</v>
      </c>
      <c r="C7" s="167">
        <v>1216.0</v>
      </c>
      <c r="D7" s="167" t="s">
        <v>2844</v>
      </c>
      <c r="E7" s="167" t="s">
        <v>2846</v>
      </c>
      <c r="F7" s="359" t="s">
        <v>2847</v>
      </c>
      <c r="G7" s="359" t="s">
        <v>2848</v>
      </c>
      <c r="H7" s="360"/>
      <c r="I7" s="370">
        <v>4550.0</v>
      </c>
      <c r="J7" s="371" t="s">
        <v>2844</v>
      </c>
      <c r="K7" s="372"/>
      <c r="L7" s="373">
        <v>4920.0</v>
      </c>
      <c r="M7" s="371" t="s">
        <v>2844</v>
      </c>
      <c r="N7" s="362">
        <f t="shared" ref="N7:N17" si="2">IFERROR((L7-I7)/I7,"")</f>
        <v>0.08131868132</v>
      </c>
      <c r="O7" s="355"/>
      <c r="P7" s="3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4"/>
      <c r="C8" s="357" t="s">
        <v>2861</v>
      </c>
      <c r="D8" s="357" t="s">
        <v>2862</v>
      </c>
      <c r="E8" s="167" t="s">
        <v>2846</v>
      </c>
      <c r="F8" s="359" t="s">
        <v>2864</v>
      </c>
      <c r="G8" s="359" t="s">
        <v>2865</v>
      </c>
      <c r="H8" s="360"/>
      <c r="I8" s="370">
        <v>4780.0</v>
      </c>
      <c r="J8" s="370">
        <v>4780.0</v>
      </c>
      <c r="K8" s="370"/>
      <c r="L8" s="373">
        <v>5160.0</v>
      </c>
      <c r="M8" s="373">
        <v>5160.0</v>
      </c>
      <c r="N8" s="362">
        <f t="shared" si="2"/>
        <v>0.07949790795</v>
      </c>
      <c r="O8" s="355"/>
      <c r="P8" s="3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4"/>
      <c r="C9" s="357" t="s">
        <v>2872</v>
      </c>
      <c r="D9" s="357" t="s">
        <v>2873</v>
      </c>
      <c r="E9" s="167" t="s">
        <v>2846</v>
      </c>
      <c r="F9" s="359" t="s">
        <v>2874</v>
      </c>
      <c r="G9" s="359" t="s">
        <v>2876</v>
      </c>
      <c r="H9" s="360"/>
      <c r="I9" s="370">
        <v>5030.0</v>
      </c>
      <c r="J9" s="370">
        <v>5030.0</v>
      </c>
      <c r="K9" s="370"/>
      <c r="L9" s="373">
        <v>5430.0</v>
      </c>
      <c r="M9" s="373">
        <v>5430.0</v>
      </c>
      <c r="N9" s="362">
        <f t="shared" si="2"/>
        <v>0.07952286282</v>
      </c>
      <c r="O9" s="355"/>
      <c r="P9" s="3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4"/>
      <c r="C10" s="357" t="s">
        <v>2880</v>
      </c>
      <c r="D10" s="357" t="s">
        <v>2881</v>
      </c>
      <c r="E10" s="167" t="s">
        <v>2846</v>
      </c>
      <c r="F10" s="359" t="s">
        <v>2882</v>
      </c>
      <c r="G10" s="359" t="s">
        <v>2876</v>
      </c>
      <c r="H10" s="360"/>
      <c r="I10" s="370">
        <v>5070.0</v>
      </c>
      <c r="J10" s="370">
        <v>5070.0</v>
      </c>
      <c r="K10" s="370"/>
      <c r="L10" s="373">
        <v>5480.0</v>
      </c>
      <c r="M10" s="373">
        <v>5480.0</v>
      </c>
      <c r="N10" s="362">
        <f t="shared" si="2"/>
        <v>0.0808678501</v>
      </c>
      <c r="O10" s="355"/>
      <c r="P10" s="3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4"/>
      <c r="C11" s="357" t="s">
        <v>2884</v>
      </c>
      <c r="D11" s="357" t="s">
        <v>2885</v>
      </c>
      <c r="E11" s="167" t="s">
        <v>2846</v>
      </c>
      <c r="F11" s="359" t="s">
        <v>2886</v>
      </c>
      <c r="G11" s="359" t="s">
        <v>2887</v>
      </c>
      <c r="H11" s="360"/>
      <c r="I11" s="370">
        <v>5030.0</v>
      </c>
      <c r="J11" s="370">
        <v>5030.0</v>
      </c>
      <c r="K11" s="370"/>
      <c r="L11" s="373">
        <v>5430.0</v>
      </c>
      <c r="M11" s="373">
        <v>5430.0</v>
      </c>
      <c r="N11" s="362">
        <f t="shared" si="2"/>
        <v>0.07952286282</v>
      </c>
      <c r="O11" s="355"/>
      <c r="P11" s="3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4"/>
      <c r="C12" s="357" t="s">
        <v>2889</v>
      </c>
      <c r="D12" s="357" t="s">
        <v>123</v>
      </c>
      <c r="E12" s="167" t="s">
        <v>2846</v>
      </c>
      <c r="F12" s="26" t="s">
        <v>2890</v>
      </c>
      <c r="G12" s="359" t="s">
        <v>2876</v>
      </c>
      <c r="H12" s="360"/>
      <c r="I12" s="370">
        <v>5070.0</v>
      </c>
      <c r="J12" s="370">
        <v>5070.0</v>
      </c>
      <c r="K12" s="370"/>
      <c r="L12" s="373">
        <v>5480.0</v>
      </c>
      <c r="M12" s="373">
        <v>5480.0</v>
      </c>
      <c r="N12" s="362">
        <f t="shared" si="2"/>
        <v>0.0808678501</v>
      </c>
      <c r="O12" s="355"/>
      <c r="P12" s="3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4"/>
      <c r="C13" s="357" t="s">
        <v>2891</v>
      </c>
      <c r="D13" s="357" t="s">
        <v>2892</v>
      </c>
      <c r="E13" s="167" t="s">
        <v>2846</v>
      </c>
      <c r="F13" s="359" t="s">
        <v>2893</v>
      </c>
      <c r="G13" s="359" t="s">
        <v>2894</v>
      </c>
      <c r="H13" s="360"/>
      <c r="I13" s="370">
        <v>5420.0</v>
      </c>
      <c r="J13" s="370">
        <v>5420.0</v>
      </c>
      <c r="K13" s="370"/>
      <c r="L13" s="373">
        <v>5860.0</v>
      </c>
      <c r="M13" s="373">
        <v>5860.0</v>
      </c>
      <c r="N13" s="362">
        <f t="shared" si="2"/>
        <v>0.08118081181</v>
      </c>
      <c r="O13" s="355"/>
      <c r="P13" s="3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4"/>
      <c r="C14" s="357" t="s">
        <v>2899</v>
      </c>
      <c r="D14" s="357" t="s">
        <v>2900</v>
      </c>
      <c r="E14" s="167" t="s">
        <v>2846</v>
      </c>
      <c r="F14" s="359" t="s">
        <v>2902</v>
      </c>
      <c r="G14" s="359" t="s">
        <v>2903</v>
      </c>
      <c r="H14" s="360"/>
      <c r="I14" s="370">
        <v>5630.0</v>
      </c>
      <c r="J14" s="370">
        <v>5630.0</v>
      </c>
      <c r="K14" s="370"/>
      <c r="L14" s="373">
        <v>6080.0</v>
      </c>
      <c r="M14" s="373">
        <v>6080.0</v>
      </c>
      <c r="N14" s="362">
        <f t="shared" si="2"/>
        <v>0.07992895204</v>
      </c>
      <c r="O14" s="355"/>
      <c r="P14" s="3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4"/>
      <c r="C15" s="357" t="s">
        <v>2908</v>
      </c>
      <c r="D15" s="357" t="s">
        <v>2909</v>
      </c>
      <c r="E15" s="167" t="s">
        <v>2846</v>
      </c>
      <c r="F15" s="359" t="s">
        <v>2911</v>
      </c>
      <c r="G15" s="359" t="s">
        <v>2912</v>
      </c>
      <c r="H15" s="360"/>
      <c r="I15" s="370">
        <v>5450.0</v>
      </c>
      <c r="J15" s="370">
        <v>5450.0</v>
      </c>
      <c r="K15" s="370"/>
      <c r="L15" s="373">
        <v>5890.0</v>
      </c>
      <c r="M15" s="373">
        <v>5890.0</v>
      </c>
      <c r="N15" s="362">
        <f t="shared" si="2"/>
        <v>0.08073394495</v>
      </c>
      <c r="O15" s="355"/>
      <c r="P15" s="3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4"/>
      <c r="C16" s="357" t="s">
        <v>2917</v>
      </c>
      <c r="D16" s="357" t="s">
        <v>2919</v>
      </c>
      <c r="E16" s="167" t="s">
        <v>2846</v>
      </c>
      <c r="F16" s="359" t="s">
        <v>2920</v>
      </c>
      <c r="G16" s="359" t="s">
        <v>2894</v>
      </c>
      <c r="H16" s="360"/>
      <c r="I16" s="370">
        <v>5840.1</v>
      </c>
      <c r="J16" s="370">
        <v>5840.1</v>
      </c>
      <c r="K16" s="370"/>
      <c r="L16" s="373">
        <v>6280.0</v>
      </c>
      <c r="M16" s="373">
        <v>6280.0</v>
      </c>
      <c r="N16" s="362">
        <f t="shared" si="2"/>
        <v>0.07532405267</v>
      </c>
      <c r="O16" s="355"/>
      <c r="P16" s="3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5"/>
      <c r="C17" s="357" t="s">
        <v>2925</v>
      </c>
      <c r="D17" s="357" t="s">
        <v>2926</v>
      </c>
      <c r="E17" s="167" t="s">
        <v>2846</v>
      </c>
      <c r="F17" s="359" t="s">
        <v>2928</v>
      </c>
      <c r="G17" s="359" t="s">
        <v>2929</v>
      </c>
      <c r="H17" s="360"/>
      <c r="I17" s="370">
        <v>6380.0</v>
      </c>
      <c r="J17" s="370">
        <v>6380.0</v>
      </c>
      <c r="K17" s="370"/>
      <c r="L17" s="373">
        <v>6890.0</v>
      </c>
      <c r="M17" s="373">
        <v>6890.0</v>
      </c>
      <c r="N17" s="362">
        <f t="shared" si="2"/>
        <v>0.07993730408</v>
      </c>
      <c r="O17" s="355"/>
      <c r="P17" s="3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4"/>
      <c r="C18" s="374"/>
      <c r="D18" s="374"/>
      <c r="E18" s="188"/>
      <c r="F18" s="273"/>
      <c r="G18" s="273"/>
      <c r="H18" s="273"/>
      <c r="I18" s="273"/>
      <c r="J18" s="273"/>
      <c r="K18" s="273"/>
      <c r="L18" s="273"/>
      <c r="M18" s="273"/>
      <c r="N18" s="188"/>
      <c r="O18" s="157"/>
      <c r="P18" s="3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69" t="s">
        <v>2939</v>
      </c>
      <c r="C19" s="167" t="s">
        <v>2942</v>
      </c>
      <c r="D19" s="167" t="s">
        <v>2944</v>
      </c>
      <c r="E19" s="167" t="s">
        <v>2846</v>
      </c>
      <c r="F19" s="359" t="s">
        <v>2945</v>
      </c>
      <c r="G19" s="359" t="s">
        <v>2946</v>
      </c>
      <c r="H19" s="360"/>
      <c r="I19" s="370">
        <v>3240.0</v>
      </c>
      <c r="J19" s="371">
        <v>3240.0</v>
      </c>
      <c r="K19" s="372">
        <v>0.05</v>
      </c>
      <c r="L19" s="373">
        <v>3490.0</v>
      </c>
      <c r="M19" s="373">
        <v>3490.0</v>
      </c>
      <c r="N19" s="362">
        <f t="shared" ref="N19:N30" si="3">IFERROR((L19-I19)/I19,"")</f>
        <v>0.07716049383</v>
      </c>
      <c r="O19" s="355"/>
      <c r="P19" s="3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4"/>
      <c r="C20" s="357">
        <v>916.0</v>
      </c>
      <c r="D20" s="357" t="s">
        <v>2844</v>
      </c>
      <c r="E20" s="167" t="s">
        <v>2846</v>
      </c>
      <c r="F20" s="359" t="s">
        <v>2847</v>
      </c>
      <c r="G20" s="359" t="s">
        <v>2848</v>
      </c>
      <c r="H20" s="360"/>
      <c r="I20" s="370">
        <v>3750.0</v>
      </c>
      <c r="J20" s="370" t="s">
        <v>2844</v>
      </c>
      <c r="K20" s="370"/>
      <c r="L20" s="373">
        <v>4050.0</v>
      </c>
      <c r="M20" s="373" t="s">
        <v>2844</v>
      </c>
      <c r="N20" s="362">
        <f t="shared" si="3"/>
        <v>0.08</v>
      </c>
      <c r="O20" s="355"/>
      <c r="P20" s="3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84"/>
      <c r="C21" s="357" t="s">
        <v>2959</v>
      </c>
      <c r="D21" s="357" t="s">
        <v>2961</v>
      </c>
      <c r="E21" s="167" t="s">
        <v>2846</v>
      </c>
      <c r="F21" s="359" t="s">
        <v>2864</v>
      </c>
      <c r="G21" s="359" t="s">
        <v>2865</v>
      </c>
      <c r="H21" s="360"/>
      <c r="I21" s="370">
        <v>3850.0</v>
      </c>
      <c r="J21" s="370">
        <v>3850.0</v>
      </c>
      <c r="K21" s="370"/>
      <c r="L21" s="373">
        <v>4160.0</v>
      </c>
      <c r="M21" s="373">
        <v>4160.0</v>
      </c>
      <c r="N21" s="362">
        <f t="shared" si="3"/>
        <v>0.08051948052</v>
      </c>
      <c r="O21" s="355"/>
      <c r="P21" s="3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84"/>
      <c r="C22" s="357" t="s">
        <v>2966</v>
      </c>
      <c r="D22" s="357" t="s">
        <v>2967</v>
      </c>
      <c r="E22" s="167" t="s">
        <v>2846</v>
      </c>
      <c r="F22" s="359" t="s">
        <v>2969</v>
      </c>
      <c r="G22" s="359" t="s">
        <v>2876</v>
      </c>
      <c r="H22" s="360"/>
      <c r="I22" s="370">
        <v>3950.0</v>
      </c>
      <c r="J22" s="370">
        <v>3950.0</v>
      </c>
      <c r="K22" s="370"/>
      <c r="L22" s="373">
        <v>4270.0</v>
      </c>
      <c r="M22" s="373">
        <v>4270.0</v>
      </c>
      <c r="N22" s="362">
        <f t="shared" si="3"/>
        <v>0.08101265823</v>
      </c>
      <c r="O22" s="355"/>
      <c r="P22" s="3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84"/>
      <c r="C23" s="357" t="s">
        <v>2974</v>
      </c>
      <c r="D23" s="357" t="s">
        <v>2976</v>
      </c>
      <c r="E23" s="167" t="s">
        <v>2846</v>
      </c>
      <c r="F23" s="359" t="s">
        <v>2882</v>
      </c>
      <c r="G23" s="359" t="s">
        <v>2876</v>
      </c>
      <c r="H23" s="360"/>
      <c r="I23" s="370">
        <v>3950.0</v>
      </c>
      <c r="J23" s="370">
        <v>3950.0</v>
      </c>
      <c r="K23" s="370"/>
      <c r="L23" s="373">
        <v>4270.0</v>
      </c>
      <c r="M23" s="373">
        <v>4270.0</v>
      </c>
      <c r="N23" s="362">
        <f t="shared" si="3"/>
        <v>0.08101265823</v>
      </c>
      <c r="O23" s="355"/>
      <c r="P23" s="3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84"/>
      <c r="C24" s="357" t="s">
        <v>2982</v>
      </c>
      <c r="D24" s="357" t="s">
        <v>2983</v>
      </c>
      <c r="E24" s="167" t="s">
        <v>2846</v>
      </c>
      <c r="F24" s="359" t="s">
        <v>2886</v>
      </c>
      <c r="G24" s="359" t="s">
        <v>2887</v>
      </c>
      <c r="H24" s="360"/>
      <c r="I24" s="370">
        <v>4060.0</v>
      </c>
      <c r="J24" s="370">
        <v>4060.0</v>
      </c>
      <c r="K24" s="370"/>
      <c r="L24" s="373">
        <v>4390.0</v>
      </c>
      <c r="M24" s="373">
        <v>4390.0</v>
      </c>
      <c r="N24" s="362">
        <f t="shared" si="3"/>
        <v>0.08128078818</v>
      </c>
      <c r="O24" s="355"/>
      <c r="P24" s="3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84"/>
      <c r="C25" s="357" t="s">
        <v>2988</v>
      </c>
      <c r="D25" s="357" t="s">
        <v>2989</v>
      </c>
      <c r="E25" s="167" t="s">
        <v>2846</v>
      </c>
      <c r="F25" s="359" t="s">
        <v>2890</v>
      </c>
      <c r="G25" s="359" t="s">
        <v>2876</v>
      </c>
      <c r="H25" s="360"/>
      <c r="I25" s="370">
        <v>3950.0</v>
      </c>
      <c r="J25" s="370">
        <v>3950.0</v>
      </c>
      <c r="K25" s="370"/>
      <c r="L25" s="373">
        <v>4270.0</v>
      </c>
      <c r="M25" s="373">
        <v>4270.0</v>
      </c>
      <c r="N25" s="362">
        <f t="shared" si="3"/>
        <v>0.08101265823</v>
      </c>
      <c r="O25" s="355"/>
      <c r="P25" s="3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84"/>
      <c r="C26" s="357" t="s">
        <v>2991</v>
      </c>
      <c r="D26" s="357" t="s">
        <v>2992</v>
      </c>
      <c r="E26" s="167" t="s">
        <v>2846</v>
      </c>
      <c r="F26" s="359" t="s">
        <v>2893</v>
      </c>
      <c r="G26" s="359" t="s">
        <v>2894</v>
      </c>
      <c r="H26" s="360"/>
      <c r="I26" s="370">
        <v>4260.0</v>
      </c>
      <c r="J26" s="370">
        <v>4260.0</v>
      </c>
      <c r="K26" s="370"/>
      <c r="L26" s="373">
        <v>4590.0</v>
      </c>
      <c r="M26" s="373">
        <v>4590.0</v>
      </c>
      <c r="N26" s="362">
        <f t="shared" si="3"/>
        <v>0.07746478873</v>
      </c>
      <c r="O26" s="355"/>
      <c r="P26" s="3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84"/>
      <c r="C27" s="357" t="s">
        <v>2993</v>
      </c>
      <c r="D27" s="357" t="s">
        <v>2994</v>
      </c>
      <c r="E27" s="167" t="s">
        <v>2846</v>
      </c>
      <c r="F27" s="359" t="s">
        <v>2902</v>
      </c>
      <c r="G27" s="359" t="s">
        <v>2903</v>
      </c>
      <c r="H27" s="360"/>
      <c r="I27" s="370">
        <v>4449.6</v>
      </c>
      <c r="J27" s="370">
        <v>4449.6</v>
      </c>
      <c r="K27" s="370"/>
      <c r="L27" s="373">
        <v>4810.0</v>
      </c>
      <c r="M27" s="373">
        <v>4810.0</v>
      </c>
      <c r="N27" s="362">
        <f t="shared" si="3"/>
        <v>0.08099604459</v>
      </c>
      <c r="O27" s="355"/>
      <c r="P27" s="3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84"/>
      <c r="C28" s="357" t="s">
        <v>2995</v>
      </c>
      <c r="D28" s="357" t="s">
        <v>2996</v>
      </c>
      <c r="E28" s="167" t="s">
        <v>2846</v>
      </c>
      <c r="F28" s="359" t="s">
        <v>2911</v>
      </c>
      <c r="G28" s="359" t="s">
        <v>2912</v>
      </c>
      <c r="H28" s="360"/>
      <c r="I28" s="370">
        <v>4630.0</v>
      </c>
      <c r="J28" s="370">
        <v>4630.0</v>
      </c>
      <c r="K28" s="370"/>
      <c r="L28" s="373">
        <v>4990.0</v>
      </c>
      <c r="M28" s="373">
        <v>4990.0</v>
      </c>
      <c r="N28" s="362">
        <f t="shared" si="3"/>
        <v>0.0777537797</v>
      </c>
      <c r="O28" s="355"/>
      <c r="P28" s="3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84"/>
      <c r="C29" s="357" t="s">
        <v>2998</v>
      </c>
      <c r="D29" s="357" t="s">
        <v>2999</v>
      </c>
      <c r="E29" s="167" t="s">
        <v>2846</v>
      </c>
      <c r="F29" s="359" t="s">
        <v>2920</v>
      </c>
      <c r="G29" s="359" t="s">
        <v>2894</v>
      </c>
      <c r="H29" s="360"/>
      <c r="I29" s="370">
        <v>4630.0</v>
      </c>
      <c r="J29" s="370">
        <v>4630.0</v>
      </c>
      <c r="K29" s="370"/>
      <c r="L29" s="373">
        <v>4990.0</v>
      </c>
      <c r="M29" s="373">
        <v>4990.0</v>
      </c>
      <c r="N29" s="362">
        <f t="shared" si="3"/>
        <v>0.0777537797</v>
      </c>
      <c r="O29" s="355"/>
      <c r="P29" s="3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85"/>
      <c r="C30" s="357" t="s">
        <v>3000</v>
      </c>
      <c r="D30" s="357" t="s">
        <v>3001</v>
      </c>
      <c r="E30" s="167" t="s">
        <v>2846</v>
      </c>
      <c r="F30" s="359" t="s">
        <v>2928</v>
      </c>
      <c r="G30" s="359" t="s">
        <v>2929</v>
      </c>
      <c r="H30" s="360"/>
      <c r="I30" s="370">
        <v>5090.0</v>
      </c>
      <c r="J30" s="370">
        <v>5090.0</v>
      </c>
      <c r="K30" s="370"/>
      <c r="L30" s="373">
        <v>5490.0</v>
      </c>
      <c r="M30" s="373">
        <v>5490.0</v>
      </c>
      <c r="N30" s="362">
        <f t="shared" si="3"/>
        <v>0.07858546169</v>
      </c>
      <c r="O30" s="355"/>
      <c r="P30" s="3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4"/>
      <c r="C31" s="374"/>
      <c r="D31" s="374"/>
      <c r="E31" s="188"/>
      <c r="F31" s="273"/>
      <c r="G31" s="273"/>
      <c r="H31" s="273"/>
      <c r="I31" s="273"/>
      <c r="J31" s="273"/>
      <c r="K31" s="273"/>
      <c r="L31" s="273"/>
      <c r="M31" s="273"/>
      <c r="N31" s="188"/>
      <c r="O31" s="157"/>
      <c r="P31" s="3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369" t="s">
        <v>3002</v>
      </c>
      <c r="C32" s="167" t="s">
        <v>3004</v>
      </c>
      <c r="D32" s="167" t="s">
        <v>3006</v>
      </c>
      <c r="E32" s="167" t="s">
        <v>2846</v>
      </c>
      <c r="F32" s="359" t="s">
        <v>2864</v>
      </c>
      <c r="G32" s="359" t="s">
        <v>2865</v>
      </c>
      <c r="H32" s="370"/>
      <c r="I32" s="370">
        <v>2490.0</v>
      </c>
      <c r="J32" s="370">
        <v>2490.0</v>
      </c>
      <c r="K32" s="375">
        <v>0.06</v>
      </c>
      <c r="L32" s="373">
        <v>2690.0</v>
      </c>
      <c r="M32" s="373">
        <v>2690.0</v>
      </c>
      <c r="N32" s="362">
        <f t="shared" ref="N32:N40" si="4">IFERROR((L32-I32)/I32,"")</f>
        <v>0.08032128514</v>
      </c>
      <c r="O32" s="355"/>
      <c r="P32" s="3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84"/>
      <c r="C33" s="357" t="s">
        <v>3017</v>
      </c>
      <c r="D33" s="357" t="s">
        <v>3018</v>
      </c>
      <c r="E33" s="167" t="s">
        <v>2846</v>
      </c>
      <c r="F33" s="359" t="s">
        <v>2874</v>
      </c>
      <c r="G33" s="359" t="s">
        <v>2876</v>
      </c>
      <c r="H33" s="370"/>
      <c r="I33" s="370">
        <v>2650.0</v>
      </c>
      <c r="J33" s="370">
        <v>2650.0</v>
      </c>
      <c r="K33" s="370"/>
      <c r="L33" s="373">
        <v>2860.0</v>
      </c>
      <c r="M33" s="373">
        <v>2860.0</v>
      </c>
      <c r="N33" s="362">
        <f t="shared" si="4"/>
        <v>0.07924528302</v>
      </c>
      <c r="O33" s="355"/>
      <c r="P33" s="3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84"/>
      <c r="C34" s="357" t="s">
        <v>3024</v>
      </c>
      <c r="D34" s="357" t="s">
        <v>3025</v>
      </c>
      <c r="E34" s="167" t="s">
        <v>2846</v>
      </c>
      <c r="F34" s="359" t="s">
        <v>2882</v>
      </c>
      <c r="G34" s="359" t="s">
        <v>2876</v>
      </c>
      <c r="H34" s="370"/>
      <c r="I34" s="370">
        <v>2810.0</v>
      </c>
      <c r="J34" s="370">
        <v>2810.0</v>
      </c>
      <c r="K34" s="370"/>
      <c r="L34" s="373">
        <v>2990.0</v>
      </c>
      <c r="M34" s="373">
        <v>2990.0</v>
      </c>
      <c r="N34" s="362">
        <f t="shared" si="4"/>
        <v>0.0640569395</v>
      </c>
      <c r="O34" s="355"/>
      <c r="P34" s="3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84"/>
      <c r="C35" s="357" t="s">
        <v>3031</v>
      </c>
      <c r="D35" s="357" t="s">
        <v>3032</v>
      </c>
      <c r="E35" s="167" t="s">
        <v>2846</v>
      </c>
      <c r="F35" s="359" t="s">
        <v>2886</v>
      </c>
      <c r="G35" s="359" t="s">
        <v>2887</v>
      </c>
      <c r="H35" s="370"/>
      <c r="I35" s="370">
        <v>2970.0</v>
      </c>
      <c r="J35" s="370">
        <v>2970.0</v>
      </c>
      <c r="K35" s="370"/>
      <c r="L35" s="373">
        <v>3180.0</v>
      </c>
      <c r="M35" s="373">
        <v>3180.0</v>
      </c>
      <c r="N35" s="362">
        <f t="shared" si="4"/>
        <v>0.07070707071</v>
      </c>
      <c r="O35" s="355"/>
      <c r="P35" s="3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84"/>
      <c r="C36" s="357" t="s">
        <v>247</v>
      </c>
      <c r="D36" s="357" t="s">
        <v>3040</v>
      </c>
      <c r="E36" s="167" t="s">
        <v>2846</v>
      </c>
      <c r="F36" s="359" t="s">
        <v>2890</v>
      </c>
      <c r="G36" s="359" t="s">
        <v>2876</v>
      </c>
      <c r="H36" s="370"/>
      <c r="I36" s="370">
        <v>2970.0</v>
      </c>
      <c r="J36" s="370">
        <v>2970.0</v>
      </c>
      <c r="K36" s="370"/>
      <c r="L36" s="373">
        <v>3210.0</v>
      </c>
      <c r="M36" s="373">
        <v>3210.0</v>
      </c>
      <c r="N36" s="362">
        <f t="shared" si="4"/>
        <v>0.08080808081</v>
      </c>
      <c r="O36" s="355"/>
      <c r="P36" s="3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84"/>
      <c r="C37" s="357" t="s">
        <v>3046</v>
      </c>
      <c r="D37" s="357" t="s">
        <v>3048</v>
      </c>
      <c r="E37" s="167" t="s">
        <v>2846</v>
      </c>
      <c r="F37" s="359" t="s">
        <v>2893</v>
      </c>
      <c r="G37" s="359" t="s">
        <v>2894</v>
      </c>
      <c r="H37" s="370"/>
      <c r="I37" s="370">
        <v>3150.0</v>
      </c>
      <c r="J37" s="370">
        <v>3150.0</v>
      </c>
      <c r="K37" s="370"/>
      <c r="L37" s="373">
        <v>3390.0</v>
      </c>
      <c r="M37" s="373">
        <v>3390.0</v>
      </c>
      <c r="N37" s="362">
        <f t="shared" si="4"/>
        <v>0.07619047619</v>
      </c>
      <c r="O37" s="355"/>
      <c r="P37" s="3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84"/>
      <c r="C38" s="357" t="s">
        <v>3054</v>
      </c>
      <c r="D38" s="357" t="s">
        <v>3055</v>
      </c>
      <c r="E38" s="167" t="s">
        <v>2846</v>
      </c>
      <c r="F38" s="359" t="s">
        <v>2902</v>
      </c>
      <c r="G38" s="359" t="s">
        <v>2903</v>
      </c>
      <c r="H38" s="370"/>
      <c r="I38" s="370">
        <v>3340.0</v>
      </c>
      <c r="J38" s="370">
        <v>3340.0</v>
      </c>
      <c r="K38" s="370"/>
      <c r="L38" s="373">
        <v>3580.0</v>
      </c>
      <c r="M38" s="373">
        <v>3580.0</v>
      </c>
      <c r="N38" s="362">
        <f t="shared" si="4"/>
        <v>0.07185628743</v>
      </c>
      <c r="O38" s="355"/>
      <c r="P38" s="3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84"/>
      <c r="C39" s="357" t="s">
        <v>3062</v>
      </c>
      <c r="D39" s="357" t="s">
        <v>3064</v>
      </c>
      <c r="E39" s="167" t="s">
        <v>2846</v>
      </c>
      <c r="F39" s="359" t="s">
        <v>2911</v>
      </c>
      <c r="G39" s="359" t="s">
        <v>2912</v>
      </c>
      <c r="H39" s="370"/>
      <c r="I39" s="370">
        <v>3540.0</v>
      </c>
      <c r="J39" s="370">
        <v>3540.0</v>
      </c>
      <c r="K39" s="370"/>
      <c r="L39" s="373">
        <v>3820.0</v>
      </c>
      <c r="M39" s="373">
        <v>3820.0</v>
      </c>
      <c r="N39" s="362">
        <f t="shared" si="4"/>
        <v>0.0790960452</v>
      </c>
      <c r="O39" s="355"/>
      <c r="P39" s="3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85"/>
      <c r="C40" s="378" t="s">
        <v>262</v>
      </c>
      <c r="D40" s="378" t="s">
        <v>3072</v>
      </c>
      <c r="E40" s="167" t="s">
        <v>2846</v>
      </c>
      <c r="F40" s="379" t="s">
        <v>2920</v>
      </c>
      <c r="G40" s="379" t="s">
        <v>3074</v>
      </c>
      <c r="H40" s="380"/>
      <c r="I40" s="380">
        <v>3670.0</v>
      </c>
      <c r="J40" s="380">
        <v>3670.0</v>
      </c>
      <c r="K40" s="370"/>
      <c r="L40" s="373">
        <v>3960.0</v>
      </c>
      <c r="M40" s="373">
        <v>3960.0</v>
      </c>
      <c r="N40" s="362">
        <f t="shared" si="4"/>
        <v>0.07901907357</v>
      </c>
      <c r="O40" s="355"/>
      <c r="P40" s="3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75"/>
      <c r="C41" s="381"/>
      <c r="D41" s="381"/>
      <c r="E41" s="382"/>
      <c r="F41" s="383"/>
      <c r="G41" s="383"/>
      <c r="H41" s="384"/>
      <c r="I41" s="384"/>
      <c r="J41" s="384"/>
      <c r="K41" s="171"/>
      <c r="L41" s="171"/>
      <c r="M41" s="171"/>
      <c r="N41" s="188"/>
      <c r="O41" s="157"/>
      <c r="P41" s="3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369" t="s">
        <v>3100</v>
      </c>
      <c r="C42" s="167" t="s">
        <v>3102</v>
      </c>
      <c r="D42" s="167" t="s">
        <v>3103</v>
      </c>
      <c r="E42" s="167" t="s">
        <v>2846</v>
      </c>
      <c r="F42" s="359" t="s">
        <v>2864</v>
      </c>
      <c r="G42" s="359" t="s">
        <v>2865</v>
      </c>
      <c r="H42" s="169" t="s">
        <v>1001</v>
      </c>
      <c r="I42" s="380">
        <v>2490.0</v>
      </c>
      <c r="J42" s="380">
        <v>2490.0</v>
      </c>
      <c r="K42" s="386" t="s">
        <v>3105</v>
      </c>
      <c r="L42" s="373">
        <v>2690.0</v>
      </c>
      <c r="M42" s="373">
        <v>2690.0</v>
      </c>
      <c r="N42" s="362">
        <f t="shared" ref="N42:N50" si="5">IFERROR((L42-I42)/I42,"")</f>
        <v>0.08032128514</v>
      </c>
      <c r="O42" s="157"/>
      <c r="P42" s="3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84"/>
      <c r="C43" s="357" t="s">
        <v>3107</v>
      </c>
      <c r="D43" s="357" t="s">
        <v>3109</v>
      </c>
      <c r="E43" s="167" t="s">
        <v>2846</v>
      </c>
      <c r="F43" s="359" t="s">
        <v>2874</v>
      </c>
      <c r="G43" s="359" t="s">
        <v>2876</v>
      </c>
      <c r="H43" s="169" t="s">
        <v>1001</v>
      </c>
      <c r="I43" s="380">
        <v>2650.0</v>
      </c>
      <c r="J43" s="380">
        <v>2650.0</v>
      </c>
      <c r="K43" s="386" t="s">
        <v>3105</v>
      </c>
      <c r="L43" s="373">
        <v>2860.0</v>
      </c>
      <c r="M43" s="373">
        <v>2860.0</v>
      </c>
      <c r="N43" s="362">
        <f t="shared" si="5"/>
        <v>0.07924528302</v>
      </c>
      <c r="O43" s="157"/>
      <c r="P43" s="3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84"/>
      <c r="C44" s="357" t="s">
        <v>3112</v>
      </c>
      <c r="D44" s="357" t="s">
        <v>3113</v>
      </c>
      <c r="E44" s="167" t="s">
        <v>2846</v>
      </c>
      <c r="F44" s="359" t="s">
        <v>2882</v>
      </c>
      <c r="G44" s="359" t="s">
        <v>2876</v>
      </c>
      <c r="H44" s="169" t="s">
        <v>1001</v>
      </c>
      <c r="I44" s="380">
        <v>2810.0</v>
      </c>
      <c r="J44" s="380">
        <v>2810.0</v>
      </c>
      <c r="K44" s="386" t="s">
        <v>3105</v>
      </c>
      <c r="L44" s="373">
        <v>3040.0</v>
      </c>
      <c r="M44" s="373">
        <v>3040.0</v>
      </c>
      <c r="N44" s="362">
        <f t="shared" si="5"/>
        <v>0.08185053381</v>
      </c>
      <c r="O44" s="157"/>
      <c r="P44" s="3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84"/>
      <c r="C45" s="357" t="s">
        <v>3115</v>
      </c>
      <c r="D45" s="357" t="s">
        <v>3116</v>
      </c>
      <c r="E45" s="167" t="s">
        <v>2846</v>
      </c>
      <c r="F45" s="359" t="s">
        <v>2886</v>
      </c>
      <c r="G45" s="359" t="s">
        <v>2887</v>
      </c>
      <c r="H45" s="169" t="s">
        <v>1001</v>
      </c>
      <c r="I45" s="380">
        <v>2970.0</v>
      </c>
      <c r="J45" s="380">
        <v>2970.0</v>
      </c>
      <c r="K45" s="386" t="s">
        <v>3105</v>
      </c>
      <c r="L45" s="373">
        <v>3210.0</v>
      </c>
      <c r="M45" s="373">
        <v>3210.0</v>
      </c>
      <c r="N45" s="362">
        <f t="shared" si="5"/>
        <v>0.08080808081</v>
      </c>
      <c r="O45" s="157"/>
      <c r="P45" s="3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84"/>
      <c r="C46" s="357" t="s">
        <v>3118</v>
      </c>
      <c r="D46" s="357" t="s">
        <v>3119</v>
      </c>
      <c r="E46" s="167" t="s">
        <v>2846</v>
      </c>
      <c r="F46" s="359" t="s">
        <v>2890</v>
      </c>
      <c r="G46" s="359" t="s">
        <v>2876</v>
      </c>
      <c r="H46" s="169" t="s">
        <v>1001</v>
      </c>
      <c r="I46" s="380">
        <v>2970.0</v>
      </c>
      <c r="J46" s="380">
        <v>2970.0</v>
      </c>
      <c r="K46" s="386" t="s">
        <v>3105</v>
      </c>
      <c r="L46" s="373">
        <v>3210.0</v>
      </c>
      <c r="M46" s="373">
        <v>3210.0</v>
      </c>
      <c r="N46" s="362">
        <f t="shared" si="5"/>
        <v>0.08080808081</v>
      </c>
      <c r="O46" s="157"/>
      <c r="P46" s="3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84"/>
      <c r="C47" s="357" t="s">
        <v>3121</v>
      </c>
      <c r="D47" s="357" t="s">
        <v>3122</v>
      </c>
      <c r="E47" s="167" t="s">
        <v>2846</v>
      </c>
      <c r="F47" s="359" t="s">
        <v>2893</v>
      </c>
      <c r="G47" s="359" t="s">
        <v>2894</v>
      </c>
      <c r="H47" s="169" t="s">
        <v>1001</v>
      </c>
      <c r="I47" s="380">
        <v>3130.0</v>
      </c>
      <c r="J47" s="380">
        <v>3130.0</v>
      </c>
      <c r="K47" s="386" t="s">
        <v>3105</v>
      </c>
      <c r="L47" s="373">
        <v>3380.0</v>
      </c>
      <c r="M47" s="373">
        <v>3380.0</v>
      </c>
      <c r="N47" s="362">
        <f t="shared" si="5"/>
        <v>0.07987220447</v>
      </c>
      <c r="O47" s="157"/>
      <c r="P47" s="3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84"/>
      <c r="C48" s="357" t="s">
        <v>3125</v>
      </c>
      <c r="D48" s="357" t="s">
        <v>3126</v>
      </c>
      <c r="E48" s="167" t="s">
        <v>2846</v>
      </c>
      <c r="F48" s="359" t="s">
        <v>2902</v>
      </c>
      <c r="G48" s="359" t="s">
        <v>2903</v>
      </c>
      <c r="H48" s="169" t="s">
        <v>1001</v>
      </c>
      <c r="I48" s="380">
        <v>3320.0</v>
      </c>
      <c r="J48" s="380">
        <v>3320.0</v>
      </c>
      <c r="K48" s="386" t="s">
        <v>3105</v>
      </c>
      <c r="L48" s="373">
        <v>3590.0</v>
      </c>
      <c r="M48" s="373">
        <v>3590.0</v>
      </c>
      <c r="N48" s="362">
        <f t="shared" si="5"/>
        <v>0.0813253012</v>
      </c>
      <c r="O48" s="157"/>
      <c r="P48" s="3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84"/>
      <c r="C49" s="357" t="s">
        <v>3128</v>
      </c>
      <c r="D49" s="357" t="s">
        <v>3129</v>
      </c>
      <c r="E49" s="167" t="s">
        <v>2846</v>
      </c>
      <c r="F49" s="359" t="s">
        <v>2911</v>
      </c>
      <c r="G49" s="359" t="s">
        <v>2912</v>
      </c>
      <c r="H49" s="169" t="s">
        <v>1001</v>
      </c>
      <c r="I49" s="380">
        <v>3540.0</v>
      </c>
      <c r="J49" s="380">
        <v>3540.0</v>
      </c>
      <c r="K49" s="386" t="s">
        <v>3105</v>
      </c>
      <c r="L49" s="373">
        <v>3820.0</v>
      </c>
      <c r="M49" s="373">
        <v>3820.0</v>
      </c>
      <c r="N49" s="362">
        <f t="shared" si="5"/>
        <v>0.0790960452</v>
      </c>
      <c r="O49" s="157"/>
      <c r="P49" s="3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85"/>
      <c r="C50" s="378" t="s">
        <v>3131</v>
      </c>
      <c r="D50" s="378" t="s">
        <v>3132</v>
      </c>
      <c r="E50" s="167" t="s">
        <v>2846</v>
      </c>
      <c r="F50" s="379" t="s">
        <v>2920</v>
      </c>
      <c r="G50" s="379" t="s">
        <v>3074</v>
      </c>
      <c r="H50" s="169" t="s">
        <v>1001</v>
      </c>
      <c r="I50" s="380">
        <v>3650.0</v>
      </c>
      <c r="J50" s="380">
        <v>3650.0</v>
      </c>
      <c r="K50" s="386" t="s">
        <v>3105</v>
      </c>
      <c r="L50" s="373">
        <v>3940.0</v>
      </c>
      <c r="M50" s="373">
        <v>3940.0</v>
      </c>
      <c r="N50" s="362">
        <f t="shared" si="5"/>
        <v>0.07945205479</v>
      </c>
      <c r="O50" s="157"/>
      <c r="P50" s="3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75"/>
      <c r="C51" s="381"/>
      <c r="D51" s="381"/>
      <c r="E51" s="382"/>
      <c r="F51" s="383"/>
      <c r="G51" s="383"/>
      <c r="H51" s="384"/>
      <c r="I51" s="384"/>
      <c r="J51" s="384"/>
      <c r="K51" s="171"/>
      <c r="L51" s="171"/>
      <c r="M51" s="171"/>
      <c r="N51" s="188"/>
      <c r="O51" s="157"/>
      <c r="P51" s="3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387" t="s">
        <v>3136</v>
      </c>
      <c r="C52" s="167" t="s">
        <v>3138</v>
      </c>
      <c r="D52" s="167" t="s">
        <v>3139</v>
      </c>
      <c r="E52" s="167" t="s">
        <v>3140</v>
      </c>
      <c r="F52" s="26" t="s">
        <v>3141</v>
      </c>
      <c r="G52" s="359" t="s">
        <v>3142</v>
      </c>
      <c r="H52" s="370"/>
      <c r="I52" s="370">
        <v>7990.0</v>
      </c>
      <c r="J52" s="370">
        <v>7990.0</v>
      </c>
      <c r="K52" s="372">
        <v>0.0</v>
      </c>
      <c r="L52" s="373">
        <v>8630.0</v>
      </c>
      <c r="M52" s="373">
        <v>8630.0</v>
      </c>
      <c r="N52" s="362">
        <f t="shared" ref="N52:N56" si="6">IFERROR((L52-I52)/I52,"")</f>
        <v>0.08010012516</v>
      </c>
      <c r="O52" s="355"/>
      <c r="P52" s="3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84"/>
      <c r="C53" s="167" t="s">
        <v>3145</v>
      </c>
      <c r="D53" s="167" t="s">
        <v>3146</v>
      </c>
      <c r="E53" s="167" t="s">
        <v>3140</v>
      </c>
      <c r="F53" s="26" t="s">
        <v>3147</v>
      </c>
      <c r="G53" s="359" t="s">
        <v>3142</v>
      </c>
      <c r="H53" s="370"/>
      <c r="I53" s="370">
        <v>8990.0</v>
      </c>
      <c r="J53" s="370">
        <v>8990.0</v>
      </c>
      <c r="K53" s="370"/>
      <c r="L53" s="373">
        <v>9680.0</v>
      </c>
      <c r="M53" s="373">
        <v>9680.0</v>
      </c>
      <c r="N53" s="362">
        <f t="shared" si="6"/>
        <v>0.07675194661</v>
      </c>
      <c r="O53" s="355"/>
      <c r="P53" s="3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84"/>
      <c r="C54" s="357" t="s">
        <v>3150</v>
      </c>
      <c r="D54" s="357" t="s">
        <v>3151</v>
      </c>
      <c r="E54" s="167" t="s">
        <v>3140</v>
      </c>
      <c r="F54" s="26" t="s">
        <v>3152</v>
      </c>
      <c r="G54" s="359" t="s">
        <v>3142</v>
      </c>
      <c r="H54" s="370"/>
      <c r="I54" s="370">
        <v>9110.0</v>
      </c>
      <c r="J54" s="370">
        <v>9110.0</v>
      </c>
      <c r="K54" s="370"/>
      <c r="L54" s="373">
        <v>9840.0</v>
      </c>
      <c r="M54" s="373">
        <v>9840.0</v>
      </c>
      <c r="N54" s="362">
        <f t="shared" si="6"/>
        <v>0.08013172338</v>
      </c>
      <c r="O54" s="355"/>
      <c r="P54" s="3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84"/>
      <c r="C55" s="357" t="s">
        <v>3154</v>
      </c>
      <c r="D55" s="357" t="s">
        <v>3155</v>
      </c>
      <c r="E55" s="167" t="s">
        <v>3140</v>
      </c>
      <c r="F55" s="26" t="s">
        <v>3156</v>
      </c>
      <c r="G55" s="359" t="s">
        <v>2887</v>
      </c>
      <c r="H55" s="370"/>
      <c r="I55" s="370">
        <v>9930.0</v>
      </c>
      <c r="J55" s="370">
        <v>9930.0</v>
      </c>
      <c r="K55" s="370"/>
      <c r="L55" s="373">
        <v>10720.0</v>
      </c>
      <c r="M55" s="373">
        <v>10720.0</v>
      </c>
      <c r="N55" s="362">
        <f t="shared" si="6"/>
        <v>0.07955689829</v>
      </c>
      <c r="O55" s="355"/>
      <c r="P55" s="3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85"/>
      <c r="C56" s="357" t="s">
        <v>3158</v>
      </c>
      <c r="D56" s="357" t="s">
        <v>3159</v>
      </c>
      <c r="E56" s="167" t="s">
        <v>3140</v>
      </c>
      <c r="F56" s="26" t="s">
        <v>3160</v>
      </c>
      <c r="G56" s="359" t="s">
        <v>2887</v>
      </c>
      <c r="H56" s="370"/>
      <c r="I56" s="370">
        <v>10260.0</v>
      </c>
      <c r="J56" s="370">
        <v>10260.0</v>
      </c>
      <c r="K56" s="370"/>
      <c r="L56" s="373">
        <v>11080.0</v>
      </c>
      <c r="M56" s="373">
        <v>11080.0</v>
      </c>
      <c r="N56" s="362">
        <f t="shared" si="6"/>
        <v>0.07992202729</v>
      </c>
      <c r="O56" s="355"/>
      <c r="P56" s="3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363"/>
      <c r="C57" s="374"/>
      <c r="D57" s="374"/>
      <c r="E57" s="364"/>
      <c r="F57" s="260"/>
      <c r="G57" s="260"/>
      <c r="H57" s="388"/>
      <c r="I57" s="171"/>
      <c r="J57" s="171"/>
      <c r="K57" s="171"/>
      <c r="L57" s="171"/>
      <c r="M57" s="171"/>
      <c r="N57" s="188"/>
      <c r="O57" s="157"/>
      <c r="P57" s="3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390" t="s">
        <v>3162</v>
      </c>
      <c r="C58" s="357" t="s">
        <v>3163</v>
      </c>
      <c r="D58" s="357" t="s">
        <v>3164</v>
      </c>
      <c r="E58" s="167" t="s">
        <v>3140</v>
      </c>
      <c r="F58" s="359" t="s">
        <v>3141</v>
      </c>
      <c r="G58" s="359" t="s">
        <v>2865</v>
      </c>
      <c r="H58" s="370"/>
      <c r="I58" s="370">
        <v>6890.0</v>
      </c>
      <c r="J58" s="370">
        <v>6890.0</v>
      </c>
      <c r="K58" s="372">
        <v>0.05</v>
      </c>
      <c r="L58" s="373">
        <v>7440.0</v>
      </c>
      <c r="M58" s="373">
        <v>7440.0</v>
      </c>
      <c r="N58" s="362">
        <f t="shared" ref="N58:N62" si="7">IFERROR((L58-I58)/I58,"")</f>
        <v>0.07982583454</v>
      </c>
      <c r="O58" s="355"/>
      <c r="P58" s="3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84"/>
      <c r="C59" s="357" t="s">
        <v>3167</v>
      </c>
      <c r="D59" s="357" t="s">
        <v>3168</v>
      </c>
      <c r="E59" s="167" t="s">
        <v>3140</v>
      </c>
      <c r="F59" s="359" t="s">
        <v>3147</v>
      </c>
      <c r="G59" s="359" t="s">
        <v>2865</v>
      </c>
      <c r="H59" s="370"/>
      <c r="I59" s="370">
        <v>7070.0</v>
      </c>
      <c r="J59" s="370">
        <v>7070.0</v>
      </c>
      <c r="K59" s="370"/>
      <c r="L59" s="373">
        <v>7640.0</v>
      </c>
      <c r="M59" s="373">
        <v>7640.0</v>
      </c>
      <c r="N59" s="362">
        <f t="shared" si="7"/>
        <v>0.08062234795</v>
      </c>
      <c r="O59" s="355"/>
      <c r="P59" s="3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84"/>
      <c r="C60" s="357" t="s">
        <v>3170</v>
      </c>
      <c r="D60" s="357" t="s">
        <v>3171</v>
      </c>
      <c r="E60" s="167" t="s">
        <v>3140</v>
      </c>
      <c r="F60" s="359" t="s">
        <v>3152</v>
      </c>
      <c r="G60" s="26" t="s">
        <v>3172</v>
      </c>
      <c r="H60" s="370"/>
      <c r="I60" s="370">
        <v>7150.0</v>
      </c>
      <c r="J60" s="370">
        <v>7150.0</v>
      </c>
      <c r="K60" s="370"/>
      <c r="L60" s="373">
        <v>7720.0</v>
      </c>
      <c r="M60" s="373">
        <v>7720.0</v>
      </c>
      <c r="N60" s="362">
        <f t="shared" si="7"/>
        <v>0.07972027972</v>
      </c>
      <c r="O60" s="355"/>
      <c r="P60" s="3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84"/>
      <c r="C61" s="357" t="s">
        <v>3173</v>
      </c>
      <c r="D61" s="357" t="s">
        <v>3174</v>
      </c>
      <c r="E61" s="167" t="s">
        <v>3140</v>
      </c>
      <c r="F61" s="359" t="s">
        <v>3156</v>
      </c>
      <c r="G61" s="26" t="s">
        <v>3175</v>
      </c>
      <c r="H61" s="370"/>
      <c r="I61" s="370">
        <v>8730.0</v>
      </c>
      <c r="J61" s="370">
        <v>8730.0</v>
      </c>
      <c r="K61" s="370"/>
      <c r="L61" s="373">
        <v>9430.0</v>
      </c>
      <c r="M61" s="373">
        <v>9430.0</v>
      </c>
      <c r="N61" s="362">
        <f t="shared" si="7"/>
        <v>0.08018327606</v>
      </c>
      <c r="O61" s="355"/>
      <c r="P61" s="3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85"/>
      <c r="C62" s="357" t="s">
        <v>3176</v>
      </c>
      <c r="D62" s="357" t="s">
        <v>3177</v>
      </c>
      <c r="E62" s="167" t="s">
        <v>3140</v>
      </c>
      <c r="F62" s="359" t="s">
        <v>3160</v>
      </c>
      <c r="G62" s="359" t="s">
        <v>2887</v>
      </c>
      <c r="H62" s="370"/>
      <c r="I62" s="370">
        <v>8410.0</v>
      </c>
      <c r="J62" s="370">
        <v>8410.0</v>
      </c>
      <c r="K62" s="370"/>
      <c r="L62" s="373">
        <v>9080.0</v>
      </c>
      <c r="M62" s="373">
        <v>9080.0</v>
      </c>
      <c r="N62" s="362">
        <f t="shared" si="7"/>
        <v>0.07966706302</v>
      </c>
      <c r="O62" s="355"/>
      <c r="P62" s="3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4"/>
      <c r="C63" s="374"/>
      <c r="D63" s="374"/>
      <c r="E63" s="188"/>
      <c r="F63" s="273"/>
      <c r="G63" s="273"/>
      <c r="H63" s="171"/>
      <c r="I63" s="171"/>
      <c r="J63" s="171"/>
      <c r="K63" s="171"/>
      <c r="L63" s="171"/>
      <c r="M63" s="171"/>
      <c r="N63" s="391"/>
      <c r="O63" s="392"/>
      <c r="P63" s="3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393" t="s">
        <v>3179</v>
      </c>
      <c r="C64" s="357" t="s">
        <v>3180</v>
      </c>
      <c r="D64" s="357" t="s">
        <v>3181</v>
      </c>
      <c r="E64" s="358" t="s">
        <v>3182</v>
      </c>
      <c r="F64" s="359" t="s">
        <v>3141</v>
      </c>
      <c r="G64" s="359" t="s">
        <v>2865</v>
      </c>
      <c r="H64" s="370"/>
      <c r="I64" s="370">
        <v>10790.0</v>
      </c>
      <c r="J64" s="370">
        <v>10790.0</v>
      </c>
      <c r="K64" s="372">
        <v>0.05</v>
      </c>
      <c r="L64" s="373">
        <v>11650.0</v>
      </c>
      <c r="M64" s="373">
        <v>11650.0</v>
      </c>
      <c r="N64" s="362">
        <f t="shared" ref="N64:N68" si="8">IFERROR((L64-I64)/I64,"")</f>
        <v>0.0797034291</v>
      </c>
      <c r="O64" s="355"/>
      <c r="P64" s="3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84"/>
      <c r="C65" s="357" t="s">
        <v>3183</v>
      </c>
      <c r="D65" s="357" t="s">
        <v>3184</v>
      </c>
      <c r="E65" s="358" t="s">
        <v>3182</v>
      </c>
      <c r="F65" s="359" t="s">
        <v>3152</v>
      </c>
      <c r="G65" s="359" t="s">
        <v>3185</v>
      </c>
      <c r="H65" s="370"/>
      <c r="I65" s="370">
        <v>10690.0</v>
      </c>
      <c r="J65" s="370">
        <v>10690.0</v>
      </c>
      <c r="K65" s="370"/>
      <c r="L65" s="373">
        <v>11550.0</v>
      </c>
      <c r="M65" s="373">
        <v>11550.0</v>
      </c>
      <c r="N65" s="362">
        <f t="shared" si="8"/>
        <v>0.08044901777</v>
      </c>
      <c r="O65" s="355"/>
      <c r="P65" s="3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84"/>
      <c r="C66" s="357" t="s">
        <v>3186</v>
      </c>
      <c r="D66" s="357" t="s">
        <v>3187</v>
      </c>
      <c r="E66" s="358" t="s">
        <v>3182</v>
      </c>
      <c r="F66" s="359" t="s">
        <v>3188</v>
      </c>
      <c r="G66" s="359" t="s">
        <v>2887</v>
      </c>
      <c r="H66" s="370"/>
      <c r="I66" s="370">
        <v>13370.0</v>
      </c>
      <c r="J66" s="370">
        <v>13370.0</v>
      </c>
      <c r="K66" s="370"/>
      <c r="L66" s="373">
        <v>14440.0</v>
      </c>
      <c r="M66" s="373">
        <v>14440.0</v>
      </c>
      <c r="N66" s="362">
        <f t="shared" si="8"/>
        <v>0.08002991773</v>
      </c>
      <c r="O66" s="355"/>
      <c r="P66" s="3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84"/>
      <c r="C67" s="357" t="s">
        <v>3189</v>
      </c>
      <c r="D67" s="357" t="s">
        <v>3190</v>
      </c>
      <c r="E67" s="358" t="s">
        <v>3182</v>
      </c>
      <c r="F67" s="359" t="s">
        <v>3191</v>
      </c>
      <c r="G67" s="359" t="s">
        <v>3192</v>
      </c>
      <c r="H67" s="370"/>
      <c r="I67" s="370">
        <v>13640.0</v>
      </c>
      <c r="J67" s="370">
        <v>13640.0</v>
      </c>
      <c r="K67" s="370"/>
      <c r="L67" s="373">
        <v>14730.0</v>
      </c>
      <c r="M67" s="373">
        <v>14730.0</v>
      </c>
      <c r="N67" s="362">
        <f t="shared" si="8"/>
        <v>0.07991202346</v>
      </c>
      <c r="O67" s="355"/>
      <c r="P67" s="3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85"/>
      <c r="C68" s="357" t="s">
        <v>3193</v>
      </c>
      <c r="D68" s="357" t="s">
        <v>3194</v>
      </c>
      <c r="E68" s="358" t="s">
        <v>3182</v>
      </c>
      <c r="F68" s="359" t="s">
        <v>3195</v>
      </c>
      <c r="G68" s="359" t="s">
        <v>3196</v>
      </c>
      <c r="H68" s="370"/>
      <c r="I68" s="370">
        <v>13840.0</v>
      </c>
      <c r="J68" s="370">
        <v>13840.0</v>
      </c>
      <c r="K68" s="370"/>
      <c r="L68" s="373">
        <v>14950.0</v>
      </c>
      <c r="M68" s="373">
        <v>14950.0</v>
      </c>
      <c r="N68" s="362">
        <f t="shared" si="8"/>
        <v>0.08020231214</v>
      </c>
      <c r="O68" s="355"/>
      <c r="P68" s="3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4"/>
      <c r="C69" s="374"/>
      <c r="D69" s="374"/>
      <c r="E69" s="188"/>
      <c r="F69" s="273"/>
      <c r="G69" s="273"/>
      <c r="H69" s="171"/>
      <c r="I69" s="171"/>
      <c r="J69" s="171"/>
      <c r="K69" s="171"/>
      <c r="L69" s="171"/>
      <c r="M69" s="171"/>
      <c r="N69" s="395"/>
      <c r="O69" s="392"/>
      <c r="P69" s="3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393" t="s">
        <v>3198</v>
      </c>
      <c r="C70" s="357" t="s">
        <v>3199</v>
      </c>
      <c r="D70" s="357" t="s">
        <v>3200</v>
      </c>
      <c r="E70" s="358" t="s">
        <v>3182</v>
      </c>
      <c r="F70" s="359" t="s">
        <v>3141</v>
      </c>
      <c r="G70" s="359" t="s">
        <v>2865</v>
      </c>
      <c r="H70" s="370"/>
      <c r="I70" s="370">
        <v>9190.0</v>
      </c>
      <c r="J70" s="370">
        <v>9190.0</v>
      </c>
      <c r="K70" s="372">
        <v>0.05</v>
      </c>
      <c r="L70" s="373">
        <v>9930.0</v>
      </c>
      <c r="M70" s="373">
        <v>9930.0</v>
      </c>
      <c r="N70" s="362">
        <f t="shared" ref="N70:N74" si="9">IFERROR((L70-I70)/I70,"")</f>
        <v>0.08052230686</v>
      </c>
      <c r="O70" s="355"/>
      <c r="P70" s="3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84"/>
      <c r="C71" s="357" t="s">
        <v>3201</v>
      </c>
      <c r="D71" s="357" t="s">
        <v>3202</v>
      </c>
      <c r="E71" s="358" t="s">
        <v>3182</v>
      </c>
      <c r="F71" s="359" t="s">
        <v>3152</v>
      </c>
      <c r="G71" s="359" t="s">
        <v>3185</v>
      </c>
      <c r="H71" s="370"/>
      <c r="I71" s="370">
        <v>8640.0</v>
      </c>
      <c r="J71" s="370">
        <v>8640.0</v>
      </c>
      <c r="K71" s="370"/>
      <c r="L71" s="373">
        <v>9330.0</v>
      </c>
      <c r="M71" s="373">
        <v>9330.0</v>
      </c>
      <c r="N71" s="362">
        <f t="shared" si="9"/>
        <v>0.07986111111</v>
      </c>
      <c r="O71" s="355"/>
      <c r="P71" s="3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84"/>
      <c r="C72" s="357" t="s">
        <v>3203</v>
      </c>
      <c r="D72" s="357" t="s">
        <v>3204</v>
      </c>
      <c r="E72" s="358" t="s">
        <v>3182</v>
      </c>
      <c r="F72" s="359" t="s">
        <v>3188</v>
      </c>
      <c r="G72" s="359" t="s">
        <v>2887</v>
      </c>
      <c r="H72" s="370"/>
      <c r="I72" s="370">
        <v>10280.0</v>
      </c>
      <c r="J72" s="370">
        <v>10280.0</v>
      </c>
      <c r="K72" s="370"/>
      <c r="L72" s="373">
        <v>10960.0</v>
      </c>
      <c r="M72" s="373">
        <v>10960.0</v>
      </c>
      <c r="N72" s="362">
        <f t="shared" si="9"/>
        <v>0.06614785992</v>
      </c>
      <c r="O72" s="355"/>
      <c r="P72" s="3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84"/>
      <c r="C73" s="357" t="s">
        <v>3208</v>
      </c>
      <c r="D73" s="357" t="s">
        <v>3209</v>
      </c>
      <c r="E73" s="358" t="s">
        <v>3182</v>
      </c>
      <c r="F73" s="359" t="s">
        <v>3191</v>
      </c>
      <c r="G73" s="359" t="s">
        <v>3192</v>
      </c>
      <c r="H73" s="370"/>
      <c r="I73" s="370">
        <v>10990.0</v>
      </c>
      <c r="J73" s="370">
        <v>10990.0</v>
      </c>
      <c r="K73" s="370"/>
      <c r="L73" s="373">
        <v>11870.0</v>
      </c>
      <c r="M73" s="373">
        <v>11870.0</v>
      </c>
      <c r="N73" s="362">
        <f t="shared" si="9"/>
        <v>0.08007279345</v>
      </c>
      <c r="O73" s="355"/>
      <c r="P73" s="3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85"/>
      <c r="C74" s="357" t="s">
        <v>3215</v>
      </c>
      <c r="D74" s="357" t="s">
        <v>3216</v>
      </c>
      <c r="E74" s="358" t="s">
        <v>3182</v>
      </c>
      <c r="F74" s="359" t="s">
        <v>3195</v>
      </c>
      <c r="G74" s="359" t="s">
        <v>3218</v>
      </c>
      <c r="H74" s="370"/>
      <c r="I74" s="370">
        <v>11310.0</v>
      </c>
      <c r="J74" s="370">
        <v>11310.0</v>
      </c>
      <c r="K74" s="370"/>
      <c r="L74" s="373">
        <v>12220.0</v>
      </c>
      <c r="M74" s="373">
        <v>12220.0</v>
      </c>
      <c r="N74" s="362">
        <f t="shared" si="9"/>
        <v>0.08045977011</v>
      </c>
      <c r="O74" s="355"/>
      <c r="P74" s="3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4"/>
      <c r="C75" s="374"/>
      <c r="D75" s="374"/>
      <c r="E75" s="188"/>
      <c r="F75" s="273"/>
      <c r="G75" s="273"/>
      <c r="H75" s="171"/>
      <c r="I75" s="171"/>
      <c r="J75" s="171"/>
      <c r="K75" s="171"/>
      <c r="L75" s="171"/>
      <c r="M75" s="171"/>
      <c r="N75" s="395"/>
      <c r="O75" s="392"/>
      <c r="P75" s="3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397" t="s">
        <v>3228</v>
      </c>
      <c r="C76" s="357" t="s">
        <v>3232</v>
      </c>
      <c r="D76" s="357" t="s">
        <v>3233</v>
      </c>
      <c r="E76" s="358" t="s">
        <v>3182</v>
      </c>
      <c r="F76" s="359" t="s">
        <v>3152</v>
      </c>
      <c r="G76" s="359" t="s">
        <v>3185</v>
      </c>
      <c r="H76" s="370"/>
      <c r="I76" s="370">
        <v>7380.0</v>
      </c>
      <c r="J76" s="370">
        <v>7380.0</v>
      </c>
      <c r="K76" s="372">
        <v>0.06</v>
      </c>
      <c r="L76" s="373">
        <v>7970.0</v>
      </c>
      <c r="M76" s="373">
        <v>7970.0</v>
      </c>
      <c r="N76" s="362">
        <f t="shared" ref="N76:N78" si="10">IFERROR((L76-I76)/I76,"")</f>
        <v>0.07994579946</v>
      </c>
      <c r="O76" s="355"/>
      <c r="P76" s="3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84"/>
      <c r="C77" s="357" t="s">
        <v>3238</v>
      </c>
      <c r="D77" s="357" t="s">
        <v>3239</v>
      </c>
      <c r="E77" s="358" t="s">
        <v>3182</v>
      </c>
      <c r="F77" s="359" t="s">
        <v>3160</v>
      </c>
      <c r="G77" s="359" t="s">
        <v>2887</v>
      </c>
      <c r="H77" s="370"/>
      <c r="I77" s="370">
        <v>8820.0</v>
      </c>
      <c r="J77" s="370">
        <v>8820.0</v>
      </c>
      <c r="K77" s="370"/>
      <c r="L77" s="373">
        <v>9530.0</v>
      </c>
      <c r="M77" s="373">
        <v>9530.0</v>
      </c>
      <c r="N77" s="362">
        <f t="shared" si="10"/>
        <v>0.08049886621</v>
      </c>
      <c r="O77" s="355"/>
      <c r="P77" s="3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85"/>
      <c r="C78" s="357" t="s">
        <v>3245</v>
      </c>
      <c r="D78" s="357" t="s">
        <v>3246</v>
      </c>
      <c r="E78" s="358" t="s">
        <v>3182</v>
      </c>
      <c r="F78" s="359" t="s">
        <v>3191</v>
      </c>
      <c r="G78" s="359" t="s">
        <v>3192</v>
      </c>
      <c r="H78" s="370"/>
      <c r="I78" s="370">
        <v>9160.0</v>
      </c>
      <c r="J78" s="370">
        <v>9160.0</v>
      </c>
      <c r="K78" s="370"/>
      <c r="L78" s="373">
        <v>9890.0</v>
      </c>
      <c r="M78" s="373">
        <v>9890.0</v>
      </c>
      <c r="N78" s="362">
        <f t="shared" si="10"/>
        <v>0.07969432314</v>
      </c>
      <c r="O78" s="355"/>
      <c r="P78" s="3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4"/>
      <c r="C79" s="374"/>
      <c r="D79" s="374"/>
      <c r="E79" s="188"/>
      <c r="F79" s="273"/>
      <c r="G79" s="273"/>
      <c r="H79" s="171"/>
      <c r="I79" s="171"/>
      <c r="J79" s="171"/>
      <c r="K79" s="171"/>
      <c r="L79" s="171"/>
      <c r="M79" s="171"/>
      <c r="N79" s="171"/>
      <c r="O79" s="265"/>
      <c r="P79" s="3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397" t="s">
        <v>3255</v>
      </c>
      <c r="C80" s="357" t="s">
        <v>3258</v>
      </c>
      <c r="D80" s="357" t="s">
        <v>3259</v>
      </c>
      <c r="E80" s="358" t="s">
        <v>3182</v>
      </c>
      <c r="F80" s="359" t="s">
        <v>3152</v>
      </c>
      <c r="G80" s="359" t="s">
        <v>3185</v>
      </c>
      <c r="H80" s="169" t="s">
        <v>1001</v>
      </c>
      <c r="I80" s="370">
        <v>7370.0</v>
      </c>
      <c r="J80" s="370">
        <v>7370.0</v>
      </c>
      <c r="K80" s="398"/>
      <c r="L80" s="373">
        <v>7960.0</v>
      </c>
      <c r="M80" s="373">
        <v>7960.0</v>
      </c>
      <c r="N80" s="362">
        <f t="shared" ref="N80:N82" si="11">IFERROR((L80-I80)/I80,"")</f>
        <v>0.08005427408</v>
      </c>
      <c r="O80" s="265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84"/>
      <c r="C81" s="357" t="s">
        <v>3269</v>
      </c>
      <c r="D81" s="357" t="s">
        <v>3271</v>
      </c>
      <c r="E81" s="358" t="s">
        <v>3182</v>
      </c>
      <c r="F81" s="359" t="s">
        <v>3160</v>
      </c>
      <c r="G81" s="359" t="s">
        <v>2887</v>
      </c>
      <c r="H81" s="169" t="s">
        <v>1001</v>
      </c>
      <c r="I81" s="370">
        <v>8820.0</v>
      </c>
      <c r="J81" s="370">
        <v>8820.0</v>
      </c>
      <c r="K81" s="398"/>
      <c r="L81" s="373">
        <v>9530.0</v>
      </c>
      <c r="M81" s="373">
        <v>9530.0</v>
      </c>
      <c r="N81" s="362">
        <f t="shared" si="11"/>
        <v>0.08049886621</v>
      </c>
      <c r="O81" s="265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85"/>
      <c r="C82" s="357" t="s">
        <v>3273</v>
      </c>
      <c r="D82" s="357" t="s">
        <v>3274</v>
      </c>
      <c r="E82" s="358" t="s">
        <v>3182</v>
      </c>
      <c r="F82" s="359" t="s">
        <v>3191</v>
      </c>
      <c r="G82" s="359" t="s">
        <v>3192</v>
      </c>
      <c r="H82" s="169" t="s">
        <v>1001</v>
      </c>
      <c r="I82" s="370">
        <v>8850.0</v>
      </c>
      <c r="J82" s="370">
        <v>8850.0</v>
      </c>
      <c r="K82" s="398"/>
      <c r="L82" s="373">
        <v>9560.0</v>
      </c>
      <c r="M82" s="373">
        <v>9560.0</v>
      </c>
      <c r="N82" s="362">
        <f t="shared" si="11"/>
        <v>0.0802259887</v>
      </c>
      <c r="O82" s="265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4"/>
      <c r="C83" s="374"/>
      <c r="D83" s="374"/>
      <c r="E83" s="188"/>
      <c r="F83" s="273"/>
      <c r="G83" s="273"/>
      <c r="H83" s="171"/>
      <c r="I83" s="171"/>
      <c r="J83" s="171"/>
      <c r="K83" s="171"/>
      <c r="L83" s="171"/>
      <c r="M83" s="171"/>
      <c r="N83" s="171"/>
      <c r="O83" s="265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399" t="s">
        <v>3275</v>
      </c>
      <c r="C84" s="357" t="s">
        <v>593</v>
      </c>
      <c r="D84" s="357"/>
      <c r="E84" s="358" t="s">
        <v>3276</v>
      </c>
      <c r="F84" s="359" t="s">
        <v>3277</v>
      </c>
      <c r="G84" s="361"/>
      <c r="H84" s="370">
        <v>6140.0</v>
      </c>
      <c r="I84" s="398"/>
      <c r="J84" s="398"/>
      <c r="K84" s="370">
        <v>6390.0</v>
      </c>
      <c r="L84" s="373"/>
      <c r="M84" s="370"/>
      <c r="N84" s="362">
        <f t="shared" ref="N84:N90" si="12">IFERROR((K84-H84)/H84,"")</f>
        <v>0.04071661238</v>
      </c>
      <c r="O84" s="355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84"/>
      <c r="C85" s="357" t="s">
        <v>595</v>
      </c>
      <c r="D85" s="357"/>
      <c r="E85" s="358" t="s">
        <v>3276</v>
      </c>
      <c r="F85" s="359" t="s">
        <v>3278</v>
      </c>
      <c r="G85" s="361"/>
      <c r="H85" s="370">
        <v>7170.0</v>
      </c>
      <c r="I85" s="398"/>
      <c r="J85" s="398"/>
      <c r="K85" s="370">
        <v>7460.0</v>
      </c>
      <c r="L85" s="373"/>
      <c r="M85" s="370"/>
      <c r="N85" s="362">
        <f t="shared" si="12"/>
        <v>0.04044630404</v>
      </c>
      <c r="O85" s="400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84"/>
      <c r="C86" s="357" t="s">
        <v>598</v>
      </c>
      <c r="D86" s="357"/>
      <c r="E86" s="358" t="s">
        <v>3276</v>
      </c>
      <c r="F86" s="359" t="s">
        <v>3280</v>
      </c>
      <c r="G86" s="361"/>
      <c r="H86" s="370">
        <v>8120.0</v>
      </c>
      <c r="I86" s="398"/>
      <c r="J86" s="398"/>
      <c r="K86" s="370">
        <v>8450.0</v>
      </c>
      <c r="L86" s="373"/>
      <c r="M86" s="370"/>
      <c r="N86" s="362">
        <f t="shared" si="12"/>
        <v>0.04064039409</v>
      </c>
      <c r="O86" s="400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84"/>
      <c r="C87" s="357" t="s">
        <v>602</v>
      </c>
      <c r="D87" s="357"/>
      <c r="E87" s="358" t="s">
        <v>3276</v>
      </c>
      <c r="F87" s="359" t="s">
        <v>3281</v>
      </c>
      <c r="G87" s="361"/>
      <c r="H87" s="370">
        <v>7510.0</v>
      </c>
      <c r="I87" s="398"/>
      <c r="J87" s="398"/>
      <c r="K87" s="370">
        <v>7810.0</v>
      </c>
      <c r="L87" s="373"/>
      <c r="M87" s="370"/>
      <c r="N87" s="362">
        <f t="shared" si="12"/>
        <v>0.03994673768</v>
      </c>
      <c r="O87" s="400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84"/>
      <c r="C88" s="357" t="s">
        <v>604</v>
      </c>
      <c r="D88" s="357"/>
      <c r="E88" s="358" t="s">
        <v>3276</v>
      </c>
      <c r="F88" s="359" t="s">
        <v>3282</v>
      </c>
      <c r="G88" s="361"/>
      <c r="H88" s="370">
        <v>8120.0</v>
      </c>
      <c r="I88" s="398"/>
      <c r="J88" s="398"/>
      <c r="K88" s="370">
        <v>8450.0</v>
      </c>
      <c r="L88" s="373"/>
      <c r="M88" s="370"/>
      <c r="N88" s="362">
        <f t="shared" si="12"/>
        <v>0.04064039409</v>
      </c>
      <c r="O88" s="400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84"/>
      <c r="C89" s="357" t="s">
        <v>606</v>
      </c>
      <c r="D89" s="357"/>
      <c r="E89" s="358" t="s">
        <v>3276</v>
      </c>
      <c r="F89" s="359" t="s">
        <v>3283</v>
      </c>
      <c r="G89" s="361"/>
      <c r="H89" s="370">
        <v>8950.0</v>
      </c>
      <c r="I89" s="398"/>
      <c r="J89" s="398"/>
      <c r="K89" s="370">
        <v>9310.0</v>
      </c>
      <c r="L89" s="373"/>
      <c r="M89" s="370"/>
      <c r="N89" s="362">
        <f t="shared" si="12"/>
        <v>0.04022346369</v>
      </c>
      <c r="O89" s="400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85"/>
      <c r="C90" s="357" t="s">
        <v>608</v>
      </c>
      <c r="D90" s="357"/>
      <c r="E90" s="358" t="s">
        <v>3276</v>
      </c>
      <c r="F90" s="359" t="s">
        <v>3284</v>
      </c>
      <c r="G90" s="361"/>
      <c r="H90" s="370">
        <v>10140.0</v>
      </c>
      <c r="I90" s="398"/>
      <c r="J90" s="398"/>
      <c r="K90" s="370">
        <v>10550.0</v>
      </c>
      <c r="L90" s="373"/>
      <c r="M90" s="370"/>
      <c r="N90" s="362">
        <f t="shared" si="12"/>
        <v>0.04043392505</v>
      </c>
      <c r="O90" s="400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4"/>
      <c r="C91" s="374"/>
      <c r="D91" s="374"/>
      <c r="E91" s="188"/>
      <c r="F91" s="273"/>
      <c r="G91" s="273"/>
      <c r="H91" s="171"/>
      <c r="I91" s="171"/>
      <c r="J91" s="171"/>
      <c r="K91" s="171"/>
      <c r="L91" s="273"/>
      <c r="M91" s="171"/>
      <c r="N91" s="395"/>
      <c r="O91" s="265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399" t="s">
        <v>3286</v>
      </c>
      <c r="C92" s="357" t="s">
        <v>610</v>
      </c>
      <c r="D92" s="357"/>
      <c r="E92" s="358" t="s">
        <v>3276</v>
      </c>
      <c r="F92" s="359" t="s">
        <v>3277</v>
      </c>
      <c r="G92" s="361"/>
      <c r="H92" s="370">
        <v>5090.0</v>
      </c>
      <c r="I92" s="398"/>
      <c r="J92" s="398"/>
      <c r="K92" s="370">
        <v>5290.0</v>
      </c>
      <c r="L92" s="373"/>
      <c r="M92" s="370"/>
      <c r="N92" s="362">
        <f t="shared" ref="N92:N98" si="13">IFERROR((K92-H92)/H92,"")</f>
        <v>0.03929273084</v>
      </c>
      <c r="O92" s="355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84"/>
      <c r="C93" s="357" t="s">
        <v>612</v>
      </c>
      <c r="D93" s="357"/>
      <c r="E93" s="358" t="s">
        <v>3276</v>
      </c>
      <c r="F93" s="359" t="s">
        <v>3278</v>
      </c>
      <c r="G93" s="361"/>
      <c r="H93" s="370">
        <v>6070.0</v>
      </c>
      <c r="I93" s="398"/>
      <c r="J93" s="398"/>
      <c r="K93" s="370">
        <v>6310.0</v>
      </c>
      <c r="L93" s="373"/>
      <c r="M93" s="370"/>
      <c r="N93" s="362">
        <f t="shared" si="13"/>
        <v>0.03953871499</v>
      </c>
      <c r="O93" s="355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84"/>
      <c r="C94" s="357" t="s">
        <v>614</v>
      </c>
      <c r="D94" s="357"/>
      <c r="E94" s="358" t="s">
        <v>3276</v>
      </c>
      <c r="F94" s="359" t="s">
        <v>3280</v>
      </c>
      <c r="G94" s="361"/>
      <c r="H94" s="370">
        <v>7150.0</v>
      </c>
      <c r="I94" s="398"/>
      <c r="J94" s="398"/>
      <c r="K94" s="370">
        <v>7440.0</v>
      </c>
      <c r="L94" s="373"/>
      <c r="M94" s="370"/>
      <c r="N94" s="362">
        <f t="shared" si="13"/>
        <v>0.04055944056</v>
      </c>
      <c r="O94" s="400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84"/>
      <c r="C95" s="357" t="s">
        <v>618</v>
      </c>
      <c r="D95" s="357"/>
      <c r="E95" s="358" t="s">
        <v>3276</v>
      </c>
      <c r="F95" s="359" t="s">
        <v>3281</v>
      </c>
      <c r="G95" s="361"/>
      <c r="H95" s="370">
        <v>6120.0</v>
      </c>
      <c r="I95" s="398"/>
      <c r="J95" s="398"/>
      <c r="K95" s="370">
        <v>6370.0</v>
      </c>
      <c r="L95" s="373"/>
      <c r="M95" s="370"/>
      <c r="N95" s="362">
        <f t="shared" si="13"/>
        <v>0.0408496732</v>
      </c>
      <c r="O95" s="400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84"/>
      <c r="C96" s="357" t="s">
        <v>621</v>
      </c>
      <c r="D96" s="357"/>
      <c r="E96" s="358" t="s">
        <v>3276</v>
      </c>
      <c r="F96" s="359" t="s">
        <v>3282</v>
      </c>
      <c r="G96" s="361"/>
      <c r="H96" s="370">
        <v>7580.0</v>
      </c>
      <c r="I96" s="398"/>
      <c r="J96" s="398"/>
      <c r="K96" s="370">
        <v>7890.0</v>
      </c>
      <c r="L96" s="373"/>
      <c r="M96" s="370"/>
      <c r="N96" s="362">
        <f t="shared" si="13"/>
        <v>0.04089709763</v>
      </c>
      <c r="O96" s="400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84"/>
      <c r="C97" s="357" t="s">
        <v>623</v>
      </c>
      <c r="D97" s="357"/>
      <c r="E97" s="358" t="s">
        <v>3276</v>
      </c>
      <c r="F97" s="359" t="s">
        <v>3283</v>
      </c>
      <c r="G97" s="361"/>
      <c r="H97" s="370">
        <v>8090.0</v>
      </c>
      <c r="I97" s="398"/>
      <c r="J97" s="398"/>
      <c r="K97" s="370">
        <v>8410.0</v>
      </c>
      <c r="L97" s="373"/>
      <c r="M97" s="370"/>
      <c r="N97" s="362">
        <f t="shared" si="13"/>
        <v>0.03955500618</v>
      </c>
      <c r="O97" s="400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85"/>
      <c r="C98" s="357" t="s">
        <v>625</v>
      </c>
      <c r="D98" s="357"/>
      <c r="E98" s="358" t="s">
        <v>3276</v>
      </c>
      <c r="F98" s="359" t="s">
        <v>3284</v>
      </c>
      <c r="G98" s="361"/>
      <c r="H98" s="370">
        <v>8990.0</v>
      </c>
      <c r="I98" s="398"/>
      <c r="J98" s="398"/>
      <c r="K98" s="370">
        <v>9350.0</v>
      </c>
      <c r="L98" s="373"/>
      <c r="M98" s="370"/>
      <c r="N98" s="362">
        <f t="shared" si="13"/>
        <v>0.04004449388</v>
      </c>
      <c r="O98" s="400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4"/>
      <c r="C99" s="374"/>
      <c r="D99" s="374"/>
      <c r="E99" s="188"/>
      <c r="F99" s="273"/>
      <c r="G99" s="273"/>
      <c r="H99" s="171"/>
      <c r="I99" s="171"/>
      <c r="J99" s="171"/>
      <c r="K99" s="171"/>
      <c r="L99" s="273"/>
      <c r="M99" s="171"/>
      <c r="N99" s="395"/>
      <c r="O99" s="392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401" t="s">
        <v>3287</v>
      </c>
      <c r="C100" s="357" t="s">
        <v>3288</v>
      </c>
      <c r="D100" s="357"/>
      <c r="E100" s="358" t="s">
        <v>3289</v>
      </c>
      <c r="F100" s="359" t="s">
        <v>3290</v>
      </c>
      <c r="G100" s="359" t="s">
        <v>3291</v>
      </c>
      <c r="H100" s="170">
        <v>5290.0</v>
      </c>
      <c r="I100" s="398"/>
      <c r="J100" s="398"/>
      <c r="K100" s="170">
        <v>5710.0</v>
      </c>
      <c r="L100" s="373"/>
      <c r="M100" s="373"/>
      <c r="N100" s="362">
        <f t="shared" ref="N100:N102" si="14">IFERROR((K100-H100)/H100,"")</f>
        <v>0.07939508507</v>
      </c>
      <c r="O100" s="355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84"/>
      <c r="C101" s="357" t="s">
        <v>3292</v>
      </c>
      <c r="D101" s="357"/>
      <c r="E101" s="358" t="s">
        <v>3289</v>
      </c>
      <c r="F101" s="359" t="s">
        <v>3293</v>
      </c>
      <c r="G101" s="359" t="s">
        <v>3294</v>
      </c>
      <c r="H101" s="170">
        <v>5440.0</v>
      </c>
      <c r="I101" s="398"/>
      <c r="J101" s="398"/>
      <c r="K101" s="170">
        <v>5880.0</v>
      </c>
      <c r="L101" s="373"/>
      <c r="M101" s="370"/>
      <c r="N101" s="362">
        <f t="shared" si="14"/>
        <v>0.08088235294</v>
      </c>
      <c r="O101" s="355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85"/>
      <c r="C102" s="357" t="s">
        <v>3295</v>
      </c>
      <c r="D102" s="357"/>
      <c r="E102" s="358" t="s">
        <v>3289</v>
      </c>
      <c r="F102" s="359" t="s">
        <v>2902</v>
      </c>
      <c r="G102" s="359" t="s">
        <v>3296</v>
      </c>
      <c r="H102" s="170">
        <v>6169.7</v>
      </c>
      <c r="I102" s="398"/>
      <c r="J102" s="398"/>
      <c r="K102" s="170">
        <v>6660.0</v>
      </c>
      <c r="L102" s="373"/>
      <c r="M102" s="370"/>
      <c r="N102" s="362">
        <f t="shared" si="14"/>
        <v>0.07946901794</v>
      </c>
      <c r="O102" s="355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4"/>
      <c r="C103" s="374"/>
      <c r="D103" s="374"/>
      <c r="E103" s="188"/>
      <c r="F103" s="273"/>
      <c r="G103" s="273"/>
      <c r="H103" s="275"/>
      <c r="I103" s="171"/>
      <c r="J103" s="171"/>
      <c r="K103" s="171"/>
      <c r="L103" s="273"/>
      <c r="M103" s="171"/>
      <c r="N103" s="395"/>
      <c r="O103" s="392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401" t="s">
        <v>3297</v>
      </c>
      <c r="C104" s="357" t="s">
        <v>3298</v>
      </c>
      <c r="D104" s="357"/>
      <c r="E104" s="358" t="s">
        <v>3289</v>
      </c>
      <c r="F104" s="359" t="s">
        <v>3290</v>
      </c>
      <c r="G104" s="359" t="s">
        <v>3291</v>
      </c>
      <c r="H104" s="170">
        <v>6169.7</v>
      </c>
      <c r="I104" s="398"/>
      <c r="J104" s="398"/>
      <c r="K104" s="170">
        <v>6660.0</v>
      </c>
      <c r="L104" s="373"/>
      <c r="M104" s="370"/>
      <c r="N104" s="362">
        <f t="shared" ref="N104:N106" si="15">IFERROR((K104-H104)/H104,"")</f>
        <v>0.07946901794</v>
      </c>
      <c r="O104" s="355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84"/>
      <c r="C105" s="357" t="s">
        <v>3299</v>
      </c>
      <c r="D105" s="357"/>
      <c r="E105" s="358" t="s">
        <v>3289</v>
      </c>
      <c r="F105" s="359" t="s">
        <v>3293</v>
      </c>
      <c r="G105" s="359" t="s">
        <v>3294</v>
      </c>
      <c r="H105" s="170">
        <v>6430.0</v>
      </c>
      <c r="I105" s="398"/>
      <c r="J105" s="398"/>
      <c r="K105" s="170">
        <v>6940.0</v>
      </c>
      <c r="L105" s="373"/>
      <c r="M105" s="370"/>
      <c r="N105" s="362">
        <f t="shared" si="15"/>
        <v>0.07931570762</v>
      </c>
      <c r="O105" s="355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85"/>
      <c r="C106" s="357" t="s">
        <v>3300</v>
      </c>
      <c r="D106" s="357"/>
      <c r="E106" s="358" t="s">
        <v>3289</v>
      </c>
      <c r="F106" s="359" t="s">
        <v>2902</v>
      </c>
      <c r="G106" s="359" t="s">
        <v>3296</v>
      </c>
      <c r="H106" s="170">
        <v>7350.0</v>
      </c>
      <c r="I106" s="398"/>
      <c r="J106" s="398"/>
      <c r="K106" s="170">
        <v>7940.0</v>
      </c>
      <c r="L106" s="373"/>
      <c r="M106" s="370"/>
      <c r="N106" s="362">
        <f t="shared" si="15"/>
        <v>0.08027210884</v>
      </c>
      <c r="O106" s="355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4"/>
      <c r="C107" s="374"/>
      <c r="D107" s="374"/>
      <c r="E107" s="188"/>
      <c r="F107" s="273"/>
      <c r="G107" s="273"/>
      <c r="H107" s="275"/>
      <c r="I107" s="171"/>
      <c r="J107" s="171"/>
      <c r="K107" s="171"/>
      <c r="L107" s="273"/>
      <c r="M107" s="171"/>
      <c r="N107" s="395"/>
      <c r="O107" s="392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402" t="s">
        <v>3275</v>
      </c>
      <c r="C108" s="357" t="s">
        <v>3301</v>
      </c>
      <c r="D108" s="357"/>
      <c r="E108" s="358" t="s">
        <v>3302</v>
      </c>
      <c r="F108" s="26" t="s">
        <v>3303</v>
      </c>
      <c r="G108" s="359" t="s">
        <v>3291</v>
      </c>
      <c r="H108" s="170">
        <v>10030.0</v>
      </c>
      <c r="I108" s="398"/>
      <c r="J108" s="398"/>
      <c r="K108" s="170">
        <v>10830.0</v>
      </c>
      <c r="L108" s="373"/>
      <c r="M108" s="370"/>
      <c r="N108" s="362">
        <f>IFERROR((K108-H108)/H108,"")</f>
        <v>0.07976071785</v>
      </c>
      <c r="O108" s="355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4"/>
      <c r="C109" s="374"/>
      <c r="D109" s="374"/>
      <c r="E109" s="188"/>
      <c r="F109" s="273"/>
      <c r="G109" s="273"/>
      <c r="H109" s="275"/>
      <c r="I109" s="171"/>
      <c r="J109" s="171"/>
      <c r="K109" s="171"/>
      <c r="L109" s="273"/>
      <c r="M109" s="171"/>
      <c r="N109" s="395"/>
      <c r="O109" s="392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402" t="s">
        <v>3309</v>
      </c>
      <c r="C110" s="357" t="s">
        <v>3310</v>
      </c>
      <c r="D110" s="357"/>
      <c r="E110" s="358" t="s">
        <v>3302</v>
      </c>
      <c r="F110" s="359" t="s">
        <v>3303</v>
      </c>
      <c r="G110" s="359" t="s">
        <v>3291</v>
      </c>
      <c r="H110" s="170">
        <v>10960.0</v>
      </c>
      <c r="I110" s="398"/>
      <c r="J110" s="398"/>
      <c r="K110" s="170">
        <v>11840.0</v>
      </c>
      <c r="L110" s="373"/>
      <c r="M110" s="370"/>
      <c r="N110" s="362">
        <f>IFERROR((K110-H110)/H110,"")</f>
        <v>0.0802919708</v>
      </c>
      <c r="O110" s="355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4"/>
      <c r="C111" s="374"/>
      <c r="D111" s="374"/>
      <c r="E111" s="188"/>
      <c r="F111" s="273"/>
      <c r="G111" s="273"/>
      <c r="H111" s="275"/>
      <c r="I111" s="171"/>
      <c r="J111" s="171"/>
      <c r="K111" s="171"/>
      <c r="L111" s="273"/>
      <c r="M111" s="171"/>
      <c r="N111" s="395"/>
      <c r="O111" s="392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401" t="s">
        <v>3275</v>
      </c>
      <c r="C112" s="357" t="s">
        <v>3311</v>
      </c>
      <c r="D112" s="357"/>
      <c r="E112" s="358" t="s">
        <v>3312</v>
      </c>
      <c r="F112" s="359" t="s">
        <v>3303</v>
      </c>
      <c r="G112" s="359" t="s">
        <v>3313</v>
      </c>
      <c r="H112" s="170">
        <v>11270.0</v>
      </c>
      <c r="I112" s="398"/>
      <c r="J112" s="398"/>
      <c r="K112" s="170">
        <v>12170.0</v>
      </c>
      <c r="L112" s="373"/>
      <c r="M112" s="370"/>
      <c r="N112" s="362">
        <f t="shared" ref="N112:N113" si="16">IFERROR((K112-H112)/H112,"")</f>
        <v>0.07985803017</v>
      </c>
      <c r="O112" s="355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85"/>
      <c r="C113" s="357" t="s">
        <v>3314</v>
      </c>
      <c r="D113" s="357"/>
      <c r="E113" s="358" t="s">
        <v>3312</v>
      </c>
      <c r="F113" s="359" t="s">
        <v>3315</v>
      </c>
      <c r="G113" s="359" t="s">
        <v>3316</v>
      </c>
      <c r="H113" s="170">
        <v>13350.0</v>
      </c>
      <c r="I113" s="398"/>
      <c r="J113" s="398"/>
      <c r="K113" s="170">
        <v>14420.0</v>
      </c>
      <c r="L113" s="373"/>
      <c r="M113" s="370"/>
      <c r="N113" s="362">
        <f t="shared" si="16"/>
        <v>0.08014981273</v>
      </c>
      <c r="O113" s="355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4"/>
      <c r="C114" s="374"/>
      <c r="D114" s="374"/>
      <c r="E114" s="188"/>
      <c r="F114" s="273"/>
      <c r="G114" s="273"/>
      <c r="H114" s="275"/>
      <c r="I114" s="171"/>
      <c r="J114" s="171"/>
      <c r="K114" s="171"/>
      <c r="L114" s="273"/>
      <c r="M114" s="171"/>
      <c r="N114" s="395"/>
      <c r="O114" s="392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401" t="s">
        <v>3309</v>
      </c>
      <c r="C115" s="357" t="s">
        <v>3317</v>
      </c>
      <c r="D115" s="357"/>
      <c r="E115" s="358" t="s">
        <v>3312</v>
      </c>
      <c r="F115" s="359" t="s">
        <v>3303</v>
      </c>
      <c r="G115" s="359" t="s">
        <v>3313</v>
      </c>
      <c r="H115" s="170">
        <v>13350.0</v>
      </c>
      <c r="I115" s="398"/>
      <c r="J115" s="398"/>
      <c r="K115" s="170">
        <v>14420.0</v>
      </c>
      <c r="L115" s="373"/>
      <c r="M115" s="370"/>
      <c r="N115" s="362">
        <f t="shared" ref="N115:N116" si="17">IFERROR((K115-H115)/H115,"")</f>
        <v>0.08014981273</v>
      </c>
      <c r="O115" s="355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85"/>
      <c r="C116" s="357" t="s">
        <v>3318</v>
      </c>
      <c r="D116" s="357"/>
      <c r="E116" s="358" t="s">
        <v>3312</v>
      </c>
      <c r="F116" s="359" t="s">
        <v>3315</v>
      </c>
      <c r="G116" s="359" t="s">
        <v>3316</v>
      </c>
      <c r="H116" s="170">
        <v>15720.0</v>
      </c>
      <c r="I116" s="398"/>
      <c r="J116" s="398"/>
      <c r="K116" s="170">
        <v>16980.0</v>
      </c>
      <c r="L116" s="373"/>
      <c r="M116" s="370"/>
      <c r="N116" s="362">
        <f t="shared" si="17"/>
        <v>0.08015267176</v>
      </c>
      <c r="O116" s="355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4"/>
      <c r="C117" s="374"/>
      <c r="D117" s="374"/>
      <c r="E117" s="188"/>
      <c r="F117" s="273"/>
      <c r="G117" s="273"/>
      <c r="H117" s="171"/>
      <c r="I117" s="171"/>
      <c r="J117" s="171"/>
      <c r="K117" s="171"/>
      <c r="L117" s="273"/>
      <c r="M117" s="171"/>
      <c r="N117" s="395"/>
      <c r="O117" s="157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4"/>
      <c r="C118" s="374"/>
      <c r="D118" s="374"/>
      <c r="E118" s="188"/>
      <c r="F118" s="273"/>
      <c r="G118" s="273"/>
      <c r="H118" s="171"/>
      <c r="I118" s="171"/>
      <c r="J118" s="171"/>
      <c r="K118" s="171"/>
      <c r="L118" s="273"/>
      <c r="M118" s="171"/>
      <c r="N118" s="395"/>
      <c r="O118" s="157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405"/>
      <c r="C119" s="357" t="s">
        <v>420</v>
      </c>
      <c r="D119" s="357"/>
      <c r="E119" s="358" t="s">
        <v>3321</v>
      </c>
      <c r="F119" s="361"/>
      <c r="G119" s="361"/>
      <c r="H119" s="360">
        <v>414.06</v>
      </c>
      <c r="I119" s="370"/>
      <c r="J119" s="398"/>
      <c r="K119" s="360">
        <v>438.0</v>
      </c>
      <c r="L119" s="406"/>
      <c r="M119" s="370"/>
      <c r="N119" s="362">
        <f t="shared" ref="N119:N195" si="18">IFERROR((K119-H119)/H119,"")</f>
        <v>0.05781770758</v>
      </c>
      <c r="O119" s="355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405"/>
      <c r="C120" s="357" t="s">
        <v>3322</v>
      </c>
      <c r="D120" s="357"/>
      <c r="E120" s="358" t="s">
        <v>3321</v>
      </c>
      <c r="F120" s="361"/>
      <c r="G120" s="361"/>
      <c r="H120" s="360">
        <v>414.06</v>
      </c>
      <c r="I120" s="370"/>
      <c r="J120" s="398"/>
      <c r="K120" s="360">
        <v>438.0</v>
      </c>
      <c r="L120" s="406"/>
      <c r="M120" s="370"/>
      <c r="N120" s="362">
        <f t="shared" si="18"/>
        <v>0.05781770758</v>
      </c>
      <c r="O120" s="355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405"/>
      <c r="C121" s="357" t="s">
        <v>424</v>
      </c>
      <c r="D121" s="357"/>
      <c r="E121" s="358" t="s">
        <v>3323</v>
      </c>
      <c r="F121" s="361"/>
      <c r="G121" s="361"/>
      <c r="H121" s="360">
        <v>448.0</v>
      </c>
      <c r="I121" s="370"/>
      <c r="J121" s="398"/>
      <c r="K121" s="360">
        <v>476.0</v>
      </c>
      <c r="L121" s="406"/>
      <c r="M121" s="370"/>
      <c r="N121" s="362">
        <f t="shared" si="18"/>
        <v>0.0625</v>
      </c>
      <c r="O121" s="355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405"/>
      <c r="C122" s="357" t="s">
        <v>3324</v>
      </c>
      <c r="D122" s="357"/>
      <c r="E122" s="358" t="s">
        <v>3323</v>
      </c>
      <c r="F122" s="361"/>
      <c r="G122" s="361"/>
      <c r="H122" s="360">
        <v>448.0</v>
      </c>
      <c r="I122" s="370"/>
      <c r="J122" s="398"/>
      <c r="K122" s="360">
        <v>476.0</v>
      </c>
      <c r="L122" s="406"/>
      <c r="M122" s="370"/>
      <c r="N122" s="362">
        <f t="shared" si="18"/>
        <v>0.0625</v>
      </c>
      <c r="O122" s="355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405"/>
      <c r="C123" s="357" t="s">
        <v>428</v>
      </c>
      <c r="D123" s="357"/>
      <c r="E123" s="358" t="s">
        <v>3325</v>
      </c>
      <c r="F123" s="361"/>
      <c r="G123" s="361"/>
      <c r="H123" s="360">
        <v>414.06</v>
      </c>
      <c r="I123" s="370"/>
      <c r="J123" s="398"/>
      <c r="K123" s="360">
        <v>438.0</v>
      </c>
      <c r="L123" s="406"/>
      <c r="M123" s="370"/>
      <c r="N123" s="362">
        <f t="shared" si="18"/>
        <v>0.05781770758</v>
      </c>
      <c r="O123" s="355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405"/>
      <c r="C124" s="357" t="s">
        <v>3326</v>
      </c>
      <c r="D124" s="357"/>
      <c r="E124" s="358" t="s">
        <v>3325</v>
      </c>
      <c r="F124" s="361"/>
      <c r="G124" s="361"/>
      <c r="H124" s="360">
        <v>414.06</v>
      </c>
      <c r="I124" s="370"/>
      <c r="J124" s="398"/>
      <c r="K124" s="360">
        <v>438.0</v>
      </c>
      <c r="L124" s="406"/>
      <c r="M124" s="370"/>
      <c r="N124" s="362">
        <f t="shared" si="18"/>
        <v>0.05781770758</v>
      </c>
      <c r="O124" s="355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405"/>
      <c r="C125" s="357" t="s">
        <v>432</v>
      </c>
      <c r="D125" s="357"/>
      <c r="E125" s="358" t="s">
        <v>3327</v>
      </c>
      <c r="F125" s="361"/>
      <c r="G125" s="361"/>
      <c r="H125" s="360">
        <v>448.0</v>
      </c>
      <c r="I125" s="370"/>
      <c r="J125" s="398"/>
      <c r="K125" s="360">
        <v>476.0</v>
      </c>
      <c r="L125" s="406"/>
      <c r="M125" s="370"/>
      <c r="N125" s="362">
        <f t="shared" si="18"/>
        <v>0.0625</v>
      </c>
      <c r="O125" s="355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405"/>
      <c r="C126" s="357" t="s">
        <v>3328</v>
      </c>
      <c r="D126" s="357"/>
      <c r="E126" s="358" t="s">
        <v>3327</v>
      </c>
      <c r="F126" s="361"/>
      <c r="G126" s="361"/>
      <c r="H126" s="360">
        <v>448.0</v>
      </c>
      <c r="I126" s="370"/>
      <c r="J126" s="398"/>
      <c r="K126" s="360">
        <v>476.0</v>
      </c>
      <c r="L126" s="406"/>
      <c r="M126" s="370"/>
      <c r="N126" s="362">
        <f t="shared" si="18"/>
        <v>0.0625</v>
      </c>
      <c r="O126" s="355"/>
      <c r="P126" s="3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4"/>
      <c r="C127" s="357" t="s">
        <v>434</v>
      </c>
      <c r="D127" s="357"/>
      <c r="E127" s="358" t="s">
        <v>3329</v>
      </c>
      <c r="F127" s="361"/>
      <c r="G127" s="361"/>
      <c r="H127" s="360">
        <v>535.806</v>
      </c>
      <c r="I127" s="370"/>
      <c r="J127" s="398"/>
      <c r="K127" s="360">
        <v>568.0</v>
      </c>
      <c r="L127" s="406"/>
      <c r="M127" s="370"/>
      <c r="N127" s="362">
        <f t="shared" si="18"/>
        <v>0.06008518008</v>
      </c>
      <c r="O127" s="355"/>
      <c r="P127" s="3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4"/>
      <c r="C128" s="357" t="s">
        <v>3331</v>
      </c>
      <c r="D128" s="357"/>
      <c r="E128" s="358" t="s">
        <v>3329</v>
      </c>
      <c r="F128" s="361"/>
      <c r="G128" s="361"/>
      <c r="H128" s="360">
        <v>535.806</v>
      </c>
      <c r="I128" s="370"/>
      <c r="J128" s="398"/>
      <c r="K128" s="360">
        <v>568.0</v>
      </c>
      <c r="L128" s="406"/>
      <c r="M128" s="370"/>
      <c r="N128" s="362">
        <f t="shared" si="18"/>
        <v>0.06008518008</v>
      </c>
      <c r="O128" s="355"/>
      <c r="P128" s="3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4"/>
      <c r="C129" s="357" t="s">
        <v>442</v>
      </c>
      <c r="D129" s="357"/>
      <c r="E129" s="358" t="s">
        <v>3339</v>
      </c>
      <c r="F129" s="361"/>
      <c r="G129" s="361"/>
      <c r="H129" s="360">
        <v>535.806</v>
      </c>
      <c r="I129" s="370"/>
      <c r="J129" s="398"/>
      <c r="K129" s="360">
        <v>568.0</v>
      </c>
      <c r="L129" s="406"/>
      <c r="M129" s="370"/>
      <c r="N129" s="362">
        <f t="shared" si="18"/>
        <v>0.06008518008</v>
      </c>
      <c r="O129" s="355"/>
      <c r="P129" s="3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4"/>
      <c r="C130" s="357" t="s">
        <v>3348</v>
      </c>
      <c r="D130" s="357"/>
      <c r="E130" s="358" t="s">
        <v>3339</v>
      </c>
      <c r="F130" s="361"/>
      <c r="G130" s="361"/>
      <c r="H130" s="360">
        <v>535.806</v>
      </c>
      <c r="I130" s="370"/>
      <c r="J130" s="398"/>
      <c r="K130" s="360">
        <v>568.0</v>
      </c>
      <c r="L130" s="406"/>
      <c r="M130" s="370"/>
      <c r="N130" s="362">
        <f t="shared" si="18"/>
        <v>0.06008518008</v>
      </c>
      <c r="O130" s="355"/>
      <c r="P130" s="3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4"/>
      <c r="C131" s="357" t="s">
        <v>446</v>
      </c>
      <c r="D131" s="357"/>
      <c r="E131" s="408" t="s">
        <v>3361</v>
      </c>
      <c r="F131" s="361"/>
      <c r="G131" s="361"/>
      <c r="H131" s="360">
        <v>504.288</v>
      </c>
      <c r="I131" s="370"/>
      <c r="J131" s="398"/>
      <c r="K131" s="360">
        <v>534.0</v>
      </c>
      <c r="L131" s="406"/>
      <c r="M131" s="370"/>
      <c r="N131" s="362">
        <f t="shared" si="18"/>
        <v>0.05891871312</v>
      </c>
      <c r="O131" s="355"/>
      <c r="P131" s="3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4"/>
      <c r="C132" s="357" t="s">
        <v>3369</v>
      </c>
      <c r="D132" s="357"/>
      <c r="E132" s="358" t="s">
        <v>3361</v>
      </c>
      <c r="F132" s="361"/>
      <c r="G132" s="361"/>
      <c r="H132" s="360">
        <v>504.288</v>
      </c>
      <c r="I132" s="370"/>
      <c r="J132" s="398"/>
      <c r="K132" s="360">
        <v>534.0</v>
      </c>
      <c r="L132" s="406"/>
      <c r="M132" s="370"/>
      <c r="N132" s="362">
        <f t="shared" si="18"/>
        <v>0.05891871312</v>
      </c>
      <c r="O132" s="355"/>
      <c r="P132" s="3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4"/>
      <c r="C133" s="357" t="s">
        <v>450</v>
      </c>
      <c r="D133" s="357"/>
      <c r="E133" s="408" t="s">
        <v>3379</v>
      </c>
      <c r="F133" s="361"/>
      <c r="G133" s="361"/>
      <c r="H133" s="360">
        <v>504.288</v>
      </c>
      <c r="I133" s="370"/>
      <c r="J133" s="398"/>
      <c r="K133" s="360">
        <v>534.0</v>
      </c>
      <c r="L133" s="406"/>
      <c r="M133" s="370"/>
      <c r="N133" s="362">
        <f t="shared" si="18"/>
        <v>0.05891871312</v>
      </c>
      <c r="O133" s="355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4"/>
      <c r="C134" s="357" t="s">
        <v>3390</v>
      </c>
      <c r="D134" s="357"/>
      <c r="E134" s="358" t="s">
        <v>3379</v>
      </c>
      <c r="F134" s="361"/>
      <c r="G134" s="361"/>
      <c r="H134" s="360">
        <v>504.288</v>
      </c>
      <c r="I134" s="370"/>
      <c r="J134" s="398"/>
      <c r="K134" s="360">
        <v>534.0</v>
      </c>
      <c r="L134" s="406"/>
      <c r="M134" s="370"/>
      <c r="N134" s="362">
        <f t="shared" si="18"/>
        <v>0.05891871312</v>
      </c>
      <c r="O134" s="355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4"/>
      <c r="C135" s="357" t="s">
        <v>454</v>
      </c>
      <c r="D135" s="357"/>
      <c r="E135" s="408" t="s">
        <v>3403</v>
      </c>
      <c r="F135" s="361"/>
      <c r="G135" s="361"/>
      <c r="H135" s="360">
        <v>626.24</v>
      </c>
      <c r="I135" s="370"/>
      <c r="J135" s="398"/>
      <c r="K135" s="360">
        <v>664.0</v>
      </c>
      <c r="L135" s="406"/>
      <c r="M135" s="370"/>
      <c r="N135" s="362">
        <f t="shared" si="18"/>
        <v>0.060296372</v>
      </c>
      <c r="O135" s="355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4"/>
      <c r="C136" s="357" t="s">
        <v>3414</v>
      </c>
      <c r="D136" s="357"/>
      <c r="E136" s="408" t="s">
        <v>3403</v>
      </c>
      <c r="F136" s="361"/>
      <c r="G136" s="361"/>
      <c r="H136" s="360">
        <v>626.24</v>
      </c>
      <c r="I136" s="370"/>
      <c r="J136" s="398"/>
      <c r="K136" s="360">
        <v>664.0</v>
      </c>
      <c r="L136" s="406"/>
      <c r="M136" s="370"/>
      <c r="N136" s="362">
        <f t="shared" si="18"/>
        <v>0.060296372</v>
      </c>
      <c r="O136" s="355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4"/>
      <c r="C137" s="357" t="s">
        <v>463</v>
      </c>
      <c r="D137" s="357"/>
      <c r="E137" s="408" t="s">
        <v>3424</v>
      </c>
      <c r="F137" s="361"/>
      <c r="G137" s="361"/>
      <c r="H137" s="360">
        <v>626.24</v>
      </c>
      <c r="I137" s="370"/>
      <c r="J137" s="398"/>
      <c r="K137" s="360">
        <v>664.0</v>
      </c>
      <c r="L137" s="406"/>
      <c r="M137" s="370"/>
      <c r="N137" s="362">
        <f t="shared" si="18"/>
        <v>0.060296372</v>
      </c>
      <c r="O137" s="355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4"/>
      <c r="C138" s="357" t="s">
        <v>3426</v>
      </c>
      <c r="D138" s="357"/>
      <c r="E138" s="358" t="s">
        <v>3424</v>
      </c>
      <c r="F138" s="361"/>
      <c r="G138" s="361"/>
      <c r="H138" s="360">
        <v>626.24</v>
      </c>
      <c r="I138" s="370"/>
      <c r="J138" s="398"/>
      <c r="K138" s="360">
        <v>664.0</v>
      </c>
      <c r="L138" s="406"/>
      <c r="M138" s="370"/>
      <c r="N138" s="362">
        <f t="shared" si="18"/>
        <v>0.060296372</v>
      </c>
      <c r="O138" s="355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4"/>
      <c r="C139" s="357" t="s">
        <v>467</v>
      </c>
      <c r="D139" s="357"/>
      <c r="E139" s="358" t="s">
        <v>3427</v>
      </c>
      <c r="F139" s="361"/>
      <c r="G139" s="361"/>
      <c r="H139" s="360">
        <v>688.143</v>
      </c>
      <c r="I139" s="370"/>
      <c r="J139" s="398"/>
      <c r="K139" s="360">
        <v>728.0</v>
      </c>
      <c r="L139" s="406"/>
      <c r="M139" s="370"/>
      <c r="N139" s="362">
        <f t="shared" si="18"/>
        <v>0.05791964752</v>
      </c>
      <c r="O139" s="355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4"/>
      <c r="C140" s="357" t="s">
        <v>3428</v>
      </c>
      <c r="D140" s="357"/>
      <c r="E140" s="358" t="s">
        <v>3427</v>
      </c>
      <c r="F140" s="361"/>
      <c r="G140" s="361"/>
      <c r="H140" s="360">
        <v>688.143</v>
      </c>
      <c r="I140" s="370"/>
      <c r="J140" s="398"/>
      <c r="K140" s="360">
        <v>728.0</v>
      </c>
      <c r="L140" s="406"/>
      <c r="M140" s="370"/>
      <c r="N140" s="362">
        <f t="shared" si="18"/>
        <v>0.05791964752</v>
      </c>
      <c r="O140" s="355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4"/>
      <c r="C141" s="357" t="s">
        <v>472</v>
      </c>
      <c r="D141" s="357"/>
      <c r="E141" s="358" t="s">
        <v>3429</v>
      </c>
      <c r="F141" s="361"/>
      <c r="G141" s="361"/>
      <c r="H141" s="360">
        <v>688.143</v>
      </c>
      <c r="I141" s="370"/>
      <c r="J141" s="398"/>
      <c r="K141" s="360">
        <v>728.0</v>
      </c>
      <c r="L141" s="406"/>
      <c r="M141" s="370"/>
      <c r="N141" s="362">
        <f t="shared" si="18"/>
        <v>0.05791964752</v>
      </c>
      <c r="O141" s="355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4"/>
      <c r="C142" s="357" t="s">
        <v>3430</v>
      </c>
      <c r="D142" s="357"/>
      <c r="E142" s="358" t="s">
        <v>3429</v>
      </c>
      <c r="F142" s="361"/>
      <c r="G142" s="361"/>
      <c r="H142" s="360">
        <v>688.143</v>
      </c>
      <c r="I142" s="370"/>
      <c r="J142" s="398"/>
      <c r="K142" s="360">
        <v>728.0</v>
      </c>
      <c r="L142" s="406"/>
      <c r="M142" s="370"/>
      <c r="N142" s="362">
        <f t="shared" si="18"/>
        <v>0.05791964752</v>
      </c>
      <c r="O142" s="355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4"/>
      <c r="C143" s="357" t="s">
        <v>522</v>
      </c>
      <c r="D143" s="357"/>
      <c r="E143" s="358" t="s">
        <v>3431</v>
      </c>
      <c r="F143" s="361"/>
      <c r="G143" s="361"/>
      <c r="H143" s="360">
        <v>232.0</v>
      </c>
      <c r="I143" s="370"/>
      <c r="J143" s="398"/>
      <c r="K143" s="360">
        <v>246.0</v>
      </c>
      <c r="L143" s="406"/>
      <c r="M143" s="370"/>
      <c r="N143" s="362">
        <f t="shared" si="18"/>
        <v>0.06034482759</v>
      </c>
      <c r="O143" s="355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4"/>
      <c r="C144" s="357" t="s">
        <v>3433</v>
      </c>
      <c r="D144" s="357"/>
      <c r="E144" s="358" t="s">
        <v>3431</v>
      </c>
      <c r="F144" s="361"/>
      <c r="G144" s="361"/>
      <c r="H144" s="360">
        <v>232.0</v>
      </c>
      <c r="I144" s="370"/>
      <c r="J144" s="398"/>
      <c r="K144" s="360">
        <v>246.0</v>
      </c>
      <c r="L144" s="406"/>
      <c r="M144" s="370"/>
      <c r="N144" s="362">
        <f t="shared" si="18"/>
        <v>0.06034482759</v>
      </c>
      <c r="O144" s="355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4"/>
      <c r="C145" s="357" t="s">
        <v>527</v>
      </c>
      <c r="D145" s="357"/>
      <c r="E145" s="358" t="s">
        <v>3434</v>
      </c>
      <c r="F145" s="361"/>
      <c r="G145" s="361"/>
      <c r="H145" s="360">
        <v>282.22</v>
      </c>
      <c r="I145" s="370"/>
      <c r="J145" s="398"/>
      <c r="K145" s="360">
        <v>298.0</v>
      </c>
      <c r="L145" s="406"/>
      <c r="M145" s="370"/>
      <c r="N145" s="362">
        <f t="shared" si="18"/>
        <v>0.05591382609</v>
      </c>
      <c r="O145" s="355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4"/>
      <c r="C146" s="357" t="s">
        <v>3435</v>
      </c>
      <c r="D146" s="357"/>
      <c r="E146" s="358" t="s">
        <v>3434</v>
      </c>
      <c r="F146" s="361"/>
      <c r="G146" s="361"/>
      <c r="H146" s="360">
        <v>282.22</v>
      </c>
      <c r="I146" s="370"/>
      <c r="J146" s="398"/>
      <c r="K146" s="360">
        <v>298.0</v>
      </c>
      <c r="L146" s="406"/>
      <c r="M146" s="370"/>
      <c r="N146" s="362">
        <f t="shared" si="18"/>
        <v>0.05591382609</v>
      </c>
      <c r="O146" s="355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4"/>
      <c r="C147" s="357" t="s">
        <v>531</v>
      </c>
      <c r="D147" s="357"/>
      <c r="E147" s="408" t="s">
        <v>3436</v>
      </c>
      <c r="F147" s="361"/>
      <c r="G147" s="361"/>
      <c r="H147" s="360">
        <v>282.22</v>
      </c>
      <c r="I147" s="370"/>
      <c r="J147" s="398"/>
      <c r="K147" s="360">
        <v>298.0</v>
      </c>
      <c r="L147" s="406"/>
      <c r="M147" s="370"/>
      <c r="N147" s="362">
        <f t="shared" si="18"/>
        <v>0.05591382609</v>
      </c>
      <c r="O147" s="355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4"/>
      <c r="C148" s="357" t="s">
        <v>3437</v>
      </c>
      <c r="D148" s="357"/>
      <c r="E148" s="358" t="s">
        <v>3436</v>
      </c>
      <c r="F148" s="361"/>
      <c r="G148" s="361"/>
      <c r="H148" s="360">
        <v>282.22</v>
      </c>
      <c r="I148" s="370"/>
      <c r="J148" s="398"/>
      <c r="K148" s="360">
        <v>298.0</v>
      </c>
      <c r="L148" s="406"/>
      <c r="M148" s="370"/>
      <c r="N148" s="362">
        <f t="shared" si="18"/>
        <v>0.05591382609</v>
      </c>
      <c r="O148" s="355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4"/>
      <c r="C149" s="357" t="s">
        <v>3439</v>
      </c>
      <c r="D149" s="357"/>
      <c r="E149" s="358" t="s">
        <v>3440</v>
      </c>
      <c r="F149" s="361"/>
      <c r="G149" s="361"/>
      <c r="H149" s="360">
        <v>254.0</v>
      </c>
      <c r="I149" s="370"/>
      <c r="J149" s="398"/>
      <c r="K149" s="360">
        <v>268.0</v>
      </c>
      <c r="L149" s="406"/>
      <c r="M149" s="370"/>
      <c r="N149" s="362">
        <f t="shared" si="18"/>
        <v>0.05511811024</v>
      </c>
      <c r="O149" s="355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4"/>
      <c r="C150" s="357" t="s">
        <v>3441</v>
      </c>
      <c r="D150" s="357"/>
      <c r="E150" s="358" t="s">
        <v>3440</v>
      </c>
      <c r="F150" s="361"/>
      <c r="G150" s="361"/>
      <c r="H150" s="360">
        <v>254.0</v>
      </c>
      <c r="I150" s="370"/>
      <c r="J150" s="398"/>
      <c r="K150" s="360">
        <v>268.0</v>
      </c>
      <c r="L150" s="406"/>
      <c r="M150" s="370"/>
      <c r="N150" s="362">
        <f t="shared" si="18"/>
        <v>0.05511811024</v>
      </c>
      <c r="O150" s="355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4"/>
      <c r="C151" s="357" t="s">
        <v>542</v>
      </c>
      <c r="D151" s="357"/>
      <c r="E151" s="408" t="s">
        <v>3442</v>
      </c>
      <c r="F151" s="361"/>
      <c r="G151" s="361"/>
      <c r="H151" s="360">
        <v>322.0</v>
      </c>
      <c r="I151" s="370"/>
      <c r="J151" s="398"/>
      <c r="K151" s="360">
        <v>342.0</v>
      </c>
      <c r="L151" s="406"/>
      <c r="M151" s="370"/>
      <c r="N151" s="362">
        <f t="shared" si="18"/>
        <v>0.06211180124</v>
      </c>
      <c r="O151" s="355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4"/>
      <c r="C152" s="357" t="s">
        <v>3443</v>
      </c>
      <c r="D152" s="357"/>
      <c r="E152" s="358" t="s">
        <v>3442</v>
      </c>
      <c r="F152" s="361"/>
      <c r="G152" s="361"/>
      <c r="H152" s="360">
        <v>322.0</v>
      </c>
      <c r="I152" s="370"/>
      <c r="J152" s="398"/>
      <c r="K152" s="360">
        <v>342.0</v>
      </c>
      <c r="L152" s="406"/>
      <c r="M152" s="370"/>
      <c r="N152" s="362">
        <f t="shared" si="18"/>
        <v>0.06211180124</v>
      </c>
      <c r="O152" s="355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4"/>
      <c r="C153" s="408" t="s">
        <v>548</v>
      </c>
      <c r="D153" s="408"/>
      <c r="E153" s="408" t="s">
        <v>3444</v>
      </c>
      <c r="F153" s="361"/>
      <c r="G153" s="361"/>
      <c r="H153" s="360">
        <v>322.0</v>
      </c>
      <c r="I153" s="370"/>
      <c r="J153" s="398"/>
      <c r="K153" s="360">
        <v>342.0</v>
      </c>
      <c r="L153" s="406"/>
      <c r="M153" s="370"/>
      <c r="N153" s="362">
        <f t="shared" si="18"/>
        <v>0.06211180124</v>
      </c>
      <c r="O153" s="355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4"/>
      <c r="C154" s="357" t="s">
        <v>3445</v>
      </c>
      <c r="D154" s="357"/>
      <c r="E154" s="358" t="s">
        <v>3444</v>
      </c>
      <c r="F154" s="361"/>
      <c r="G154" s="361"/>
      <c r="H154" s="360">
        <v>322.0</v>
      </c>
      <c r="I154" s="370"/>
      <c r="J154" s="398"/>
      <c r="K154" s="360">
        <v>342.0</v>
      </c>
      <c r="L154" s="406"/>
      <c r="M154" s="370"/>
      <c r="N154" s="362">
        <f t="shared" si="18"/>
        <v>0.06211180124</v>
      </c>
      <c r="O154" s="355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4"/>
      <c r="C155" s="357" t="s">
        <v>552</v>
      </c>
      <c r="D155" s="357"/>
      <c r="E155" s="408" t="s">
        <v>3446</v>
      </c>
      <c r="F155" s="361"/>
      <c r="G155" s="361"/>
      <c r="H155" s="360">
        <v>351.95099999999996</v>
      </c>
      <c r="I155" s="370"/>
      <c r="J155" s="398"/>
      <c r="K155" s="360">
        <v>372.0</v>
      </c>
      <c r="L155" s="406"/>
      <c r="M155" s="370"/>
      <c r="N155" s="362">
        <f t="shared" si="18"/>
        <v>0.05696531619</v>
      </c>
      <c r="O155" s="355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4"/>
      <c r="C156" s="357" t="s">
        <v>554</v>
      </c>
      <c r="D156" s="357"/>
      <c r="E156" s="408" t="s">
        <v>3446</v>
      </c>
      <c r="F156" s="361"/>
      <c r="G156" s="361"/>
      <c r="H156" s="360">
        <v>351.95099999999996</v>
      </c>
      <c r="I156" s="370"/>
      <c r="J156" s="398"/>
      <c r="K156" s="360">
        <v>372.0</v>
      </c>
      <c r="L156" s="406"/>
      <c r="M156" s="370"/>
      <c r="N156" s="362">
        <f t="shared" si="18"/>
        <v>0.05696531619</v>
      </c>
      <c r="O156" s="355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4"/>
      <c r="C157" s="357" t="s">
        <v>556</v>
      </c>
      <c r="D157" s="357"/>
      <c r="E157" s="408" t="s">
        <v>3447</v>
      </c>
      <c r="F157" s="361"/>
      <c r="G157" s="361"/>
      <c r="H157" s="360">
        <v>351.95099999999996</v>
      </c>
      <c r="I157" s="370"/>
      <c r="J157" s="398"/>
      <c r="K157" s="360">
        <v>372.0</v>
      </c>
      <c r="L157" s="406"/>
      <c r="M157" s="370"/>
      <c r="N157" s="362">
        <f t="shared" si="18"/>
        <v>0.05696531619</v>
      </c>
      <c r="O157" s="355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4"/>
      <c r="C158" s="357" t="s">
        <v>3448</v>
      </c>
      <c r="D158" s="357"/>
      <c r="E158" s="408" t="s">
        <v>3447</v>
      </c>
      <c r="F158" s="361"/>
      <c r="G158" s="361"/>
      <c r="H158" s="360">
        <v>351.95099999999996</v>
      </c>
      <c r="I158" s="370"/>
      <c r="J158" s="398"/>
      <c r="K158" s="360">
        <v>372.0</v>
      </c>
      <c r="L158" s="406"/>
      <c r="M158" s="370"/>
      <c r="N158" s="362">
        <f t="shared" si="18"/>
        <v>0.05696531619</v>
      </c>
      <c r="O158" s="355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4"/>
      <c r="C159" s="357" t="s">
        <v>563</v>
      </c>
      <c r="D159" s="357"/>
      <c r="E159" s="408" t="s">
        <v>3449</v>
      </c>
      <c r="F159" s="361"/>
      <c r="G159" s="361"/>
      <c r="H159" s="360">
        <v>394.0</v>
      </c>
      <c r="I159" s="370"/>
      <c r="J159" s="398"/>
      <c r="K159" s="360">
        <v>418.0</v>
      </c>
      <c r="L159" s="406"/>
      <c r="M159" s="370"/>
      <c r="N159" s="362">
        <f t="shared" si="18"/>
        <v>0.06091370558</v>
      </c>
      <c r="O159" s="355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4"/>
      <c r="C160" s="357" t="s">
        <v>3450</v>
      </c>
      <c r="D160" s="357"/>
      <c r="E160" s="408" t="s">
        <v>3449</v>
      </c>
      <c r="F160" s="361"/>
      <c r="G160" s="361"/>
      <c r="H160" s="360">
        <v>394.0</v>
      </c>
      <c r="I160" s="370"/>
      <c r="J160" s="398"/>
      <c r="K160" s="360">
        <v>418.0</v>
      </c>
      <c r="L160" s="406"/>
      <c r="M160" s="370"/>
      <c r="N160" s="362">
        <f t="shared" si="18"/>
        <v>0.06091370558</v>
      </c>
      <c r="O160" s="355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4"/>
      <c r="C161" s="357" t="s">
        <v>567</v>
      </c>
      <c r="D161" s="357"/>
      <c r="E161" s="408" t="s">
        <v>3451</v>
      </c>
      <c r="F161" s="361"/>
      <c r="G161" s="361"/>
      <c r="H161" s="360">
        <v>394.0</v>
      </c>
      <c r="I161" s="370"/>
      <c r="J161" s="398"/>
      <c r="K161" s="360">
        <v>418.0</v>
      </c>
      <c r="L161" s="406"/>
      <c r="M161" s="370"/>
      <c r="N161" s="362">
        <f t="shared" si="18"/>
        <v>0.06091370558</v>
      </c>
      <c r="O161" s="355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4"/>
      <c r="C162" s="357" t="s">
        <v>3452</v>
      </c>
      <c r="D162" s="357"/>
      <c r="E162" s="408" t="s">
        <v>3451</v>
      </c>
      <c r="F162" s="361"/>
      <c r="G162" s="361"/>
      <c r="H162" s="360">
        <v>394.0</v>
      </c>
      <c r="I162" s="370"/>
      <c r="J162" s="398"/>
      <c r="K162" s="360">
        <v>418.0</v>
      </c>
      <c r="L162" s="406"/>
      <c r="M162" s="370"/>
      <c r="N162" s="362">
        <f t="shared" si="18"/>
        <v>0.06091370558</v>
      </c>
      <c r="O162" s="355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4"/>
      <c r="C163" s="357" t="s">
        <v>3453</v>
      </c>
      <c r="D163" s="357"/>
      <c r="E163" s="358" t="s">
        <v>3454</v>
      </c>
      <c r="F163" s="361"/>
      <c r="G163" s="361"/>
      <c r="H163" s="360">
        <v>578.0</v>
      </c>
      <c r="I163" s="370"/>
      <c r="J163" s="398"/>
      <c r="K163" s="360">
        <v>612.0</v>
      </c>
      <c r="L163" s="406"/>
      <c r="M163" s="370"/>
      <c r="N163" s="362">
        <f t="shared" si="18"/>
        <v>0.05882352941</v>
      </c>
      <c r="O163" s="355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4"/>
      <c r="C164" s="357" t="s">
        <v>476</v>
      </c>
      <c r="D164" s="357"/>
      <c r="E164" s="358" t="s">
        <v>3455</v>
      </c>
      <c r="F164" s="361"/>
      <c r="G164" s="361"/>
      <c r="H164" s="360">
        <v>448.0</v>
      </c>
      <c r="I164" s="370"/>
      <c r="J164" s="398"/>
      <c r="K164" s="360">
        <v>474.0</v>
      </c>
      <c r="L164" s="406"/>
      <c r="M164" s="370"/>
      <c r="N164" s="362">
        <f t="shared" si="18"/>
        <v>0.05803571429</v>
      </c>
      <c r="O164" s="355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4"/>
      <c r="C165" s="357" t="s">
        <v>3456</v>
      </c>
      <c r="D165" s="357"/>
      <c r="E165" s="358" t="s">
        <v>3455</v>
      </c>
      <c r="F165" s="361"/>
      <c r="G165" s="361"/>
      <c r="H165" s="360">
        <v>448.0</v>
      </c>
      <c r="I165" s="370"/>
      <c r="J165" s="398"/>
      <c r="K165" s="360">
        <v>474.0</v>
      </c>
      <c r="L165" s="406"/>
      <c r="M165" s="370"/>
      <c r="N165" s="362">
        <f t="shared" si="18"/>
        <v>0.05803571429</v>
      </c>
      <c r="O165" s="355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4"/>
      <c r="C166" s="357" t="s">
        <v>385</v>
      </c>
      <c r="D166" s="357"/>
      <c r="E166" s="358" t="s">
        <v>3457</v>
      </c>
      <c r="F166" s="361"/>
      <c r="G166" s="361"/>
      <c r="H166" s="360">
        <v>74.16</v>
      </c>
      <c r="I166" s="370"/>
      <c r="J166" s="398"/>
      <c r="K166" s="360">
        <v>78.0</v>
      </c>
      <c r="L166" s="406"/>
      <c r="M166" s="370"/>
      <c r="N166" s="362">
        <f t="shared" si="18"/>
        <v>0.05177993528</v>
      </c>
      <c r="O166" s="355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4"/>
      <c r="C167" s="357" t="s">
        <v>3458</v>
      </c>
      <c r="D167" s="357"/>
      <c r="E167" s="358" t="s">
        <v>3457</v>
      </c>
      <c r="F167" s="361"/>
      <c r="G167" s="361"/>
      <c r="H167" s="360">
        <v>74.16</v>
      </c>
      <c r="I167" s="370"/>
      <c r="J167" s="398"/>
      <c r="K167" s="360">
        <v>78.0</v>
      </c>
      <c r="L167" s="406"/>
      <c r="M167" s="370"/>
      <c r="N167" s="362">
        <f t="shared" si="18"/>
        <v>0.05177993528</v>
      </c>
      <c r="O167" s="355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4"/>
      <c r="C168" s="357" t="s">
        <v>389</v>
      </c>
      <c r="D168" s="357"/>
      <c r="E168" s="408" t="s">
        <v>3459</v>
      </c>
      <c r="F168" s="361"/>
      <c r="G168" s="361"/>
      <c r="H168" s="360">
        <v>96.0</v>
      </c>
      <c r="I168" s="370"/>
      <c r="J168" s="398"/>
      <c r="K168" s="360">
        <v>102.0</v>
      </c>
      <c r="L168" s="406"/>
      <c r="M168" s="370"/>
      <c r="N168" s="362">
        <f t="shared" si="18"/>
        <v>0.0625</v>
      </c>
      <c r="O168" s="355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4"/>
      <c r="C169" s="357" t="s">
        <v>3460</v>
      </c>
      <c r="D169" s="357"/>
      <c r="E169" s="358" t="s">
        <v>3459</v>
      </c>
      <c r="F169" s="361"/>
      <c r="G169" s="361"/>
      <c r="H169" s="360">
        <v>96.0</v>
      </c>
      <c r="I169" s="370"/>
      <c r="J169" s="398"/>
      <c r="K169" s="360">
        <v>102.0</v>
      </c>
      <c r="L169" s="406"/>
      <c r="M169" s="370"/>
      <c r="N169" s="362">
        <f t="shared" si="18"/>
        <v>0.0625</v>
      </c>
      <c r="O169" s="355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4"/>
      <c r="C170" s="357" t="s">
        <v>393</v>
      </c>
      <c r="D170" s="357"/>
      <c r="E170" s="358" t="s">
        <v>3461</v>
      </c>
      <c r="F170" s="361"/>
      <c r="G170" s="361"/>
      <c r="H170" s="360">
        <v>96.0</v>
      </c>
      <c r="I170" s="370"/>
      <c r="J170" s="398"/>
      <c r="K170" s="360">
        <v>102.0</v>
      </c>
      <c r="L170" s="406"/>
      <c r="M170" s="370"/>
      <c r="N170" s="362">
        <f t="shared" si="18"/>
        <v>0.0625</v>
      </c>
      <c r="O170" s="355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4"/>
      <c r="C171" s="357" t="s">
        <v>3462</v>
      </c>
      <c r="D171" s="357"/>
      <c r="E171" s="358" t="s">
        <v>3461</v>
      </c>
      <c r="F171" s="361"/>
      <c r="G171" s="361"/>
      <c r="H171" s="360">
        <v>96.0</v>
      </c>
      <c r="I171" s="370"/>
      <c r="J171" s="398"/>
      <c r="K171" s="360">
        <v>102.0</v>
      </c>
      <c r="L171" s="406"/>
      <c r="M171" s="370"/>
      <c r="N171" s="362">
        <f t="shared" si="18"/>
        <v>0.0625</v>
      </c>
      <c r="O171" s="355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4"/>
      <c r="C172" s="357" t="s">
        <v>400</v>
      </c>
      <c r="D172" s="357"/>
      <c r="E172" s="358" t="s">
        <v>3463</v>
      </c>
      <c r="F172" s="361"/>
      <c r="G172" s="361"/>
      <c r="H172" s="360">
        <v>112.0</v>
      </c>
      <c r="I172" s="370"/>
      <c r="J172" s="398"/>
      <c r="K172" s="360">
        <v>118.0</v>
      </c>
      <c r="L172" s="406"/>
      <c r="M172" s="370"/>
      <c r="N172" s="362">
        <f t="shared" si="18"/>
        <v>0.05357142857</v>
      </c>
      <c r="O172" s="355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4"/>
      <c r="C173" s="357" t="s">
        <v>3464</v>
      </c>
      <c r="D173" s="357"/>
      <c r="E173" s="358" t="s">
        <v>3463</v>
      </c>
      <c r="F173" s="361"/>
      <c r="G173" s="361"/>
      <c r="H173" s="360">
        <v>112.0</v>
      </c>
      <c r="I173" s="370"/>
      <c r="J173" s="398"/>
      <c r="K173" s="360">
        <v>118.0</v>
      </c>
      <c r="L173" s="406"/>
      <c r="M173" s="370"/>
      <c r="N173" s="362">
        <f t="shared" si="18"/>
        <v>0.05357142857</v>
      </c>
      <c r="O173" s="355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4"/>
      <c r="C174" s="357" t="s">
        <v>404</v>
      </c>
      <c r="D174" s="357"/>
      <c r="E174" s="358" t="s">
        <v>3465</v>
      </c>
      <c r="F174" s="361"/>
      <c r="G174" s="361"/>
      <c r="H174" s="360">
        <v>112.0</v>
      </c>
      <c r="I174" s="370"/>
      <c r="J174" s="398"/>
      <c r="K174" s="360">
        <v>118.0</v>
      </c>
      <c r="L174" s="406"/>
      <c r="M174" s="370"/>
      <c r="N174" s="362">
        <f t="shared" si="18"/>
        <v>0.05357142857</v>
      </c>
      <c r="O174" s="355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4"/>
      <c r="C175" s="357" t="s">
        <v>3466</v>
      </c>
      <c r="D175" s="357"/>
      <c r="E175" s="358" t="s">
        <v>3465</v>
      </c>
      <c r="F175" s="361"/>
      <c r="G175" s="361"/>
      <c r="H175" s="360">
        <v>112.0</v>
      </c>
      <c r="I175" s="370"/>
      <c r="J175" s="398"/>
      <c r="K175" s="360">
        <v>118.0</v>
      </c>
      <c r="L175" s="406"/>
      <c r="M175" s="370"/>
      <c r="N175" s="362">
        <f t="shared" si="18"/>
        <v>0.05357142857</v>
      </c>
      <c r="O175" s="355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4"/>
      <c r="C176" s="357" t="s">
        <v>408</v>
      </c>
      <c r="D176" s="357"/>
      <c r="E176" s="358" t="s">
        <v>3467</v>
      </c>
      <c r="F176" s="361"/>
      <c r="G176" s="361"/>
      <c r="H176" s="360">
        <v>141.831</v>
      </c>
      <c r="I176" s="370"/>
      <c r="J176" s="398"/>
      <c r="K176" s="360">
        <v>148.0</v>
      </c>
      <c r="L176" s="406"/>
      <c r="M176" s="370"/>
      <c r="N176" s="362">
        <f t="shared" si="18"/>
        <v>0.04349542766</v>
      </c>
      <c r="O176" s="355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4"/>
      <c r="C177" s="357" t="s">
        <v>3468</v>
      </c>
      <c r="D177" s="357"/>
      <c r="E177" s="358" t="s">
        <v>3467</v>
      </c>
      <c r="F177" s="361"/>
      <c r="G177" s="361"/>
      <c r="H177" s="360">
        <v>141.831</v>
      </c>
      <c r="I177" s="370"/>
      <c r="J177" s="398"/>
      <c r="K177" s="360">
        <v>148.0</v>
      </c>
      <c r="L177" s="406"/>
      <c r="M177" s="370"/>
      <c r="N177" s="362">
        <f t="shared" si="18"/>
        <v>0.04349542766</v>
      </c>
      <c r="O177" s="355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4"/>
      <c r="C178" s="357" t="s">
        <v>412</v>
      </c>
      <c r="D178" s="357"/>
      <c r="E178" s="358" t="s">
        <v>3469</v>
      </c>
      <c r="F178" s="361"/>
      <c r="G178" s="361"/>
      <c r="H178" s="360">
        <v>141.831</v>
      </c>
      <c r="I178" s="370"/>
      <c r="J178" s="398"/>
      <c r="K178" s="360">
        <v>148.0</v>
      </c>
      <c r="L178" s="406"/>
      <c r="M178" s="370"/>
      <c r="N178" s="362">
        <f t="shared" si="18"/>
        <v>0.04349542766</v>
      </c>
      <c r="O178" s="355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4"/>
      <c r="C179" s="357" t="s">
        <v>3470</v>
      </c>
      <c r="D179" s="357"/>
      <c r="E179" s="358" t="s">
        <v>3469</v>
      </c>
      <c r="F179" s="361"/>
      <c r="G179" s="361"/>
      <c r="H179" s="360">
        <v>141.831</v>
      </c>
      <c r="I179" s="370"/>
      <c r="J179" s="398"/>
      <c r="K179" s="360">
        <v>148.0</v>
      </c>
      <c r="L179" s="406"/>
      <c r="M179" s="370"/>
      <c r="N179" s="362">
        <f t="shared" si="18"/>
        <v>0.04349542766</v>
      </c>
      <c r="O179" s="355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4"/>
      <c r="C180" s="357" t="s">
        <v>495</v>
      </c>
      <c r="D180" s="357"/>
      <c r="E180" s="358" t="s">
        <v>3471</v>
      </c>
      <c r="F180" s="361"/>
      <c r="G180" s="361"/>
      <c r="H180" s="360">
        <v>141.831</v>
      </c>
      <c r="I180" s="370"/>
      <c r="J180" s="398"/>
      <c r="K180" s="360">
        <v>148.0</v>
      </c>
      <c r="L180" s="406"/>
      <c r="M180" s="370"/>
      <c r="N180" s="362">
        <f t="shared" si="18"/>
        <v>0.04349542766</v>
      </c>
      <c r="O180" s="355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4"/>
      <c r="C181" s="357" t="s">
        <v>3472</v>
      </c>
      <c r="D181" s="357"/>
      <c r="E181" s="358" t="s">
        <v>3471</v>
      </c>
      <c r="F181" s="361"/>
      <c r="G181" s="361"/>
      <c r="H181" s="360">
        <v>141.831</v>
      </c>
      <c r="I181" s="370"/>
      <c r="J181" s="398"/>
      <c r="K181" s="360">
        <v>148.0</v>
      </c>
      <c r="L181" s="406"/>
      <c r="M181" s="370"/>
      <c r="N181" s="362">
        <f t="shared" si="18"/>
        <v>0.04349542766</v>
      </c>
      <c r="O181" s="355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4"/>
      <c r="C182" s="357" t="s">
        <v>503</v>
      </c>
      <c r="D182" s="357"/>
      <c r="E182" s="408" t="s">
        <v>3473</v>
      </c>
      <c r="F182" s="361"/>
      <c r="G182" s="361"/>
      <c r="H182" s="360">
        <v>164.0</v>
      </c>
      <c r="I182" s="370"/>
      <c r="J182" s="398"/>
      <c r="K182" s="360">
        <v>174.0</v>
      </c>
      <c r="L182" s="406"/>
      <c r="M182" s="370"/>
      <c r="N182" s="362">
        <f t="shared" si="18"/>
        <v>0.06097560976</v>
      </c>
      <c r="O182" s="355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4"/>
      <c r="C183" s="357" t="s">
        <v>3474</v>
      </c>
      <c r="D183" s="357"/>
      <c r="E183" s="358" t="s">
        <v>3473</v>
      </c>
      <c r="F183" s="361"/>
      <c r="G183" s="361"/>
      <c r="H183" s="360">
        <v>164.0</v>
      </c>
      <c r="I183" s="370"/>
      <c r="J183" s="398"/>
      <c r="K183" s="360">
        <v>174.0</v>
      </c>
      <c r="L183" s="406"/>
      <c r="M183" s="370"/>
      <c r="N183" s="362">
        <f t="shared" si="18"/>
        <v>0.06097560976</v>
      </c>
      <c r="O183" s="355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4"/>
      <c r="C184" s="357" t="s">
        <v>507</v>
      </c>
      <c r="D184" s="357"/>
      <c r="E184" s="358" t="s">
        <v>3475</v>
      </c>
      <c r="F184" s="361"/>
      <c r="G184" s="361"/>
      <c r="H184" s="360">
        <v>164.0</v>
      </c>
      <c r="I184" s="370"/>
      <c r="J184" s="398"/>
      <c r="K184" s="360">
        <v>174.0</v>
      </c>
      <c r="L184" s="406"/>
      <c r="M184" s="370"/>
      <c r="N184" s="362">
        <f t="shared" si="18"/>
        <v>0.06097560976</v>
      </c>
      <c r="O184" s="355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4"/>
      <c r="C185" s="357" t="s">
        <v>3476</v>
      </c>
      <c r="D185" s="357"/>
      <c r="E185" s="358" t="s">
        <v>3475</v>
      </c>
      <c r="F185" s="361"/>
      <c r="G185" s="361"/>
      <c r="H185" s="360">
        <v>164.0</v>
      </c>
      <c r="I185" s="370"/>
      <c r="J185" s="398"/>
      <c r="K185" s="360">
        <v>174.0</v>
      </c>
      <c r="L185" s="406"/>
      <c r="M185" s="370"/>
      <c r="N185" s="362">
        <f t="shared" si="18"/>
        <v>0.06097560976</v>
      </c>
      <c r="O185" s="355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4"/>
      <c r="C186" s="357" t="s">
        <v>511</v>
      </c>
      <c r="D186" s="357"/>
      <c r="E186" s="358" t="s">
        <v>3477</v>
      </c>
      <c r="F186" s="361"/>
      <c r="G186" s="361"/>
      <c r="H186" s="360">
        <v>184.0</v>
      </c>
      <c r="I186" s="370"/>
      <c r="J186" s="398"/>
      <c r="K186" s="360">
        <v>194.0</v>
      </c>
      <c r="L186" s="406"/>
      <c r="M186" s="370"/>
      <c r="N186" s="362">
        <f t="shared" si="18"/>
        <v>0.05434782609</v>
      </c>
      <c r="O186" s="355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4"/>
      <c r="C187" s="357" t="s">
        <v>3478</v>
      </c>
      <c r="D187" s="357"/>
      <c r="E187" s="358" t="s">
        <v>3477</v>
      </c>
      <c r="F187" s="361"/>
      <c r="G187" s="361"/>
      <c r="H187" s="360">
        <v>184.0</v>
      </c>
      <c r="I187" s="370"/>
      <c r="J187" s="398"/>
      <c r="K187" s="360">
        <v>194.0</v>
      </c>
      <c r="L187" s="406"/>
      <c r="M187" s="370"/>
      <c r="N187" s="362">
        <f t="shared" si="18"/>
        <v>0.05434782609</v>
      </c>
      <c r="O187" s="355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4"/>
      <c r="C188" s="357" t="s">
        <v>515</v>
      </c>
      <c r="D188" s="357"/>
      <c r="E188" s="358" t="s">
        <v>3479</v>
      </c>
      <c r="F188" s="361"/>
      <c r="G188" s="361"/>
      <c r="H188" s="360">
        <v>184.0</v>
      </c>
      <c r="I188" s="370"/>
      <c r="J188" s="398"/>
      <c r="K188" s="360">
        <v>194.0</v>
      </c>
      <c r="L188" s="406"/>
      <c r="M188" s="370"/>
      <c r="N188" s="362">
        <f t="shared" si="18"/>
        <v>0.05434782609</v>
      </c>
      <c r="O188" s="355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4"/>
      <c r="C189" s="357" t="s">
        <v>3480</v>
      </c>
      <c r="D189" s="357"/>
      <c r="E189" s="358" t="s">
        <v>3479</v>
      </c>
      <c r="F189" s="361"/>
      <c r="G189" s="361"/>
      <c r="H189" s="360">
        <v>184.0</v>
      </c>
      <c r="I189" s="370"/>
      <c r="J189" s="398"/>
      <c r="K189" s="360">
        <v>194.0</v>
      </c>
      <c r="L189" s="406"/>
      <c r="M189" s="370"/>
      <c r="N189" s="362">
        <f t="shared" si="18"/>
        <v>0.05434782609</v>
      </c>
      <c r="O189" s="355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4"/>
      <c r="C190" s="357" t="s">
        <v>483</v>
      </c>
      <c r="D190" s="357"/>
      <c r="E190" s="358" t="s">
        <v>3481</v>
      </c>
      <c r="F190" s="361"/>
      <c r="G190" s="361"/>
      <c r="H190" s="360">
        <v>254.0</v>
      </c>
      <c r="I190" s="370"/>
      <c r="J190" s="398"/>
      <c r="K190" s="360">
        <v>268.0</v>
      </c>
      <c r="L190" s="406"/>
      <c r="M190" s="370"/>
      <c r="N190" s="362">
        <f t="shared" si="18"/>
        <v>0.05511811024</v>
      </c>
      <c r="O190" s="355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4"/>
      <c r="C191" s="357" t="s">
        <v>3482</v>
      </c>
      <c r="D191" s="357"/>
      <c r="E191" s="358" t="s">
        <v>3481</v>
      </c>
      <c r="F191" s="361"/>
      <c r="G191" s="361"/>
      <c r="H191" s="360">
        <v>254.0</v>
      </c>
      <c r="I191" s="370"/>
      <c r="J191" s="398"/>
      <c r="K191" s="360">
        <v>268.0</v>
      </c>
      <c r="L191" s="406"/>
      <c r="M191" s="370"/>
      <c r="N191" s="362">
        <f t="shared" si="18"/>
        <v>0.05511811024</v>
      </c>
      <c r="O191" s="355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4"/>
      <c r="C192" s="357" t="s">
        <v>487</v>
      </c>
      <c r="D192" s="357"/>
      <c r="E192" s="408" t="s">
        <v>3483</v>
      </c>
      <c r="F192" s="361"/>
      <c r="G192" s="361"/>
      <c r="H192" s="360">
        <v>294.168</v>
      </c>
      <c r="I192" s="370"/>
      <c r="J192" s="398"/>
      <c r="K192" s="360">
        <v>312.0</v>
      </c>
      <c r="L192" s="406"/>
      <c r="M192" s="370"/>
      <c r="N192" s="362">
        <f t="shared" si="18"/>
        <v>0.06061842213</v>
      </c>
      <c r="O192" s="355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4"/>
      <c r="C193" s="357" t="s">
        <v>3484</v>
      </c>
      <c r="D193" s="357"/>
      <c r="E193" s="358" t="s">
        <v>3483</v>
      </c>
      <c r="F193" s="361"/>
      <c r="G193" s="361"/>
      <c r="H193" s="360">
        <v>294.168</v>
      </c>
      <c r="I193" s="370"/>
      <c r="J193" s="398"/>
      <c r="K193" s="360">
        <v>312.0</v>
      </c>
      <c r="L193" s="406"/>
      <c r="M193" s="370"/>
      <c r="N193" s="362">
        <f t="shared" si="18"/>
        <v>0.06061842213</v>
      </c>
      <c r="O193" s="355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4"/>
      <c r="C194" s="357" t="s">
        <v>491</v>
      </c>
      <c r="D194" s="357"/>
      <c r="E194" s="408" t="s">
        <v>3485</v>
      </c>
      <c r="F194" s="361"/>
      <c r="G194" s="361"/>
      <c r="H194" s="360">
        <v>322.0</v>
      </c>
      <c r="I194" s="370"/>
      <c r="J194" s="398"/>
      <c r="K194" s="360">
        <v>342.0</v>
      </c>
      <c r="L194" s="406"/>
      <c r="M194" s="370"/>
      <c r="N194" s="362">
        <f t="shared" si="18"/>
        <v>0.06211180124</v>
      </c>
      <c r="O194" s="355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4"/>
      <c r="C195" s="357" t="s">
        <v>3486</v>
      </c>
      <c r="D195" s="357"/>
      <c r="E195" s="358" t="s">
        <v>3485</v>
      </c>
      <c r="F195" s="361"/>
      <c r="G195" s="361"/>
      <c r="H195" s="360">
        <v>322.0</v>
      </c>
      <c r="I195" s="370"/>
      <c r="J195" s="398"/>
      <c r="K195" s="360">
        <v>342.0</v>
      </c>
      <c r="L195" s="406"/>
      <c r="M195" s="370"/>
      <c r="N195" s="362">
        <f t="shared" si="18"/>
        <v>0.06211180124</v>
      </c>
      <c r="O195" s="355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4"/>
      <c r="C196" s="374"/>
      <c r="D196" s="374"/>
      <c r="E196" s="188"/>
      <c r="F196" s="273"/>
      <c r="G196" s="273"/>
      <c r="H196" s="273"/>
      <c r="I196" s="273"/>
      <c r="J196" s="273"/>
      <c r="K196" s="3"/>
      <c r="L196" s="3"/>
      <c r="M196" s="3"/>
      <c r="N196" s="1"/>
      <c r="O196" s="157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4"/>
      <c r="C197" s="374"/>
      <c r="D197" s="374"/>
      <c r="E197" s="188"/>
      <c r="F197" s="273"/>
      <c r="G197" s="273"/>
      <c r="H197" s="273"/>
      <c r="I197" s="273"/>
      <c r="J197" s="273"/>
      <c r="K197" s="3"/>
      <c r="L197" s="3"/>
      <c r="M197" s="3"/>
      <c r="N197" s="1"/>
      <c r="O197" s="157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4"/>
      <c r="C198" s="374"/>
      <c r="D198" s="374"/>
      <c r="E198" s="188"/>
      <c r="F198" s="273"/>
      <c r="G198" s="273"/>
      <c r="H198" s="273"/>
      <c r="I198" s="273"/>
      <c r="J198" s="273"/>
      <c r="K198" s="3"/>
      <c r="L198" s="3"/>
      <c r="M198" s="3"/>
      <c r="N198" s="1"/>
      <c r="O198" s="157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4"/>
      <c r="C199" s="374"/>
      <c r="D199" s="374"/>
      <c r="E199" s="188"/>
      <c r="F199" s="273"/>
      <c r="G199" s="273"/>
      <c r="H199" s="273"/>
      <c r="I199" s="273"/>
      <c r="J199" s="273"/>
      <c r="K199" s="3"/>
      <c r="L199" s="3"/>
      <c r="M199" s="3"/>
      <c r="N199" s="1"/>
      <c r="O199" s="157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4"/>
      <c r="C200" s="374"/>
      <c r="D200" s="374"/>
      <c r="E200" s="188"/>
      <c r="F200" s="273"/>
      <c r="G200" s="273"/>
      <c r="H200" s="273"/>
      <c r="I200" s="273"/>
      <c r="J200" s="273"/>
      <c r="K200" s="3"/>
      <c r="L200" s="3"/>
      <c r="M200" s="3"/>
      <c r="N200" s="1"/>
      <c r="O200" s="157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4"/>
      <c r="C201" s="374"/>
      <c r="D201" s="374"/>
      <c r="E201" s="188"/>
      <c r="F201" s="273"/>
      <c r="G201" s="273"/>
      <c r="H201" s="273"/>
      <c r="I201" s="273"/>
      <c r="J201" s="273"/>
      <c r="K201" s="3"/>
      <c r="L201" s="3"/>
      <c r="M201" s="3"/>
      <c r="N201" s="1"/>
      <c r="O201" s="157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4"/>
      <c r="C202" s="374"/>
      <c r="D202" s="374"/>
      <c r="E202" s="188"/>
      <c r="F202" s="273"/>
      <c r="G202" s="273"/>
      <c r="H202" s="273"/>
      <c r="I202" s="273"/>
      <c r="J202" s="273"/>
      <c r="K202" s="3"/>
      <c r="L202" s="3"/>
      <c r="M202" s="3"/>
      <c r="N202" s="1"/>
      <c r="O202" s="157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4"/>
      <c r="C203" s="374"/>
      <c r="D203" s="374"/>
      <c r="E203" s="188"/>
      <c r="F203" s="273"/>
      <c r="G203" s="273"/>
      <c r="H203" s="273"/>
      <c r="I203" s="273"/>
      <c r="J203" s="273"/>
      <c r="K203" s="3"/>
      <c r="L203" s="3"/>
      <c r="M203" s="3"/>
      <c r="N203" s="1"/>
      <c r="O203" s="157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4"/>
      <c r="C204" s="374"/>
      <c r="D204" s="374"/>
      <c r="E204" s="188"/>
      <c r="F204" s="273"/>
      <c r="G204" s="273"/>
      <c r="H204" s="273"/>
      <c r="I204" s="273"/>
      <c r="J204" s="273"/>
      <c r="K204" s="3"/>
      <c r="L204" s="3"/>
      <c r="M204" s="3"/>
      <c r="N204" s="1"/>
      <c r="O204" s="157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4"/>
      <c r="C205" s="374"/>
      <c r="D205" s="374"/>
      <c r="E205" s="188"/>
      <c r="F205" s="273"/>
      <c r="G205" s="273"/>
      <c r="H205" s="273"/>
      <c r="I205" s="273"/>
      <c r="J205" s="273"/>
      <c r="K205" s="3"/>
      <c r="L205" s="3"/>
      <c r="M205" s="3"/>
      <c r="N205" s="1"/>
      <c r="O205" s="157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4"/>
      <c r="C206" s="374"/>
      <c r="D206" s="374"/>
      <c r="E206" s="188"/>
      <c r="F206" s="273"/>
      <c r="G206" s="273"/>
      <c r="H206" s="273"/>
      <c r="I206" s="273"/>
      <c r="J206" s="273"/>
      <c r="K206" s="3"/>
      <c r="L206" s="3"/>
      <c r="M206" s="3"/>
      <c r="N206" s="1"/>
      <c r="O206" s="157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4"/>
      <c r="C207" s="374"/>
      <c r="D207" s="374"/>
      <c r="E207" s="188"/>
      <c r="F207" s="273"/>
      <c r="G207" s="273"/>
      <c r="H207" s="273"/>
      <c r="I207" s="273"/>
      <c r="J207" s="273"/>
      <c r="K207" s="3"/>
      <c r="L207" s="3"/>
      <c r="M207" s="3"/>
      <c r="N207" s="1"/>
      <c r="O207" s="157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4"/>
      <c r="C208" s="374"/>
      <c r="D208" s="374"/>
      <c r="E208" s="188"/>
      <c r="F208" s="273"/>
      <c r="G208" s="273"/>
      <c r="H208" s="273"/>
      <c r="I208" s="273"/>
      <c r="J208" s="273"/>
      <c r="K208" s="3"/>
      <c r="L208" s="3"/>
      <c r="M208" s="3"/>
      <c r="N208" s="1"/>
      <c r="O208" s="157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4"/>
      <c r="C209" s="374"/>
      <c r="D209" s="374"/>
      <c r="E209" s="188"/>
      <c r="F209" s="273"/>
      <c r="G209" s="273"/>
      <c r="H209" s="273"/>
      <c r="I209" s="273"/>
      <c r="J209" s="273"/>
      <c r="K209" s="3"/>
      <c r="L209" s="3"/>
      <c r="M209" s="3"/>
      <c r="N209" s="1"/>
      <c r="O209" s="157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4"/>
      <c r="C210" s="374"/>
      <c r="D210" s="374"/>
      <c r="E210" s="188"/>
      <c r="F210" s="273"/>
      <c r="G210" s="273"/>
      <c r="H210" s="273"/>
      <c r="I210" s="273"/>
      <c r="J210" s="273"/>
      <c r="K210" s="3"/>
      <c r="L210" s="3"/>
      <c r="M210" s="3"/>
      <c r="N210" s="1"/>
      <c r="O210" s="157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4"/>
      <c r="C211" s="374"/>
      <c r="D211" s="374"/>
      <c r="E211" s="188"/>
      <c r="F211" s="273"/>
      <c r="G211" s="273"/>
      <c r="H211" s="273"/>
      <c r="I211" s="273"/>
      <c r="J211" s="273"/>
      <c r="K211" s="3"/>
      <c r="L211" s="3"/>
      <c r="M211" s="3"/>
      <c r="N211" s="1"/>
      <c r="O211" s="157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4"/>
      <c r="C212" s="374"/>
      <c r="D212" s="374"/>
      <c r="E212" s="188"/>
      <c r="F212" s="273"/>
      <c r="G212" s="273"/>
      <c r="H212" s="273"/>
      <c r="I212" s="273"/>
      <c r="J212" s="273"/>
      <c r="K212" s="3"/>
      <c r="L212" s="3"/>
      <c r="M212" s="3"/>
      <c r="N212" s="1"/>
      <c r="O212" s="157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4"/>
      <c r="C213" s="374"/>
      <c r="D213" s="374"/>
      <c r="E213" s="188"/>
      <c r="F213" s="273"/>
      <c r="G213" s="273"/>
      <c r="H213" s="273"/>
      <c r="I213" s="273"/>
      <c r="J213" s="273"/>
      <c r="K213" s="3"/>
      <c r="L213" s="3"/>
      <c r="M213" s="3"/>
      <c r="N213" s="1"/>
      <c r="O213" s="157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4"/>
      <c r="C214" s="374"/>
      <c r="D214" s="374"/>
      <c r="E214" s="188"/>
      <c r="F214" s="273"/>
      <c r="G214" s="273"/>
      <c r="H214" s="273"/>
      <c r="I214" s="273"/>
      <c r="J214" s="273"/>
      <c r="K214" s="3"/>
      <c r="L214" s="3"/>
      <c r="M214" s="3"/>
      <c r="N214" s="1"/>
      <c r="O214" s="157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4"/>
      <c r="C215" s="374"/>
      <c r="D215" s="374"/>
      <c r="E215" s="188"/>
      <c r="F215" s="273"/>
      <c r="G215" s="273"/>
      <c r="H215" s="273"/>
      <c r="I215" s="273"/>
      <c r="J215" s="273"/>
      <c r="K215" s="3"/>
      <c r="L215" s="3"/>
      <c r="M215" s="3"/>
      <c r="N215" s="1"/>
      <c r="O215" s="157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4"/>
      <c r="C216" s="374"/>
      <c r="D216" s="374"/>
      <c r="E216" s="188"/>
      <c r="F216" s="273"/>
      <c r="G216" s="273"/>
      <c r="H216" s="273"/>
      <c r="I216" s="273"/>
      <c r="J216" s="273"/>
      <c r="K216" s="3"/>
      <c r="L216" s="3"/>
      <c r="M216" s="3"/>
      <c r="N216" s="1"/>
      <c r="O216" s="157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4"/>
      <c r="C217" s="374"/>
      <c r="D217" s="374"/>
      <c r="E217" s="188"/>
      <c r="F217" s="273"/>
      <c r="G217" s="273"/>
      <c r="H217" s="273"/>
      <c r="I217" s="273"/>
      <c r="J217" s="273"/>
      <c r="K217" s="3"/>
      <c r="L217" s="3"/>
      <c r="M217" s="3"/>
      <c r="N217" s="1"/>
      <c r="O217" s="157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4"/>
      <c r="C218" s="374"/>
      <c r="D218" s="374"/>
      <c r="E218" s="188"/>
      <c r="F218" s="273"/>
      <c r="G218" s="273"/>
      <c r="H218" s="273"/>
      <c r="I218" s="273"/>
      <c r="J218" s="273"/>
      <c r="K218" s="3"/>
      <c r="L218" s="3"/>
      <c r="M218" s="3"/>
      <c r="N218" s="1"/>
      <c r="O218" s="157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4"/>
      <c r="C219" s="374"/>
      <c r="D219" s="374"/>
      <c r="E219" s="188"/>
      <c r="F219" s="273"/>
      <c r="G219" s="273"/>
      <c r="H219" s="273"/>
      <c r="I219" s="273"/>
      <c r="J219" s="273"/>
      <c r="K219" s="3"/>
      <c r="L219" s="3"/>
      <c r="M219" s="3"/>
      <c r="N219" s="1"/>
      <c r="O219" s="157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4"/>
      <c r="C220" s="374"/>
      <c r="D220" s="374"/>
      <c r="E220" s="188"/>
      <c r="F220" s="273"/>
      <c r="G220" s="273"/>
      <c r="H220" s="273"/>
      <c r="I220" s="273"/>
      <c r="J220" s="273"/>
      <c r="K220" s="3"/>
      <c r="L220" s="3"/>
      <c r="M220" s="3"/>
      <c r="N220" s="1"/>
      <c r="O220" s="157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4"/>
      <c r="C221" s="374"/>
      <c r="D221" s="374"/>
      <c r="E221" s="188"/>
      <c r="F221" s="273"/>
      <c r="G221" s="273"/>
      <c r="H221" s="273"/>
      <c r="I221" s="273"/>
      <c r="J221" s="273"/>
      <c r="K221" s="3"/>
      <c r="L221" s="3"/>
      <c r="M221" s="3"/>
      <c r="N221" s="1"/>
      <c r="O221" s="157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4"/>
      <c r="C222" s="374"/>
      <c r="D222" s="374"/>
      <c r="E222" s="188"/>
      <c r="F222" s="273"/>
      <c r="G222" s="273"/>
      <c r="H222" s="273"/>
      <c r="I222" s="273"/>
      <c r="J222" s="273"/>
      <c r="K222" s="3"/>
      <c r="L222" s="3"/>
      <c r="M222" s="3"/>
      <c r="N222" s="1"/>
      <c r="O222" s="157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4"/>
      <c r="C223" s="374"/>
      <c r="D223" s="374"/>
      <c r="E223" s="188"/>
      <c r="F223" s="273"/>
      <c r="G223" s="273"/>
      <c r="H223" s="273"/>
      <c r="I223" s="273"/>
      <c r="J223" s="273"/>
      <c r="K223" s="3"/>
      <c r="L223" s="3"/>
      <c r="M223" s="3"/>
      <c r="N223" s="1"/>
      <c r="O223" s="157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4"/>
      <c r="C224" s="374"/>
      <c r="D224" s="374"/>
      <c r="E224" s="188"/>
      <c r="F224" s="273"/>
      <c r="G224" s="273"/>
      <c r="H224" s="273"/>
      <c r="I224" s="273"/>
      <c r="J224" s="273"/>
      <c r="K224" s="3"/>
      <c r="L224" s="3"/>
      <c r="M224" s="3"/>
      <c r="N224" s="1"/>
      <c r="O224" s="157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4"/>
      <c r="C225" s="374"/>
      <c r="D225" s="374"/>
      <c r="E225" s="188"/>
      <c r="F225" s="273"/>
      <c r="G225" s="273"/>
      <c r="H225" s="273"/>
      <c r="I225" s="273"/>
      <c r="J225" s="273"/>
      <c r="K225" s="3"/>
      <c r="L225" s="3"/>
      <c r="M225" s="3"/>
      <c r="N225" s="1"/>
      <c r="O225" s="157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4"/>
      <c r="C226" s="374"/>
      <c r="D226" s="374"/>
      <c r="E226" s="188"/>
      <c r="F226" s="273"/>
      <c r="G226" s="273"/>
      <c r="H226" s="273"/>
      <c r="I226" s="273"/>
      <c r="J226" s="273"/>
      <c r="K226" s="3"/>
      <c r="L226" s="3"/>
      <c r="M226" s="3"/>
      <c r="N226" s="1"/>
      <c r="O226" s="157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4"/>
      <c r="C227" s="374"/>
      <c r="D227" s="374"/>
      <c r="E227" s="188"/>
      <c r="F227" s="273"/>
      <c r="G227" s="273"/>
      <c r="H227" s="273"/>
      <c r="I227" s="273"/>
      <c r="J227" s="273"/>
      <c r="K227" s="3"/>
      <c r="L227" s="3"/>
      <c r="M227" s="3"/>
      <c r="N227" s="1"/>
      <c r="O227" s="157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4"/>
      <c r="C228" s="374"/>
      <c r="D228" s="374"/>
      <c r="E228" s="188"/>
      <c r="F228" s="273"/>
      <c r="G228" s="273"/>
      <c r="H228" s="273"/>
      <c r="I228" s="273"/>
      <c r="J228" s="273"/>
      <c r="K228" s="3"/>
      <c r="L228" s="3"/>
      <c r="M228" s="3"/>
      <c r="N228" s="1"/>
      <c r="O228" s="157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4"/>
      <c r="C229" s="374"/>
      <c r="D229" s="374"/>
      <c r="E229" s="188"/>
      <c r="F229" s="273"/>
      <c r="G229" s="273"/>
      <c r="H229" s="273"/>
      <c r="I229" s="273"/>
      <c r="J229" s="273"/>
      <c r="K229" s="3"/>
      <c r="L229" s="3"/>
      <c r="M229" s="3"/>
      <c r="N229" s="1"/>
      <c r="O229" s="157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4"/>
      <c r="C230" s="374"/>
      <c r="D230" s="374"/>
      <c r="E230" s="188"/>
      <c r="F230" s="273"/>
      <c r="G230" s="273"/>
      <c r="H230" s="273"/>
      <c r="I230" s="273"/>
      <c r="J230" s="273"/>
      <c r="K230" s="3"/>
      <c r="L230" s="3"/>
      <c r="M230" s="3"/>
      <c r="N230" s="1"/>
      <c r="O230" s="157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4"/>
      <c r="C231" s="374"/>
      <c r="D231" s="374"/>
      <c r="E231" s="188"/>
      <c r="F231" s="273"/>
      <c r="G231" s="273"/>
      <c r="H231" s="273"/>
      <c r="I231" s="273"/>
      <c r="J231" s="273"/>
      <c r="K231" s="3"/>
      <c r="L231" s="3"/>
      <c r="M231" s="3"/>
      <c r="N231" s="1"/>
      <c r="O231" s="157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4"/>
      <c r="C232" s="374"/>
      <c r="D232" s="374"/>
      <c r="E232" s="188"/>
      <c r="F232" s="273"/>
      <c r="G232" s="273"/>
      <c r="H232" s="273"/>
      <c r="I232" s="273"/>
      <c r="J232" s="273"/>
      <c r="K232" s="3"/>
      <c r="L232" s="3"/>
      <c r="M232" s="3"/>
      <c r="N232" s="1"/>
      <c r="O232" s="157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4"/>
      <c r="C233" s="374"/>
      <c r="D233" s="374"/>
      <c r="E233" s="188"/>
      <c r="F233" s="273"/>
      <c r="G233" s="273"/>
      <c r="H233" s="273"/>
      <c r="I233" s="273"/>
      <c r="J233" s="273"/>
      <c r="K233" s="3"/>
      <c r="L233" s="3"/>
      <c r="M233" s="3"/>
      <c r="N233" s="1"/>
      <c r="O233" s="157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4"/>
      <c r="C234" s="374"/>
      <c r="D234" s="374"/>
      <c r="E234" s="188"/>
      <c r="F234" s="273"/>
      <c r="G234" s="273"/>
      <c r="H234" s="273"/>
      <c r="I234" s="273"/>
      <c r="J234" s="273"/>
      <c r="K234" s="3"/>
      <c r="L234" s="3"/>
      <c r="M234" s="3"/>
      <c r="N234" s="1"/>
      <c r="O234" s="157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4"/>
      <c r="C235" s="374"/>
      <c r="D235" s="374"/>
      <c r="E235" s="188"/>
      <c r="F235" s="273"/>
      <c r="G235" s="273"/>
      <c r="H235" s="273"/>
      <c r="I235" s="273"/>
      <c r="J235" s="273"/>
      <c r="K235" s="3"/>
      <c r="L235" s="3"/>
      <c r="M235" s="3"/>
      <c r="N235" s="1"/>
      <c r="O235" s="157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4"/>
      <c r="C236" s="374"/>
      <c r="D236" s="374"/>
      <c r="E236" s="188"/>
      <c r="F236" s="273"/>
      <c r="G236" s="273"/>
      <c r="H236" s="273"/>
      <c r="I236" s="273"/>
      <c r="J236" s="273"/>
      <c r="K236" s="3"/>
      <c r="L236" s="3"/>
      <c r="M236" s="3"/>
      <c r="N236" s="1"/>
      <c r="O236" s="157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4"/>
      <c r="C237" s="374"/>
      <c r="D237" s="374"/>
      <c r="E237" s="188"/>
      <c r="F237" s="273"/>
      <c r="G237" s="273"/>
      <c r="H237" s="273"/>
      <c r="I237" s="273"/>
      <c r="J237" s="273"/>
      <c r="K237" s="3"/>
      <c r="L237" s="3"/>
      <c r="M237" s="3"/>
      <c r="N237" s="1"/>
      <c r="O237" s="157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4"/>
      <c r="C238" s="374"/>
      <c r="D238" s="374"/>
      <c r="E238" s="188"/>
      <c r="F238" s="273"/>
      <c r="G238" s="273"/>
      <c r="H238" s="273"/>
      <c r="I238" s="273"/>
      <c r="J238" s="273"/>
      <c r="K238" s="3"/>
      <c r="L238" s="3"/>
      <c r="M238" s="3"/>
      <c r="N238" s="1"/>
      <c r="O238" s="157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4"/>
      <c r="C239" s="374"/>
      <c r="D239" s="374"/>
      <c r="E239" s="188"/>
      <c r="F239" s="273"/>
      <c r="G239" s="273"/>
      <c r="H239" s="273"/>
      <c r="I239" s="273"/>
      <c r="J239" s="273"/>
      <c r="K239" s="3"/>
      <c r="L239" s="3"/>
      <c r="M239" s="3"/>
      <c r="N239" s="1"/>
      <c r="O239" s="157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4"/>
      <c r="C240" s="374"/>
      <c r="D240" s="374"/>
      <c r="E240" s="188"/>
      <c r="F240" s="273"/>
      <c r="G240" s="273"/>
      <c r="H240" s="273"/>
      <c r="I240" s="273"/>
      <c r="J240" s="273"/>
      <c r="K240" s="3"/>
      <c r="L240" s="3"/>
      <c r="M240" s="3"/>
      <c r="N240" s="1"/>
      <c r="O240" s="157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4"/>
      <c r="C241" s="374"/>
      <c r="D241" s="374"/>
      <c r="E241" s="188"/>
      <c r="F241" s="273"/>
      <c r="G241" s="273"/>
      <c r="H241" s="273"/>
      <c r="I241" s="273"/>
      <c r="J241" s="273"/>
      <c r="K241" s="3"/>
      <c r="L241" s="3"/>
      <c r="M241" s="3"/>
      <c r="N241" s="1"/>
      <c r="O241" s="157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4"/>
      <c r="C242" s="374"/>
      <c r="D242" s="374"/>
      <c r="E242" s="188"/>
      <c r="F242" s="273"/>
      <c r="G242" s="273"/>
      <c r="H242" s="273"/>
      <c r="I242" s="273"/>
      <c r="J242" s="273"/>
      <c r="K242" s="3"/>
      <c r="L242" s="3"/>
      <c r="M242" s="3"/>
      <c r="N242" s="1"/>
      <c r="O242" s="157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4"/>
      <c r="C243" s="374"/>
      <c r="D243" s="374"/>
      <c r="E243" s="188"/>
      <c r="F243" s="273"/>
      <c r="G243" s="273"/>
      <c r="H243" s="273"/>
      <c r="I243" s="273"/>
      <c r="J243" s="273"/>
      <c r="K243" s="3"/>
      <c r="L243" s="3"/>
      <c r="M243" s="3"/>
      <c r="N243" s="1"/>
      <c r="O243" s="157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4"/>
      <c r="C244" s="374"/>
      <c r="D244" s="374"/>
      <c r="E244" s="188"/>
      <c r="F244" s="273"/>
      <c r="G244" s="273"/>
      <c r="H244" s="273"/>
      <c r="I244" s="273"/>
      <c r="J244" s="273"/>
      <c r="K244" s="3"/>
      <c r="L244" s="3"/>
      <c r="M244" s="3"/>
      <c r="N244" s="1"/>
      <c r="O244" s="157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4"/>
      <c r="C245" s="374"/>
      <c r="D245" s="374"/>
      <c r="E245" s="188"/>
      <c r="F245" s="273"/>
      <c r="G245" s="273"/>
      <c r="H245" s="273"/>
      <c r="I245" s="273"/>
      <c r="J245" s="273"/>
      <c r="K245" s="3"/>
      <c r="L245" s="3"/>
      <c r="M245" s="3"/>
      <c r="N245" s="1"/>
      <c r="O245" s="157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4"/>
      <c r="C246" s="374"/>
      <c r="D246" s="374"/>
      <c r="E246" s="188"/>
      <c r="F246" s="273"/>
      <c r="G246" s="273"/>
      <c r="H246" s="273"/>
      <c r="I246" s="273"/>
      <c r="J246" s="273"/>
      <c r="K246" s="3"/>
      <c r="L246" s="3"/>
      <c r="M246" s="3"/>
      <c r="N246" s="1"/>
      <c r="O246" s="157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4"/>
      <c r="C247" s="374"/>
      <c r="D247" s="374"/>
      <c r="E247" s="188"/>
      <c r="F247" s="273"/>
      <c r="G247" s="273"/>
      <c r="H247" s="273"/>
      <c r="I247" s="273"/>
      <c r="J247" s="273"/>
      <c r="K247" s="3"/>
      <c r="L247" s="3"/>
      <c r="M247" s="3"/>
      <c r="N247" s="1"/>
      <c r="O247" s="157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4"/>
      <c r="C248" s="374"/>
      <c r="D248" s="374"/>
      <c r="E248" s="188"/>
      <c r="F248" s="273"/>
      <c r="G248" s="273"/>
      <c r="H248" s="273"/>
      <c r="I248" s="273"/>
      <c r="J248" s="273"/>
      <c r="K248" s="3"/>
      <c r="L248" s="3"/>
      <c r="M248" s="3"/>
      <c r="N248" s="1"/>
      <c r="O248" s="157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4"/>
      <c r="C249" s="374"/>
      <c r="D249" s="374"/>
      <c r="E249" s="188"/>
      <c r="F249" s="273"/>
      <c r="G249" s="273"/>
      <c r="H249" s="273"/>
      <c r="I249" s="273"/>
      <c r="J249" s="273"/>
      <c r="K249" s="3"/>
      <c r="L249" s="3"/>
      <c r="M249" s="3"/>
      <c r="N249" s="1"/>
      <c r="O249" s="157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4"/>
      <c r="C250" s="374"/>
      <c r="D250" s="374"/>
      <c r="E250" s="188"/>
      <c r="F250" s="273"/>
      <c r="G250" s="273"/>
      <c r="H250" s="273"/>
      <c r="I250" s="273"/>
      <c r="J250" s="273"/>
      <c r="K250" s="3"/>
      <c r="L250" s="3"/>
      <c r="M250" s="3"/>
      <c r="N250" s="1"/>
      <c r="O250" s="157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4"/>
      <c r="C251" s="374"/>
      <c r="D251" s="374"/>
      <c r="E251" s="188"/>
      <c r="F251" s="273"/>
      <c r="G251" s="273"/>
      <c r="H251" s="273"/>
      <c r="I251" s="273"/>
      <c r="J251" s="273"/>
      <c r="K251" s="3"/>
      <c r="L251" s="3"/>
      <c r="M251" s="3"/>
      <c r="N251" s="1"/>
      <c r="O251" s="157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4"/>
      <c r="C252" s="374"/>
      <c r="D252" s="374"/>
      <c r="E252" s="188"/>
      <c r="F252" s="273"/>
      <c r="G252" s="273"/>
      <c r="H252" s="273"/>
      <c r="I252" s="273"/>
      <c r="J252" s="273"/>
      <c r="K252" s="3"/>
      <c r="L252" s="3"/>
      <c r="M252" s="3"/>
      <c r="N252" s="1"/>
      <c r="O252" s="157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4"/>
      <c r="C253" s="374"/>
      <c r="D253" s="374"/>
      <c r="E253" s="188"/>
      <c r="F253" s="273"/>
      <c r="G253" s="273"/>
      <c r="H253" s="273"/>
      <c r="I253" s="273"/>
      <c r="J253" s="273"/>
      <c r="K253" s="3"/>
      <c r="L253" s="3"/>
      <c r="M253" s="3"/>
      <c r="N253" s="1"/>
      <c r="O253" s="157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4"/>
      <c r="C254" s="374"/>
      <c r="D254" s="374"/>
      <c r="E254" s="188"/>
      <c r="F254" s="273"/>
      <c r="G254" s="273"/>
      <c r="H254" s="273"/>
      <c r="I254" s="273"/>
      <c r="J254" s="273"/>
      <c r="K254" s="3"/>
      <c r="L254" s="3"/>
      <c r="M254" s="3"/>
      <c r="N254" s="1"/>
      <c r="O254" s="157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4"/>
      <c r="C255" s="374"/>
      <c r="D255" s="374"/>
      <c r="E255" s="188"/>
      <c r="F255" s="273"/>
      <c r="G255" s="273"/>
      <c r="H255" s="273"/>
      <c r="I255" s="273"/>
      <c r="J255" s="273"/>
      <c r="K255" s="3"/>
      <c r="L255" s="3"/>
      <c r="M255" s="3"/>
      <c r="N255" s="1"/>
      <c r="O255" s="157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4"/>
      <c r="C256" s="374"/>
      <c r="D256" s="374"/>
      <c r="E256" s="188"/>
      <c r="F256" s="273"/>
      <c r="G256" s="273"/>
      <c r="H256" s="273"/>
      <c r="I256" s="273"/>
      <c r="J256" s="273"/>
      <c r="K256" s="3"/>
      <c r="L256" s="3"/>
      <c r="M256" s="3"/>
      <c r="N256" s="1"/>
      <c r="O256" s="157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4"/>
      <c r="C257" s="374"/>
      <c r="D257" s="374"/>
      <c r="E257" s="188"/>
      <c r="F257" s="273"/>
      <c r="G257" s="273"/>
      <c r="H257" s="273"/>
      <c r="I257" s="273"/>
      <c r="J257" s="273"/>
      <c r="K257" s="3"/>
      <c r="L257" s="3"/>
      <c r="M257" s="3"/>
      <c r="N257" s="1"/>
      <c r="O257" s="157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4"/>
      <c r="C258" s="374"/>
      <c r="D258" s="374"/>
      <c r="E258" s="188"/>
      <c r="F258" s="273"/>
      <c r="G258" s="273"/>
      <c r="H258" s="273"/>
      <c r="I258" s="273"/>
      <c r="J258" s="273"/>
      <c r="K258" s="3"/>
      <c r="L258" s="3"/>
      <c r="M258" s="3"/>
      <c r="N258" s="1"/>
      <c r="O258" s="157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4"/>
      <c r="C259" s="374"/>
      <c r="D259" s="374"/>
      <c r="E259" s="188"/>
      <c r="F259" s="273"/>
      <c r="G259" s="273"/>
      <c r="H259" s="273"/>
      <c r="I259" s="273"/>
      <c r="J259" s="273"/>
      <c r="K259" s="3"/>
      <c r="L259" s="3"/>
      <c r="M259" s="3"/>
      <c r="N259" s="1"/>
      <c r="O259" s="157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4"/>
      <c r="C260" s="374"/>
      <c r="D260" s="374"/>
      <c r="E260" s="188"/>
      <c r="F260" s="273"/>
      <c r="G260" s="273"/>
      <c r="H260" s="273"/>
      <c r="I260" s="273"/>
      <c r="J260" s="273"/>
      <c r="K260" s="3"/>
      <c r="L260" s="3"/>
      <c r="M260" s="3"/>
      <c r="N260" s="1"/>
      <c r="O260" s="157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4"/>
      <c r="C261" s="374"/>
      <c r="D261" s="374"/>
      <c r="E261" s="188"/>
      <c r="F261" s="273"/>
      <c r="G261" s="273"/>
      <c r="H261" s="273"/>
      <c r="I261" s="273"/>
      <c r="J261" s="273"/>
      <c r="K261" s="3"/>
      <c r="L261" s="3"/>
      <c r="M261" s="3"/>
      <c r="N261" s="1"/>
      <c r="O261" s="157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4"/>
      <c r="C262" s="374"/>
      <c r="D262" s="374"/>
      <c r="E262" s="188"/>
      <c r="F262" s="273"/>
      <c r="G262" s="273"/>
      <c r="H262" s="273"/>
      <c r="I262" s="273"/>
      <c r="J262" s="273"/>
      <c r="K262" s="3"/>
      <c r="L262" s="3"/>
      <c r="M262" s="3"/>
      <c r="N262" s="1"/>
      <c r="O262" s="157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4"/>
      <c r="C263" s="374"/>
      <c r="D263" s="374"/>
      <c r="E263" s="188"/>
      <c r="F263" s="273"/>
      <c r="G263" s="273"/>
      <c r="H263" s="273"/>
      <c r="I263" s="273"/>
      <c r="J263" s="273"/>
      <c r="K263" s="3"/>
      <c r="L263" s="3"/>
      <c r="M263" s="3"/>
      <c r="N263" s="1"/>
      <c r="O263" s="157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4"/>
      <c r="C264" s="374"/>
      <c r="D264" s="374"/>
      <c r="E264" s="188"/>
      <c r="F264" s="273"/>
      <c r="G264" s="273"/>
      <c r="H264" s="273"/>
      <c r="I264" s="273"/>
      <c r="J264" s="273"/>
      <c r="K264" s="3"/>
      <c r="L264" s="3"/>
      <c r="M264" s="3"/>
      <c r="N264" s="1"/>
      <c r="O264" s="157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4"/>
      <c r="C265" s="374"/>
      <c r="D265" s="374"/>
      <c r="E265" s="188"/>
      <c r="F265" s="273"/>
      <c r="G265" s="273"/>
      <c r="H265" s="273"/>
      <c r="I265" s="273"/>
      <c r="J265" s="273"/>
      <c r="K265" s="3"/>
      <c r="L265" s="3"/>
      <c r="M265" s="3"/>
      <c r="N265" s="1"/>
      <c r="O265" s="157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4"/>
      <c r="C266" s="374"/>
      <c r="D266" s="374"/>
      <c r="E266" s="188"/>
      <c r="F266" s="273"/>
      <c r="G266" s="273"/>
      <c r="H266" s="273"/>
      <c r="I266" s="273"/>
      <c r="J266" s="273"/>
      <c r="K266" s="3"/>
      <c r="L266" s="3"/>
      <c r="M266" s="3"/>
      <c r="N266" s="1"/>
      <c r="O266" s="157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4"/>
      <c r="C267" s="374"/>
      <c r="D267" s="374"/>
      <c r="E267" s="188"/>
      <c r="F267" s="273"/>
      <c r="G267" s="273"/>
      <c r="H267" s="273"/>
      <c r="I267" s="273"/>
      <c r="J267" s="273"/>
      <c r="K267" s="3"/>
      <c r="L267" s="3"/>
      <c r="M267" s="3"/>
      <c r="N267" s="1"/>
      <c r="O267" s="157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4"/>
      <c r="C268" s="374"/>
      <c r="D268" s="374"/>
      <c r="E268" s="188"/>
      <c r="F268" s="273"/>
      <c r="G268" s="273"/>
      <c r="H268" s="273"/>
      <c r="I268" s="273"/>
      <c r="J268" s="273"/>
      <c r="K268" s="3"/>
      <c r="L268" s="3"/>
      <c r="M268" s="3"/>
      <c r="N268" s="1"/>
      <c r="O268" s="157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4"/>
      <c r="C269" s="374"/>
      <c r="D269" s="374"/>
      <c r="E269" s="188"/>
      <c r="F269" s="273"/>
      <c r="G269" s="273"/>
      <c r="H269" s="273"/>
      <c r="I269" s="273"/>
      <c r="J269" s="273"/>
      <c r="K269" s="3"/>
      <c r="L269" s="3"/>
      <c r="M269" s="3"/>
      <c r="N269" s="1"/>
      <c r="O269" s="157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4"/>
      <c r="C270" s="374"/>
      <c r="D270" s="374"/>
      <c r="E270" s="188"/>
      <c r="F270" s="273"/>
      <c r="G270" s="273"/>
      <c r="H270" s="273"/>
      <c r="I270" s="273"/>
      <c r="J270" s="273"/>
      <c r="K270" s="3"/>
      <c r="L270" s="3"/>
      <c r="M270" s="3"/>
      <c r="N270" s="1"/>
      <c r="O270" s="157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4"/>
      <c r="C271" s="374"/>
      <c r="D271" s="374"/>
      <c r="E271" s="188"/>
      <c r="F271" s="273"/>
      <c r="G271" s="273"/>
      <c r="H271" s="273"/>
      <c r="I271" s="273"/>
      <c r="J271" s="273"/>
      <c r="K271" s="3"/>
      <c r="L271" s="3"/>
      <c r="M271" s="3"/>
      <c r="N271" s="1"/>
      <c r="O271" s="157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4"/>
      <c r="C272" s="374"/>
      <c r="D272" s="374"/>
      <c r="E272" s="188"/>
      <c r="F272" s="273"/>
      <c r="G272" s="273"/>
      <c r="H272" s="273"/>
      <c r="I272" s="273"/>
      <c r="J272" s="273"/>
      <c r="K272" s="3"/>
      <c r="L272" s="3"/>
      <c r="M272" s="3"/>
      <c r="N272" s="1"/>
      <c r="O272" s="157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4"/>
      <c r="C273" s="374"/>
      <c r="D273" s="374"/>
      <c r="E273" s="188"/>
      <c r="F273" s="273"/>
      <c r="G273" s="273"/>
      <c r="H273" s="273"/>
      <c r="I273" s="273"/>
      <c r="J273" s="273"/>
      <c r="K273" s="3"/>
      <c r="L273" s="3"/>
      <c r="M273" s="3"/>
      <c r="N273" s="1"/>
      <c r="O273" s="157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4"/>
      <c r="C274" s="374"/>
      <c r="D274" s="374"/>
      <c r="E274" s="188"/>
      <c r="F274" s="273"/>
      <c r="G274" s="273"/>
      <c r="H274" s="273"/>
      <c r="I274" s="273"/>
      <c r="J274" s="273"/>
      <c r="K274" s="3"/>
      <c r="L274" s="3"/>
      <c r="M274" s="3"/>
      <c r="N274" s="1"/>
      <c r="O274" s="157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4"/>
      <c r="C275" s="374"/>
      <c r="D275" s="374"/>
      <c r="E275" s="188"/>
      <c r="F275" s="273"/>
      <c r="G275" s="273"/>
      <c r="H275" s="273"/>
      <c r="I275" s="273"/>
      <c r="J275" s="273"/>
      <c r="K275" s="3"/>
      <c r="L275" s="3"/>
      <c r="M275" s="3"/>
      <c r="N275" s="1"/>
      <c r="O275" s="157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4"/>
      <c r="C276" s="374"/>
      <c r="D276" s="374"/>
      <c r="E276" s="188"/>
      <c r="F276" s="273"/>
      <c r="G276" s="273"/>
      <c r="H276" s="273"/>
      <c r="I276" s="273"/>
      <c r="J276" s="273"/>
      <c r="K276" s="3"/>
      <c r="L276" s="3"/>
      <c r="M276" s="3"/>
      <c r="N276" s="1"/>
      <c r="O276" s="157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4"/>
      <c r="C277" s="374"/>
      <c r="D277" s="374"/>
      <c r="E277" s="188"/>
      <c r="F277" s="273"/>
      <c r="G277" s="273"/>
      <c r="H277" s="273"/>
      <c r="I277" s="273"/>
      <c r="J277" s="273"/>
      <c r="K277" s="3"/>
      <c r="L277" s="3"/>
      <c r="M277" s="3"/>
      <c r="N277" s="1"/>
      <c r="O277" s="157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4"/>
      <c r="C278" s="374"/>
      <c r="D278" s="374"/>
      <c r="E278" s="188"/>
      <c r="F278" s="273"/>
      <c r="G278" s="273"/>
      <c r="H278" s="273"/>
      <c r="I278" s="273"/>
      <c r="J278" s="273"/>
      <c r="K278" s="3"/>
      <c r="L278" s="3"/>
      <c r="M278" s="3"/>
      <c r="N278" s="1"/>
      <c r="O278" s="157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4"/>
      <c r="C279" s="374"/>
      <c r="D279" s="374"/>
      <c r="E279" s="188"/>
      <c r="F279" s="273"/>
      <c r="G279" s="273"/>
      <c r="H279" s="273"/>
      <c r="I279" s="273"/>
      <c r="J279" s="273"/>
      <c r="K279" s="3"/>
      <c r="L279" s="3"/>
      <c r="M279" s="3"/>
      <c r="N279" s="1"/>
      <c r="O279" s="157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4"/>
      <c r="C280" s="374"/>
      <c r="D280" s="374"/>
      <c r="E280" s="188"/>
      <c r="F280" s="273"/>
      <c r="G280" s="273"/>
      <c r="H280" s="273"/>
      <c r="I280" s="273"/>
      <c r="J280" s="273"/>
      <c r="K280" s="3"/>
      <c r="L280" s="3"/>
      <c r="M280" s="3"/>
      <c r="N280" s="1"/>
      <c r="O280" s="157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4"/>
      <c r="C281" s="374"/>
      <c r="D281" s="374"/>
      <c r="E281" s="188"/>
      <c r="F281" s="273"/>
      <c r="G281" s="273"/>
      <c r="H281" s="273"/>
      <c r="I281" s="273"/>
      <c r="J281" s="273"/>
      <c r="K281" s="3"/>
      <c r="L281" s="3"/>
      <c r="M281" s="3"/>
      <c r="N281" s="1"/>
      <c r="O281" s="157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4"/>
      <c r="C282" s="374"/>
      <c r="D282" s="374"/>
      <c r="E282" s="188"/>
      <c r="F282" s="273"/>
      <c r="G282" s="273"/>
      <c r="H282" s="273"/>
      <c r="I282" s="273"/>
      <c r="J282" s="273"/>
      <c r="K282" s="3"/>
      <c r="L282" s="3"/>
      <c r="M282" s="3"/>
      <c r="N282" s="1"/>
      <c r="O282" s="157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4"/>
      <c r="C283" s="374"/>
      <c r="D283" s="374"/>
      <c r="E283" s="188"/>
      <c r="F283" s="273"/>
      <c r="G283" s="273"/>
      <c r="H283" s="273"/>
      <c r="I283" s="273"/>
      <c r="J283" s="273"/>
      <c r="K283" s="3"/>
      <c r="L283" s="3"/>
      <c r="M283" s="3"/>
      <c r="N283" s="1"/>
      <c r="O283" s="157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4"/>
      <c r="C284" s="374"/>
      <c r="D284" s="374"/>
      <c r="E284" s="188"/>
      <c r="F284" s="273"/>
      <c r="G284" s="273"/>
      <c r="H284" s="273"/>
      <c r="I284" s="273"/>
      <c r="J284" s="273"/>
      <c r="K284" s="3"/>
      <c r="L284" s="3"/>
      <c r="M284" s="3"/>
      <c r="N284" s="1"/>
      <c r="O284" s="157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4"/>
      <c r="C285" s="374"/>
      <c r="D285" s="374"/>
      <c r="E285" s="188"/>
      <c r="F285" s="273"/>
      <c r="G285" s="273"/>
      <c r="H285" s="273"/>
      <c r="I285" s="273"/>
      <c r="J285" s="273"/>
      <c r="K285" s="3"/>
      <c r="L285" s="3"/>
      <c r="M285" s="3"/>
      <c r="N285" s="1"/>
      <c r="O285" s="157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4"/>
      <c r="C286" s="374"/>
      <c r="D286" s="374"/>
      <c r="E286" s="188"/>
      <c r="F286" s="273"/>
      <c r="G286" s="273"/>
      <c r="H286" s="273"/>
      <c r="I286" s="273"/>
      <c r="J286" s="273"/>
      <c r="K286" s="3"/>
      <c r="L286" s="3"/>
      <c r="M286" s="3"/>
      <c r="N286" s="1"/>
      <c r="O286" s="157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4"/>
      <c r="C287" s="374"/>
      <c r="D287" s="374"/>
      <c r="E287" s="188"/>
      <c r="F287" s="273"/>
      <c r="G287" s="273"/>
      <c r="H287" s="273"/>
      <c r="I287" s="273"/>
      <c r="J287" s="273"/>
      <c r="K287" s="3"/>
      <c r="L287" s="3"/>
      <c r="M287" s="3"/>
      <c r="N287" s="1"/>
      <c r="O287" s="157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4"/>
      <c r="C288" s="374"/>
      <c r="D288" s="374"/>
      <c r="E288" s="188"/>
      <c r="F288" s="273"/>
      <c r="G288" s="273"/>
      <c r="H288" s="273"/>
      <c r="I288" s="273"/>
      <c r="J288" s="273"/>
      <c r="K288" s="3"/>
      <c r="L288" s="3"/>
      <c r="M288" s="3"/>
      <c r="N288" s="1"/>
      <c r="O288" s="157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4"/>
      <c r="C289" s="374"/>
      <c r="D289" s="374"/>
      <c r="E289" s="188"/>
      <c r="F289" s="273"/>
      <c r="G289" s="273"/>
      <c r="H289" s="273"/>
      <c r="I289" s="273"/>
      <c r="J289" s="273"/>
      <c r="K289" s="3"/>
      <c r="L289" s="3"/>
      <c r="M289" s="3"/>
      <c r="N289" s="1"/>
      <c r="O289" s="157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4"/>
      <c r="C290" s="374"/>
      <c r="D290" s="374"/>
      <c r="E290" s="188"/>
      <c r="F290" s="273"/>
      <c r="G290" s="273"/>
      <c r="H290" s="273"/>
      <c r="I290" s="273"/>
      <c r="J290" s="273"/>
      <c r="K290" s="3"/>
      <c r="L290" s="3"/>
      <c r="M290" s="3"/>
      <c r="N290" s="1"/>
      <c r="O290" s="157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4"/>
      <c r="C291" s="374"/>
      <c r="D291" s="374"/>
      <c r="E291" s="188"/>
      <c r="F291" s="273"/>
      <c r="G291" s="273"/>
      <c r="H291" s="273"/>
      <c r="I291" s="273"/>
      <c r="J291" s="273"/>
      <c r="K291" s="3"/>
      <c r="L291" s="3"/>
      <c r="M291" s="3"/>
      <c r="N291" s="1"/>
      <c r="O291" s="157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4"/>
      <c r="C292" s="374"/>
      <c r="D292" s="374"/>
      <c r="E292" s="188"/>
      <c r="F292" s="273"/>
      <c r="G292" s="273"/>
      <c r="H292" s="273"/>
      <c r="I292" s="273"/>
      <c r="J292" s="273"/>
      <c r="K292" s="3"/>
      <c r="L292" s="3"/>
      <c r="M292" s="3"/>
      <c r="N292" s="1"/>
      <c r="O292" s="157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4"/>
      <c r="C293" s="374"/>
      <c r="D293" s="374"/>
      <c r="E293" s="188"/>
      <c r="F293" s="273"/>
      <c r="G293" s="273"/>
      <c r="H293" s="273"/>
      <c r="I293" s="273"/>
      <c r="J293" s="273"/>
      <c r="K293" s="3"/>
      <c r="L293" s="3"/>
      <c r="M293" s="3"/>
      <c r="N293" s="1"/>
      <c r="O293" s="157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4"/>
      <c r="C294" s="374"/>
      <c r="D294" s="374"/>
      <c r="E294" s="188"/>
      <c r="F294" s="273"/>
      <c r="G294" s="273"/>
      <c r="H294" s="273"/>
      <c r="I294" s="273"/>
      <c r="J294" s="273"/>
      <c r="K294" s="3"/>
      <c r="L294" s="3"/>
      <c r="M294" s="3"/>
      <c r="N294" s="1"/>
      <c r="O294" s="157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4"/>
      <c r="C295" s="374"/>
      <c r="D295" s="374"/>
      <c r="E295" s="188"/>
      <c r="F295" s="273"/>
      <c r="G295" s="273"/>
      <c r="H295" s="273"/>
      <c r="I295" s="273"/>
      <c r="J295" s="273"/>
      <c r="K295" s="3"/>
      <c r="L295" s="3"/>
      <c r="M295" s="3"/>
      <c r="N295" s="1"/>
      <c r="O295" s="157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4"/>
      <c r="C296" s="374"/>
      <c r="D296" s="374"/>
      <c r="E296" s="188"/>
      <c r="F296" s="273"/>
      <c r="G296" s="273"/>
      <c r="H296" s="273"/>
      <c r="I296" s="273"/>
      <c r="J296" s="273"/>
      <c r="K296" s="3"/>
      <c r="L296" s="3"/>
      <c r="M296" s="3"/>
      <c r="N296" s="1"/>
      <c r="O296" s="157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4"/>
      <c r="C297" s="374"/>
      <c r="D297" s="374"/>
      <c r="E297" s="188"/>
      <c r="F297" s="273"/>
      <c r="G297" s="273"/>
      <c r="H297" s="273"/>
      <c r="I297" s="273"/>
      <c r="J297" s="273"/>
      <c r="K297" s="3"/>
      <c r="L297" s="3"/>
      <c r="M297" s="3"/>
      <c r="N297" s="1"/>
      <c r="O297" s="157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4"/>
      <c r="C298" s="374"/>
      <c r="D298" s="374"/>
      <c r="E298" s="188"/>
      <c r="F298" s="273"/>
      <c r="G298" s="273"/>
      <c r="H298" s="273"/>
      <c r="I298" s="273"/>
      <c r="J298" s="273"/>
      <c r="K298" s="3"/>
      <c r="L298" s="3"/>
      <c r="M298" s="3"/>
      <c r="N298" s="1"/>
      <c r="O298" s="157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4"/>
      <c r="C299" s="374"/>
      <c r="D299" s="374"/>
      <c r="E299" s="188"/>
      <c r="F299" s="273"/>
      <c r="G299" s="273"/>
      <c r="H299" s="273"/>
      <c r="I299" s="273"/>
      <c r="J299" s="273"/>
      <c r="K299" s="3"/>
      <c r="L299" s="3"/>
      <c r="M299" s="3"/>
      <c r="N299" s="1"/>
      <c r="O299" s="157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4"/>
      <c r="C300" s="374"/>
      <c r="D300" s="374"/>
      <c r="E300" s="188"/>
      <c r="F300" s="273"/>
      <c r="G300" s="273"/>
      <c r="H300" s="273"/>
      <c r="I300" s="273"/>
      <c r="J300" s="273"/>
      <c r="K300" s="3"/>
      <c r="L300" s="3"/>
      <c r="M300" s="3"/>
      <c r="N300" s="1"/>
      <c r="O300" s="157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4"/>
      <c r="C301" s="374"/>
      <c r="D301" s="374"/>
      <c r="E301" s="188"/>
      <c r="F301" s="273"/>
      <c r="G301" s="273"/>
      <c r="H301" s="273"/>
      <c r="I301" s="273"/>
      <c r="J301" s="273"/>
      <c r="K301" s="3"/>
      <c r="L301" s="3"/>
      <c r="M301" s="3"/>
      <c r="N301" s="1"/>
      <c r="O301" s="157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4"/>
      <c r="C302" s="374"/>
      <c r="D302" s="374"/>
      <c r="E302" s="188"/>
      <c r="F302" s="273"/>
      <c r="G302" s="273"/>
      <c r="H302" s="273"/>
      <c r="I302" s="273"/>
      <c r="J302" s="273"/>
      <c r="K302" s="3"/>
      <c r="L302" s="3"/>
      <c r="M302" s="3"/>
      <c r="N302" s="1"/>
      <c r="O302" s="157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4"/>
      <c r="C303" s="374"/>
      <c r="D303" s="374"/>
      <c r="E303" s="188"/>
      <c r="F303" s="273"/>
      <c r="G303" s="273"/>
      <c r="H303" s="273"/>
      <c r="I303" s="273"/>
      <c r="J303" s="273"/>
      <c r="K303" s="3"/>
      <c r="L303" s="3"/>
      <c r="M303" s="3"/>
      <c r="N303" s="1"/>
      <c r="O303" s="157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4"/>
      <c r="C304" s="374"/>
      <c r="D304" s="374"/>
      <c r="E304" s="188"/>
      <c r="F304" s="273"/>
      <c r="G304" s="273"/>
      <c r="H304" s="273"/>
      <c r="I304" s="273"/>
      <c r="J304" s="273"/>
      <c r="K304" s="3"/>
      <c r="L304" s="3"/>
      <c r="M304" s="3"/>
      <c r="N304" s="1"/>
      <c r="O304" s="157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4"/>
      <c r="C305" s="374"/>
      <c r="D305" s="374"/>
      <c r="E305" s="188"/>
      <c r="F305" s="273"/>
      <c r="G305" s="273"/>
      <c r="H305" s="273"/>
      <c r="I305" s="273"/>
      <c r="J305" s="273"/>
      <c r="K305" s="3"/>
      <c r="L305" s="3"/>
      <c r="M305" s="3"/>
      <c r="N305" s="1"/>
      <c r="O305" s="157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4"/>
      <c r="C306" s="374"/>
      <c r="D306" s="374"/>
      <c r="E306" s="188"/>
      <c r="F306" s="273"/>
      <c r="G306" s="273"/>
      <c r="H306" s="273"/>
      <c r="I306" s="273"/>
      <c r="J306" s="273"/>
      <c r="K306" s="3"/>
      <c r="L306" s="3"/>
      <c r="M306" s="3"/>
      <c r="N306" s="1"/>
      <c r="O306" s="157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4"/>
      <c r="C307" s="374"/>
      <c r="D307" s="374"/>
      <c r="E307" s="188"/>
      <c r="F307" s="273"/>
      <c r="G307" s="273"/>
      <c r="H307" s="273"/>
      <c r="I307" s="273"/>
      <c r="J307" s="273"/>
      <c r="K307" s="3"/>
      <c r="L307" s="3"/>
      <c r="M307" s="3"/>
      <c r="N307" s="1"/>
      <c r="O307" s="157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4"/>
      <c r="C308" s="374"/>
      <c r="D308" s="374"/>
      <c r="E308" s="188"/>
      <c r="F308" s="273"/>
      <c r="G308" s="273"/>
      <c r="H308" s="273"/>
      <c r="I308" s="273"/>
      <c r="J308" s="273"/>
      <c r="K308" s="3"/>
      <c r="L308" s="3"/>
      <c r="M308" s="3"/>
      <c r="N308" s="1"/>
      <c r="O308" s="157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4"/>
      <c r="C309" s="374"/>
      <c r="D309" s="374"/>
      <c r="E309" s="188"/>
      <c r="F309" s="273"/>
      <c r="G309" s="273"/>
      <c r="H309" s="273"/>
      <c r="I309" s="273"/>
      <c r="J309" s="273"/>
      <c r="K309" s="3"/>
      <c r="L309" s="3"/>
      <c r="M309" s="3"/>
      <c r="N309" s="1"/>
      <c r="O309" s="157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4"/>
      <c r="C310" s="374"/>
      <c r="D310" s="374"/>
      <c r="E310" s="188"/>
      <c r="F310" s="273"/>
      <c r="G310" s="273"/>
      <c r="H310" s="273"/>
      <c r="I310" s="273"/>
      <c r="J310" s="273"/>
      <c r="K310" s="3"/>
      <c r="L310" s="3"/>
      <c r="M310" s="3"/>
      <c r="N310" s="1"/>
      <c r="O310" s="157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4"/>
      <c r="C311" s="374"/>
      <c r="D311" s="374"/>
      <c r="E311" s="188"/>
      <c r="F311" s="273"/>
      <c r="G311" s="273"/>
      <c r="H311" s="273"/>
      <c r="I311" s="273"/>
      <c r="J311" s="273"/>
      <c r="K311" s="3"/>
      <c r="L311" s="3"/>
      <c r="M311" s="3"/>
      <c r="N311" s="1"/>
      <c r="O311" s="157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4"/>
      <c r="C312" s="374"/>
      <c r="D312" s="374"/>
      <c r="E312" s="188"/>
      <c r="F312" s="273"/>
      <c r="G312" s="273"/>
      <c r="H312" s="273"/>
      <c r="I312" s="273"/>
      <c r="J312" s="273"/>
      <c r="K312" s="3"/>
      <c r="L312" s="3"/>
      <c r="M312" s="3"/>
      <c r="N312" s="1"/>
      <c r="O312" s="157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4"/>
      <c r="C313" s="374"/>
      <c r="D313" s="374"/>
      <c r="E313" s="188"/>
      <c r="F313" s="273"/>
      <c r="G313" s="273"/>
      <c r="H313" s="273"/>
      <c r="I313" s="273"/>
      <c r="J313" s="273"/>
      <c r="K313" s="3"/>
      <c r="L313" s="3"/>
      <c r="M313" s="3"/>
      <c r="N313" s="1"/>
      <c r="O313" s="157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4"/>
      <c r="C314" s="374"/>
      <c r="D314" s="374"/>
      <c r="E314" s="188"/>
      <c r="F314" s="273"/>
      <c r="G314" s="273"/>
      <c r="H314" s="273"/>
      <c r="I314" s="273"/>
      <c r="J314" s="273"/>
      <c r="K314" s="3"/>
      <c r="L314" s="3"/>
      <c r="M314" s="3"/>
      <c r="N314" s="1"/>
      <c r="O314" s="157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4"/>
      <c r="C315" s="374"/>
      <c r="D315" s="374"/>
      <c r="E315" s="188"/>
      <c r="F315" s="273"/>
      <c r="G315" s="273"/>
      <c r="H315" s="273"/>
      <c r="I315" s="273"/>
      <c r="J315" s="273"/>
      <c r="K315" s="3"/>
      <c r="L315" s="3"/>
      <c r="M315" s="3"/>
      <c r="N315" s="1"/>
      <c r="O315" s="157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4"/>
      <c r="C316" s="374"/>
      <c r="D316" s="374"/>
      <c r="E316" s="188"/>
      <c r="F316" s="273"/>
      <c r="G316" s="273"/>
      <c r="H316" s="273"/>
      <c r="I316" s="273"/>
      <c r="J316" s="273"/>
      <c r="K316" s="3"/>
      <c r="L316" s="3"/>
      <c r="M316" s="3"/>
      <c r="N316" s="1"/>
      <c r="O316" s="157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4"/>
      <c r="C317" s="374"/>
      <c r="D317" s="374"/>
      <c r="E317" s="188"/>
      <c r="F317" s="273"/>
      <c r="G317" s="273"/>
      <c r="H317" s="273"/>
      <c r="I317" s="273"/>
      <c r="J317" s="273"/>
      <c r="K317" s="3"/>
      <c r="L317" s="3"/>
      <c r="M317" s="3"/>
      <c r="N317" s="1"/>
      <c r="O317" s="157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4"/>
      <c r="C318" s="374"/>
      <c r="D318" s="374"/>
      <c r="E318" s="188"/>
      <c r="F318" s="273"/>
      <c r="G318" s="273"/>
      <c r="H318" s="273"/>
      <c r="I318" s="273"/>
      <c r="J318" s="273"/>
      <c r="K318" s="3"/>
      <c r="L318" s="3"/>
      <c r="M318" s="3"/>
      <c r="N318" s="1"/>
      <c r="O318" s="157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4"/>
      <c r="C319" s="374"/>
      <c r="D319" s="374"/>
      <c r="E319" s="188"/>
      <c r="F319" s="273"/>
      <c r="G319" s="273"/>
      <c r="H319" s="273"/>
      <c r="I319" s="273"/>
      <c r="J319" s="273"/>
      <c r="K319" s="3"/>
      <c r="L319" s="3"/>
      <c r="M319" s="3"/>
      <c r="N319" s="1"/>
      <c r="O319" s="157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4"/>
      <c r="C320" s="374"/>
      <c r="D320" s="374"/>
      <c r="E320" s="188"/>
      <c r="F320" s="273"/>
      <c r="G320" s="273"/>
      <c r="H320" s="273"/>
      <c r="I320" s="273"/>
      <c r="J320" s="273"/>
      <c r="K320" s="3"/>
      <c r="L320" s="3"/>
      <c r="M320" s="3"/>
      <c r="N320" s="1"/>
      <c r="O320" s="157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4"/>
      <c r="C321" s="374"/>
      <c r="D321" s="374"/>
      <c r="E321" s="188"/>
      <c r="F321" s="273"/>
      <c r="G321" s="273"/>
      <c r="H321" s="273"/>
      <c r="I321" s="273"/>
      <c r="J321" s="273"/>
      <c r="K321" s="3"/>
      <c r="L321" s="3"/>
      <c r="M321" s="3"/>
      <c r="N321" s="1"/>
      <c r="O321" s="157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4"/>
      <c r="C322" s="374"/>
      <c r="D322" s="374"/>
      <c r="E322" s="188"/>
      <c r="F322" s="273"/>
      <c r="G322" s="273"/>
      <c r="H322" s="273"/>
      <c r="I322" s="273"/>
      <c r="J322" s="273"/>
      <c r="K322" s="3"/>
      <c r="L322" s="3"/>
      <c r="M322" s="3"/>
      <c r="N322" s="1"/>
      <c r="O322" s="157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4"/>
      <c r="C323" s="374"/>
      <c r="D323" s="374"/>
      <c r="E323" s="188"/>
      <c r="F323" s="273"/>
      <c r="G323" s="273"/>
      <c r="H323" s="273"/>
      <c r="I323" s="273"/>
      <c r="J323" s="273"/>
      <c r="K323" s="3"/>
      <c r="L323" s="3"/>
      <c r="M323" s="3"/>
      <c r="N323" s="1"/>
      <c r="O323" s="157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4"/>
      <c r="C324" s="374"/>
      <c r="D324" s="374"/>
      <c r="E324" s="188"/>
      <c r="F324" s="273"/>
      <c r="G324" s="273"/>
      <c r="H324" s="273"/>
      <c r="I324" s="273"/>
      <c r="J324" s="273"/>
      <c r="K324" s="3"/>
      <c r="L324" s="3"/>
      <c r="M324" s="3"/>
      <c r="N324" s="1"/>
      <c r="O324" s="157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4"/>
      <c r="C325" s="374"/>
      <c r="D325" s="374"/>
      <c r="E325" s="188"/>
      <c r="F325" s="273"/>
      <c r="G325" s="273"/>
      <c r="H325" s="273"/>
      <c r="I325" s="273"/>
      <c r="J325" s="273"/>
      <c r="K325" s="3"/>
      <c r="L325" s="3"/>
      <c r="M325" s="3"/>
      <c r="N325" s="1"/>
      <c r="O325" s="157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4"/>
      <c r="C326" s="374"/>
      <c r="D326" s="374"/>
      <c r="E326" s="188"/>
      <c r="F326" s="273"/>
      <c r="G326" s="273"/>
      <c r="H326" s="273"/>
      <c r="I326" s="273"/>
      <c r="J326" s="273"/>
      <c r="K326" s="3"/>
      <c r="L326" s="3"/>
      <c r="M326" s="3"/>
      <c r="N326" s="1"/>
      <c r="O326" s="157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4"/>
      <c r="C327" s="374"/>
      <c r="D327" s="374"/>
      <c r="E327" s="188"/>
      <c r="F327" s="273"/>
      <c r="G327" s="273"/>
      <c r="H327" s="273"/>
      <c r="I327" s="273"/>
      <c r="J327" s="273"/>
      <c r="K327" s="3"/>
      <c r="L327" s="3"/>
      <c r="M327" s="3"/>
      <c r="N327" s="1"/>
      <c r="O327" s="157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4"/>
      <c r="C328" s="374"/>
      <c r="D328" s="374"/>
      <c r="E328" s="188"/>
      <c r="F328" s="273"/>
      <c r="G328" s="273"/>
      <c r="H328" s="273"/>
      <c r="I328" s="273"/>
      <c r="J328" s="273"/>
      <c r="K328" s="3"/>
      <c r="L328" s="3"/>
      <c r="M328" s="3"/>
      <c r="N328" s="1"/>
      <c r="O328" s="157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4"/>
      <c r="C329" s="374"/>
      <c r="D329" s="374"/>
      <c r="E329" s="188"/>
      <c r="F329" s="273"/>
      <c r="G329" s="273"/>
      <c r="H329" s="273"/>
      <c r="I329" s="273"/>
      <c r="J329" s="273"/>
      <c r="K329" s="3"/>
      <c r="L329" s="3"/>
      <c r="M329" s="3"/>
      <c r="N329" s="1"/>
      <c r="O329" s="157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4"/>
      <c r="C330" s="374"/>
      <c r="D330" s="374"/>
      <c r="E330" s="188"/>
      <c r="F330" s="273"/>
      <c r="G330" s="273"/>
      <c r="H330" s="273"/>
      <c r="I330" s="273"/>
      <c r="J330" s="273"/>
      <c r="K330" s="3"/>
      <c r="L330" s="3"/>
      <c r="M330" s="3"/>
      <c r="N330" s="1"/>
      <c r="O330" s="157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4"/>
      <c r="C331" s="374"/>
      <c r="D331" s="374"/>
      <c r="E331" s="188"/>
      <c r="F331" s="273"/>
      <c r="G331" s="273"/>
      <c r="H331" s="273"/>
      <c r="I331" s="273"/>
      <c r="J331" s="273"/>
      <c r="K331" s="3"/>
      <c r="L331" s="3"/>
      <c r="M331" s="3"/>
      <c r="N331" s="1"/>
      <c r="O331" s="157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4"/>
      <c r="C332" s="374"/>
      <c r="D332" s="374"/>
      <c r="E332" s="188"/>
      <c r="F332" s="273"/>
      <c r="G332" s="273"/>
      <c r="H332" s="273"/>
      <c r="I332" s="273"/>
      <c r="J332" s="273"/>
      <c r="K332" s="3"/>
      <c r="L332" s="3"/>
      <c r="M332" s="3"/>
      <c r="N332" s="1"/>
      <c r="O332" s="157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4"/>
      <c r="C333" s="374"/>
      <c r="D333" s="374"/>
      <c r="E333" s="188"/>
      <c r="F333" s="273"/>
      <c r="G333" s="273"/>
      <c r="H333" s="273"/>
      <c r="I333" s="273"/>
      <c r="J333" s="273"/>
      <c r="K333" s="3"/>
      <c r="L333" s="3"/>
      <c r="M333" s="3"/>
      <c r="N333" s="1"/>
      <c r="O333" s="157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4"/>
      <c r="C334" s="374"/>
      <c r="D334" s="374"/>
      <c r="E334" s="188"/>
      <c r="F334" s="273"/>
      <c r="G334" s="273"/>
      <c r="H334" s="273"/>
      <c r="I334" s="273"/>
      <c r="J334" s="273"/>
      <c r="K334" s="3"/>
      <c r="L334" s="3"/>
      <c r="M334" s="3"/>
      <c r="N334" s="1"/>
      <c r="O334" s="157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4"/>
      <c r="C335" s="374"/>
      <c r="D335" s="374"/>
      <c r="E335" s="188"/>
      <c r="F335" s="273"/>
      <c r="G335" s="273"/>
      <c r="H335" s="273"/>
      <c r="I335" s="273"/>
      <c r="J335" s="273"/>
      <c r="K335" s="3"/>
      <c r="L335" s="3"/>
      <c r="M335" s="3"/>
      <c r="N335" s="1"/>
      <c r="O335" s="157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4"/>
      <c r="C336" s="374"/>
      <c r="D336" s="374"/>
      <c r="E336" s="188"/>
      <c r="F336" s="273"/>
      <c r="G336" s="273"/>
      <c r="H336" s="273"/>
      <c r="I336" s="273"/>
      <c r="J336" s="273"/>
      <c r="K336" s="3"/>
      <c r="L336" s="3"/>
      <c r="M336" s="3"/>
      <c r="N336" s="1"/>
      <c r="O336" s="157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4"/>
      <c r="C337" s="374"/>
      <c r="D337" s="374"/>
      <c r="E337" s="188"/>
      <c r="F337" s="273"/>
      <c r="G337" s="273"/>
      <c r="H337" s="273"/>
      <c r="I337" s="273"/>
      <c r="J337" s="273"/>
      <c r="K337" s="3"/>
      <c r="L337" s="3"/>
      <c r="M337" s="3"/>
      <c r="N337" s="1"/>
      <c r="O337" s="157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4"/>
      <c r="C338" s="374"/>
      <c r="D338" s="374"/>
      <c r="E338" s="188"/>
      <c r="F338" s="273"/>
      <c r="G338" s="273"/>
      <c r="H338" s="273"/>
      <c r="I338" s="273"/>
      <c r="J338" s="273"/>
      <c r="K338" s="3"/>
      <c r="L338" s="3"/>
      <c r="M338" s="3"/>
      <c r="N338" s="1"/>
      <c r="O338" s="157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4"/>
      <c r="C339" s="374"/>
      <c r="D339" s="374"/>
      <c r="E339" s="188"/>
      <c r="F339" s="273"/>
      <c r="G339" s="273"/>
      <c r="H339" s="273"/>
      <c r="I339" s="273"/>
      <c r="J339" s="273"/>
      <c r="K339" s="3"/>
      <c r="L339" s="3"/>
      <c r="M339" s="3"/>
      <c r="N339" s="1"/>
      <c r="O339" s="157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4"/>
      <c r="C340" s="374"/>
      <c r="D340" s="374"/>
      <c r="E340" s="188"/>
      <c r="F340" s="273"/>
      <c r="G340" s="273"/>
      <c r="H340" s="273"/>
      <c r="I340" s="273"/>
      <c r="J340" s="273"/>
      <c r="K340" s="3"/>
      <c r="L340" s="3"/>
      <c r="M340" s="3"/>
      <c r="N340" s="1"/>
      <c r="O340" s="157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4"/>
      <c r="C341" s="374"/>
      <c r="D341" s="374"/>
      <c r="E341" s="188"/>
      <c r="F341" s="273"/>
      <c r="G341" s="273"/>
      <c r="H341" s="273"/>
      <c r="I341" s="273"/>
      <c r="J341" s="273"/>
      <c r="K341" s="3"/>
      <c r="L341" s="3"/>
      <c r="M341" s="3"/>
      <c r="N341" s="1"/>
      <c r="O341" s="157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4"/>
      <c r="C342" s="374"/>
      <c r="D342" s="374"/>
      <c r="E342" s="188"/>
      <c r="F342" s="273"/>
      <c r="G342" s="273"/>
      <c r="H342" s="273"/>
      <c r="I342" s="273"/>
      <c r="J342" s="273"/>
      <c r="K342" s="3"/>
      <c r="L342" s="3"/>
      <c r="M342" s="3"/>
      <c r="N342" s="1"/>
      <c r="O342" s="157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4"/>
      <c r="C343" s="374"/>
      <c r="D343" s="374"/>
      <c r="E343" s="188"/>
      <c r="F343" s="273"/>
      <c r="G343" s="273"/>
      <c r="H343" s="273"/>
      <c r="I343" s="273"/>
      <c r="J343" s="273"/>
      <c r="K343" s="3"/>
      <c r="L343" s="3"/>
      <c r="M343" s="3"/>
      <c r="N343" s="1"/>
      <c r="O343" s="157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4"/>
      <c r="C344" s="374"/>
      <c r="D344" s="374"/>
      <c r="E344" s="188"/>
      <c r="F344" s="273"/>
      <c r="G344" s="273"/>
      <c r="H344" s="273"/>
      <c r="I344" s="273"/>
      <c r="J344" s="273"/>
      <c r="K344" s="3"/>
      <c r="L344" s="3"/>
      <c r="M344" s="3"/>
      <c r="N344" s="1"/>
      <c r="O344" s="157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4"/>
      <c r="C345" s="374"/>
      <c r="D345" s="374"/>
      <c r="E345" s="188"/>
      <c r="F345" s="273"/>
      <c r="G345" s="273"/>
      <c r="H345" s="273"/>
      <c r="I345" s="273"/>
      <c r="J345" s="273"/>
      <c r="K345" s="3"/>
      <c r="L345" s="3"/>
      <c r="M345" s="3"/>
      <c r="N345" s="1"/>
      <c r="O345" s="157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4"/>
      <c r="C346" s="374"/>
      <c r="D346" s="374"/>
      <c r="E346" s="188"/>
      <c r="F346" s="273"/>
      <c r="G346" s="273"/>
      <c r="H346" s="273"/>
      <c r="I346" s="273"/>
      <c r="J346" s="273"/>
      <c r="K346" s="3"/>
      <c r="L346" s="3"/>
      <c r="M346" s="3"/>
      <c r="N346" s="1"/>
      <c r="O346" s="157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4"/>
      <c r="C347" s="374"/>
      <c r="D347" s="374"/>
      <c r="E347" s="188"/>
      <c r="F347" s="273"/>
      <c r="G347" s="273"/>
      <c r="H347" s="273"/>
      <c r="I347" s="273"/>
      <c r="J347" s="273"/>
      <c r="K347" s="3"/>
      <c r="L347" s="3"/>
      <c r="M347" s="3"/>
      <c r="N347" s="1"/>
      <c r="O347" s="157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4"/>
      <c r="C348" s="374"/>
      <c r="D348" s="374"/>
      <c r="E348" s="188"/>
      <c r="F348" s="273"/>
      <c r="G348" s="273"/>
      <c r="H348" s="273"/>
      <c r="I348" s="273"/>
      <c r="J348" s="273"/>
      <c r="K348" s="3"/>
      <c r="L348" s="3"/>
      <c r="M348" s="3"/>
      <c r="N348" s="1"/>
      <c r="O348" s="157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4"/>
      <c r="C349" s="374"/>
      <c r="D349" s="374"/>
      <c r="E349" s="188"/>
      <c r="F349" s="273"/>
      <c r="G349" s="273"/>
      <c r="H349" s="273"/>
      <c r="I349" s="273"/>
      <c r="J349" s="273"/>
      <c r="K349" s="3"/>
      <c r="L349" s="3"/>
      <c r="M349" s="3"/>
      <c r="N349" s="1"/>
      <c r="O349" s="157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4"/>
      <c r="C350" s="374"/>
      <c r="D350" s="374"/>
      <c r="E350" s="188"/>
      <c r="F350" s="273"/>
      <c r="G350" s="273"/>
      <c r="H350" s="273"/>
      <c r="I350" s="273"/>
      <c r="J350" s="273"/>
      <c r="K350" s="3"/>
      <c r="L350" s="3"/>
      <c r="M350" s="3"/>
      <c r="N350" s="1"/>
      <c r="O350" s="157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4"/>
      <c r="C351" s="374"/>
      <c r="D351" s="374"/>
      <c r="E351" s="188"/>
      <c r="F351" s="273"/>
      <c r="G351" s="273"/>
      <c r="H351" s="273"/>
      <c r="I351" s="273"/>
      <c r="J351" s="273"/>
      <c r="K351" s="3"/>
      <c r="L351" s="3"/>
      <c r="M351" s="3"/>
      <c r="N351" s="1"/>
      <c r="O351" s="157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4"/>
      <c r="C352" s="374"/>
      <c r="D352" s="374"/>
      <c r="E352" s="188"/>
      <c r="F352" s="273"/>
      <c r="G352" s="273"/>
      <c r="H352" s="273"/>
      <c r="I352" s="273"/>
      <c r="J352" s="273"/>
      <c r="K352" s="3"/>
      <c r="L352" s="3"/>
      <c r="M352" s="3"/>
      <c r="N352" s="1"/>
      <c r="O352" s="157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4"/>
      <c r="C353" s="374"/>
      <c r="D353" s="374"/>
      <c r="E353" s="188"/>
      <c r="F353" s="273"/>
      <c r="G353" s="273"/>
      <c r="H353" s="273"/>
      <c r="I353" s="273"/>
      <c r="J353" s="273"/>
      <c r="K353" s="3"/>
      <c r="L353" s="3"/>
      <c r="M353" s="3"/>
      <c r="N353" s="1"/>
      <c r="O353" s="157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4"/>
      <c r="C354" s="374"/>
      <c r="D354" s="374"/>
      <c r="E354" s="188"/>
      <c r="F354" s="273"/>
      <c r="G354" s="273"/>
      <c r="H354" s="273"/>
      <c r="I354" s="273"/>
      <c r="J354" s="273"/>
      <c r="K354" s="3"/>
      <c r="L354" s="3"/>
      <c r="M354" s="3"/>
      <c r="N354" s="1"/>
      <c r="O354" s="157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4"/>
      <c r="C355" s="374"/>
      <c r="D355" s="374"/>
      <c r="E355" s="188"/>
      <c r="F355" s="273"/>
      <c r="G355" s="273"/>
      <c r="H355" s="273"/>
      <c r="I355" s="273"/>
      <c r="J355" s="273"/>
      <c r="K355" s="3"/>
      <c r="L355" s="3"/>
      <c r="M355" s="3"/>
      <c r="N355" s="1"/>
      <c r="O355" s="157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4"/>
      <c r="C356" s="374"/>
      <c r="D356" s="374"/>
      <c r="E356" s="188"/>
      <c r="F356" s="273"/>
      <c r="G356" s="273"/>
      <c r="H356" s="273"/>
      <c r="I356" s="273"/>
      <c r="J356" s="273"/>
      <c r="K356" s="3"/>
      <c r="L356" s="3"/>
      <c r="M356" s="3"/>
      <c r="N356" s="1"/>
      <c r="O356" s="157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4"/>
      <c r="C357" s="374"/>
      <c r="D357" s="374"/>
      <c r="E357" s="188"/>
      <c r="F357" s="273"/>
      <c r="G357" s="273"/>
      <c r="H357" s="273"/>
      <c r="I357" s="273"/>
      <c r="J357" s="273"/>
      <c r="K357" s="3"/>
      <c r="L357" s="3"/>
      <c r="M357" s="3"/>
      <c r="N357" s="1"/>
      <c r="O357" s="157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4"/>
      <c r="C358" s="374"/>
      <c r="D358" s="374"/>
      <c r="E358" s="188"/>
      <c r="F358" s="273"/>
      <c r="G358" s="273"/>
      <c r="H358" s="273"/>
      <c r="I358" s="273"/>
      <c r="J358" s="273"/>
      <c r="K358" s="3"/>
      <c r="L358" s="3"/>
      <c r="M358" s="3"/>
      <c r="N358" s="1"/>
      <c r="O358" s="157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4"/>
      <c r="C359" s="374"/>
      <c r="D359" s="374"/>
      <c r="E359" s="188"/>
      <c r="F359" s="273"/>
      <c r="G359" s="273"/>
      <c r="H359" s="273"/>
      <c r="I359" s="273"/>
      <c r="J359" s="273"/>
      <c r="K359" s="3"/>
      <c r="L359" s="3"/>
      <c r="M359" s="3"/>
      <c r="N359" s="1"/>
      <c r="O359" s="157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4"/>
      <c r="C360" s="374"/>
      <c r="D360" s="374"/>
      <c r="E360" s="188"/>
      <c r="F360" s="273"/>
      <c r="G360" s="273"/>
      <c r="H360" s="273"/>
      <c r="I360" s="273"/>
      <c r="J360" s="273"/>
      <c r="K360" s="3"/>
      <c r="L360" s="3"/>
      <c r="M360" s="3"/>
      <c r="N360" s="1"/>
      <c r="O360" s="157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4"/>
      <c r="C361" s="374"/>
      <c r="D361" s="374"/>
      <c r="E361" s="188"/>
      <c r="F361" s="273"/>
      <c r="G361" s="273"/>
      <c r="H361" s="273"/>
      <c r="I361" s="273"/>
      <c r="J361" s="273"/>
      <c r="K361" s="3"/>
      <c r="L361" s="3"/>
      <c r="M361" s="3"/>
      <c r="N361" s="1"/>
      <c r="O361" s="157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4"/>
      <c r="C362" s="374"/>
      <c r="D362" s="374"/>
      <c r="E362" s="188"/>
      <c r="F362" s="273"/>
      <c r="G362" s="273"/>
      <c r="H362" s="273"/>
      <c r="I362" s="273"/>
      <c r="J362" s="273"/>
      <c r="K362" s="3"/>
      <c r="L362" s="3"/>
      <c r="M362" s="3"/>
      <c r="N362" s="1"/>
      <c r="O362" s="157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4"/>
      <c r="C363" s="374"/>
      <c r="D363" s="374"/>
      <c r="E363" s="188"/>
      <c r="F363" s="273"/>
      <c r="G363" s="273"/>
      <c r="H363" s="273"/>
      <c r="I363" s="273"/>
      <c r="J363" s="273"/>
      <c r="K363" s="3"/>
      <c r="L363" s="3"/>
      <c r="M363" s="3"/>
      <c r="N363" s="1"/>
      <c r="O363" s="157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4"/>
      <c r="C364" s="374"/>
      <c r="D364" s="374"/>
      <c r="E364" s="188"/>
      <c r="F364" s="273"/>
      <c r="G364" s="273"/>
      <c r="H364" s="273"/>
      <c r="I364" s="273"/>
      <c r="J364" s="273"/>
      <c r="K364" s="3"/>
      <c r="L364" s="3"/>
      <c r="M364" s="3"/>
      <c r="N364" s="1"/>
      <c r="O364" s="157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4"/>
      <c r="C365" s="374"/>
      <c r="D365" s="374"/>
      <c r="E365" s="188"/>
      <c r="F365" s="273"/>
      <c r="G365" s="273"/>
      <c r="H365" s="273"/>
      <c r="I365" s="273"/>
      <c r="J365" s="273"/>
      <c r="K365" s="3"/>
      <c r="L365" s="3"/>
      <c r="M365" s="3"/>
      <c r="N365" s="1"/>
      <c r="O365" s="157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4"/>
      <c r="C366" s="374"/>
      <c r="D366" s="374"/>
      <c r="E366" s="188"/>
      <c r="F366" s="273"/>
      <c r="G366" s="273"/>
      <c r="H366" s="273"/>
      <c r="I366" s="273"/>
      <c r="J366" s="273"/>
      <c r="K366" s="3"/>
      <c r="L366" s="3"/>
      <c r="M366" s="3"/>
      <c r="N366" s="1"/>
      <c r="O366" s="157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4"/>
      <c r="C367" s="374"/>
      <c r="D367" s="374"/>
      <c r="E367" s="188"/>
      <c r="F367" s="273"/>
      <c r="G367" s="273"/>
      <c r="H367" s="273"/>
      <c r="I367" s="273"/>
      <c r="J367" s="273"/>
      <c r="K367" s="3"/>
      <c r="L367" s="3"/>
      <c r="M367" s="3"/>
      <c r="N367" s="1"/>
      <c r="O367" s="157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4"/>
      <c r="C368" s="374"/>
      <c r="D368" s="374"/>
      <c r="E368" s="188"/>
      <c r="F368" s="273"/>
      <c r="G368" s="273"/>
      <c r="H368" s="273"/>
      <c r="I368" s="273"/>
      <c r="J368" s="273"/>
      <c r="K368" s="3"/>
      <c r="L368" s="3"/>
      <c r="M368" s="3"/>
      <c r="N368" s="1"/>
      <c r="O368" s="157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4"/>
      <c r="C369" s="374"/>
      <c r="D369" s="374"/>
      <c r="E369" s="188"/>
      <c r="F369" s="273"/>
      <c r="G369" s="273"/>
      <c r="H369" s="273"/>
      <c r="I369" s="273"/>
      <c r="J369" s="273"/>
      <c r="K369" s="3"/>
      <c r="L369" s="3"/>
      <c r="M369" s="3"/>
      <c r="N369" s="1"/>
      <c r="O369" s="157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4"/>
      <c r="C370" s="374"/>
      <c r="D370" s="374"/>
      <c r="E370" s="188"/>
      <c r="F370" s="273"/>
      <c r="G370" s="273"/>
      <c r="H370" s="273"/>
      <c r="I370" s="273"/>
      <c r="J370" s="273"/>
      <c r="K370" s="3"/>
      <c r="L370" s="3"/>
      <c r="M370" s="3"/>
      <c r="N370" s="1"/>
      <c r="O370" s="157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4"/>
      <c r="C371" s="374"/>
      <c r="D371" s="374"/>
      <c r="E371" s="188"/>
      <c r="F371" s="273"/>
      <c r="G371" s="273"/>
      <c r="H371" s="273"/>
      <c r="I371" s="273"/>
      <c r="J371" s="273"/>
      <c r="K371" s="3"/>
      <c r="L371" s="3"/>
      <c r="M371" s="3"/>
      <c r="N371" s="1"/>
      <c r="O371" s="157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4"/>
      <c r="C372" s="374"/>
      <c r="D372" s="374"/>
      <c r="E372" s="188"/>
      <c r="F372" s="273"/>
      <c r="G372" s="273"/>
      <c r="H372" s="273"/>
      <c r="I372" s="273"/>
      <c r="J372" s="273"/>
      <c r="K372" s="3"/>
      <c r="L372" s="3"/>
      <c r="M372" s="3"/>
      <c r="N372" s="1"/>
      <c r="O372" s="157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4"/>
      <c r="C373" s="374"/>
      <c r="D373" s="374"/>
      <c r="E373" s="188"/>
      <c r="F373" s="273"/>
      <c r="G373" s="273"/>
      <c r="H373" s="273"/>
      <c r="I373" s="273"/>
      <c r="J373" s="273"/>
      <c r="K373" s="3"/>
      <c r="L373" s="3"/>
      <c r="M373" s="3"/>
      <c r="N373" s="1"/>
      <c r="O373" s="157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4"/>
      <c r="C374" s="374"/>
      <c r="D374" s="374"/>
      <c r="E374" s="188"/>
      <c r="F374" s="273"/>
      <c r="G374" s="273"/>
      <c r="H374" s="273"/>
      <c r="I374" s="273"/>
      <c r="J374" s="273"/>
      <c r="K374" s="3"/>
      <c r="L374" s="3"/>
      <c r="M374" s="3"/>
      <c r="N374" s="1"/>
      <c r="O374" s="157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4"/>
      <c r="C375" s="374"/>
      <c r="D375" s="374"/>
      <c r="E375" s="188"/>
      <c r="F375" s="273"/>
      <c r="G375" s="273"/>
      <c r="H375" s="273"/>
      <c r="I375" s="273"/>
      <c r="J375" s="273"/>
      <c r="K375" s="3"/>
      <c r="L375" s="3"/>
      <c r="M375" s="3"/>
      <c r="N375" s="1"/>
      <c r="O375" s="157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4"/>
      <c r="C376" s="374"/>
      <c r="D376" s="374"/>
      <c r="E376" s="188"/>
      <c r="F376" s="273"/>
      <c r="G376" s="273"/>
      <c r="H376" s="273"/>
      <c r="I376" s="273"/>
      <c r="J376" s="273"/>
      <c r="K376" s="3"/>
      <c r="L376" s="3"/>
      <c r="M376" s="3"/>
      <c r="N376" s="1"/>
      <c r="O376" s="157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4"/>
      <c r="C377" s="374"/>
      <c r="D377" s="374"/>
      <c r="E377" s="188"/>
      <c r="F377" s="273"/>
      <c r="G377" s="273"/>
      <c r="H377" s="273"/>
      <c r="I377" s="273"/>
      <c r="J377" s="273"/>
      <c r="K377" s="3"/>
      <c r="L377" s="3"/>
      <c r="M377" s="3"/>
      <c r="N377" s="1"/>
      <c r="O377" s="157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4"/>
      <c r="C378" s="374"/>
      <c r="D378" s="374"/>
      <c r="E378" s="188"/>
      <c r="F378" s="273"/>
      <c r="G378" s="273"/>
      <c r="H378" s="273"/>
      <c r="I378" s="273"/>
      <c r="J378" s="273"/>
      <c r="K378" s="3"/>
      <c r="L378" s="3"/>
      <c r="M378" s="3"/>
      <c r="N378" s="1"/>
      <c r="O378" s="157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4"/>
      <c r="C379" s="374"/>
      <c r="D379" s="374"/>
      <c r="E379" s="188"/>
      <c r="F379" s="273"/>
      <c r="G379" s="273"/>
      <c r="H379" s="273"/>
      <c r="I379" s="273"/>
      <c r="J379" s="273"/>
      <c r="K379" s="3"/>
      <c r="L379" s="3"/>
      <c r="M379" s="3"/>
      <c r="N379" s="1"/>
      <c r="O379" s="157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4"/>
      <c r="C380" s="374"/>
      <c r="D380" s="374"/>
      <c r="E380" s="188"/>
      <c r="F380" s="273"/>
      <c r="G380" s="273"/>
      <c r="H380" s="273"/>
      <c r="I380" s="273"/>
      <c r="J380" s="273"/>
      <c r="K380" s="3"/>
      <c r="L380" s="3"/>
      <c r="M380" s="3"/>
      <c r="N380" s="1"/>
      <c r="O380" s="157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4"/>
      <c r="C381" s="374"/>
      <c r="D381" s="374"/>
      <c r="E381" s="188"/>
      <c r="F381" s="273"/>
      <c r="G381" s="273"/>
      <c r="H381" s="273"/>
      <c r="I381" s="273"/>
      <c r="J381" s="273"/>
      <c r="K381" s="3"/>
      <c r="L381" s="3"/>
      <c r="M381" s="3"/>
      <c r="N381" s="1"/>
      <c r="O381" s="157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4"/>
      <c r="C382" s="374"/>
      <c r="D382" s="374"/>
      <c r="E382" s="188"/>
      <c r="F382" s="273"/>
      <c r="G382" s="273"/>
      <c r="H382" s="273"/>
      <c r="I382" s="273"/>
      <c r="J382" s="273"/>
      <c r="K382" s="3"/>
      <c r="L382" s="3"/>
      <c r="M382" s="3"/>
      <c r="N382" s="1"/>
      <c r="O382" s="157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4"/>
      <c r="C383" s="374"/>
      <c r="D383" s="374"/>
      <c r="E383" s="188"/>
      <c r="F383" s="273"/>
      <c r="G383" s="273"/>
      <c r="H383" s="273"/>
      <c r="I383" s="273"/>
      <c r="J383" s="273"/>
      <c r="K383" s="3"/>
      <c r="L383" s="3"/>
      <c r="M383" s="3"/>
      <c r="N383" s="1"/>
      <c r="O383" s="157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4"/>
      <c r="C384" s="374"/>
      <c r="D384" s="374"/>
      <c r="E384" s="188"/>
      <c r="F384" s="273"/>
      <c r="G384" s="273"/>
      <c r="H384" s="273"/>
      <c r="I384" s="273"/>
      <c r="J384" s="273"/>
      <c r="K384" s="3"/>
      <c r="L384" s="3"/>
      <c r="M384" s="3"/>
      <c r="N384" s="1"/>
      <c r="O384" s="157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4"/>
      <c r="C385" s="374"/>
      <c r="D385" s="374"/>
      <c r="E385" s="188"/>
      <c r="F385" s="273"/>
      <c r="G385" s="273"/>
      <c r="H385" s="273"/>
      <c r="I385" s="273"/>
      <c r="J385" s="273"/>
      <c r="K385" s="3"/>
      <c r="L385" s="3"/>
      <c r="M385" s="3"/>
      <c r="N385" s="1"/>
      <c r="O385" s="157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4"/>
      <c r="C386" s="374"/>
      <c r="D386" s="374"/>
      <c r="E386" s="188"/>
      <c r="F386" s="273"/>
      <c r="G386" s="273"/>
      <c r="H386" s="273"/>
      <c r="I386" s="273"/>
      <c r="J386" s="273"/>
      <c r="K386" s="3"/>
      <c r="L386" s="3"/>
      <c r="M386" s="3"/>
      <c r="N386" s="1"/>
      <c r="O386" s="157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4"/>
      <c r="C387" s="374"/>
      <c r="D387" s="374"/>
      <c r="E387" s="188"/>
      <c r="F387" s="273"/>
      <c r="G387" s="273"/>
      <c r="H387" s="273"/>
      <c r="I387" s="273"/>
      <c r="J387" s="273"/>
      <c r="K387" s="3"/>
      <c r="L387" s="3"/>
      <c r="M387" s="3"/>
      <c r="N387" s="1"/>
      <c r="O387" s="157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4"/>
      <c r="C388" s="374"/>
      <c r="D388" s="374"/>
      <c r="E388" s="188"/>
      <c r="F388" s="273"/>
      <c r="G388" s="273"/>
      <c r="H388" s="273"/>
      <c r="I388" s="273"/>
      <c r="J388" s="273"/>
      <c r="K388" s="3"/>
      <c r="L388" s="3"/>
      <c r="M388" s="3"/>
      <c r="N388" s="1"/>
      <c r="O388" s="157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4"/>
      <c r="C389" s="374"/>
      <c r="D389" s="374"/>
      <c r="E389" s="188"/>
      <c r="F389" s="273"/>
      <c r="G389" s="273"/>
      <c r="H389" s="273"/>
      <c r="I389" s="273"/>
      <c r="J389" s="273"/>
      <c r="K389" s="3"/>
      <c r="L389" s="3"/>
      <c r="M389" s="3"/>
      <c r="N389" s="1"/>
      <c r="O389" s="157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4"/>
      <c r="C390" s="374"/>
      <c r="D390" s="374"/>
      <c r="E390" s="188"/>
      <c r="F390" s="273"/>
      <c r="G390" s="273"/>
      <c r="H390" s="273"/>
      <c r="I390" s="273"/>
      <c r="J390" s="273"/>
      <c r="K390" s="3"/>
      <c r="L390" s="3"/>
      <c r="M390" s="3"/>
      <c r="N390" s="1"/>
      <c r="O390" s="157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4"/>
      <c r="C391" s="374"/>
      <c r="D391" s="374"/>
      <c r="E391" s="188"/>
      <c r="F391" s="273"/>
      <c r="G391" s="273"/>
      <c r="H391" s="273"/>
      <c r="I391" s="273"/>
      <c r="J391" s="273"/>
      <c r="K391" s="3"/>
      <c r="L391" s="3"/>
      <c r="M391" s="3"/>
      <c r="N391" s="1"/>
      <c r="O391" s="157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4"/>
      <c r="C392" s="374"/>
      <c r="D392" s="374"/>
      <c r="E392" s="188"/>
      <c r="F392" s="273"/>
      <c r="G392" s="273"/>
      <c r="H392" s="273"/>
      <c r="I392" s="273"/>
      <c r="J392" s="273"/>
      <c r="K392" s="3"/>
      <c r="L392" s="3"/>
      <c r="M392" s="3"/>
      <c r="N392" s="1"/>
      <c r="O392" s="157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4"/>
      <c r="C393" s="374"/>
      <c r="D393" s="374"/>
      <c r="E393" s="188"/>
      <c r="F393" s="273"/>
      <c r="G393" s="273"/>
      <c r="H393" s="273"/>
      <c r="I393" s="273"/>
      <c r="J393" s="273"/>
      <c r="K393" s="3"/>
      <c r="L393" s="3"/>
      <c r="M393" s="3"/>
      <c r="N393" s="1"/>
      <c r="O393" s="157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4"/>
      <c r="C394" s="374"/>
      <c r="D394" s="374"/>
      <c r="E394" s="188"/>
      <c r="F394" s="273"/>
      <c r="G394" s="273"/>
      <c r="H394" s="273"/>
      <c r="I394" s="273"/>
      <c r="J394" s="273"/>
      <c r="K394" s="3"/>
      <c r="L394" s="3"/>
      <c r="M394" s="3"/>
      <c r="N394" s="1"/>
      <c r="O394" s="157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4"/>
      <c r="C395" s="374"/>
      <c r="D395" s="374"/>
      <c r="E395" s="188"/>
      <c r="F395" s="273"/>
      <c r="G395" s="273"/>
      <c r="H395" s="273"/>
      <c r="I395" s="273"/>
      <c r="J395" s="273"/>
      <c r="K395" s="3"/>
      <c r="L395" s="3"/>
      <c r="M395" s="3"/>
      <c r="N395" s="1"/>
      <c r="O395" s="157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4"/>
      <c r="C396" s="374"/>
      <c r="D396" s="374"/>
      <c r="E396" s="188"/>
      <c r="F396" s="273"/>
      <c r="G396" s="273"/>
      <c r="H396" s="273"/>
      <c r="I396" s="273"/>
      <c r="J396" s="273"/>
      <c r="K396" s="3"/>
      <c r="L396" s="3"/>
      <c r="M396" s="3"/>
      <c r="N396" s="1"/>
      <c r="O396" s="157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4"/>
      <c r="C397" s="374"/>
      <c r="D397" s="374"/>
      <c r="E397" s="188"/>
      <c r="F397" s="273"/>
      <c r="G397" s="273"/>
      <c r="H397" s="273"/>
      <c r="I397" s="273"/>
      <c r="J397" s="273"/>
      <c r="K397" s="3"/>
      <c r="L397" s="3"/>
      <c r="M397" s="3"/>
      <c r="N397" s="1"/>
      <c r="O397" s="157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4"/>
      <c r="C398" s="374"/>
      <c r="D398" s="374"/>
      <c r="E398" s="188"/>
      <c r="F398" s="273"/>
      <c r="G398" s="273"/>
      <c r="H398" s="273"/>
      <c r="I398" s="273"/>
      <c r="J398" s="273"/>
      <c r="K398" s="3"/>
      <c r="L398" s="3"/>
      <c r="M398" s="3"/>
      <c r="N398" s="1"/>
      <c r="O398" s="157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4"/>
      <c r="C399" s="374"/>
      <c r="D399" s="374"/>
      <c r="E399" s="188"/>
      <c r="F399" s="273"/>
      <c r="G399" s="273"/>
      <c r="H399" s="273"/>
      <c r="I399" s="273"/>
      <c r="J399" s="273"/>
      <c r="K399" s="3"/>
      <c r="L399" s="3"/>
      <c r="M399" s="3"/>
      <c r="N399" s="1"/>
      <c r="O399" s="157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4"/>
      <c r="C400" s="374"/>
      <c r="D400" s="374"/>
      <c r="E400" s="188"/>
      <c r="F400" s="273"/>
      <c r="G400" s="273"/>
      <c r="H400" s="273"/>
      <c r="I400" s="273"/>
      <c r="J400" s="273"/>
      <c r="K400" s="3"/>
      <c r="L400" s="3"/>
      <c r="M400" s="3"/>
      <c r="N400" s="1"/>
      <c r="O400" s="157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4"/>
      <c r="C401" s="374"/>
      <c r="D401" s="374"/>
      <c r="E401" s="188"/>
      <c r="F401" s="273"/>
      <c r="G401" s="273"/>
      <c r="H401" s="273"/>
      <c r="I401" s="273"/>
      <c r="J401" s="273"/>
      <c r="K401" s="3"/>
      <c r="L401" s="3"/>
      <c r="M401" s="3"/>
      <c r="N401" s="1"/>
      <c r="O401" s="157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4"/>
      <c r="C402" s="374"/>
      <c r="D402" s="374"/>
      <c r="E402" s="188"/>
      <c r="F402" s="273"/>
      <c r="G402" s="273"/>
      <c r="H402" s="273"/>
      <c r="I402" s="273"/>
      <c r="J402" s="273"/>
      <c r="K402" s="3"/>
      <c r="L402" s="3"/>
      <c r="M402" s="3"/>
      <c r="N402" s="1"/>
      <c r="O402" s="157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4"/>
      <c r="C403" s="374"/>
      <c r="D403" s="374"/>
      <c r="E403" s="188"/>
      <c r="F403" s="273"/>
      <c r="G403" s="273"/>
      <c r="H403" s="273"/>
      <c r="I403" s="273"/>
      <c r="J403" s="273"/>
      <c r="K403" s="3"/>
      <c r="L403" s="3"/>
      <c r="M403" s="3"/>
      <c r="N403" s="1"/>
      <c r="O403" s="157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4"/>
      <c r="C404" s="374"/>
      <c r="D404" s="374"/>
      <c r="E404" s="188"/>
      <c r="F404" s="273"/>
      <c r="G404" s="273"/>
      <c r="H404" s="273"/>
      <c r="I404" s="273"/>
      <c r="J404" s="273"/>
      <c r="K404" s="3"/>
      <c r="L404" s="3"/>
      <c r="M404" s="3"/>
      <c r="N404" s="1"/>
      <c r="O404" s="157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4"/>
      <c r="C405" s="374"/>
      <c r="D405" s="374"/>
      <c r="E405" s="188"/>
      <c r="F405" s="273"/>
      <c r="G405" s="273"/>
      <c r="H405" s="273"/>
      <c r="I405" s="273"/>
      <c r="J405" s="273"/>
      <c r="K405" s="3"/>
      <c r="L405" s="3"/>
      <c r="M405" s="3"/>
      <c r="N405" s="1"/>
      <c r="O405" s="157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4"/>
      <c r="C406" s="374"/>
      <c r="D406" s="374"/>
      <c r="E406" s="188"/>
      <c r="F406" s="273"/>
      <c r="G406" s="273"/>
      <c r="H406" s="273"/>
      <c r="I406" s="273"/>
      <c r="J406" s="273"/>
      <c r="K406" s="3"/>
      <c r="L406" s="3"/>
      <c r="M406" s="3"/>
      <c r="N406" s="1"/>
      <c r="O406" s="157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4"/>
      <c r="C407" s="374"/>
      <c r="D407" s="374"/>
      <c r="E407" s="188"/>
      <c r="F407" s="273"/>
      <c r="G407" s="273"/>
      <c r="H407" s="273"/>
      <c r="I407" s="273"/>
      <c r="J407" s="273"/>
      <c r="K407" s="3"/>
      <c r="L407" s="3"/>
      <c r="M407" s="3"/>
      <c r="N407" s="1"/>
      <c r="O407" s="157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4"/>
      <c r="C408" s="374"/>
      <c r="D408" s="374"/>
      <c r="E408" s="188"/>
      <c r="F408" s="273"/>
      <c r="G408" s="273"/>
      <c r="H408" s="273"/>
      <c r="I408" s="273"/>
      <c r="J408" s="273"/>
      <c r="K408" s="3"/>
      <c r="L408" s="3"/>
      <c r="M408" s="3"/>
      <c r="N408" s="1"/>
      <c r="O408" s="157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4"/>
      <c r="C409" s="374"/>
      <c r="D409" s="374"/>
      <c r="E409" s="188"/>
      <c r="F409" s="273"/>
      <c r="G409" s="273"/>
      <c r="H409" s="273"/>
      <c r="I409" s="273"/>
      <c r="J409" s="273"/>
      <c r="K409" s="3"/>
      <c r="L409" s="3"/>
      <c r="M409" s="3"/>
      <c r="N409" s="1"/>
      <c r="O409" s="157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4"/>
      <c r="C410" s="374"/>
      <c r="D410" s="374"/>
      <c r="E410" s="188"/>
      <c r="F410" s="273"/>
      <c r="G410" s="273"/>
      <c r="H410" s="273"/>
      <c r="I410" s="273"/>
      <c r="J410" s="273"/>
      <c r="K410" s="3"/>
      <c r="L410" s="3"/>
      <c r="M410" s="3"/>
      <c r="N410" s="1"/>
      <c r="O410" s="157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4"/>
      <c r="C411" s="374"/>
      <c r="D411" s="374"/>
      <c r="E411" s="188"/>
      <c r="F411" s="273"/>
      <c r="G411" s="273"/>
      <c r="H411" s="273"/>
      <c r="I411" s="273"/>
      <c r="J411" s="273"/>
      <c r="K411" s="3"/>
      <c r="L411" s="3"/>
      <c r="M411" s="3"/>
      <c r="N411" s="1"/>
      <c r="O411" s="157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4"/>
      <c r="C412" s="374"/>
      <c r="D412" s="374"/>
      <c r="E412" s="188"/>
      <c r="F412" s="273"/>
      <c r="G412" s="273"/>
      <c r="H412" s="273"/>
      <c r="I412" s="273"/>
      <c r="J412" s="273"/>
      <c r="K412" s="3"/>
      <c r="L412" s="3"/>
      <c r="M412" s="3"/>
      <c r="N412" s="1"/>
      <c r="O412" s="157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4"/>
      <c r="C413" s="374"/>
      <c r="D413" s="374"/>
      <c r="E413" s="188"/>
      <c r="F413" s="273"/>
      <c r="G413" s="273"/>
      <c r="H413" s="273"/>
      <c r="I413" s="273"/>
      <c r="J413" s="273"/>
      <c r="K413" s="3"/>
      <c r="L413" s="3"/>
      <c r="M413" s="3"/>
      <c r="N413" s="1"/>
      <c r="O413" s="157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4"/>
      <c r="C414" s="374"/>
      <c r="D414" s="374"/>
      <c r="E414" s="188"/>
      <c r="F414" s="273"/>
      <c r="G414" s="273"/>
      <c r="H414" s="273"/>
      <c r="I414" s="273"/>
      <c r="J414" s="273"/>
      <c r="K414" s="3"/>
      <c r="L414" s="3"/>
      <c r="M414" s="3"/>
      <c r="N414" s="1"/>
      <c r="O414" s="157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4"/>
      <c r="C415" s="374"/>
      <c r="D415" s="374"/>
      <c r="E415" s="188"/>
      <c r="F415" s="273"/>
      <c r="G415" s="273"/>
      <c r="H415" s="273"/>
      <c r="I415" s="273"/>
      <c r="J415" s="273"/>
      <c r="K415" s="3"/>
      <c r="L415" s="3"/>
      <c r="M415" s="3"/>
      <c r="N415" s="1"/>
      <c r="O415" s="157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4"/>
      <c r="C416" s="374"/>
      <c r="D416" s="374"/>
      <c r="E416" s="188"/>
      <c r="F416" s="273"/>
      <c r="G416" s="273"/>
      <c r="H416" s="273"/>
      <c r="I416" s="273"/>
      <c r="J416" s="273"/>
      <c r="K416" s="3"/>
      <c r="L416" s="3"/>
      <c r="M416" s="3"/>
      <c r="N416" s="1"/>
      <c r="O416" s="157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4"/>
      <c r="C417" s="374"/>
      <c r="D417" s="374"/>
      <c r="E417" s="188"/>
      <c r="F417" s="273"/>
      <c r="G417" s="273"/>
      <c r="H417" s="273"/>
      <c r="I417" s="273"/>
      <c r="J417" s="273"/>
      <c r="K417" s="3"/>
      <c r="L417" s="3"/>
      <c r="M417" s="3"/>
      <c r="N417" s="1"/>
      <c r="O417" s="157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4"/>
      <c r="C418" s="374"/>
      <c r="D418" s="374"/>
      <c r="E418" s="188"/>
      <c r="F418" s="273"/>
      <c r="G418" s="273"/>
      <c r="H418" s="273"/>
      <c r="I418" s="273"/>
      <c r="J418" s="273"/>
      <c r="K418" s="3"/>
      <c r="L418" s="3"/>
      <c r="M418" s="3"/>
      <c r="N418" s="1"/>
      <c r="O418" s="157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4"/>
      <c r="C419" s="374"/>
      <c r="D419" s="374"/>
      <c r="E419" s="188"/>
      <c r="F419" s="273"/>
      <c r="G419" s="273"/>
      <c r="H419" s="273"/>
      <c r="I419" s="273"/>
      <c r="J419" s="273"/>
      <c r="K419" s="3"/>
      <c r="L419" s="3"/>
      <c r="M419" s="3"/>
      <c r="N419" s="1"/>
      <c r="O419" s="157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4"/>
      <c r="C420" s="374"/>
      <c r="D420" s="374"/>
      <c r="E420" s="188"/>
      <c r="F420" s="273"/>
      <c r="G420" s="273"/>
      <c r="H420" s="273"/>
      <c r="I420" s="273"/>
      <c r="J420" s="273"/>
      <c r="K420" s="3"/>
      <c r="L420" s="3"/>
      <c r="M420" s="3"/>
      <c r="N420" s="1"/>
      <c r="O420" s="157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4"/>
      <c r="C421" s="374"/>
      <c r="D421" s="374"/>
      <c r="E421" s="188"/>
      <c r="F421" s="273"/>
      <c r="G421" s="273"/>
      <c r="H421" s="273"/>
      <c r="I421" s="273"/>
      <c r="J421" s="273"/>
      <c r="K421" s="3"/>
      <c r="L421" s="3"/>
      <c r="M421" s="3"/>
      <c r="N421" s="1"/>
      <c r="O421" s="157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4"/>
      <c r="C422" s="374"/>
      <c r="D422" s="374"/>
      <c r="E422" s="188"/>
      <c r="F422" s="273"/>
      <c r="G422" s="273"/>
      <c r="H422" s="273"/>
      <c r="I422" s="273"/>
      <c r="J422" s="273"/>
      <c r="K422" s="3"/>
      <c r="L422" s="3"/>
      <c r="M422" s="3"/>
      <c r="N422" s="1"/>
      <c r="O422" s="157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4"/>
      <c r="C423" s="374"/>
      <c r="D423" s="374"/>
      <c r="E423" s="188"/>
      <c r="F423" s="273"/>
      <c r="G423" s="273"/>
      <c r="H423" s="273"/>
      <c r="I423" s="273"/>
      <c r="J423" s="273"/>
      <c r="K423" s="3"/>
      <c r="L423" s="3"/>
      <c r="M423" s="3"/>
      <c r="N423" s="1"/>
      <c r="O423" s="157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4"/>
      <c r="C424" s="374"/>
      <c r="D424" s="374"/>
      <c r="E424" s="188"/>
      <c r="F424" s="273"/>
      <c r="G424" s="273"/>
      <c r="H424" s="273"/>
      <c r="I424" s="273"/>
      <c r="J424" s="273"/>
      <c r="K424" s="3"/>
      <c r="L424" s="3"/>
      <c r="M424" s="3"/>
      <c r="N424" s="1"/>
      <c r="O424" s="157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4"/>
      <c r="C425" s="374"/>
      <c r="D425" s="374"/>
      <c r="E425" s="188"/>
      <c r="F425" s="273"/>
      <c r="G425" s="273"/>
      <c r="H425" s="273"/>
      <c r="I425" s="273"/>
      <c r="J425" s="273"/>
      <c r="K425" s="3"/>
      <c r="L425" s="3"/>
      <c r="M425" s="3"/>
      <c r="N425" s="1"/>
      <c r="O425" s="157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4"/>
      <c r="C426" s="374"/>
      <c r="D426" s="374"/>
      <c r="E426" s="188"/>
      <c r="F426" s="273"/>
      <c r="G426" s="273"/>
      <c r="H426" s="273"/>
      <c r="I426" s="273"/>
      <c r="J426" s="273"/>
      <c r="K426" s="3"/>
      <c r="L426" s="3"/>
      <c r="M426" s="3"/>
      <c r="N426" s="1"/>
      <c r="O426" s="157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4"/>
      <c r="C427" s="374"/>
      <c r="D427" s="374"/>
      <c r="E427" s="188"/>
      <c r="F427" s="273"/>
      <c r="G427" s="273"/>
      <c r="H427" s="273"/>
      <c r="I427" s="273"/>
      <c r="J427" s="273"/>
      <c r="K427" s="3"/>
      <c r="L427" s="3"/>
      <c r="M427" s="3"/>
      <c r="N427" s="1"/>
      <c r="O427" s="157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4"/>
      <c r="C428" s="374"/>
      <c r="D428" s="374"/>
      <c r="E428" s="188"/>
      <c r="F428" s="273"/>
      <c r="G428" s="273"/>
      <c r="H428" s="273"/>
      <c r="I428" s="273"/>
      <c r="J428" s="273"/>
      <c r="K428" s="3"/>
      <c r="L428" s="3"/>
      <c r="M428" s="3"/>
      <c r="N428" s="1"/>
      <c r="O428" s="157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4"/>
      <c r="C429" s="374"/>
      <c r="D429" s="374"/>
      <c r="E429" s="188"/>
      <c r="F429" s="273"/>
      <c r="G429" s="273"/>
      <c r="H429" s="273"/>
      <c r="I429" s="273"/>
      <c r="J429" s="273"/>
      <c r="K429" s="3"/>
      <c r="L429" s="3"/>
      <c r="M429" s="3"/>
      <c r="N429" s="1"/>
      <c r="O429" s="157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4"/>
      <c r="C430" s="374"/>
      <c r="D430" s="374"/>
      <c r="E430" s="188"/>
      <c r="F430" s="273"/>
      <c r="G430" s="273"/>
      <c r="H430" s="273"/>
      <c r="I430" s="273"/>
      <c r="J430" s="273"/>
      <c r="K430" s="3"/>
      <c r="L430" s="3"/>
      <c r="M430" s="3"/>
      <c r="N430" s="1"/>
      <c r="O430" s="157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4"/>
      <c r="C431" s="374"/>
      <c r="D431" s="374"/>
      <c r="E431" s="188"/>
      <c r="F431" s="273"/>
      <c r="G431" s="273"/>
      <c r="H431" s="273"/>
      <c r="I431" s="273"/>
      <c r="J431" s="273"/>
      <c r="K431" s="3"/>
      <c r="L431" s="3"/>
      <c r="M431" s="3"/>
      <c r="N431" s="1"/>
      <c r="O431" s="157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4"/>
      <c r="C432" s="374"/>
      <c r="D432" s="374"/>
      <c r="E432" s="188"/>
      <c r="F432" s="273"/>
      <c r="G432" s="273"/>
      <c r="H432" s="273"/>
      <c r="I432" s="273"/>
      <c r="J432" s="273"/>
      <c r="K432" s="3"/>
      <c r="L432" s="3"/>
      <c r="M432" s="3"/>
      <c r="N432" s="1"/>
      <c r="O432" s="157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4"/>
      <c r="C433" s="374"/>
      <c r="D433" s="374"/>
      <c r="E433" s="188"/>
      <c r="F433" s="273"/>
      <c r="G433" s="273"/>
      <c r="H433" s="273"/>
      <c r="I433" s="273"/>
      <c r="J433" s="273"/>
      <c r="K433" s="3"/>
      <c r="L433" s="3"/>
      <c r="M433" s="3"/>
      <c r="N433" s="1"/>
      <c r="O433" s="157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4"/>
      <c r="C434" s="374"/>
      <c r="D434" s="374"/>
      <c r="E434" s="188"/>
      <c r="F434" s="273"/>
      <c r="G434" s="273"/>
      <c r="H434" s="273"/>
      <c r="I434" s="273"/>
      <c r="J434" s="273"/>
      <c r="K434" s="3"/>
      <c r="L434" s="3"/>
      <c r="M434" s="3"/>
      <c r="N434" s="1"/>
      <c r="O434" s="157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4"/>
      <c r="C435" s="374"/>
      <c r="D435" s="374"/>
      <c r="E435" s="188"/>
      <c r="F435" s="273"/>
      <c r="G435" s="273"/>
      <c r="H435" s="273"/>
      <c r="I435" s="273"/>
      <c r="J435" s="273"/>
      <c r="K435" s="3"/>
      <c r="L435" s="3"/>
      <c r="M435" s="3"/>
      <c r="N435" s="1"/>
      <c r="O435" s="157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4"/>
      <c r="C436" s="374"/>
      <c r="D436" s="374"/>
      <c r="E436" s="188"/>
      <c r="F436" s="273"/>
      <c r="G436" s="273"/>
      <c r="H436" s="273"/>
      <c r="I436" s="273"/>
      <c r="J436" s="273"/>
      <c r="K436" s="3"/>
      <c r="L436" s="3"/>
      <c r="M436" s="3"/>
      <c r="N436" s="1"/>
      <c r="O436" s="157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4"/>
      <c r="C437" s="374"/>
      <c r="D437" s="374"/>
      <c r="E437" s="188"/>
      <c r="F437" s="273"/>
      <c r="G437" s="273"/>
      <c r="H437" s="273"/>
      <c r="I437" s="273"/>
      <c r="J437" s="273"/>
      <c r="K437" s="3"/>
      <c r="L437" s="3"/>
      <c r="M437" s="3"/>
      <c r="N437" s="1"/>
      <c r="O437" s="157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4"/>
      <c r="C438" s="374"/>
      <c r="D438" s="374"/>
      <c r="E438" s="188"/>
      <c r="F438" s="273"/>
      <c r="G438" s="273"/>
      <c r="H438" s="273"/>
      <c r="I438" s="273"/>
      <c r="J438" s="273"/>
      <c r="K438" s="3"/>
      <c r="L438" s="3"/>
      <c r="M438" s="3"/>
      <c r="N438" s="1"/>
      <c r="O438" s="157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4"/>
      <c r="C439" s="374"/>
      <c r="D439" s="374"/>
      <c r="E439" s="188"/>
      <c r="F439" s="273"/>
      <c r="G439" s="273"/>
      <c r="H439" s="273"/>
      <c r="I439" s="273"/>
      <c r="J439" s="273"/>
      <c r="K439" s="3"/>
      <c r="L439" s="3"/>
      <c r="M439" s="3"/>
      <c r="N439" s="1"/>
      <c r="O439" s="157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4"/>
      <c r="C440" s="374"/>
      <c r="D440" s="374"/>
      <c r="E440" s="188"/>
      <c r="F440" s="273"/>
      <c r="G440" s="273"/>
      <c r="H440" s="273"/>
      <c r="I440" s="273"/>
      <c r="J440" s="273"/>
      <c r="K440" s="3"/>
      <c r="L440" s="3"/>
      <c r="M440" s="3"/>
      <c r="N440" s="1"/>
      <c r="O440" s="157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4"/>
      <c r="C441" s="374"/>
      <c r="D441" s="374"/>
      <c r="E441" s="188"/>
      <c r="F441" s="273"/>
      <c r="G441" s="273"/>
      <c r="H441" s="273"/>
      <c r="I441" s="273"/>
      <c r="J441" s="273"/>
      <c r="K441" s="3"/>
      <c r="L441" s="3"/>
      <c r="M441" s="3"/>
      <c r="N441" s="1"/>
      <c r="O441" s="157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4"/>
      <c r="C442" s="374"/>
      <c r="D442" s="374"/>
      <c r="E442" s="188"/>
      <c r="F442" s="273"/>
      <c r="G442" s="273"/>
      <c r="H442" s="273"/>
      <c r="I442" s="273"/>
      <c r="J442" s="273"/>
      <c r="K442" s="3"/>
      <c r="L442" s="3"/>
      <c r="M442" s="3"/>
      <c r="N442" s="1"/>
      <c r="O442" s="157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4"/>
      <c r="C443" s="374"/>
      <c r="D443" s="374"/>
      <c r="E443" s="188"/>
      <c r="F443" s="273"/>
      <c r="G443" s="273"/>
      <c r="H443" s="273"/>
      <c r="I443" s="273"/>
      <c r="J443" s="273"/>
      <c r="K443" s="3"/>
      <c r="L443" s="3"/>
      <c r="M443" s="3"/>
      <c r="N443" s="1"/>
      <c r="O443" s="157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4"/>
      <c r="C444" s="374"/>
      <c r="D444" s="374"/>
      <c r="E444" s="188"/>
      <c r="F444" s="273"/>
      <c r="G444" s="273"/>
      <c r="H444" s="273"/>
      <c r="I444" s="273"/>
      <c r="J444" s="273"/>
      <c r="K444" s="3"/>
      <c r="L444" s="3"/>
      <c r="M444" s="3"/>
      <c r="N444" s="1"/>
      <c r="O444" s="157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4"/>
      <c r="C445" s="374"/>
      <c r="D445" s="374"/>
      <c r="E445" s="188"/>
      <c r="F445" s="273"/>
      <c r="G445" s="273"/>
      <c r="H445" s="273"/>
      <c r="I445" s="273"/>
      <c r="J445" s="273"/>
      <c r="K445" s="3"/>
      <c r="L445" s="3"/>
      <c r="M445" s="3"/>
      <c r="N445" s="1"/>
      <c r="O445" s="157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4"/>
      <c r="C446" s="374"/>
      <c r="D446" s="374"/>
      <c r="E446" s="188"/>
      <c r="F446" s="273"/>
      <c r="G446" s="273"/>
      <c r="H446" s="273"/>
      <c r="I446" s="273"/>
      <c r="J446" s="273"/>
      <c r="K446" s="3"/>
      <c r="L446" s="3"/>
      <c r="M446" s="3"/>
      <c r="N446" s="1"/>
      <c r="O446" s="157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4"/>
      <c r="C447" s="374"/>
      <c r="D447" s="374"/>
      <c r="E447" s="188"/>
      <c r="F447" s="273"/>
      <c r="G447" s="273"/>
      <c r="H447" s="273"/>
      <c r="I447" s="273"/>
      <c r="J447" s="273"/>
      <c r="K447" s="3"/>
      <c r="L447" s="3"/>
      <c r="M447" s="3"/>
      <c r="N447" s="1"/>
      <c r="O447" s="157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4"/>
      <c r="C448" s="374"/>
      <c r="D448" s="374"/>
      <c r="E448" s="188"/>
      <c r="F448" s="273"/>
      <c r="G448" s="273"/>
      <c r="H448" s="273"/>
      <c r="I448" s="273"/>
      <c r="J448" s="273"/>
      <c r="K448" s="3"/>
      <c r="L448" s="3"/>
      <c r="M448" s="3"/>
      <c r="N448" s="1"/>
      <c r="O448" s="157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4"/>
      <c r="C449" s="374"/>
      <c r="D449" s="374"/>
      <c r="E449" s="188"/>
      <c r="F449" s="273"/>
      <c r="G449" s="273"/>
      <c r="H449" s="273"/>
      <c r="I449" s="273"/>
      <c r="J449" s="273"/>
      <c r="K449" s="3"/>
      <c r="L449" s="3"/>
      <c r="M449" s="3"/>
      <c r="N449" s="1"/>
      <c r="O449" s="157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4"/>
      <c r="C450" s="374"/>
      <c r="D450" s="374"/>
      <c r="E450" s="188"/>
      <c r="F450" s="273"/>
      <c r="G450" s="273"/>
      <c r="H450" s="273"/>
      <c r="I450" s="273"/>
      <c r="J450" s="273"/>
      <c r="K450" s="3"/>
      <c r="L450" s="3"/>
      <c r="M450" s="3"/>
      <c r="N450" s="1"/>
      <c r="O450" s="157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4"/>
      <c r="C451" s="374"/>
      <c r="D451" s="374"/>
      <c r="E451" s="188"/>
      <c r="F451" s="273"/>
      <c r="G451" s="273"/>
      <c r="H451" s="273"/>
      <c r="I451" s="273"/>
      <c r="J451" s="273"/>
      <c r="K451" s="3"/>
      <c r="L451" s="3"/>
      <c r="M451" s="3"/>
      <c r="N451" s="1"/>
      <c r="O451" s="157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4"/>
      <c r="C452" s="374"/>
      <c r="D452" s="374"/>
      <c r="E452" s="188"/>
      <c r="F452" s="273"/>
      <c r="G452" s="273"/>
      <c r="H452" s="273"/>
      <c r="I452" s="273"/>
      <c r="J452" s="273"/>
      <c r="K452" s="3"/>
      <c r="L452" s="3"/>
      <c r="M452" s="3"/>
      <c r="N452" s="1"/>
      <c r="O452" s="157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4"/>
      <c r="C453" s="374"/>
      <c r="D453" s="374"/>
      <c r="E453" s="188"/>
      <c r="F453" s="273"/>
      <c r="G453" s="273"/>
      <c r="H453" s="273"/>
      <c r="I453" s="273"/>
      <c r="J453" s="273"/>
      <c r="K453" s="3"/>
      <c r="L453" s="3"/>
      <c r="M453" s="3"/>
      <c r="N453" s="1"/>
      <c r="O453" s="157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4"/>
      <c r="C454" s="374"/>
      <c r="D454" s="374"/>
      <c r="E454" s="188"/>
      <c r="F454" s="273"/>
      <c r="G454" s="273"/>
      <c r="H454" s="273"/>
      <c r="I454" s="273"/>
      <c r="J454" s="273"/>
      <c r="K454" s="3"/>
      <c r="L454" s="3"/>
      <c r="M454" s="3"/>
      <c r="N454" s="1"/>
      <c r="O454" s="157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4"/>
      <c r="C455" s="374"/>
      <c r="D455" s="374"/>
      <c r="E455" s="188"/>
      <c r="F455" s="273"/>
      <c r="G455" s="273"/>
      <c r="H455" s="273"/>
      <c r="I455" s="273"/>
      <c r="J455" s="273"/>
      <c r="K455" s="3"/>
      <c r="L455" s="3"/>
      <c r="M455" s="3"/>
      <c r="N455" s="1"/>
      <c r="O455" s="157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4"/>
      <c r="C456" s="374"/>
      <c r="D456" s="374"/>
      <c r="E456" s="188"/>
      <c r="F456" s="273"/>
      <c r="G456" s="273"/>
      <c r="H456" s="273"/>
      <c r="I456" s="273"/>
      <c r="J456" s="273"/>
      <c r="K456" s="3"/>
      <c r="L456" s="3"/>
      <c r="M456" s="3"/>
      <c r="N456" s="1"/>
      <c r="O456" s="157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4"/>
      <c r="C457" s="374"/>
      <c r="D457" s="374"/>
      <c r="E457" s="188"/>
      <c r="F457" s="273"/>
      <c r="G457" s="273"/>
      <c r="H457" s="273"/>
      <c r="I457" s="273"/>
      <c r="J457" s="273"/>
      <c r="K457" s="3"/>
      <c r="L457" s="3"/>
      <c r="M457" s="3"/>
      <c r="N457" s="1"/>
      <c r="O457" s="157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4"/>
      <c r="C458" s="374"/>
      <c r="D458" s="374"/>
      <c r="E458" s="188"/>
      <c r="F458" s="273"/>
      <c r="G458" s="273"/>
      <c r="H458" s="273"/>
      <c r="I458" s="273"/>
      <c r="J458" s="273"/>
      <c r="K458" s="3"/>
      <c r="L458" s="3"/>
      <c r="M458" s="3"/>
      <c r="N458" s="1"/>
      <c r="O458" s="157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4"/>
      <c r="C459" s="374"/>
      <c r="D459" s="374"/>
      <c r="E459" s="188"/>
      <c r="F459" s="273"/>
      <c r="G459" s="273"/>
      <c r="H459" s="273"/>
      <c r="I459" s="273"/>
      <c r="J459" s="273"/>
      <c r="K459" s="3"/>
      <c r="L459" s="3"/>
      <c r="M459" s="3"/>
      <c r="N459" s="1"/>
      <c r="O459" s="157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4"/>
      <c r="C460" s="374"/>
      <c r="D460" s="374"/>
      <c r="E460" s="188"/>
      <c r="F460" s="273"/>
      <c r="G460" s="273"/>
      <c r="H460" s="273"/>
      <c r="I460" s="273"/>
      <c r="J460" s="273"/>
      <c r="K460" s="3"/>
      <c r="L460" s="3"/>
      <c r="M460" s="3"/>
      <c r="N460" s="1"/>
      <c r="O460" s="157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4"/>
      <c r="C461" s="374"/>
      <c r="D461" s="374"/>
      <c r="E461" s="188"/>
      <c r="F461" s="273"/>
      <c r="G461" s="273"/>
      <c r="H461" s="273"/>
      <c r="I461" s="273"/>
      <c r="J461" s="273"/>
      <c r="K461" s="3"/>
      <c r="L461" s="3"/>
      <c r="M461" s="3"/>
      <c r="N461" s="1"/>
      <c r="O461" s="157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4"/>
      <c r="C462" s="374"/>
      <c r="D462" s="374"/>
      <c r="E462" s="188"/>
      <c r="F462" s="273"/>
      <c r="G462" s="273"/>
      <c r="H462" s="273"/>
      <c r="I462" s="273"/>
      <c r="J462" s="273"/>
      <c r="K462" s="3"/>
      <c r="L462" s="3"/>
      <c r="M462" s="3"/>
      <c r="N462" s="1"/>
      <c r="O462" s="157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4"/>
      <c r="C463" s="374"/>
      <c r="D463" s="374"/>
      <c r="E463" s="188"/>
      <c r="F463" s="273"/>
      <c r="G463" s="273"/>
      <c r="H463" s="273"/>
      <c r="I463" s="273"/>
      <c r="J463" s="273"/>
      <c r="K463" s="3"/>
      <c r="L463" s="3"/>
      <c r="M463" s="3"/>
      <c r="N463" s="1"/>
      <c r="O463" s="157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4"/>
      <c r="C464" s="374"/>
      <c r="D464" s="374"/>
      <c r="E464" s="188"/>
      <c r="F464" s="273"/>
      <c r="G464" s="273"/>
      <c r="H464" s="273"/>
      <c r="I464" s="273"/>
      <c r="J464" s="273"/>
      <c r="K464" s="3"/>
      <c r="L464" s="3"/>
      <c r="M464" s="3"/>
      <c r="N464" s="1"/>
      <c r="O464" s="157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4"/>
      <c r="C465" s="374"/>
      <c r="D465" s="374"/>
      <c r="E465" s="188"/>
      <c r="F465" s="273"/>
      <c r="G465" s="273"/>
      <c r="H465" s="273"/>
      <c r="I465" s="273"/>
      <c r="J465" s="273"/>
      <c r="K465" s="3"/>
      <c r="L465" s="3"/>
      <c r="M465" s="3"/>
      <c r="N465" s="1"/>
      <c r="O465" s="157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4"/>
      <c r="C466" s="374"/>
      <c r="D466" s="374"/>
      <c r="E466" s="188"/>
      <c r="F466" s="273"/>
      <c r="G466" s="273"/>
      <c r="H466" s="273"/>
      <c r="I466" s="273"/>
      <c r="J466" s="273"/>
      <c r="K466" s="3"/>
      <c r="L466" s="3"/>
      <c r="M466" s="3"/>
      <c r="N466" s="1"/>
      <c r="O466" s="157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4"/>
      <c r="C467" s="374"/>
      <c r="D467" s="374"/>
      <c r="E467" s="188"/>
      <c r="F467" s="273"/>
      <c r="G467" s="273"/>
      <c r="H467" s="273"/>
      <c r="I467" s="273"/>
      <c r="J467" s="273"/>
      <c r="K467" s="3"/>
      <c r="L467" s="3"/>
      <c r="M467" s="3"/>
      <c r="N467" s="1"/>
      <c r="O467" s="157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4"/>
      <c r="C468" s="374"/>
      <c r="D468" s="374"/>
      <c r="E468" s="188"/>
      <c r="F468" s="273"/>
      <c r="G468" s="273"/>
      <c r="H468" s="273"/>
      <c r="I468" s="273"/>
      <c r="J468" s="273"/>
      <c r="K468" s="3"/>
      <c r="L468" s="3"/>
      <c r="M468" s="3"/>
      <c r="N468" s="1"/>
      <c r="O468" s="157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4"/>
      <c r="C469" s="374"/>
      <c r="D469" s="374"/>
      <c r="E469" s="188"/>
      <c r="F469" s="273"/>
      <c r="G469" s="273"/>
      <c r="H469" s="273"/>
      <c r="I469" s="273"/>
      <c r="J469" s="273"/>
      <c r="K469" s="3"/>
      <c r="L469" s="3"/>
      <c r="M469" s="3"/>
      <c r="N469" s="1"/>
      <c r="O469" s="157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4"/>
      <c r="C470" s="374"/>
      <c r="D470" s="374"/>
      <c r="E470" s="188"/>
      <c r="F470" s="273"/>
      <c r="G470" s="273"/>
      <c r="H470" s="273"/>
      <c r="I470" s="273"/>
      <c r="J470" s="273"/>
      <c r="K470" s="3"/>
      <c r="L470" s="3"/>
      <c r="M470" s="3"/>
      <c r="N470" s="1"/>
      <c r="O470" s="157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4"/>
      <c r="C471" s="374"/>
      <c r="D471" s="374"/>
      <c r="E471" s="188"/>
      <c r="F471" s="273"/>
      <c r="G471" s="273"/>
      <c r="H471" s="273"/>
      <c r="I471" s="273"/>
      <c r="J471" s="273"/>
      <c r="K471" s="3"/>
      <c r="L471" s="3"/>
      <c r="M471" s="3"/>
      <c r="N471" s="1"/>
      <c r="O471" s="157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4"/>
      <c r="C472" s="374"/>
      <c r="D472" s="374"/>
      <c r="E472" s="188"/>
      <c r="F472" s="273"/>
      <c r="G472" s="273"/>
      <c r="H472" s="273"/>
      <c r="I472" s="273"/>
      <c r="J472" s="273"/>
      <c r="K472" s="3"/>
      <c r="L472" s="3"/>
      <c r="M472" s="3"/>
      <c r="N472" s="1"/>
      <c r="O472" s="157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4"/>
      <c r="C473" s="374"/>
      <c r="D473" s="374"/>
      <c r="E473" s="188"/>
      <c r="F473" s="273"/>
      <c r="G473" s="273"/>
      <c r="H473" s="273"/>
      <c r="I473" s="273"/>
      <c r="J473" s="273"/>
      <c r="K473" s="3"/>
      <c r="L473" s="3"/>
      <c r="M473" s="3"/>
      <c r="N473" s="1"/>
      <c r="O473" s="157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4"/>
      <c r="C474" s="374"/>
      <c r="D474" s="374"/>
      <c r="E474" s="188"/>
      <c r="F474" s="273"/>
      <c r="G474" s="273"/>
      <c r="H474" s="273"/>
      <c r="I474" s="273"/>
      <c r="J474" s="273"/>
      <c r="K474" s="3"/>
      <c r="L474" s="3"/>
      <c r="M474" s="3"/>
      <c r="N474" s="1"/>
      <c r="O474" s="157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4"/>
      <c r="C475" s="374"/>
      <c r="D475" s="374"/>
      <c r="E475" s="188"/>
      <c r="F475" s="273"/>
      <c r="G475" s="273"/>
      <c r="H475" s="273"/>
      <c r="I475" s="273"/>
      <c r="J475" s="273"/>
      <c r="K475" s="3"/>
      <c r="L475" s="3"/>
      <c r="M475" s="3"/>
      <c r="N475" s="1"/>
      <c r="O475" s="157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4"/>
      <c r="C476" s="374"/>
      <c r="D476" s="374"/>
      <c r="E476" s="188"/>
      <c r="F476" s="273"/>
      <c r="G476" s="273"/>
      <c r="H476" s="273"/>
      <c r="I476" s="273"/>
      <c r="J476" s="273"/>
      <c r="K476" s="3"/>
      <c r="L476" s="3"/>
      <c r="M476" s="3"/>
      <c r="N476" s="1"/>
      <c r="O476" s="157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4"/>
      <c r="C477" s="374"/>
      <c r="D477" s="374"/>
      <c r="E477" s="188"/>
      <c r="F477" s="273"/>
      <c r="G477" s="273"/>
      <c r="H477" s="273"/>
      <c r="I477" s="273"/>
      <c r="J477" s="273"/>
      <c r="K477" s="3"/>
      <c r="L477" s="3"/>
      <c r="M477" s="3"/>
      <c r="N477" s="1"/>
      <c r="O477" s="157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4"/>
      <c r="C478" s="374"/>
      <c r="D478" s="374"/>
      <c r="E478" s="188"/>
      <c r="F478" s="273"/>
      <c r="G478" s="273"/>
      <c r="H478" s="273"/>
      <c r="I478" s="273"/>
      <c r="J478" s="273"/>
      <c r="K478" s="3"/>
      <c r="L478" s="3"/>
      <c r="M478" s="3"/>
      <c r="N478" s="1"/>
      <c r="O478" s="157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4"/>
      <c r="C479" s="374"/>
      <c r="D479" s="374"/>
      <c r="E479" s="188"/>
      <c r="F479" s="273"/>
      <c r="G479" s="273"/>
      <c r="H479" s="273"/>
      <c r="I479" s="273"/>
      <c r="J479" s="273"/>
      <c r="K479" s="3"/>
      <c r="L479" s="3"/>
      <c r="M479" s="3"/>
      <c r="N479" s="1"/>
      <c r="O479" s="157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4"/>
      <c r="C480" s="374"/>
      <c r="D480" s="374"/>
      <c r="E480" s="188"/>
      <c r="F480" s="273"/>
      <c r="G480" s="273"/>
      <c r="H480" s="273"/>
      <c r="I480" s="273"/>
      <c r="J480" s="273"/>
      <c r="K480" s="3"/>
      <c r="L480" s="3"/>
      <c r="M480" s="3"/>
      <c r="N480" s="1"/>
      <c r="O480" s="157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4"/>
      <c r="C481" s="374"/>
      <c r="D481" s="374"/>
      <c r="E481" s="188"/>
      <c r="F481" s="273"/>
      <c r="G481" s="273"/>
      <c r="H481" s="273"/>
      <c r="I481" s="273"/>
      <c r="J481" s="273"/>
      <c r="K481" s="3"/>
      <c r="L481" s="3"/>
      <c r="M481" s="3"/>
      <c r="N481" s="1"/>
      <c r="O481" s="157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4"/>
      <c r="C482" s="374"/>
      <c r="D482" s="374"/>
      <c r="E482" s="188"/>
      <c r="F482" s="273"/>
      <c r="G482" s="273"/>
      <c r="H482" s="273"/>
      <c r="I482" s="273"/>
      <c r="J482" s="273"/>
      <c r="K482" s="3"/>
      <c r="L482" s="3"/>
      <c r="M482" s="3"/>
      <c r="N482" s="1"/>
      <c r="O482" s="157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4"/>
      <c r="C483" s="374"/>
      <c r="D483" s="374"/>
      <c r="E483" s="188"/>
      <c r="F483" s="273"/>
      <c r="G483" s="273"/>
      <c r="H483" s="273"/>
      <c r="I483" s="273"/>
      <c r="J483" s="273"/>
      <c r="K483" s="3"/>
      <c r="L483" s="3"/>
      <c r="M483" s="3"/>
      <c r="N483" s="1"/>
      <c r="O483" s="157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4"/>
      <c r="C484" s="374"/>
      <c r="D484" s="374"/>
      <c r="E484" s="188"/>
      <c r="F484" s="273"/>
      <c r="G484" s="273"/>
      <c r="H484" s="273"/>
      <c r="I484" s="273"/>
      <c r="J484" s="273"/>
      <c r="K484" s="3"/>
      <c r="L484" s="3"/>
      <c r="M484" s="3"/>
      <c r="N484" s="1"/>
      <c r="O484" s="157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4"/>
      <c r="C485" s="374"/>
      <c r="D485" s="374"/>
      <c r="E485" s="188"/>
      <c r="F485" s="273"/>
      <c r="G485" s="273"/>
      <c r="H485" s="273"/>
      <c r="I485" s="273"/>
      <c r="J485" s="273"/>
      <c r="K485" s="3"/>
      <c r="L485" s="3"/>
      <c r="M485" s="3"/>
      <c r="N485" s="1"/>
      <c r="O485" s="157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4"/>
      <c r="C486" s="374"/>
      <c r="D486" s="374"/>
      <c r="E486" s="188"/>
      <c r="F486" s="273"/>
      <c r="G486" s="273"/>
      <c r="H486" s="273"/>
      <c r="I486" s="273"/>
      <c r="J486" s="273"/>
      <c r="K486" s="3"/>
      <c r="L486" s="3"/>
      <c r="M486" s="3"/>
      <c r="N486" s="1"/>
      <c r="O486" s="157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4"/>
      <c r="C487" s="374"/>
      <c r="D487" s="374"/>
      <c r="E487" s="188"/>
      <c r="F487" s="273"/>
      <c r="G487" s="273"/>
      <c r="H487" s="273"/>
      <c r="I487" s="273"/>
      <c r="J487" s="273"/>
      <c r="K487" s="3"/>
      <c r="L487" s="3"/>
      <c r="M487" s="3"/>
      <c r="N487" s="1"/>
      <c r="O487" s="157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4"/>
      <c r="C488" s="374"/>
      <c r="D488" s="374"/>
      <c r="E488" s="188"/>
      <c r="F488" s="273"/>
      <c r="G488" s="273"/>
      <c r="H488" s="273"/>
      <c r="I488" s="273"/>
      <c r="J488" s="273"/>
      <c r="K488" s="3"/>
      <c r="L488" s="3"/>
      <c r="M488" s="3"/>
      <c r="N488" s="1"/>
      <c r="O488" s="157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4"/>
      <c r="C489" s="374"/>
      <c r="D489" s="374"/>
      <c r="E489" s="188"/>
      <c r="F489" s="273"/>
      <c r="G489" s="273"/>
      <c r="H489" s="273"/>
      <c r="I489" s="273"/>
      <c r="J489" s="273"/>
      <c r="K489" s="3"/>
      <c r="L489" s="3"/>
      <c r="M489" s="3"/>
      <c r="N489" s="1"/>
      <c r="O489" s="157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4"/>
      <c r="C490" s="374"/>
      <c r="D490" s="374"/>
      <c r="E490" s="188"/>
      <c r="F490" s="273"/>
      <c r="G490" s="273"/>
      <c r="H490" s="273"/>
      <c r="I490" s="273"/>
      <c r="J490" s="273"/>
      <c r="K490" s="3"/>
      <c r="L490" s="3"/>
      <c r="M490" s="3"/>
      <c r="N490" s="1"/>
      <c r="O490" s="157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4"/>
      <c r="C491" s="374"/>
      <c r="D491" s="374"/>
      <c r="E491" s="188"/>
      <c r="F491" s="273"/>
      <c r="G491" s="273"/>
      <c r="H491" s="273"/>
      <c r="I491" s="273"/>
      <c r="J491" s="273"/>
      <c r="K491" s="3"/>
      <c r="L491" s="3"/>
      <c r="M491" s="3"/>
      <c r="N491" s="1"/>
      <c r="O491" s="157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4"/>
      <c r="C492" s="374"/>
      <c r="D492" s="374"/>
      <c r="E492" s="188"/>
      <c r="F492" s="273"/>
      <c r="G492" s="273"/>
      <c r="H492" s="273"/>
      <c r="I492" s="273"/>
      <c r="J492" s="273"/>
      <c r="K492" s="3"/>
      <c r="L492" s="3"/>
      <c r="M492" s="3"/>
      <c r="N492" s="1"/>
      <c r="O492" s="157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4"/>
      <c r="C493" s="374"/>
      <c r="D493" s="374"/>
      <c r="E493" s="188"/>
      <c r="F493" s="273"/>
      <c r="G493" s="273"/>
      <c r="H493" s="273"/>
      <c r="I493" s="273"/>
      <c r="J493" s="273"/>
      <c r="K493" s="3"/>
      <c r="L493" s="3"/>
      <c r="M493" s="3"/>
      <c r="N493" s="1"/>
      <c r="O493" s="157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4"/>
      <c r="C494" s="374"/>
      <c r="D494" s="374"/>
      <c r="E494" s="188"/>
      <c r="F494" s="273"/>
      <c r="G494" s="273"/>
      <c r="H494" s="273"/>
      <c r="I494" s="273"/>
      <c r="J494" s="273"/>
      <c r="K494" s="3"/>
      <c r="L494" s="3"/>
      <c r="M494" s="3"/>
      <c r="N494" s="1"/>
      <c r="O494" s="157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4"/>
      <c r="C495" s="374"/>
      <c r="D495" s="374"/>
      <c r="E495" s="188"/>
      <c r="F495" s="273"/>
      <c r="G495" s="273"/>
      <c r="H495" s="273"/>
      <c r="I495" s="273"/>
      <c r="J495" s="273"/>
      <c r="K495" s="3"/>
      <c r="L495" s="3"/>
      <c r="M495" s="3"/>
      <c r="N495" s="1"/>
      <c r="O495" s="157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4"/>
      <c r="C496" s="374"/>
      <c r="D496" s="374"/>
      <c r="E496" s="188"/>
      <c r="F496" s="273"/>
      <c r="G496" s="273"/>
      <c r="H496" s="273"/>
      <c r="I496" s="273"/>
      <c r="J496" s="273"/>
      <c r="K496" s="3"/>
      <c r="L496" s="3"/>
      <c r="M496" s="3"/>
      <c r="N496" s="1"/>
      <c r="O496" s="157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4"/>
      <c r="C497" s="374"/>
      <c r="D497" s="374"/>
      <c r="E497" s="188"/>
      <c r="F497" s="273"/>
      <c r="G497" s="273"/>
      <c r="H497" s="273"/>
      <c r="I497" s="273"/>
      <c r="J497" s="273"/>
      <c r="K497" s="3"/>
      <c r="L497" s="3"/>
      <c r="M497" s="3"/>
      <c r="N497" s="1"/>
      <c r="O497" s="157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4"/>
      <c r="C498" s="374"/>
      <c r="D498" s="374"/>
      <c r="E498" s="188"/>
      <c r="F498" s="273"/>
      <c r="G498" s="273"/>
      <c r="H498" s="273"/>
      <c r="I498" s="273"/>
      <c r="J498" s="273"/>
      <c r="K498" s="3"/>
      <c r="L498" s="3"/>
      <c r="M498" s="3"/>
      <c r="N498" s="1"/>
      <c r="O498" s="157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4"/>
      <c r="C499" s="374"/>
      <c r="D499" s="374"/>
      <c r="E499" s="188"/>
      <c r="F499" s="273"/>
      <c r="G499" s="273"/>
      <c r="H499" s="273"/>
      <c r="I499" s="273"/>
      <c r="J499" s="273"/>
      <c r="K499" s="3"/>
      <c r="L499" s="3"/>
      <c r="M499" s="3"/>
      <c r="N499" s="1"/>
      <c r="O499" s="157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4"/>
      <c r="C500" s="374"/>
      <c r="D500" s="374"/>
      <c r="E500" s="188"/>
      <c r="F500" s="273"/>
      <c r="G500" s="273"/>
      <c r="H500" s="273"/>
      <c r="I500" s="273"/>
      <c r="J500" s="273"/>
      <c r="K500" s="3"/>
      <c r="L500" s="3"/>
      <c r="M500" s="3"/>
      <c r="N500" s="1"/>
      <c r="O500" s="157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4"/>
      <c r="C501" s="374"/>
      <c r="D501" s="374"/>
      <c r="E501" s="188"/>
      <c r="F501" s="273"/>
      <c r="G501" s="273"/>
      <c r="H501" s="273"/>
      <c r="I501" s="273"/>
      <c r="J501" s="273"/>
      <c r="K501" s="3"/>
      <c r="L501" s="3"/>
      <c r="M501" s="3"/>
      <c r="N501" s="1"/>
      <c r="O501" s="157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4"/>
      <c r="C502" s="374"/>
      <c r="D502" s="374"/>
      <c r="E502" s="188"/>
      <c r="F502" s="273"/>
      <c r="G502" s="273"/>
      <c r="H502" s="273"/>
      <c r="I502" s="273"/>
      <c r="J502" s="273"/>
      <c r="K502" s="3"/>
      <c r="L502" s="3"/>
      <c r="M502" s="3"/>
      <c r="N502" s="1"/>
      <c r="O502" s="157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4"/>
      <c r="C503" s="374"/>
      <c r="D503" s="374"/>
      <c r="E503" s="188"/>
      <c r="F503" s="273"/>
      <c r="G503" s="273"/>
      <c r="H503" s="273"/>
      <c r="I503" s="273"/>
      <c r="J503" s="273"/>
      <c r="K503" s="3"/>
      <c r="L503" s="3"/>
      <c r="M503" s="3"/>
      <c r="N503" s="1"/>
      <c r="O503" s="157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4"/>
      <c r="C504" s="374"/>
      <c r="D504" s="374"/>
      <c r="E504" s="188"/>
      <c r="F504" s="273"/>
      <c r="G504" s="273"/>
      <c r="H504" s="273"/>
      <c r="I504" s="273"/>
      <c r="J504" s="273"/>
      <c r="K504" s="3"/>
      <c r="L504" s="3"/>
      <c r="M504" s="3"/>
      <c r="N504" s="1"/>
      <c r="O504" s="157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4"/>
      <c r="C505" s="374"/>
      <c r="D505" s="374"/>
      <c r="E505" s="188"/>
      <c r="F505" s="273"/>
      <c r="G505" s="273"/>
      <c r="H505" s="273"/>
      <c r="I505" s="273"/>
      <c r="J505" s="273"/>
      <c r="K505" s="3"/>
      <c r="L505" s="3"/>
      <c r="M505" s="3"/>
      <c r="N505" s="1"/>
      <c r="O505" s="157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4"/>
      <c r="C506" s="374"/>
      <c r="D506" s="374"/>
      <c r="E506" s="188"/>
      <c r="F506" s="273"/>
      <c r="G506" s="273"/>
      <c r="H506" s="273"/>
      <c r="I506" s="273"/>
      <c r="J506" s="273"/>
      <c r="K506" s="3"/>
      <c r="L506" s="3"/>
      <c r="M506" s="3"/>
      <c r="N506" s="1"/>
      <c r="O506" s="157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4"/>
      <c r="C507" s="374"/>
      <c r="D507" s="374"/>
      <c r="E507" s="188"/>
      <c r="F507" s="273"/>
      <c r="G507" s="273"/>
      <c r="H507" s="273"/>
      <c r="I507" s="273"/>
      <c r="J507" s="273"/>
      <c r="K507" s="3"/>
      <c r="L507" s="3"/>
      <c r="M507" s="3"/>
      <c r="N507" s="1"/>
      <c r="O507" s="157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4"/>
      <c r="C508" s="374"/>
      <c r="D508" s="374"/>
      <c r="E508" s="188"/>
      <c r="F508" s="273"/>
      <c r="G508" s="273"/>
      <c r="H508" s="273"/>
      <c r="I508" s="273"/>
      <c r="J508" s="273"/>
      <c r="K508" s="3"/>
      <c r="L508" s="3"/>
      <c r="M508" s="3"/>
      <c r="N508" s="1"/>
      <c r="O508" s="157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4"/>
      <c r="C509" s="374"/>
      <c r="D509" s="374"/>
      <c r="E509" s="188"/>
      <c r="F509" s="273"/>
      <c r="G509" s="273"/>
      <c r="H509" s="273"/>
      <c r="I509" s="273"/>
      <c r="J509" s="273"/>
      <c r="K509" s="3"/>
      <c r="L509" s="3"/>
      <c r="M509" s="3"/>
      <c r="N509" s="1"/>
      <c r="O509" s="157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4"/>
      <c r="C510" s="374"/>
      <c r="D510" s="374"/>
      <c r="E510" s="188"/>
      <c r="F510" s="273"/>
      <c r="G510" s="273"/>
      <c r="H510" s="273"/>
      <c r="I510" s="273"/>
      <c r="J510" s="273"/>
      <c r="K510" s="3"/>
      <c r="L510" s="3"/>
      <c r="M510" s="3"/>
      <c r="N510" s="1"/>
      <c r="O510" s="157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4"/>
      <c r="C511" s="374"/>
      <c r="D511" s="374"/>
      <c r="E511" s="188"/>
      <c r="F511" s="273"/>
      <c r="G511" s="273"/>
      <c r="H511" s="273"/>
      <c r="I511" s="273"/>
      <c r="J511" s="273"/>
      <c r="K511" s="3"/>
      <c r="L511" s="3"/>
      <c r="M511" s="3"/>
      <c r="N511" s="1"/>
      <c r="O511" s="157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4"/>
      <c r="C512" s="374"/>
      <c r="D512" s="374"/>
      <c r="E512" s="188"/>
      <c r="F512" s="273"/>
      <c r="G512" s="273"/>
      <c r="H512" s="273"/>
      <c r="I512" s="273"/>
      <c r="J512" s="273"/>
      <c r="K512" s="3"/>
      <c r="L512" s="3"/>
      <c r="M512" s="3"/>
      <c r="N512" s="1"/>
      <c r="O512" s="157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4"/>
      <c r="C513" s="374"/>
      <c r="D513" s="374"/>
      <c r="E513" s="188"/>
      <c r="F513" s="273"/>
      <c r="G513" s="273"/>
      <c r="H513" s="273"/>
      <c r="I513" s="273"/>
      <c r="J513" s="273"/>
      <c r="K513" s="3"/>
      <c r="L513" s="3"/>
      <c r="M513" s="3"/>
      <c r="N513" s="1"/>
      <c r="O513" s="157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4"/>
      <c r="C514" s="374"/>
      <c r="D514" s="374"/>
      <c r="E514" s="188"/>
      <c r="F514" s="273"/>
      <c r="G514" s="273"/>
      <c r="H514" s="273"/>
      <c r="I514" s="273"/>
      <c r="J514" s="273"/>
      <c r="K514" s="3"/>
      <c r="L514" s="3"/>
      <c r="M514" s="3"/>
      <c r="N514" s="1"/>
      <c r="O514" s="157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4"/>
      <c r="C515" s="374"/>
      <c r="D515" s="374"/>
      <c r="E515" s="188"/>
      <c r="F515" s="273"/>
      <c r="G515" s="273"/>
      <c r="H515" s="273"/>
      <c r="I515" s="273"/>
      <c r="J515" s="273"/>
      <c r="K515" s="3"/>
      <c r="L515" s="3"/>
      <c r="M515" s="3"/>
      <c r="N515" s="1"/>
      <c r="O515" s="157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4"/>
      <c r="C516" s="374"/>
      <c r="D516" s="374"/>
      <c r="E516" s="188"/>
      <c r="F516" s="273"/>
      <c r="G516" s="273"/>
      <c r="H516" s="273"/>
      <c r="I516" s="273"/>
      <c r="J516" s="273"/>
      <c r="K516" s="3"/>
      <c r="L516" s="3"/>
      <c r="M516" s="3"/>
      <c r="N516" s="1"/>
      <c r="O516" s="157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4"/>
      <c r="C517" s="374"/>
      <c r="D517" s="374"/>
      <c r="E517" s="188"/>
      <c r="F517" s="273"/>
      <c r="G517" s="273"/>
      <c r="H517" s="273"/>
      <c r="I517" s="273"/>
      <c r="J517" s="273"/>
      <c r="K517" s="3"/>
      <c r="L517" s="3"/>
      <c r="M517" s="3"/>
      <c r="N517" s="1"/>
      <c r="O517" s="157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4"/>
      <c r="C518" s="374"/>
      <c r="D518" s="374"/>
      <c r="E518" s="188"/>
      <c r="F518" s="273"/>
      <c r="G518" s="273"/>
      <c r="H518" s="273"/>
      <c r="I518" s="273"/>
      <c r="J518" s="273"/>
      <c r="K518" s="3"/>
      <c r="L518" s="3"/>
      <c r="M518" s="3"/>
      <c r="N518" s="1"/>
      <c r="O518" s="157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4"/>
      <c r="C519" s="374"/>
      <c r="D519" s="374"/>
      <c r="E519" s="188"/>
      <c r="F519" s="273"/>
      <c r="G519" s="273"/>
      <c r="H519" s="273"/>
      <c r="I519" s="273"/>
      <c r="J519" s="273"/>
      <c r="K519" s="3"/>
      <c r="L519" s="3"/>
      <c r="M519" s="3"/>
      <c r="N519" s="1"/>
      <c r="O519" s="157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4"/>
      <c r="C520" s="374"/>
      <c r="D520" s="374"/>
      <c r="E520" s="188"/>
      <c r="F520" s="273"/>
      <c r="G520" s="273"/>
      <c r="H520" s="273"/>
      <c r="I520" s="273"/>
      <c r="J520" s="273"/>
      <c r="K520" s="3"/>
      <c r="L520" s="3"/>
      <c r="M520" s="3"/>
      <c r="N520" s="1"/>
      <c r="O520" s="157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4"/>
      <c r="C521" s="374"/>
      <c r="D521" s="374"/>
      <c r="E521" s="188"/>
      <c r="F521" s="273"/>
      <c r="G521" s="273"/>
      <c r="H521" s="273"/>
      <c r="I521" s="273"/>
      <c r="J521" s="273"/>
      <c r="K521" s="3"/>
      <c r="L521" s="3"/>
      <c r="M521" s="3"/>
      <c r="N521" s="1"/>
      <c r="O521" s="157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4"/>
      <c r="C522" s="374"/>
      <c r="D522" s="374"/>
      <c r="E522" s="188"/>
      <c r="F522" s="273"/>
      <c r="G522" s="273"/>
      <c r="H522" s="273"/>
      <c r="I522" s="273"/>
      <c r="J522" s="273"/>
      <c r="K522" s="3"/>
      <c r="L522" s="3"/>
      <c r="M522" s="3"/>
      <c r="N522" s="1"/>
      <c r="O522" s="157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4"/>
      <c r="C523" s="374"/>
      <c r="D523" s="374"/>
      <c r="E523" s="188"/>
      <c r="F523" s="273"/>
      <c r="G523" s="273"/>
      <c r="H523" s="273"/>
      <c r="I523" s="273"/>
      <c r="J523" s="273"/>
      <c r="K523" s="3"/>
      <c r="L523" s="3"/>
      <c r="M523" s="3"/>
      <c r="N523" s="1"/>
      <c r="O523" s="157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4"/>
      <c r="C524" s="374"/>
      <c r="D524" s="374"/>
      <c r="E524" s="188"/>
      <c r="F524" s="273"/>
      <c r="G524" s="273"/>
      <c r="H524" s="273"/>
      <c r="I524" s="273"/>
      <c r="J524" s="273"/>
      <c r="K524" s="3"/>
      <c r="L524" s="3"/>
      <c r="M524" s="3"/>
      <c r="N524" s="1"/>
      <c r="O524" s="157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4"/>
      <c r="C525" s="374"/>
      <c r="D525" s="374"/>
      <c r="E525" s="188"/>
      <c r="F525" s="273"/>
      <c r="G525" s="273"/>
      <c r="H525" s="273"/>
      <c r="I525" s="273"/>
      <c r="J525" s="273"/>
      <c r="K525" s="3"/>
      <c r="L525" s="3"/>
      <c r="M525" s="3"/>
      <c r="N525" s="1"/>
      <c r="O525" s="157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4"/>
      <c r="C526" s="374"/>
      <c r="D526" s="374"/>
      <c r="E526" s="188"/>
      <c r="F526" s="273"/>
      <c r="G526" s="273"/>
      <c r="H526" s="273"/>
      <c r="I526" s="273"/>
      <c r="J526" s="273"/>
      <c r="K526" s="3"/>
      <c r="L526" s="3"/>
      <c r="M526" s="3"/>
      <c r="N526" s="1"/>
      <c r="O526" s="157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4"/>
      <c r="C527" s="374"/>
      <c r="D527" s="374"/>
      <c r="E527" s="188"/>
      <c r="F527" s="273"/>
      <c r="G527" s="273"/>
      <c r="H527" s="273"/>
      <c r="I527" s="273"/>
      <c r="J527" s="273"/>
      <c r="K527" s="3"/>
      <c r="L527" s="3"/>
      <c r="M527" s="3"/>
      <c r="N527" s="1"/>
      <c r="O527" s="157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4"/>
      <c r="C528" s="374"/>
      <c r="D528" s="374"/>
      <c r="E528" s="188"/>
      <c r="F528" s="273"/>
      <c r="G528" s="273"/>
      <c r="H528" s="273"/>
      <c r="I528" s="273"/>
      <c r="J528" s="273"/>
      <c r="K528" s="3"/>
      <c r="L528" s="3"/>
      <c r="M528" s="3"/>
      <c r="N528" s="1"/>
      <c r="O528" s="157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4"/>
      <c r="C529" s="374"/>
      <c r="D529" s="374"/>
      <c r="E529" s="188"/>
      <c r="F529" s="273"/>
      <c r="G529" s="273"/>
      <c r="H529" s="273"/>
      <c r="I529" s="273"/>
      <c r="J529" s="273"/>
      <c r="K529" s="3"/>
      <c r="L529" s="3"/>
      <c r="M529" s="3"/>
      <c r="N529" s="1"/>
      <c r="O529" s="157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4"/>
      <c r="C530" s="374"/>
      <c r="D530" s="374"/>
      <c r="E530" s="188"/>
      <c r="F530" s="273"/>
      <c r="G530" s="273"/>
      <c r="H530" s="273"/>
      <c r="I530" s="273"/>
      <c r="J530" s="273"/>
      <c r="K530" s="3"/>
      <c r="L530" s="3"/>
      <c r="M530" s="3"/>
      <c r="N530" s="1"/>
      <c r="O530" s="157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4"/>
      <c r="C531" s="374"/>
      <c r="D531" s="374"/>
      <c r="E531" s="188"/>
      <c r="F531" s="273"/>
      <c r="G531" s="273"/>
      <c r="H531" s="273"/>
      <c r="I531" s="273"/>
      <c r="J531" s="273"/>
      <c r="K531" s="3"/>
      <c r="L531" s="3"/>
      <c r="M531" s="3"/>
      <c r="N531" s="1"/>
      <c r="O531" s="157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4"/>
      <c r="C532" s="374"/>
      <c r="D532" s="374"/>
      <c r="E532" s="188"/>
      <c r="F532" s="273"/>
      <c r="G532" s="273"/>
      <c r="H532" s="273"/>
      <c r="I532" s="273"/>
      <c r="J532" s="273"/>
      <c r="K532" s="3"/>
      <c r="L532" s="3"/>
      <c r="M532" s="3"/>
      <c r="N532" s="1"/>
      <c r="O532" s="157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4"/>
      <c r="C533" s="374"/>
      <c r="D533" s="374"/>
      <c r="E533" s="188"/>
      <c r="F533" s="273"/>
      <c r="G533" s="273"/>
      <c r="H533" s="273"/>
      <c r="I533" s="273"/>
      <c r="J533" s="273"/>
      <c r="K533" s="3"/>
      <c r="L533" s="3"/>
      <c r="M533" s="3"/>
      <c r="N533" s="1"/>
      <c r="O533" s="157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4"/>
      <c r="C534" s="374"/>
      <c r="D534" s="374"/>
      <c r="E534" s="188"/>
      <c r="F534" s="273"/>
      <c r="G534" s="273"/>
      <c r="H534" s="273"/>
      <c r="I534" s="273"/>
      <c r="J534" s="273"/>
      <c r="K534" s="3"/>
      <c r="L534" s="3"/>
      <c r="M534" s="3"/>
      <c r="N534" s="1"/>
      <c r="O534" s="157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4"/>
      <c r="C535" s="374"/>
      <c r="D535" s="374"/>
      <c r="E535" s="188"/>
      <c r="F535" s="273"/>
      <c r="G535" s="273"/>
      <c r="H535" s="273"/>
      <c r="I535" s="273"/>
      <c r="J535" s="273"/>
      <c r="K535" s="3"/>
      <c r="L535" s="3"/>
      <c r="M535" s="3"/>
      <c r="N535" s="1"/>
      <c r="O535" s="157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4"/>
      <c r="C536" s="374"/>
      <c r="D536" s="374"/>
      <c r="E536" s="188"/>
      <c r="F536" s="273"/>
      <c r="G536" s="273"/>
      <c r="H536" s="273"/>
      <c r="I536" s="273"/>
      <c r="J536" s="273"/>
      <c r="K536" s="3"/>
      <c r="L536" s="3"/>
      <c r="M536" s="3"/>
      <c r="N536" s="1"/>
      <c r="O536" s="157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4"/>
      <c r="C537" s="374"/>
      <c r="D537" s="374"/>
      <c r="E537" s="188"/>
      <c r="F537" s="273"/>
      <c r="G537" s="273"/>
      <c r="H537" s="273"/>
      <c r="I537" s="273"/>
      <c r="J537" s="273"/>
      <c r="K537" s="3"/>
      <c r="L537" s="3"/>
      <c r="M537" s="3"/>
      <c r="N537" s="1"/>
      <c r="O537" s="157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4"/>
      <c r="C538" s="374"/>
      <c r="D538" s="374"/>
      <c r="E538" s="188"/>
      <c r="F538" s="273"/>
      <c r="G538" s="273"/>
      <c r="H538" s="273"/>
      <c r="I538" s="273"/>
      <c r="J538" s="273"/>
      <c r="K538" s="3"/>
      <c r="L538" s="3"/>
      <c r="M538" s="3"/>
      <c r="N538" s="1"/>
      <c r="O538" s="157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4"/>
      <c r="C539" s="374"/>
      <c r="D539" s="374"/>
      <c r="E539" s="188"/>
      <c r="F539" s="273"/>
      <c r="G539" s="273"/>
      <c r="H539" s="273"/>
      <c r="I539" s="273"/>
      <c r="J539" s="273"/>
      <c r="K539" s="3"/>
      <c r="L539" s="3"/>
      <c r="M539" s="3"/>
      <c r="N539" s="1"/>
      <c r="O539" s="157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4"/>
      <c r="C540" s="374"/>
      <c r="D540" s="374"/>
      <c r="E540" s="188"/>
      <c r="F540" s="273"/>
      <c r="G540" s="273"/>
      <c r="H540" s="273"/>
      <c r="I540" s="273"/>
      <c r="J540" s="273"/>
      <c r="K540" s="3"/>
      <c r="L540" s="3"/>
      <c r="M540" s="3"/>
      <c r="N540" s="1"/>
      <c r="O540" s="157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4"/>
      <c r="C541" s="374"/>
      <c r="D541" s="374"/>
      <c r="E541" s="188"/>
      <c r="F541" s="273"/>
      <c r="G541" s="273"/>
      <c r="H541" s="273"/>
      <c r="I541" s="273"/>
      <c r="J541" s="273"/>
      <c r="K541" s="3"/>
      <c r="L541" s="3"/>
      <c r="M541" s="3"/>
      <c r="N541" s="1"/>
      <c r="O541" s="157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4"/>
      <c r="C542" s="374"/>
      <c r="D542" s="374"/>
      <c r="E542" s="188"/>
      <c r="F542" s="273"/>
      <c r="G542" s="273"/>
      <c r="H542" s="273"/>
      <c r="I542" s="273"/>
      <c r="J542" s="273"/>
      <c r="K542" s="3"/>
      <c r="L542" s="3"/>
      <c r="M542" s="3"/>
      <c r="N542" s="1"/>
      <c r="O542" s="157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4"/>
      <c r="C543" s="374"/>
      <c r="D543" s="374"/>
      <c r="E543" s="188"/>
      <c r="F543" s="273"/>
      <c r="G543" s="273"/>
      <c r="H543" s="273"/>
      <c r="I543" s="273"/>
      <c r="J543" s="273"/>
      <c r="K543" s="3"/>
      <c r="L543" s="3"/>
      <c r="M543" s="3"/>
      <c r="N543" s="1"/>
      <c r="O543" s="157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4"/>
      <c r="C544" s="374"/>
      <c r="D544" s="374"/>
      <c r="E544" s="188"/>
      <c r="F544" s="273"/>
      <c r="G544" s="273"/>
      <c r="H544" s="273"/>
      <c r="I544" s="273"/>
      <c r="J544" s="273"/>
      <c r="K544" s="3"/>
      <c r="L544" s="3"/>
      <c r="M544" s="3"/>
      <c r="N544" s="1"/>
      <c r="O544" s="157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4"/>
      <c r="C545" s="374"/>
      <c r="D545" s="374"/>
      <c r="E545" s="188"/>
      <c r="F545" s="273"/>
      <c r="G545" s="273"/>
      <c r="H545" s="273"/>
      <c r="I545" s="273"/>
      <c r="J545" s="273"/>
      <c r="K545" s="3"/>
      <c r="L545" s="3"/>
      <c r="M545" s="3"/>
      <c r="N545" s="1"/>
      <c r="O545" s="157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4"/>
      <c r="C546" s="374"/>
      <c r="D546" s="374"/>
      <c r="E546" s="188"/>
      <c r="F546" s="273"/>
      <c r="G546" s="273"/>
      <c r="H546" s="273"/>
      <c r="I546" s="273"/>
      <c r="J546" s="273"/>
      <c r="K546" s="3"/>
      <c r="L546" s="3"/>
      <c r="M546" s="3"/>
      <c r="N546" s="1"/>
      <c r="O546" s="157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4"/>
      <c r="C547" s="374"/>
      <c r="D547" s="374"/>
      <c r="E547" s="188"/>
      <c r="F547" s="273"/>
      <c r="G547" s="273"/>
      <c r="H547" s="273"/>
      <c r="I547" s="273"/>
      <c r="J547" s="273"/>
      <c r="K547" s="3"/>
      <c r="L547" s="3"/>
      <c r="M547" s="3"/>
      <c r="N547" s="1"/>
      <c r="O547" s="157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4"/>
      <c r="C548" s="374"/>
      <c r="D548" s="374"/>
      <c r="E548" s="188"/>
      <c r="F548" s="273"/>
      <c r="G548" s="273"/>
      <c r="H548" s="273"/>
      <c r="I548" s="273"/>
      <c r="J548" s="273"/>
      <c r="K548" s="3"/>
      <c r="L548" s="3"/>
      <c r="M548" s="3"/>
      <c r="N548" s="1"/>
      <c r="O548" s="157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4"/>
      <c r="C549" s="374"/>
      <c r="D549" s="374"/>
      <c r="E549" s="188"/>
      <c r="F549" s="273"/>
      <c r="G549" s="273"/>
      <c r="H549" s="273"/>
      <c r="I549" s="273"/>
      <c r="J549" s="273"/>
      <c r="K549" s="3"/>
      <c r="L549" s="3"/>
      <c r="M549" s="3"/>
      <c r="N549" s="1"/>
      <c r="O549" s="157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4"/>
      <c r="C550" s="374"/>
      <c r="D550" s="374"/>
      <c r="E550" s="188"/>
      <c r="F550" s="273"/>
      <c r="G550" s="273"/>
      <c r="H550" s="273"/>
      <c r="I550" s="273"/>
      <c r="J550" s="273"/>
      <c r="K550" s="3"/>
      <c r="L550" s="3"/>
      <c r="M550" s="3"/>
      <c r="N550" s="1"/>
      <c r="O550" s="157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4"/>
      <c r="C551" s="374"/>
      <c r="D551" s="374"/>
      <c r="E551" s="188"/>
      <c r="F551" s="273"/>
      <c r="G551" s="273"/>
      <c r="H551" s="273"/>
      <c r="I551" s="273"/>
      <c r="J551" s="273"/>
      <c r="K551" s="3"/>
      <c r="L551" s="3"/>
      <c r="M551" s="3"/>
      <c r="N551" s="1"/>
      <c r="O551" s="157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4"/>
      <c r="C552" s="374"/>
      <c r="D552" s="374"/>
      <c r="E552" s="188"/>
      <c r="F552" s="273"/>
      <c r="G552" s="273"/>
      <c r="H552" s="273"/>
      <c r="I552" s="273"/>
      <c r="J552" s="273"/>
      <c r="K552" s="3"/>
      <c r="L552" s="3"/>
      <c r="M552" s="3"/>
      <c r="N552" s="1"/>
      <c r="O552" s="157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4"/>
      <c r="C553" s="374"/>
      <c r="D553" s="374"/>
      <c r="E553" s="188"/>
      <c r="F553" s="273"/>
      <c r="G553" s="273"/>
      <c r="H553" s="273"/>
      <c r="I553" s="273"/>
      <c r="J553" s="273"/>
      <c r="K553" s="3"/>
      <c r="L553" s="3"/>
      <c r="M553" s="3"/>
      <c r="N553" s="1"/>
      <c r="O553" s="157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4"/>
      <c r="C554" s="374"/>
      <c r="D554" s="374"/>
      <c r="E554" s="188"/>
      <c r="F554" s="273"/>
      <c r="G554" s="273"/>
      <c r="H554" s="273"/>
      <c r="I554" s="273"/>
      <c r="J554" s="273"/>
      <c r="K554" s="3"/>
      <c r="L554" s="3"/>
      <c r="M554" s="3"/>
      <c r="N554" s="1"/>
      <c r="O554" s="157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4"/>
      <c r="C555" s="374"/>
      <c r="D555" s="374"/>
      <c r="E555" s="188"/>
      <c r="F555" s="273"/>
      <c r="G555" s="273"/>
      <c r="H555" s="273"/>
      <c r="I555" s="273"/>
      <c r="J555" s="273"/>
      <c r="K555" s="3"/>
      <c r="L555" s="3"/>
      <c r="M555" s="3"/>
      <c r="N555" s="1"/>
      <c r="O555" s="157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4"/>
      <c r="C556" s="374"/>
      <c r="D556" s="374"/>
      <c r="E556" s="188"/>
      <c r="F556" s="273"/>
      <c r="G556" s="273"/>
      <c r="H556" s="273"/>
      <c r="I556" s="273"/>
      <c r="J556" s="273"/>
      <c r="K556" s="3"/>
      <c r="L556" s="3"/>
      <c r="M556" s="3"/>
      <c r="N556" s="1"/>
      <c r="O556" s="157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4"/>
      <c r="C557" s="374"/>
      <c r="D557" s="374"/>
      <c r="E557" s="188"/>
      <c r="F557" s="273"/>
      <c r="G557" s="273"/>
      <c r="H557" s="273"/>
      <c r="I557" s="273"/>
      <c r="J557" s="273"/>
      <c r="K557" s="3"/>
      <c r="L557" s="3"/>
      <c r="M557" s="3"/>
      <c r="N557" s="1"/>
      <c r="O557" s="157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4"/>
      <c r="C558" s="374"/>
      <c r="D558" s="374"/>
      <c r="E558" s="188"/>
      <c r="F558" s="273"/>
      <c r="G558" s="273"/>
      <c r="H558" s="273"/>
      <c r="I558" s="273"/>
      <c r="J558" s="273"/>
      <c r="K558" s="3"/>
      <c r="L558" s="3"/>
      <c r="M558" s="3"/>
      <c r="N558" s="1"/>
      <c r="O558" s="157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4"/>
      <c r="C559" s="374"/>
      <c r="D559" s="374"/>
      <c r="E559" s="188"/>
      <c r="F559" s="273"/>
      <c r="G559" s="273"/>
      <c r="H559" s="273"/>
      <c r="I559" s="273"/>
      <c r="J559" s="273"/>
      <c r="K559" s="3"/>
      <c r="L559" s="3"/>
      <c r="M559" s="3"/>
      <c r="N559" s="1"/>
      <c r="O559" s="157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4"/>
      <c r="C560" s="374"/>
      <c r="D560" s="374"/>
      <c r="E560" s="188"/>
      <c r="F560" s="273"/>
      <c r="G560" s="273"/>
      <c r="H560" s="273"/>
      <c r="I560" s="273"/>
      <c r="J560" s="273"/>
      <c r="K560" s="3"/>
      <c r="L560" s="3"/>
      <c r="M560" s="3"/>
      <c r="N560" s="1"/>
      <c r="O560" s="157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4"/>
      <c r="C561" s="374"/>
      <c r="D561" s="374"/>
      <c r="E561" s="188"/>
      <c r="F561" s="273"/>
      <c r="G561" s="273"/>
      <c r="H561" s="273"/>
      <c r="I561" s="273"/>
      <c r="J561" s="273"/>
      <c r="K561" s="3"/>
      <c r="L561" s="3"/>
      <c r="M561" s="3"/>
      <c r="N561" s="1"/>
      <c r="O561" s="157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4"/>
      <c r="C562" s="374"/>
      <c r="D562" s="374"/>
      <c r="E562" s="188"/>
      <c r="F562" s="273"/>
      <c r="G562" s="273"/>
      <c r="H562" s="273"/>
      <c r="I562" s="273"/>
      <c r="J562" s="273"/>
      <c r="K562" s="3"/>
      <c r="L562" s="3"/>
      <c r="M562" s="3"/>
      <c r="N562" s="1"/>
      <c r="O562" s="157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4"/>
      <c r="C563" s="374"/>
      <c r="D563" s="374"/>
      <c r="E563" s="188"/>
      <c r="F563" s="273"/>
      <c r="G563" s="273"/>
      <c r="H563" s="273"/>
      <c r="I563" s="273"/>
      <c r="J563" s="273"/>
      <c r="K563" s="3"/>
      <c r="L563" s="3"/>
      <c r="M563" s="3"/>
      <c r="N563" s="1"/>
      <c r="O563" s="157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4"/>
      <c r="C564" s="374"/>
      <c r="D564" s="374"/>
      <c r="E564" s="188"/>
      <c r="F564" s="273"/>
      <c r="G564" s="273"/>
      <c r="H564" s="273"/>
      <c r="I564" s="273"/>
      <c r="J564" s="273"/>
      <c r="K564" s="3"/>
      <c r="L564" s="3"/>
      <c r="M564" s="3"/>
      <c r="N564" s="1"/>
      <c r="O564" s="157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4"/>
      <c r="C565" s="374"/>
      <c r="D565" s="374"/>
      <c r="E565" s="188"/>
      <c r="F565" s="273"/>
      <c r="G565" s="273"/>
      <c r="H565" s="273"/>
      <c r="I565" s="273"/>
      <c r="J565" s="273"/>
      <c r="K565" s="3"/>
      <c r="L565" s="3"/>
      <c r="M565" s="3"/>
      <c r="N565" s="1"/>
      <c r="O565" s="157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4"/>
      <c r="C566" s="374"/>
      <c r="D566" s="374"/>
      <c r="E566" s="188"/>
      <c r="F566" s="273"/>
      <c r="G566" s="273"/>
      <c r="H566" s="273"/>
      <c r="I566" s="273"/>
      <c r="J566" s="273"/>
      <c r="K566" s="3"/>
      <c r="L566" s="3"/>
      <c r="M566" s="3"/>
      <c r="N566" s="1"/>
      <c r="O566" s="157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4"/>
      <c r="C567" s="374"/>
      <c r="D567" s="374"/>
      <c r="E567" s="188"/>
      <c r="F567" s="273"/>
      <c r="G567" s="273"/>
      <c r="H567" s="273"/>
      <c r="I567" s="273"/>
      <c r="J567" s="273"/>
      <c r="K567" s="3"/>
      <c r="L567" s="3"/>
      <c r="M567" s="3"/>
      <c r="N567" s="1"/>
      <c r="O567" s="157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4"/>
      <c r="C568" s="374"/>
      <c r="D568" s="374"/>
      <c r="E568" s="188"/>
      <c r="F568" s="273"/>
      <c r="G568" s="273"/>
      <c r="H568" s="273"/>
      <c r="I568" s="273"/>
      <c r="J568" s="273"/>
      <c r="K568" s="3"/>
      <c r="L568" s="3"/>
      <c r="M568" s="3"/>
      <c r="N568" s="1"/>
      <c r="O568" s="157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4"/>
      <c r="C569" s="374"/>
      <c r="D569" s="374"/>
      <c r="E569" s="188"/>
      <c r="F569" s="273"/>
      <c r="G569" s="273"/>
      <c r="H569" s="273"/>
      <c r="I569" s="273"/>
      <c r="J569" s="273"/>
      <c r="K569" s="3"/>
      <c r="L569" s="3"/>
      <c r="M569" s="3"/>
      <c r="N569" s="1"/>
      <c r="O569" s="157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4"/>
      <c r="C570" s="374"/>
      <c r="D570" s="374"/>
      <c r="E570" s="188"/>
      <c r="F570" s="273"/>
      <c r="G570" s="273"/>
      <c r="H570" s="273"/>
      <c r="I570" s="273"/>
      <c r="J570" s="273"/>
      <c r="K570" s="3"/>
      <c r="L570" s="3"/>
      <c r="M570" s="3"/>
      <c r="N570" s="1"/>
      <c r="O570" s="157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4"/>
      <c r="C571" s="374"/>
      <c r="D571" s="374"/>
      <c r="E571" s="188"/>
      <c r="F571" s="273"/>
      <c r="G571" s="273"/>
      <c r="H571" s="273"/>
      <c r="I571" s="273"/>
      <c r="J571" s="273"/>
      <c r="K571" s="3"/>
      <c r="L571" s="3"/>
      <c r="M571" s="3"/>
      <c r="N571" s="1"/>
      <c r="O571" s="157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4"/>
      <c r="C572" s="374"/>
      <c r="D572" s="374"/>
      <c r="E572" s="188"/>
      <c r="F572" s="273"/>
      <c r="G572" s="273"/>
      <c r="H572" s="273"/>
      <c r="I572" s="273"/>
      <c r="J572" s="273"/>
      <c r="K572" s="3"/>
      <c r="L572" s="3"/>
      <c r="M572" s="3"/>
      <c r="N572" s="1"/>
      <c r="O572" s="157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4"/>
      <c r="C573" s="374"/>
      <c r="D573" s="374"/>
      <c r="E573" s="188"/>
      <c r="F573" s="273"/>
      <c r="G573" s="273"/>
      <c r="H573" s="273"/>
      <c r="I573" s="273"/>
      <c r="J573" s="273"/>
      <c r="K573" s="3"/>
      <c r="L573" s="3"/>
      <c r="M573" s="3"/>
      <c r="N573" s="1"/>
      <c r="O573" s="157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4"/>
      <c r="C574" s="374"/>
      <c r="D574" s="374"/>
      <c r="E574" s="188"/>
      <c r="F574" s="273"/>
      <c r="G574" s="273"/>
      <c r="H574" s="273"/>
      <c r="I574" s="273"/>
      <c r="J574" s="273"/>
      <c r="K574" s="3"/>
      <c r="L574" s="3"/>
      <c r="M574" s="3"/>
      <c r="N574" s="1"/>
      <c r="O574" s="157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4"/>
      <c r="C575" s="374"/>
      <c r="D575" s="374"/>
      <c r="E575" s="188"/>
      <c r="F575" s="273"/>
      <c r="G575" s="273"/>
      <c r="H575" s="273"/>
      <c r="I575" s="273"/>
      <c r="J575" s="273"/>
      <c r="K575" s="3"/>
      <c r="L575" s="3"/>
      <c r="M575" s="3"/>
      <c r="N575" s="1"/>
      <c r="O575" s="157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4"/>
      <c r="C576" s="374"/>
      <c r="D576" s="374"/>
      <c r="E576" s="188"/>
      <c r="F576" s="273"/>
      <c r="G576" s="273"/>
      <c r="H576" s="273"/>
      <c r="I576" s="273"/>
      <c r="J576" s="273"/>
      <c r="K576" s="3"/>
      <c r="L576" s="3"/>
      <c r="M576" s="3"/>
      <c r="N576" s="1"/>
      <c r="O576" s="157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4"/>
      <c r="C577" s="374"/>
      <c r="D577" s="374"/>
      <c r="E577" s="188"/>
      <c r="F577" s="273"/>
      <c r="G577" s="273"/>
      <c r="H577" s="273"/>
      <c r="I577" s="273"/>
      <c r="J577" s="273"/>
      <c r="K577" s="3"/>
      <c r="L577" s="3"/>
      <c r="M577" s="3"/>
      <c r="N577" s="1"/>
      <c r="O577" s="157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4"/>
      <c r="C578" s="374"/>
      <c r="D578" s="374"/>
      <c r="E578" s="188"/>
      <c r="F578" s="273"/>
      <c r="G578" s="273"/>
      <c r="H578" s="273"/>
      <c r="I578" s="273"/>
      <c r="J578" s="273"/>
      <c r="K578" s="3"/>
      <c r="L578" s="3"/>
      <c r="M578" s="3"/>
      <c r="N578" s="1"/>
      <c r="O578" s="157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4"/>
      <c r="C579" s="374"/>
      <c r="D579" s="374"/>
      <c r="E579" s="188"/>
      <c r="F579" s="273"/>
      <c r="G579" s="273"/>
      <c r="H579" s="273"/>
      <c r="I579" s="273"/>
      <c r="J579" s="273"/>
      <c r="K579" s="3"/>
      <c r="L579" s="3"/>
      <c r="M579" s="3"/>
      <c r="N579" s="1"/>
      <c r="O579" s="157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4"/>
      <c r="C580" s="374"/>
      <c r="D580" s="374"/>
      <c r="E580" s="188"/>
      <c r="F580" s="273"/>
      <c r="G580" s="273"/>
      <c r="H580" s="273"/>
      <c r="I580" s="273"/>
      <c r="J580" s="273"/>
      <c r="K580" s="3"/>
      <c r="L580" s="3"/>
      <c r="M580" s="3"/>
      <c r="N580" s="1"/>
      <c r="O580" s="157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4"/>
      <c r="C581" s="374"/>
      <c r="D581" s="374"/>
      <c r="E581" s="188"/>
      <c r="F581" s="273"/>
      <c r="G581" s="273"/>
      <c r="H581" s="273"/>
      <c r="I581" s="273"/>
      <c r="J581" s="273"/>
      <c r="K581" s="3"/>
      <c r="L581" s="3"/>
      <c r="M581" s="3"/>
      <c r="N581" s="1"/>
      <c r="O581" s="157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4"/>
      <c r="C582" s="374"/>
      <c r="D582" s="374"/>
      <c r="E582" s="188"/>
      <c r="F582" s="273"/>
      <c r="G582" s="273"/>
      <c r="H582" s="273"/>
      <c r="I582" s="273"/>
      <c r="J582" s="273"/>
      <c r="K582" s="3"/>
      <c r="L582" s="3"/>
      <c r="M582" s="3"/>
      <c r="N582" s="1"/>
      <c r="O582" s="157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4"/>
      <c r="C583" s="374"/>
      <c r="D583" s="374"/>
      <c r="E583" s="188"/>
      <c r="F583" s="273"/>
      <c r="G583" s="273"/>
      <c r="H583" s="273"/>
      <c r="I583" s="273"/>
      <c r="J583" s="273"/>
      <c r="K583" s="3"/>
      <c r="L583" s="3"/>
      <c r="M583" s="3"/>
      <c r="N583" s="1"/>
      <c r="O583" s="157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4"/>
      <c r="C584" s="374"/>
      <c r="D584" s="374"/>
      <c r="E584" s="188"/>
      <c r="F584" s="273"/>
      <c r="G584" s="273"/>
      <c r="H584" s="273"/>
      <c r="I584" s="273"/>
      <c r="J584" s="273"/>
      <c r="K584" s="3"/>
      <c r="L584" s="3"/>
      <c r="M584" s="3"/>
      <c r="N584" s="1"/>
      <c r="O584" s="157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4"/>
      <c r="C585" s="374"/>
      <c r="D585" s="374"/>
      <c r="E585" s="188"/>
      <c r="F585" s="273"/>
      <c r="G585" s="273"/>
      <c r="H585" s="273"/>
      <c r="I585" s="273"/>
      <c r="J585" s="273"/>
      <c r="K585" s="3"/>
      <c r="L585" s="3"/>
      <c r="M585" s="3"/>
      <c r="N585" s="1"/>
      <c r="O585" s="157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4"/>
      <c r="C586" s="374"/>
      <c r="D586" s="374"/>
      <c r="E586" s="188"/>
      <c r="F586" s="273"/>
      <c r="G586" s="273"/>
      <c r="H586" s="273"/>
      <c r="I586" s="273"/>
      <c r="J586" s="273"/>
      <c r="K586" s="3"/>
      <c r="L586" s="3"/>
      <c r="M586" s="3"/>
      <c r="N586" s="1"/>
      <c r="O586" s="157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4"/>
      <c r="C587" s="374"/>
      <c r="D587" s="374"/>
      <c r="E587" s="188"/>
      <c r="F587" s="273"/>
      <c r="G587" s="273"/>
      <c r="H587" s="273"/>
      <c r="I587" s="273"/>
      <c r="J587" s="273"/>
      <c r="K587" s="3"/>
      <c r="L587" s="3"/>
      <c r="M587" s="3"/>
      <c r="N587" s="1"/>
      <c r="O587" s="157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4"/>
      <c r="C588" s="374"/>
      <c r="D588" s="374"/>
      <c r="E588" s="188"/>
      <c r="F588" s="273"/>
      <c r="G588" s="273"/>
      <c r="H588" s="273"/>
      <c r="I588" s="273"/>
      <c r="J588" s="273"/>
      <c r="K588" s="3"/>
      <c r="L588" s="3"/>
      <c r="M588" s="3"/>
      <c r="N588" s="1"/>
      <c r="O588" s="157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4"/>
      <c r="C589" s="374"/>
      <c r="D589" s="374"/>
      <c r="E589" s="188"/>
      <c r="F589" s="273"/>
      <c r="G589" s="273"/>
      <c r="H589" s="273"/>
      <c r="I589" s="273"/>
      <c r="J589" s="273"/>
      <c r="K589" s="3"/>
      <c r="L589" s="3"/>
      <c r="M589" s="3"/>
      <c r="N589" s="1"/>
      <c r="O589" s="157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4"/>
      <c r="C590" s="374"/>
      <c r="D590" s="374"/>
      <c r="E590" s="188"/>
      <c r="F590" s="273"/>
      <c r="G590" s="273"/>
      <c r="H590" s="273"/>
      <c r="I590" s="273"/>
      <c r="J590" s="273"/>
      <c r="K590" s="3"/>
      <c r="L590" s="3"/>
      <c r="M590" s="3"/>
      <c r="N590" s="1"/>
      <c r="O590" s="157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4"/>
      <c r="C591" s="374"/>
      <c r="D591" s="374"/>
      <c r="E591" s="188"/>
      <c r="F591" s="273"/>
      <c r="G591" s="273"/>
      <c r="H591" s="273"/>
      <c r="I591" s="273"/>
      <c r="J591" s="273"/>
      <c r="K591" s="3"/>
      <c r="L591" s="3"/>
      <c r="M591" s="3"/>
      <c r="N591" s="1"/>
      <c r="O591" s="157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4"/>
      <c r="C592" s="374"/>
      <c r="D592" s="374"/>
      <c r="E592" s="188"/>
      <c r="F592" s="273"/>
      <c r="G592" s="273"/>
      <c r="H592" s="273"/>
      <c r="I592" s="273"/>
      <c r="J592" s="273"/>
      <c r="K592" s="3"/>
      <c r="L592" s="3"/>
      <c r="M592" s="3"/>
      <c r="N592" s="1"/>
      <c r="O592" s="157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4"/>
      <c r="C593" s="374"/>
      <c r="D593" s="374"/>
      <c r="E593" s="188"/>
      <c r="F593" s="273"/>
      <c r="G593" s="273"/>
      <c r="H593" s="273"/>
      <c r="I593" s="273"/>
      <c r="J593" s="273"/>
      <c r="K593" s="3"/>
      <c r="L593" s="3"/>
      <c r="M593" s="3"/>
      <c r="N593" s="1"/>
      <c r="O593" s="157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4"/>
      <c r="C594" s="374"/>
      <c r="D594" s="374"/>
      <c r="E594" s="188"/>
      <c r="F594" s="273"/>
      <c r="G594" s="273"/>
      <c r="H594" s="273"/>
      <c r="I594" s="273"/>
      <c r="J594" s="273"/>
      <c r="K594" s="3"/>
      <c r="L594" s="3"/>
      <c r="M594" s="3"/>
      <c r="N594" s="1"/>
      <c r="O594" s="157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4"/>
      <c r="C595" s="374"/>
      <c r="D595" s="374"/>
      <c r="E595" s="188"/>
      <c r="F595" s="273"/>
      <c r="G595" s="273"/>
      <c r="H595" s="273"/>
      <c r="I595" s="273"/>
      <c r="J595" s="273"/>
      <c r="K595" s="3"/>
      <c r="L595" s="3"/>
      <c r="M595" s="3"/>
      <c r="N595" s="1"/>
      <c r="O595" s="157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4"/>
      <c r="C596" s="374"/>
      <c r="D596" s="374"/>
      <c r="E596" s="188"/>
      <c r="F596" s="273"/>
      <c r="G596" s="273"/>
      <c r="H596" s="273"/>
      <c r="I596" s="273"/>
      <c r="J596" s="273"/>
      <c r="K596" s="3"/>
      <c r="L596" s="3"/>
      <c r="M596" s="3"/>
      <c r="N596" s="1"/>
      <c r="O596" s="157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4"/>
      <c r="C597" s="374"/>
      <c r="D597" s="374"/>
      <c r="E597" s="188"/>
      <c r="F597" s="273"/>
      <c r="G597" s="273"/>
      <c r="H597" s="273"/>
      <c r="I597" s="273"/>
      <c r="J597" s="273"/>
      <c r="K597" s="3"/>
      <c r="L597" s="3"/>
      <c r="M597" s="3"/>
      <c r="N597" s="1"/>
      <c r="O597" s="157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4"/>
      <c r="C598" s="374"/>
      <c r="D598" s="374"/>
      <c r="E598" s="188"/>
      <c r="F598" s="273"/>
      <c r="G598" s="273"/>
      <c r="H598" s="273"/>
      <c r="I598" s="273"/>
      <c r="J598" s="273"/>
      <c r="K598" s="3"/>
      <c r="L598" s="3"/>
      <c r="M598" s="3"/>
      <c r="N598" s="1"/>
      <c r="O598" s="157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4"/>
      <c r="C599" s="374"/>
      <c r="D599" s="374"/>
      <c r="E599" s="188"/>
      <c r="F599" s="273"/>
      <c r="G599" s="273"/>
      <c r="H599" s="273"/>
      <c r="I599" s="273"/>
      <c r="J599" s="273"/>
      <c r="K599" s="3"/>
      <c r="L599" s="3"/>
      <c r="M599" s="3"/>
      <c r="N599" s="1"/>
      <c r="O599" s="157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4"/>
      <c r="C600" s="374"/>
      <c r="D600" s="374"/>
      <c r="E600" s="188"/>
      <c r="F600" s="273"/>
      <c r="G600" s="273"/>
      <c r="H600" s="273"/>
      <c r="I600" s="273"/>
      <c r="J600" s="273"/>
      <c r="K600" s="3"/>
      <c r="L600" s="3"/>
      <c r="M600" s="3"/>
      <c r="N600" s="1"/>
      <c r="O600" s="157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4"/>
      <c r="C601" s="374"/>
      <c r="D601" s="374"/>
      <c r="E601" s="188"/>
      <c r="F601" s="273"/>
      <c r="G601" s="273"/>
      <c r="H601" s="273"/>
      <c r="I601" s="273"/>
      <c r="J601" s="273"/>
      <c r="K601" s="3"/>
      <c r="L601" s="3"/>
      <c r="M601" s="3"/>
      <c r="N601" s="1"/>
      <c r="O601" s="157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4"/>
      <c r="C602" s="374"/>
      <c r="D602" s="374"/>
      <c r="E602" s="188"/>
      <c r="F602" s="273"/>
      <c r="G602" s="273"/>
      <c r="H602" s="273"/>
      <c r="I602" s="273"/>
      <c r="J602" s="273"/>
      <c r="K602" s="3"/>
      <c r="L602" s="3"/>
      <c r="M602" s="3"/>
      <c r="N602" s="1"/>
      <c r="O602" s="157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4"/>
      <c r="C603" s="374"/>
      <c r="D603" s="374"/>
      <c r="E603" s="188"/>
      <c r="F603" s="273"/>
      <c r="G603" s="273"/>
      <c r="H603" s="273"/>
      <c r="I603" s="273"/>
      <c r="J603" s="273"/>
      <c r="K603" s="3"/>
      <c r="L603" s="3"/>
      <c r="M603" s="3"/>
      <c r="N603" s="1"/>
      <c r="O603" s="157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4"/>
      <c r="C604" s="374"/>
      <c r="D604" s="374"/>
      <c r="E604" s="188"/>
      <c r="F604" s="273"/>
      <c r="G604" s="273"/>
      <c r="H604" s="273"/>
      <c r="I604" s="273"/>
      <c r="J604" s="273"/>
      <c r="K604" s="3"/>
      <c r="L604" s="3"/>
      <c r="M604" s="3"/>
      <c r="N604" s="1"/>
      <c r="O604" s="157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4"/>
      <c r="C605" s="374"/>
      <c r="D605" s="374"/>
      <c r="E605" s="188"/>
      <c r="F605" s="273"/>
      <c r="G605" s="273"/>
      <c r="H605" s="273"/>
      <c r="I605" s="273"/>
      <c r="J605" s="273"/>
      <c r="K605" s="3"/>
      <c r="L605" s="3"/>
      <c r="M605" s="3"/>
      <c r="N605" s="1"/>
      <c r="O605" s="157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4"/>
      <c r="C606" s="374"/>
      <c r="D606" s="374"/>
      <c r="E606" s="188"/>
      <c r="F606" s="273"/>
      <c r="G606" s="273"/>
      <c r="H606" s="273"/>
      <c r="I606" s="273"/>
      <c r="J606" s="273"/>
      <c r="K606" s="3"/>
      <c r="L606" s="3"/>
      <c r="M606" s="3"/>
      <c r="N606" s="1"/>
      <c r="O606" s="157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4"/>
      <c r="C607" s="374"/>
      <c r="D607" s="374"/>
      <c r="E607" s="188"/>
      <c r="F607" s="273"/>
      <c r="G607" s="273"/>
      <c r="H607" s="273"/>
      <c r="I607" s="273"/>
      <c r="J607" s="273"/>
      <c r="K607" s="3"/>
      <c r="L607" s="3"/>
      <c r="M607" s="3"/>
      <c r="N607" s="1"/>
      <c r="O607" s="157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4"/>
      <c r="C608" s="374"/>
      <c r="D608" s="374"/>
      <c r="E608" s="188"/>
      <c r="F608" s="273"/>
      <c r="G608" s="273"/>
      <c r="H608" s="273"/>
      <c r="I608" s="273"/>
      <c r="J608" s="273"/>
      <c r="K608" s="3"/>
      <c r="L608" s="3"/>
      <c r="M608" s="3"/>
      <c r="N608" s="1"/>
      <c r="O608" s="157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4"/>
      <c r="C609" s="374"/>
      <c r="D609" s="374"/>
      <c r="E609" s="188"/>
      <c r="F609" s="273"/>
      <c r="G609" s="273"/>
      <c r="H609" s="273"/>
      <c r="I609" s="273"/>
      <c r="J609" s="273"/>
      <c r="K609" s="3"/>
      <c r="L609" s="3"/>
      <c r="M609" s="3"/>
      <c r="N609" s="1"/>
      <c r="O609" s="157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4"/>
      <c r="C610" s="374"/>
      <c r="D610" s="374"/>
      <c r="E610" s="188"/>
      <c r="F610" s="273"/>
      <c r="G610" s="273"/>
      <c r="H610" s="273"/>
      <c r="I610" s="273"/>
      <c r="J610" s="273"/>
      <c r="K610" s="3"/>
      <c r="L610" s="3"/>
      <c r="M610" s="3"/>
      <c r="N610" s="1"/>
      <c r="O610" s="157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4"/>
      <c r="C611" s="374"/>
      <c r="D611" s="374"/>
      <c r="E611" s="188"/>
      <c r="F611" s="273"/>
      <c r="G611" s="273"/>
      <c r="H611" s="273"/>
      <c r="I611" s="273"/>
      <c r="J611" s="273"/>
      <c r="K611" s="3"/>
      <c r="L611" s="3"/>
      <c r="M611" s="3"/>
      <c r="N611" s="1"/>
      <c r="O611" s="157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4"/>
      <c r="C612" s="374"/>
      <c r="D612" s="374"/>
      <c r="E612" s="188"/>
      <c r="F612" s="273"/>
      <c r="G612" s="273"/>
      <c r="H612" s="273"/>
      <c r="I612" s="273"/>
      <c r="J612" s="273"/>
      <c r="K612" s="3"/>
      <c r="L612" s="3"/>
      <c r="M612" s="3"/>
      <c r="N612" s="1"/>
      <c r="O612" s="157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4"/>
      <c r="C613" s="374"/>
      <c r="D613" s="374"/>
      <c r="E613" s="188"/>
      <c r="F613" s="273"/>
      <c r="G613" s="273"/>
      <c r="H613" s="273"/>
      <c r="I613" s="273"/>
      <c r="J613" s="273"/>
      <c r="K613" s="3"/>
      <c r="L613" s="3"/>
      <c r="M613" s="3"/>
      <c r="N613" s="1"/>
      <c r="O613" s="157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4"/>
      <c r="C614" s="374"/>
      <c r="D614" s="374"/>
      <c r="E614" s="188"/>
      <c r="F614" s="273"/>
      <c r="G614" s="273"/>
      <c r="H614" s="273"/>
      <c r="I614" s="273"/>
      <c r="J614" s="273"/>
      <c r="K614" s="3"/>
      <c r="L614" s="3"/>
      <c r="M614" s="3"/>
      <c r="N614" s="1"/>
      <c r="O614" s="157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4"/>
      <c r="C615" s="374"/>
      <c r="D615" s="374"/>
      <c r="E615" s="188"/>
      <c r="F615" s="273"/>
      <c r="G615" s="273"/>
      <c r="H615" s="273"/>
      <c r="I615" s="273"/>
      <c r="J615" s="273"/>
      <c r="K615" s="3"/>
      <c r="L615" s="3"/>
      <c r="M615" s="3"/>
      <c r="N615" s="1"/>
      <c r="O615" s="157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4"/>
      <c r="C616" s="374"/>
      <c r="D616" s="374"/>
      <c r="E616" s="188"/>
      <c r="F616" s="273"/>
      <c r="G616" s="273"/>
      <c r="H616" s="273"/>
      <c r="I616" s="273"/>
      <c r="J616" s="273"/>
      <c r="K616" s="3"/>
      <c r="L616" s="3"/>
      <c r="M616" s="3"/>
      <c r="N616" s="1"/>
      <c r="O616" s="157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4"/>
      <c r="C617" s="374"/>
      <c r="D617" s="374"/>
      <c r="E617" s="188"/>
      <c r="F617" s="273"/>
      <c r="G617" s="273"/>
      <c r="H617" s="273"/>
      <c r="I617" s="273"/>
      <c r="J617" s="273"/>
      <c r="K617" s="3"/>
      <c r="L617" s="3"/>
      <c r="M617" s="3"/>
      <c r="N617" s="1"/>
      <c r="O617" s="157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4"/>
      <c r="C618" s="374"/>
      <c r="D618" s="374"/>
      <c r="E618" s="188"/>
      <c r="F618" s="273"/>
      <c r="G618" s="273"/>
      <c r="H618" s="273"/>
      <c r="I618" s="273"/>
      <c r="J618" s="273"/>
      <c r="K618" s="3"/>
      <c r="L618" s="3"/>
      <c r="M618" s="3"/>
      <c r="N618" s="1"/>
      <c r="O618" s="157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4"/>
      <c r="C619" s="374"/>
      <c r="D619" s="374"/>
      <c r="E619" s="188"/>
      <c r="F619" s="273"/>
      <c r="G619" s="273"/>
      <c r="H619" s="273"/>
      <c r="I619" s="273"/>
      <c r="J619" s="273"/>
      <c r="K619" s="3"/>
      <c r="L619" s="3"/>
      <c r="M619" s="3"/>
      <c r="N619" s="1"/>
      <c r="O619" s="157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4"/>
      <c r="C620" s="374"/>
      <c r="D620" s="374"/>
      <c r="E620" s="188"/>
      <c r="F620" s="273"/>
      <c r="G620" s="273"/>
      <c r="H620" s="273"/>
      <c r="I620" s="273"/>
      <c r="J620" s="273"/>
      <c r="K620" s="3"/>
      <c r="L620" s="3"/>
      <c r="M620" s="3"/>
      <c r="N620" s="1"/>
      <c r="O620" s="157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4"/>
      <c r="C621" s="374"/>
      <c r="D621" s="374"/>
      <c r="E621" s="188"/>
      <c r="F621" s="273"/>
      <c r="G621" s="273"/>
      <c r="H621" s="273"/>
      <c r="I621" s="273"/>
      <c r="J621" s="273"/>
      <c r="K621" s="3"/>
      <c r="L621" s="3"/>
      <c r="M621" s="3"/>
      <c r="N621" s="1"/>
      <c r="O621" s="157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4"/>
      <c r="C622" s="374"/>
      <c r="D622" s="374"/>
      <c r="E622" s="188"/>
      <c r="F622" s="273"/>
      <c r="G622" s="273"/>
      <c r="H622" s="273"/>
      <c r="I622" s="273"/>
      <c r="J622" s="273"/>
      <c r="K622" s="3"/>
      <c r="L622" s="3"/>
      <c r="M622" s="3"/>
      <c r="N622" s="1"/>
      <c r="O622" s="157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4"/>
      <c r="C623" s="374"/>
      <c r="D623" s="374"/>
      <c r="E623" s="188"/>
      <c r="F623" s="273"/>
      <c r="G623" s="273"/>
      <c r="H623" s="273"/>
      <c r="I623" s="273"/>
      <c r="J623" s="273"/>
      <c r="K623" s="3"/>
      <c r="L623" s="3"/>
      <c r="M623" s="3"/>
      <c r="N623" s="1"/>
      <c r="O623" s="157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4"/>
      <c r="C624" s="374"/>
      <c r="D624" s="374"/>
      <c r="E624" s="188"/>
      <c r="F624" s="273"/>
      <c r="G624" s="273"/>
      <c r="H624" s="273"/>
      <c r="I624" s="273"/>
      <c r="J624" s="273"/>
      <c r="K624" s="3"/>
      <c r="L624" s="3"/>
      <c r="M624" s="3"/>
      <c r="N624" s="1"/>
      <c r="O624" s="157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4"/>
      <c r="C625" s="374"/>
      <c r="D625" s="374"/>
      <c r="E625" s="188"/>
      <c r="F625" s="273"/>
      <c r="G625" s="273"/>
      <c r="H625" s="273"/>
      <c r="I625" s="273"/>
      <c r="J625" s="273"/>
      <c r="K625" s="3"/>
      <c r="L625" s="3"/>
      <c r="M625" s="3"/>
      <c r="N625" s="1"/>
      <c r="O625" s="157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4"/>
      <c r="C626" s="374"/>
      <c r="D626" s="374"/>
      <c r="E626" s="188"/>
      <c r="F626" s="273"/>
      <c r="G626" s="273"/>
      <c r="H626" s="273"/>
      <c r="I626" s="273"/>
      <c r="J626" s="273"/>
      <c r="K626" s="3"/>
      <c r="L626" s="3"/>
      <c r="M626" s="3"/>
      <c r="N626" s="1"/>
      <c r="O626" s="157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4"/>
      <c r="C627" s="374"/>
      <c r="D627" s="374"/>
      <c r="E627" s="188"/>
      <c r="F627" s="273"/>
      <c r="G627" s="273"/>
      <c r="H627" s="273"/>
      <c r="I627" s="273"/>
      <c r="J627" s="273"/>
      <c r="K627" s="3"/>
      <c r="L627" s="3"/>
      <c r="M627" s="3"/>
      <c r="N627" s="1"/>
      <c r="O627" s="157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4"/>
      <c r="C628" s="374"/>
      <c r="D628" s="374"/>
      <c r="E628" s="188"/>
      <c r="F628" s="273"/>
      <c r="G628" s="273"/>
      <c r="H628" s="273"/>
      <c r="I628" s="273"/>
      <c r="J628" s="273"/>
      <c r="K628" s="3"/>
      <c r="L628" s="3"/>
      <c r="M628" s="3"/>
      <c r="N628" s="1"/>
      <c r="O628" s="157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4"/>
      <c r="C629" s="374"/>
      <c r="D629" s="374"/>
      <c r="E629" s="188"/>
      <c r="F629" s="273"/>
      <c r="G629" s="273"/>
      <c r="H629" s="273"/>
      <c r="I629" s="273"/>
      <c r="J629" s="273"/>
      <c r="K629" s="3"/>
      <c r="L629" s="3"/>
      <c r="M629" s="3"/>
      <c r="N629" s="1"/>
      <c r="O629" s="157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4"/>
      <c r="C630" s="374"/>
      <c r="D630" s="374"/>
      <c r="E630" s="188"/>
      <c r="F630" s="273"/>
      <c r="G630" s="273"/>
      <c r="H630" s="273"/>
      <c r="I630" s="273"/>
      <c r="J630" s="273"/>
      <c r="K630" s="3"/>
      <c r="L630" s="3"/>
      <c r="M630" s="3"/>
      <c r="N630" s="1"/>
      <c r="O630" s="157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4"/>
      <c r="C631" s="374"/>
      <c r="D631" s="374"/>
      <c r="E631" s="188"/>
      <c r="F631" s="273"/>
      <c r="G631" s="273"/>
      <c r="H631" s="273"/>
      <c r="I631" s="273"/>
      <c r="J631" s="273"/>
      <c r="K631" s="3"/>
      <c r="L631" s="3"/>
      <c r="M631" s="3"/>
      <c r="N631" s="1"/>
      <c r="O631" s="157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4"/>
      <c r="C632" s="374"/>
      <c r="D632" s="374"/>
      <c r="E632" s="188"/>
      <c r="F632" s="273"/>
      <c r="G632" s="273"/>
      <c r="H632" s="273"/>
      <c r="I632" s="273"/>
      <c r="J632" s="273"/>
      <c r="K632" s="3"/>
      <c r="L632" s="3"/>
      <c r="M632" s="3"/>
      <c r="N632" s="1"/>
      <c r="O632" s="157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4"/>
      <c r="C633" s="374"/>
      <c r="D633" s="374"/>
      <c r="E633" s="188"/>
      <c r="F633" s="273"/>
      <c r="G633" s="273"/>
      <c r="H633" s="273"/>
      <c r="I633" s="273"/>
      <c r="J633" s="273"/>
      <c r="K633" s="3"/>
      <c r="L633" s="3"/>
      <c r="M633" s="3"/>
      <c r="N633" s="1"/>
      <c r="O633" s="157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4"/>
      <c r="C634" s="374"/>
      <c r="D634" s="374"/>
      <c r="E634" s="188"/>
      <c r="F634" s="273"/>
      <c r="G634" s="273"/>
      <c r="H634" s="273"/>
      <c r="I634" s="273"/>
      <c r="J634" s="273"/>
      <c r="K634" s="3"/>
      <c r="L634" s="3"/>
      <c r="M634" s="3"/>
      <c r="N634" s="1"/>
      <c r="O634" s="157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4"/>
      <c r="C635" s="374"/>
      <c r="D635" s="374"/>
      <c r="E635" s="188"/>
      <c r="F635" s="273"/>
      <c r="G635" s="273"/>
      <c r="H635" s="273"/>
      <c r="I635" s="273"/>
      <c r="J635" s="273"/>
      <c r="K635" s="3"/>
      <c r="L635" s="3"/>
      <c r="M635" s="3"/>
      <c r="N635" s="1"/>
      <c r="O635" s="157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4"/>
      <c r="C636" s="374"/>
      <c r="D636" s="374"/>
      <c r="E636" s="188"/>
      <c r="F636" s="273"/>
      <c r="G636" s="273"/>
      <c r="H636" s="273"/>
      <c r="I636" s="273"/>
      <c r="J636" s="273"/>
      <c r="K636" s="3"/>
      <c r="L636" s="3"/>
      <c r="M636" s="3"/>
      <c r="N636" s="1"/>
      <c r="O636" s="157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4"/>
      <c r="C637" s="374"/>
      <c r="D637" s="374"/>
      <c r="E637" s="188"/>
      <c r="F637" s="273"/>
      <c r="G637" s="273"/>
      <c r="H637" s="273"/>
      <c r="I637" s="273"/>
      <c r="J637" s="273"/>
      <c r="K637" s="3"/>
      <c r="L637" s="3"/>
      <c r="M637" s="3"/>
      <c r="N637" s="1"/>
      <c r="O637" s="157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4"/>
      <c r="C638" s="374"/>
      <c r="D638" s="374"/>
      <c r="E638" s="188"/>
      <c r="F638" s="273"/>
      <c r="G638" s="273"/>
      <c r="H638" s="273"/>
      <c r="I638" s="273"/>
      <c r="J638" s="273"/>
      <c r="K638" s="3"/>
      <c r="L638" s="3"/>
      <c r="M638" s="3"/>
      <c r="N638" s="1"/>
      <c r="O638" s="157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4"/>
      <c r="C639" s="374"/>
      <c r="D639" s="374"/>
      <c r="E639" s="188"/>
      <c r="F639" s="273"/>
      <c r="G639" s="273"/>
      <c r="H639" s="273"/>
      <c r="I639" s="273"/>
      <c r="J639" s="273"/>
      <c r="K639" s="3"/>
      <c r="L639" s="3"/>
      <c r="M639" s="3"/>
      <c r="N639" s="1"/>
      <c r="O639" s="157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4"/>
      <c r="C640" s="374"/>
      <c r="D640" s="374"/>
      <c r="E640" s="188"/>
      <c r="F640" s="273"/>
      <c r="G640" s="273"/>
      <c r="H640" s="273"/>
      <c r="I640" s="273"/>
      <c r="J640" s="273"/>
      <c r="K640" s="3"/>
      <c r="L640" s="3"/>
      <c r="M640" s="3"/>
      <c r="N640" s="1"/>
      <c r="O640" s="157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4"/>
      <c r="C641" s="374"/>
      <c r="D641" s="374"/>
      <c r="E641" s="188"/>
      <c r="F641" s="273"/>
      <c r="G641" s="273"/>
      <c r="H641" s="273"/>
      <c r="I641" s="273"/>
      <c r="J641" s="273"/>
      <c r="K641" s="3"/>
      <c r="L641" s="3"/>
      <c r="M641" s="3"/>
      <c r="N641" s="1"/>
      <c r="O641" s="157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4"/>
      <c r="C642" s="374"/>
      <c r="D642" s="374"/>
      <c r="E642" s="188"/>
      <c r="F642" s="273"/>
      <c r="G642" s="273"/>
      <c r="H642" s="273"/>
      <c r="I642" s="273"/>
      <c r="J642" s="273"/>
      <c r="K642" s="3"/>
      <c r="L642" s="3"/>
      <c r="M642" s="3"/>
      <c r="N642" s="1"/>
      <c r="O642" s="157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4"/>
      <c r="C643" s="374"/>
      <c r="D643" s="374"/>
      <c r="E643" s="188"/>
      <c r="F643" s="273"/>
      <c r="G643" s="273"/>
      <c r="H643" s="273"/>
      <c r="I643" s="273"/>
      <c r="J643" s="273"/>
      <c r="K643" s="3"/>
      <c r="L643" s="3"/>
      <c r="M643" s="3"/>
      <c r="N643" s="1"/>
      <c r="O643" s="157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4"/>
      <c r="C644" s="374"/>
      <c r="D644" s="374"/>
      <c r="E644" s="188"/>
      <c r="F644" s="273"/>
      <c r="G644" s="273"/>
      <c r="H644" s="273"/>
      <c r="I644" s="273"/>
      <c r="J644" s="273"/>
      <c r="K644" s="3"/>
      <c r="L644" s="3"/>
      <c r="M644" s="3"/>
      <c r="N644" s="1"/>
      <c r="O644" s="157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4"/>
      <c r="C645" s="374"/>
      <c r="D645" s="374"/>
      <c r="E645" s="188"/>
      <c r="F645" s="273"/>
      <c r="G645" s="273"/>
      <c r="H645" s="273"/>
      <c r="I645" s="273"/>
      <c r="J645" s="273"/>
      <c r="K645" s="3"/>
      <c r="L645" s="3"/>
      <c r="M645" s="3"/>
      <c r="N645" s="1"/>
      <c r="O645" s="157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4"/>
      <c r="C646" s="374"/>
      <c r="D646" s="374"/>
      <c r="E646" s="188"/>
      <c r="F646" s="273"/>
      <c r="G646" s="273"/>
      <c r="H646" s="273"/>
      <c r="I646" s="273"/>
      <c r="J646" s="273"/>
      <c r="K646" s="3"/>
      <c r="L646" s="3"/>
      <c r="M646" s="3"/>
      <c r="N646" s="1"/>
      <c r="O646" s="157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4"/>
      <c r="C647" s="374"/>
      <c r="D647" s="374"/>
      <c r="E647" s="188"/>
      <c r="F647" s="273"/>
      <c r="G647" s="273"/>
      <c r="H647" s="273"/>
      <c r="I647" s="273"/>
      <c r="J647" s="273"/>
      <c r="K647" s="3"/>
      <c r="L647" s="3"/>
      <c r="M647" s="3"/>
      <c r="N647" s="1"/>
      <c r="O647" s="157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4"/>
      <c r="C648" s="374"/>
      <c r="D648" s="374"/>
      <c r="E648" s="188"/>
      <c r="F648" s="273"/>
      <c r="G648" s="273"/>
      <c r="H648" s="273"/>
      <c r="I648" s="273"/>
      <c r="J648" s="273"/>
      <c r="K648" s="3"/>
      <c r="L648" s="3"/>
      <c r="M648" s="3"/>
      <c r="N648" s="1"/>
      <c r="O648" s="157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4"/>
      <c r="C649" s="374"/>
      <c r="D649" s="374"/>
      <c r="E649" s="188"/>
      <c r="F649" s="273"/>
      <c r="G649" s="273"/>
      <c r="H649" s="273"/>
      <c r="I649" s="273"/>
      <c r="J649" s="273"/>
      <c r="K649" s="3"/>
      <c r="L649" s="3"/>
      <c r="M649" s="3"/>
      <c r="N649" s="1"/>
      <c r="O649" s="157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4"/>
      <c r="C650" s="374"/>
      <c r="D650" s="374"/>
      <c r="E650" s="188"/>
      <c r="F650" s="273"/>
      <c r="G650" s="273"/>
      <c r="H650" s="273"/>
      <c r="I650" s="273"/>
      <c r="J650" s="273"/>
      <c r="K650" s="3"/>
      <c r="L650" s="3"/>
      <c r="M650" s="3"/>
      <c r="N650" s="1"/>
      <c r="O650" s="157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4"/>
      <c r="C651" s="374"/>
      <c r="D651" s="374"/>
      <c r="E651" s="188"/>
      <c r="F651" s="273"/>
      <c r="G651" s="273"/>
      <c r="H651" s="273"/>
      <c r="I651" s="273"/>
      <c r="J651" s="273"/>
      <c r="K651" s="3"/>
      <c r="L651" s="3"/>
      <c r="M651" s="3"/>
      <c r="N651" s="1"/>
      <c r="O651" s="157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4"/>
      <c r="C652" s="374"/>
      <c r="D652" s="374"/>
      <c r="E652" s="188"/>
      <c r="F652" s="273"/>
      <c r="G652" s="273"/>
      <c r="H652" s="273"/>
      <c r="I652" s="273"/>
      <c r="J652" s="273"/>
      <c r="K652" s="3"/>
      <c r="L652" s="3"/>
      <c r="M652" s="3"/>
      <c r="N652" s="1"/>
      <c r="O652" s="157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4"/>
      <c r="C653" s="374"/>
      <c r="D653" s="374"/>
      <c r="E653" s="188"/>
      <c r="F653" s="273"/>
      <c r="G653" s="273"/>
      <c r="H653" s="273"/>
      <c r="I653" s="273"/>
      <c r="J653" s="273"/>
      <c r="K653" s="3"/>
      <c r="L653" s="3"/>
      <c r="M653" s="3"/>
      <c r="N653" s="1"/>
      <c r="O653" s="157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4"/>
      <c r="C654" s="374"/>
      <c r="D654" s="374"/>
      <c r="E654" s="188"/>
      <c r="F654" s="273"/>
      <c r="G654" s="273"/>
      <c r="H654" s="273"/>
      <c r="I654" s="273"/>
      <c r="J654" s="273"/>
      <c r="K654" s="3"/>
      <c r="L654" s="3"/>
      <c r="M654" s="3"/>
      <c r="N654" s="1"/>
      <c r="O654" s="157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4"/>
      <c r="C655" s="374"/>
      <c r="D655" s="374"/>
      <c r="E655" s="188"/>
      <c r="F655" s="273"/>
      <c r="G655" s="273"/>
      <c r="H655" s="273"/>
      <c r="I655" s="273"/>
      <c r="J655" s="273"/>
      <c r="K655" s="3"/>
      <c r="L655" s="3"/>
      <c r="M655" s="3"/>
      <c r="N655" s="1"/>
      <c r="O655" s="157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4"/>
      <c r="C656" s="374"/>
      <c r="D656" s="374"/>
      <c r="E656" s="188"/>
      <c r="F656" s="273"/>
      <c r="G656" s="273"/>
      <c r="H656" s="273"/>
      <c r="I656" s="273"/>
      <c r="J656" s="273"/>
      <c r="K656" s="3"/>
      <c r="L656" s="3"/>
      <c r="M656" s="3"/>
      <c r="N656" s="1"/>
      <c r="O656" s="157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4"/>
      <c r="C657" s="374"/>
      <c r="D657" s="374"/>
      <c r="E657" s="188"/>
      <c r="F657" s="273"/>
      <c r="G657" s="273"/>
      <c r="H657" s="273"/>
      <c r="I657" s="273"/>
      <c r="J657" s="273"/>
      <c r="K657" s="3"/>
      <c r="L657" s="3"/>
      <c r="M657" s="3"/>
      <c r="N657" s="1"/>
      <c r="O657" s="157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4"/>
      <c r="C658" s="374"/>
      <c r="D658" s="374"/>
      <c r="E658" s="188"/>
      <c r="F658" s="273"/>
      <c r="G658" s="273"/>
      <c r="H658" s="273"/>
      <c r="I658" s="273"/>
      <c r="J658" s="273"/>
      <c r="K658" s="3"/>
      <c r="L658" s="3"/>
      <c r="M658" s="3"/>
      <c r="N658" s="1"/>
      <c r="O658" s="157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4"/>
      <c r="C659" s="374"/>
      <c r="D659" s="374"/>
      <c r="E659" s="188"/>
      <c r="F659" s="273"/>
      <c r="G659" s="273"/>
      <c r="H659" s="273"/>
      <c r="I659" s="273"/>
      <c r="J659" s="273"/>
      <c r="K659" s="3"/>
      <c r="L659" s="3"/>
      <c r="M659" s="3"/>
      <c r="N659" s="1"/>
      <c r="O659" s="157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4"/>
      <c r="C660" s="374"/>
      <c r="D660" s="374"/>
      <c r="E660" s="188"/>
      <c r="F660" s="273"/>
      <c r="G660" s="273"/>
      <c r="H660" s="273"/>
      <c r="I660" s="273"/>
      <c r="J660" s="273"/>
      <c r="K660" s="3"/>
      <c r="L660" s="3"/>
      <c r="M660" s="3"/>
      <c r="N660" s="1"/>
      <c r="O660" s="157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4"/>
      <c r="C661" s="374"/>
      <c r="D661" s="374"/>
      <c r="E661" s="188"/>
      <c r="F661" s="273"/>
      <c r="G661" s="273"/>
      <c r="H661" s="273"/>
      <c r="I661" s="273"/>
      <c r="J661" s="273"/>
      <c r="K661" s="3"/>
      <c r="L661" s="3"/>
      <c r="M661" s="3"/>
      <c r="N661" s="1"/>
      <c r="O661" s="157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4"/>
      <c r="C662" s="374"/>
      <c r="D662" s="374"/>
      <c r="E662" s="188"/>
      <c r="F662" s="273"/>
      <c r="G662" s="273"/>
      <c r="H662" s="273"/>
      <c r="I662" s="273"/>
      <c r="J662" s="273"/>
      <c r="K662" s="3"/>
      <c r="L662" s="3"/>
      <c r="M662" s="3"/>
      <c r="N662" s="1"/>
      <c r="O662" s="157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4"/>
      <c r="C663" s="374"/>
      <c r="D663" s="374"/>
      <c r="E663" s="188"/>
      <c r="F663" s="273"/>
      <c r="G663" s="273"/>
      <c r="H663" s="273"/>
      <c r="I663" s="273"/>
      <c r="J663" s="273"/>
      <c r="K663" s="3"/>
      <c r="L663" s="3"/>
      <c r="M663" s="3"/>
      <c r="N663" s="1"/>
      <c r="O663" s="157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4"/>
      <c r="C664" s="374"/>
      <c r="D664" s="374"/>
      <c r="E664" s="188"/>
      <c r="F664" s="273"/>
      <c r="G664" s="273"/>
      <c r="H664" s="273"/>
      <c r="I664" s="273"/>
      <c r="J664" s="273"/>
      <c r="K664" s="3"/>
      <c r="L664" s="3"/>
      <c r="M664" s="3"/>
      <c r="N664" s="1"/>
      <c r="O664" s="157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4"/>
      <c r="C665" s="374"/>
      <c r="D665" s="374"/>
      <c r="E665" s="188"/>
      <c r="F665" s="273"/>
      <c r="G665" s="273"/>
      <c r="H665" s="273"/>
      <c r="I665" s="273"/>
      <c r="J665" s="273"/>
      <c r="K665" s="3"/>
      <c r="L665" s="3"/>
      <c r="M665" s="3"/>
      <c r="N665" s="1"/>
      <c r="O665" s="157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4"/>
      <c r="C666" s="374"/>
      <c r="D666" s="374"/>
      <c r="E666" s="188"/>
      <c r="F666" s="273"/>
      <c r="G666" s="273"/>
      <c r="H666" s="273"/>
      <c r="I666" s="273"/>
      <c r="J666" s="273"/>
      <c r="K666" s="3"/>
      <c r="L666" s="3"/>
      <c r="M666" s="3"/>
      <c r="N666" s="1"/>
      <c r="O666" s="157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4"/>
      <c r="C667" s="374"/>
      <c r="D667" s="374"/>
      <c r="E667" s="188"/>
      <c r="F667" s="273"/>
      <c r="G667" s="273"/>
      <c r="H667" s="273"/>
      <c r="I667" s="273"/>
      <c r="J667" s="273"/>
      <c r="K667" s="3"/>
      <c r="L667" s="3"/>
      <c r="M667" s="3"/>
      <c r="N667" s="1"/>
      <c r="O667" s="157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4"/>
      <c r="C668" s="374"/>
      <c r="D668" s="374"/>
      <c r="E668" s="188"/>
      <c r="F668" s="273"/>
      <c r="G668" s="273"/>
      <c r="H668" s="273"/>
      <c r="I668" s="273"/>
      <c r="J668" s="273"/>
      <c r="K668" s="3"/>
      <c r="L668" s="3"/>
      <c r="M668" s="3"/>
      <c r="N668" s="1"/>
      <c r="O668" s="157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4"/>
      <c r="C669" s="374"/>
      <c r="D669" s="374"/>
      <c r="E669" s="188"/>
      <c r="F669" s="273"/>
      <c r="G669" s="273"/>
      <c r="H669" s="273"/>
      <c r="I669" s="273"/>
      <c r="J669" s="273"/>
      <c r="K669" s="3"/>
      <c r="L669" s="3"/>
      <c r="M669" s="3"/>
      <c r="N669" s="1"/>
      <c r="O669" s="157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4"/>
      <c r="C670" s="374"/>
      <c r="D670" s="374"/>
      <c r="E670" s="188"/>
      <c r="F670" s="273"/>
      <c r="G670" s="273"/>
      <c r="H670" s="273"/>
      <c r="I670" s="273"/>
      <c r="J670" s="273"/>
      <c r="K670" s="3"/>
      <c r="L670" s="3"/>
      <c r="M670" s="3"/>
      <c r="N670" s="1"/>
      <c r="O670" s="157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4"/>
      <c r="C671" s="374"/>
      <c r="D671" s="374"/>
      <c r="E671" s="188"/>
      <c r="F671" s="273"/>
      <c r="G671" s="273"/>
      <c r="H671" s="273"/>
      <c r="I671" s="273"/>
      <c r="J671" s="273"/>
      <c r="K671" s="3"/>
      <c r="L671" s="3"/>
      <c r="M671" s="3"/>
      <c r="N671" s="1"/>
      <c r="O671" s="157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4"/>
      <c r="C672" s="374"/>
      <c r="D672" s="374"/>
      <c r="E672" s="188"/>
      <c r="F672" s="273"/>
      <c r="G672" s="273"/>
      <c r="H672" s="273"/>
      <c r="I672" s="273"/>
      <c r="J672" s="273"/>
      <c r="K672" s="3"/>
      <c r="L672" s="3"/>
      <c r="M672" s="3"/>
      <c r="N672" s="1"/>
      <c r="O672" s="157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4"/>
      <c r="C673" s="374"/>
      <c r="D673" s="374"/>
      <c r="E673" s="188"/>
      <c r="F673" s="273"/>
      <c r="G673" s="273"/>
      <c r="H673" s="273"/>
      <c r="I673" s="273"/>
      <c r="J673" s="273"/>
      <c r="K673" s="3"/>
      <c r="L673" s="3"/>
      <c r="M673" s="3"/>
      <c r="N673" s="1"/>
      <c r="O673" s="157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4"/>
      <c r="C674" s="374"/>
      <c r="D674" s="374"/>
      <c r="E674" s="188"/>
      <c r="F674" s="273"/>
      <c r="G674" s="273"/>
      <c r="H674" s="273"/>
      <c r="I674" s="273"/>
      <c r="J674" s="273"/>
      <c r="K674" s="3"/>
      <c r="L674" s="3"/>
      <c r="M674" s="3"/>
      <c r="N674" s="1"/>
      <c r="O674" s="157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4"/>
      <c r="C675" s="374"/>
      <c r="D675" s="374"/>
      <c r="E675" s="188"/>
      <c r="F675" s="273"/>
      <c r="G675" s="273"/>
      <c r="H675" s="273"/>
      <c r="I675" s="273"/>
      <c r="J675" s="273"/>
      <c r="K675" s="3"/>
      <c r="L675" s="3"/>
      <c r="M675" s="3"/>
      <c r="N675" s="1"/>
      <c r="O675" s="157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4"/>
      <c r="C676" s="374"/>
      <c r="D676" s="374"/>
      <c r="E676" s="188"/>
      <c r="F676" s="273"/>
      <c r="G676" s="273"/>
      <c r="H676" s="273"/>
      <c r="I676" s="273"/>
      <c r="J676" s="273"/>
      <c r="K676" s="3"/>
      <c r="L676" s="3"/>
      <c r="M676" s="3"/>
      <c r="N676" s="1"/>
      <c r="O676" s="157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4"/>
      <c r="C677" s="374"/>
      <c r="D677" s="374"/>
      <c r="E677" s="188"/>
      <c r="F677" s="273"/>
      <c r="G677" s="273"/>
      <c r="H677" s="273"/>
      <c r="I677" s="273"/>
      <c r="J677" s="273"/>
      <c r="K677" s="3"/>
      <c r="L677" s="3"/>
      <c r="M677" s="3"/>
      <c r="N677" s="1"/>
      <c r="O677" s="157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4"/>
      <c r="C678" s="374"/>
      <c r="D678" s="374"/>
      <c r="E678" s="188"/>
      <c r="F678" s="273"/>
      <c r="G678" s="273"/>
      <c r="H678" s="273"/>
      <c r="I678" s="273"/>
      <c r="J678" s="273"/>
      <c r="K678" s="3"/>
      <c r="L678" s="3"/>
      <c r="M678" s="3"/>
      <c r="N678" s="1"/>
      <c r="O678" s="157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4"/>
      <c r="C679" s="374"/>
      <c r="D679" s="374"/>
      <c r="E679" s="188"/>
      <c r="F679" s="273"/>
      <c r="G679" s="273"/>
      <c r="H679" s="273"/>
      <c r="I679" s="273"/>
      <c r="J679" s="273"/>
      <c r="K679" s="3"/>
      <c r="L679" s="3"/>
      <c r="M679" s="3"/>
      <c r="N679" s="1"/>
      <c r="O679" s="157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4"/>
      <c r="C680" s="374"/>
      <c r="D680" s="374"/>
      <c r="E680" s="188"/>
      <c r="F680" s="273"/>
      <c r="G680" s="273"/>
      <c r="H680" s="273"/>
      <c r="I680" s="273"/>
      <c r="J680" s="273"/>
      <c r="K680" s="3"/>
      <c r="L680" s="3"/>
      <c r="M680" s="3"/>
      <c r="N680" s="1"/>
      <c r="O680" s="157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4"/>
      <c r="C681" s="374"/>
      <c r="D681" s="374"/>
      <c r="E681" s="188"/>
      <c r="F681" s="273"/>
      <c r="G681" s="273"/>
      <c r="H681" s="273"/>
      <c r="I681" s="273"/>
      <c r="J681" s="273"/>
      <c r="K681" s="3"/>
      <c r="L681" s="3"/>
      <c r="M681" s="3"/>
      <c r="N681" s="1"/>
      <c r="O681" s="157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4"/>
      <c r="C682" s="374"/>
      <c r="D682" s="374"/>
      <c r="E682" s="188"/>
      <c r="F682" s="273"/>
      <c r="G682" s="273"/>
      <c r="H682" s="273"/>
      <c r="I682" s="273"/>
      <c r="J682" s="273"/>
      <c r="K682" s="3"/>
      <c r="L682" s="3"/>
      <c r="M682" s="3"/>
      <c r="N682" s="1"/>
      <c r="O682" s="157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4"/>
      <c r="C683" s="374"/>
      <c r="D683" s="374"/>
      <c r="E683" s="188"/>
      <c r="F683" s="273"/>
      <c r="G683" s="273"/>
      <c r="H683" s="273"/>
      <c r="I683" s="273"/>
      <c r="J683" s="273"/>
      <c r="K683" s="3"/>
      <c r="L683" s="3"/>
      <c r="M683" s="3"/>
      <c r="N683" s="1"/>
      <c r="O683" s="157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4"/>
      <c r="C684" s="374"/>
      <c r="D684" s="374"/>
      <c r="E684" s="188"/>
      <c r="F684" s="273"/>
      <c r="G684" s="273"/>
      <c r="H684" s="273"/>
      <c r="I684" s="273"/>
      <c r="J684" s="273"/>
      <c r="K684" s="3"/>
      <c r="L684" s="3"/>
      <c r="M684" s="3"/>
      <c r="N684" s="1"/>
      <c r="O684" s="157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4"/>
      <c r="C685" s="374"/>
      <c r="D685" s="374"/>
      <c r="E685" s="188"/>
      <c r="F685" s="273"/>
      <c r="G685" s="273"/>
      <c r="H685" s="273"/>
      <c r="I685" s="273"/>
      <c r="J685" s="273"/>
      <c r="K685" s="3"/>
      <c r="L685" s="3"/>
      <c r="M685" s="3"/>
      <c r="N685" s="1"/>
      <c r="O685" s="157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4"/>
      <c r="C686" s="374"/>
      <c r="D686" s="374"/>
      <c r="E686" s="188"/>
      <c r="F686" s="273"/>
      <c r="G686" s="273"/>
      <c r="H686" s="273"/>
      <c r="I686" s="273"/>
      <c r="J686" s="273"/>
      <c r="K686" s="3"/>
      <c r="L686" s="3"/>
      <c r="M686" s="3"/>
      <c r="N686" s="1"/>
      <c r="O686" s="157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4"/>
      <c r="C687" s="374"/>
      <c r="D687" s="374"/>
      <c r="E687" s="188"/>
      <c r="F687" s="273"/>
      <c r="G687" s="273"/>
      <c r="H687" s="273"/>
      <c r="I687" s="273"/>
      <c r="J687" s="273"/>
      <c r="K687" s="3"/>
      <c r="L687" s="3"/>
      <c r="M687" s="3"/>
      <c r="N687" s="1"/>
      <c r="O687" s="157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4"/>
      <c r="C688" s="374"/>
      <c r="D688" s="374"/>
      <c r="E688" s="188"/>
      <c r="F688" s="273"/>
      <c r="G688" s="273"/>
      <c r="H688" s="273"/>
      <c r="I688" s="273"/>
      <c r="J688" s="273"/>
      <c r="K688" s="3"/>
      <c r="L688" s="3"/>
      <c r="M688" s="3"/>
      <c r="N688" s="1"/>
      <c r="O688" s="157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4"/>
      <c r="C689" s="374"/>
      <c r="D689" s="374"/>
      <c r="E689" s="188"/>
      <c r="F689" s="273"/>
      <c r="G689" s="273"/>
      <c r="H689" s="273"/>
      <c r="I689" s="273"/>
      <c r="J689" s="273"/>
      <c r="K689" s="3"/>
      <c r="L689" s="3"/>
      <c r="M689" s="3"/>
      <c r="N689" s="1"/>
      <c r="O689" s="157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4"/>
      <c r="C690" s="374"/>
      <c r="D690" s="374"/>
      <c r="E690" s="188"/>
      <c r="F690" s="273"/>
      <c r="G690" s="273"/>
      <c r="H690" s="273"/>
      <c r="I690" s="273"/>
      <c r="J690" s="273"/>
      <c r="K690" s="3"/>
      <c r="L690" s="3"/>
      <c r="M690" s="3"/>
      <c r="N690" s="1"/>
      <c r="O690" s="157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4"/>
      <c r="C691" s="374"/>
      <c r="D691" s="374"/>
      <c r="E691" s="188"/>
      <c r="F691" s="273"/>
      <c r="G691" s="273"/>
      <c r="H691" s="273"/>
      <c r="I691" s="273"/>
      <c r="J691" s="273"/>
      <c r="K691" s="3"/>
      <c r="L691" s="3"/>
      <c r="M691" s="3"/>
      <c r="N691" s="1"/>
      <c r="O691" s="157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4"/>
      <c r="C692" s="374"/>
      <c r="D692" s="374"/>
      <c r="E692" s="188"/>
      <c r="F692" s="273"/>
      <c r="G692" s="273"/>
      <c r="H692" s="273"/>
      <c r="I692" s="273"/>
      <c r="J692" s="273"/>
      <c r="K692" s="3"/>
      <c r="L692" s="3"/>
      <c r="M692" s="3"/>
      <c r="N692" s="1"/>
      <c r="O692" s="157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4"/>
      <c r="C693" s="374"/>
      <c r="D693" s="374"/>
      <c r="E693" s="188"/>
      <c r="F693" s="273"/>
      <c r="G693" s="273"/>
      <c r="H693" s="273"/>
      <c r="I693" s="273"/>
      <c r="J693" s="273"/>
      <c r="K693" s="3"/>
      <c r="L693" s="3"/>
      <c r="M693" s="3"/>
      <c r="N693" s="1"/>
      <c r="O693" s="157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4"/>
      <c r="C694" s="374"/>
      <c r="D694" s="374"/>
      <c r="E694" s="188"/>
      <c r="F694" s="273"/>
      <c r="G694" s="273"/>
      <c r="H694" s="273"/>
      <c r="I694" s="273"/>
      <c r="J694" s="273"/>
      <c r="K694" s="3"/>
      <c r="L694" s="3"/>
      <c r="M694" s="3"/>
      <c r="N694" s="1"/>
      <c r="O694" s="157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4"/>
      <c r="C695" s="374"/>
      <c r="D695" s="374"/>
      <c r="E695" s="188"/>
      <c r="F695" s="273"/>
      <c r="G695" s="273"/>
      <c r="H695" s="273"/>
      <c r="I695" s="273"/>
      <c r="J695" s="273"/>
      <c r="K695" s="3"/>
      <c r="L695" s="3"/>
      <c r="M695" s="3"/>
      <c r="N695" s="1"/>
      <c r="O695" s="157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4"/>
      <c r="C696" s="374"/>
      <c r="D696" s="374"/>
      <c r="E696" s="188"/>
      <c r="F696" s="273"/>
      <c r="G696" s="273"/>
      <c r="H696" s="273"/>
      <c r="I696" s="273"/>
      <c r="J696" s="273"/>
      <c r="K696" s="3"/>
      <c r="L696" s="3"/>
      <c r="M696" s="3"/>
      <c r="N696" s="1"/>
      <c r="O696" s="157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4"/>
      <c r="C697" s="374"/>
      <c r="D697" s="374"/>
      <c r="E697" s="188"/>
      <c r="F697" s="273"/>
      <c r="G697" s="273"/>
      <c r="H697" s="273"/>
      <c r="I697" s="273"/>
      <c r="J697" s="273"/>
      <c r="K697" s="3"/>
      <c r="L697" s="3"/>
      <c r="M697" s="3"/>
      <c r="N697" s="1"/>
      <c r="O697" s="157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4"/>
      <c r="C698" s="374"/>
      <c r="D698" s="374"/>
      <c r="E698" s="188"/>
      <c r="F698" s="273"/>
      <c r="G698" s="273"/>
      <c r="H698" s="273"/>
      <c r="I698" s="273"/>
      <c r="J698" s="273"/>
      <c r="K698" s="3"/>
      <c r="L698" s="3"/>
      <c r="M698" s="3"/>
      <c r="N698" s="1"/>
      <c r="O698" s="157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4"/>
      <c r="C699" s="374"/>
      <c r="D699" s="374"/>
      <c r="E699" s="188"/>
      <c r="F699" s="273"/>
      <c r="G699" s="273"/>
      <c r="H699" s="273"/>
      <c r="I699" s="273"/>
      <c r="J699" s="273"/>
      <c r="K699" s="3"/>
      <c r="L699" s="3"/>
      <c r="M699" s="3"/>
      <c r="N699" s="1"/>
      <c r="O699" s="157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4"/>
      <c r="C700" s="374"/>
      <c r="D700" s="374"/>
      <c r="E700" s="188"/>
      <c r="F700" s="273"/>
      <c r="G700" s="273"/>
      <c r="H700" s="273"/>
      <c r="I700" s="273"/>
      <c r="J700" s="273"/>
      <c r="K700" s="3"/>
      <c r="L700" s="3"/>
      <c r="M700" s="3"/>
      <c r="N700" s="1"/>
      <c r="O700" s="157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4"/>
      <c r="C701" s="374"/>
      <c r="D701" s="374"/>
      <c r="E701" s="188"/>
      <c r="F701" s="273"/>
      <c r="G701" s="273"/>
      <c r="H701" s="273"/>
      <c r="I701" s="273"/>
      <c r="J701" s="273"/>
      <c r="K701" s="3"/>
      <c r="L701" s="3"/>
      <c r="M701" s="3"/>
      <c r="N701" s="1"/>
      <c r="O701" s="157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4"/>
      <c r="C702" s="374"/>
      <c r="D702" s="374"/>
      <c r="E702" s="188"/>
      <c r="F702" s="273"/>
      <c r="G702" s="273"/>
      <c r="H702" s="273"/>
      <c r="I702" s="273"/>
      <c r="J702" s="273"/>
      <c r="K702" s="3"/>
      <c r="L702" s="3"/>
      <c r="M702" s="3"/>
      <c r="N702" s="1"/>
      <c r="O702" s="157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4"/>
      <c r="C703" s="374"/>
      <c r="D703" s="374"/>
      <c r="E703" s="188"/>
      <c r="F703" s="273"/>
      <c r="G703" s="273"/>
      <c r="H703" s="273"/>
      <c r="I703" s="273"/>
      <c r="J703" s="273"/>
      <c r="K703" s="3"/>
      <c r="L703" s="3"/>
      <c r="M703" s="3"/>
      <c r="N703" s="1"/>
      <c r="O703" s="157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4"/>
      <c r="C704" s="374"/>
      <c r="D704" s="374"/>
      <c r="E704" s="188"/>
      <c r="F704" s="273"/>
      <c r="G704" s="273"/>
      <c r="H704" s="273"/>
      <c r="I704" s="273"/>
      <c r="J704" s="273"/>
      <c r="K704" s="3"/>
      <c r="L704" s="3"/>
      <c r="M704" s="3"/>
      <c r="N704" s="1"/>
      <c r="O704" s="157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4"/>
      <c r="C705" s="374"/>
      <c r="D705" s="374"/>
      <c r="E705" s="188"/>
      <c r="F705" s="273"/>
      <c r="G705" s="273"/>
      <c r="H705" s="273"/>
      <c r="I705" s="273"/>
      <c r="J705" s="273"/>
      <c r="K705" s="3"/>
      <c r="L705" s="3"/>
      <c r="M705" s="3"/>
      <c r="N705" s="1"/>
      <c r="O705" s="157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4"/>
      <c r="C706" s="374"/>
      <c r="D706" s="374"/>
      <c r="E706" s="188"/>
      <c r="F706" s="273"/>
      <c r="G706" s="273"/>
      <c r="H706" s="273"/>
      <c r="I706" s="273"/>
      <c r="J706" s="273"/>
      <c r="K706" s="3"/>
      <c r="L706" s="3"/>
      <c r="M706" s="3"/>
      <c r="N706" s="1"/>
      <c r="O706" s="157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4"/>
      <c r="C707" s="374"/>
      <c r="D707" s="374"/>
      <c r="E707" s="188"/>
      <c r="F707" s="273"/>
      <c r="G707" s="273"/>
      <c r="H707" s="273"/>
      <c r="I707" s="273"/>
      <c r="J707" s="273"/>
      <c r="K707" s="3"/>
      <c r="L707" s="3"/>
      <c r="M707" s="3"/>
      <c r="N707" s="1"/>
      <c r="O707" s="157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4"/>
      <c r="C708" s="374"/>
      <c r="D708" s="374"/>
      <c r="E708" s="188"/>
      <c r="F708" s="273"/>
      <c r="G708" s="273"/>
      <c r="H708" s="273"/>
      <c r="I708" s="273"/>
      <c r="J708" s="273"/>
      <c r="K708" s="3"/>
      <c r="L708" s="3"/>
      <c r="M708" s="3"/>
      <c r="N708" s="1"/>
      <c r="O708" s="157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4"/>
      <c r="C709" s="374"/>
      <c r="D709" s="374"/>
      <c r="E709" s="188"/>
      <c r="F709" s="273"/>
      <c r="G709" s="273"/>
      <c r="H709" s="273"/>
      <c r="I709" s="273"/>
      <c r="J709" s="273"/>
      <c r="K709" s="3"/>
      <c r="L709" s="3"/>
      <c r="M709" s="3"/>
      <c r="N709" s="1"/>
      <c r="O709" s="157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4"/>
      <c r="C710" s="374"/>
      <c r="D710" s="374"/>
      <c r="E710" s="188"/>
      <c r="F710" s="273"/>
      <c r="G710" s="273"/>
      <c r="H710" s="273"/>
      <c r="I710" s="273"/>
      <c r="J710" s="273"/>
      <c r="K710" s="3"/>
      <c r="L710" s="3"/>
      <c r="M710" s="3"/>
      <c r="N710" s="1"/>
      <c r="O710" s="157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4"/>
      <c r="C711" s="374"/>
      <c r="D711" s="374"/>
      <c r="E711" s="188"/>
      <c r="F711" s="273"/>
      <c r="G711" s="273"/>
      <c r="H711" s="273"/>
      <c r="I711" s="273"/>
      <c r="J711" s="273"/>
      <c r="K711" s="3"/>
      <c r="L711" s="3"/>
      <c r="M711" s="3"/>
      <c r="N711" s="1"/>
      <c r="O711" s="157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4"/>
      <c r="C712" s="374"/>
      <c r="D712" s="374"/>
      <c r="E712" s="188"/>
      <c r="F712" s="273"/>
      <c r="G712" s="273"/>
      <c r="H712" s="273"/>
      <c r="I712" s="273"/>
      <c r="J712" s="273"/>
      <c r="K712" s="3"/>
      <c r="L712" s="3"/>
      <c r="M712" s="3"/>
      <c r="N712" s="1"/>
      <c r="O712" s="157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4"/>
      <c r="C713" s="374"/>
      <c r="D713" s="374"/>
      <c r="E713" s="188"/>
      <c r="F713" s="273"/>
      <c r="G713" s="273"/>
      <c r="H713" s="273"/>
      <c r="I713" s="273"/>
      <c r="J713" s="273"/>
      <c r="K713" s="3"/>
      <c r="L713" s="3"/>
      <c r="M713" s="3"/>
      <c r="N713" s="1"/>
      <c r="O713" s="157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4"/>
      <c r="C714" s="374"/>
      <c r="D714" s="374"/>
      <c r="E714" s="188"/>
      <c r="F714" s="273"/>
      <c r="G714" s="273"/>
      <c r="H714" s="273"/>
      <c r="I714" s="273"/>
      <c r="J714" s="273"/>
      <c r="K714" s="3"/>
      <c r="L714" s="3"/>
      <c r="M714" s="3"/>
      <c r="N714" s="1"/>
      <c r="O714" s="157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4"/>
      <c r="C715" s="374"/>
      <c r="D715" s="374"/>
      <c r="E715" s="188"/>
      <c r="F715" s="273"/>
      <c r="G715" s="273"/>
      <c r="H715" s="273"/>
      <c r="I715" s="273"/>
      <c r="J715" s="273"/>
      <c r="K715" s="3"/>
      <c r="L715" s="3"/>
      <c r="M715" s="3"/>
      <c r="N715" s="1"/>
      <c r="O715" s="157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4"/>
      <c r="C716" s="374"/>
      <c r="D716" s="374"/>
      <c r="E716" s="188"/>
      <c r="F716" s="273"/>
      <c r="G716" s="273"/>
      <c r="H716" s="273"/>
      <c r="I716" s="273"/>
      <c r="J716" s="273"/>
      <c r="K716" s="3"/>
      <c r="L716" s="3"/>
      <c r="M716" s="3"/>
      <c r="N716" s="1"/>
      <c r="O716" s="157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4"/>
      <c r="C717" s="374"/>
      <c r="D717" s="374"/>
      <c r="E717" s="188"/>
      <c r="F717" s="273"/>
      <c r="G717" s="273"/>
      <c r="H717" s="273"/>
      <c r="I717" s="273"/>
      <c r="J717" s="273"/>
      <c r="K717" s="3"/>
      <c r="L717" s="3"/>
      <c r="M717" s="3"/>
      <c r="N717" s="1"/>
      <c r="O717" s="157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4"/>
      <c r="C718" s="374"/>
      <c r="D718" s="374"/>
      <c r="E718" s="188"/>
      <c r="F718" s="273"/>
      <c r="G718" s="273"/>
      <c r="H718" s="273"/>
      <c r="I718" s="273"/>
      <c r="J718" s="273"/>
      <c r="K718" s="3"/>
      <c r="L718" s="3"/>
      <c r="M718" s="3"/>
      <c r="N718" s="1"/>
      <c r="O718" s="157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4"/>
      <c r="C719" s="374"/>
      <c r="D719" s="374"/>
      <c r="E719" s="188"/>
      <c r="F719" s="273"/>
      <c r="G719" s="273"/>
      <c r="H719" s="273"/>
      <c r="I719" s="273"/>
      <c r="J719" s="273"/>
      <c r="K719" s="3"/>
      <c r="L719" s="3"/>
      <c r="M719" s="3"/>
      <c r="N719" s="1"/>
      <c r="O719" s="157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4"/>
      <c r="C720" s="374"/>
      <c r="D720" s="374"/>
      <c r="E720" s="188"/>
      <c r="F720" s="273"/>
      <c r="G720" s="273"/>
      <c r="H720" s="273"/>
      <c r="I720" s="273"/>
      <c r="J720" s="273"/>
      <c r="K720" s="3"/>
      <c r="L720" s="3"/>
      <c r="M720" s="3"/>
      <c r="N720" s="1"/>
      <c r="O720" s="157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4"/>
      <c r="C721" s="374"/>
      <c r="D721" s="374"/>
      <c r="E721" s="188"/>
      <c r="F721" s="273"/>
      <c r="G721" s="273"/>
      <c r="H721" s="273"/>
      <c r="I721" s="273"/>
      <c r="J721" s="273"/>
      <c r="K721" s="3"/>
      <c r="L721" s="3"/>
      <c r="M721" s="3"/>
      <c r="N721" s="1"/>
      <c r="O721" s="157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4"/>
      <c r="C722" s="374"/>
      <c r="D722" s="374"/>
      <c r="E722" s="188"/>
      <c r="F722" s="273"/>
      <c r="G722" s="273"/>
      <c r="H722" s="273"/>
      <c r="I722" s="273"/>
      <c r="J722" s="273"/>
      <c r="K722" s="3"/>
      <c r="L722" s="3"/>
      <c r="M722" s="3"/>
      <c r="N722" s="1"/>
      <c r="O722" s="157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4"/>
      <c r="C723" s="374"/>
      <c r="D723" s="374"/>
      <c r="E723" s="188"/>
      <c r="F723" s="273"/>
      <c r="G723" s="273"/>
      <c r="H723" s="273"/>
      <c r="I723" s="273"/>
      <c r="J723" s="273"/>
      <c r="K723" s="3"/>
      <c r="L723" s="3"/>
      <c r="M723" s="3"/>
      <c r="N723" s="1"/>
      <c r="O723" s="157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4"/>
      <c r="C724" s="374"/>
      <c r="D724" s="374"/>
      <c r="E724" s="188"/>
      <c r="F724" s="273"/>
      <c r="G724" s="273"/>
      <c r="H724" s="273"/>
      <c r="I724" s="273"/>
      <c r="J724" s="273"/>
      <c r="K724" s="3"/>
      <c r="L724" s="3"/>
      <c r="M724" s="3"/>
      <c r="N724" s="1"/>
      <c r="O724" s="157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4"/>
      <c r="C725" s="374"/>
      <c r="D725" s="374"/>
      <c r="E725" s="188"/>
      <c r="F725" s="273"/>
      <c r="G725" s="273"/>
      <c r="H725" s="273"/>
      <c r="I725" s="273"/>
      <c r="J725" s="273"/>
      <c r="K725" s="3"/>
      <c r="L725" s="3"/>
      <c r="M725" s="3"/>
      <c r="N725" s="1"/>
      <c r="O725" s="157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4"/>
      <c r="C726" s="374"/>
      <c r="D726" s="374"/>
      <c r="E726" s="188"/>
      <c r="F726" s="273"/>
      <c r="G726" s="273"/>
      <c r="H726" s="273"/>
      <c r="I726" s="273"/>
      <c r="J726" s="273"/>
      <c r="K726" s="3"/>
      <c r="L726" s="3"/>
      <c r="M726" s="3"/>
      <c r="N726" s="1"/>
      <c r="O726" s="157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4"/>
      <c r="C727" s="374"/>
      <c r="D727" s="374"/>
      <c r="E727" s="188"/>
      <c r="F727" s="273"/>
      <c r="G727" s="273"/>
      <c r="H727" s="273"/>
      <c r="I727" s="273"/>
      <c r="J727" s="273"/>
      <c r="K727" s="3"/>
      <c r="L727" s="3"/>
      <c r="M727" s="3"/>
      <c r="N727" s="1"/>
      <c r="O727" s="157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4"/>
      <c r="C728" s="374"/>
      <c r="D728" s="374"/>
      <c r="E728" s="188"/>
      <c r="F728" s="273"/>
      <c r="G728" s="273"/>
      <c r="H728" s="273"/>
      <c r="I728" s="273"/>
      <c r="J728" s="273"/>
      <c r="K728" s="3"/>
      <c r="L728" s="3"/>
      <c r="M728" s="3"/>
      <c r="N728" s="1"/>
      <c r="O728" s="157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4"/>
      <c r="C729" s="374"/>
      <c r="D729" s="374"/>
      <c r="E729" s="188"/>
      <c r="F729" s="273"/>
      <c r="G729" s="273"/>
      <c r="H729" s="273"/>
      <c r="I729" s="273"/>
      <c r="J729" s="273"/>
      <c r="K729" s="3"/>
      <c r="L729" s="3"/>
      <c r="M729" s="3"/>
      <c r="N729" s="1"/>
      <c r="O729" s="157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4"/>
      <c r="C730" s="374"/>
      <c r="D730" s="374"/>
      <c r="E730" s="188"/>
      <c r="F730" s="273"/>
      <c r="G730" s="273"/>
      <c r="H730" s="273"/>
      <c r="I730" s="273"/>
      <c r="J730" s="273"/>
      <c r="K730" s="3"/>
      <c r="L730" s="3"/>
      <c r="M730" s="3"/>
      <c r="N730" s="1"/>
      <c r="O730" s="157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4"/>
      <c r="C731" s="374"/>
      <c r="D731" s="374"/>
      <c r="E731" s="188"/>
      <c r="F731" s="273"/>
      <c r="G731" s="273"/>
      <c r="H731" s="273"/>
      <c r="I731" s="273"/>
      <c r="J731" s="273"/>
      <c r="K731" s="3"/>
      <c r="L731" s="3"/>
      <c r="M731" s="3"/>
      <c r="N731" s="1"/>
      <c r="O731" s="157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4"/>
      <c r="C732" s="374"/>
      <c r="D732" s="374"/>
      <c r="E732" s="188"/>
      <c r="F732" s="273"/>
      <c r="G732" s="273"/>
      <c r="H732" s="273"/>
      <c r="I732" s="273"/>
      <c r="J732" s="273"/>
      <c r="K732" s="3"/>
      <c r="L732" s="3"/>
      <c r="M732" s="3"/>
      <c r="N732" s="1"/>
      <c r="O732" s="157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4"/>
      <c r="C733" s="374"/>
      <c r="D733" s="374"/>
      <c r="E733" s="188"/>
      <c r="F733" s="273"/>
      <c r="G733" s="273"/>
      <c r="H733" s="273"/>
      <c r="I733" s="273"/>
      <c r="J733" s="273"/>
      <c r="K733" s="3"/>
      <c r="L733" s="3"/>
      <c r="M733" s="3"/>
      <c r="N733" s="1"/>
      <c r="O733" s="157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4"/>
      <c r="C734" s="374"/>
      <c r="D734" s="374"/>
      <c r="E734" s="188"/>
      <c r="F734" s="273"/>
      <c r="G734" s="273"/>
      <c r="H734" s="273"/>
      <c r="I734" s="273"/>
      <c r="J734" s="273"/>
      <c r="K734" s="3"/>
      <c r="L734" s="3"/>
      <c r="M734" s="3"/>
      <c r="N734" s="1"/>
      <c r="O734" s="157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4"/>
      <c r="C735" s="374"/>
      <c r="D735" s="374"/>
      <c r="E735" s="188"/>
      <c r="F735" s="273"/>
      <c r="G735" s="273"/>
      <c r="H735" s="273"/>
      <c r="I735" s="273"/>
      <c r="J735" s="273"/>
      <c r="K735" s="3"/>
      <c r="L735" s="3"/>
      <c r="M735" s="3"/>
      <c r="N735" s="1"/>
      <c r="O735" s="157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4"/>
      <c r="C736" s="374"/>
      <c r="D736" s="374"/>
      <c r="E736" s="188"/>
      <c r="F736" s="273"/>
      <c r="G736" s="273"/>
      <c r="H736" s="273"/>
      <c r="I736" s="273"/>
      <c r="J736" s="273"/>
      <c r="K736" s="3"/>
      <c r="L736" s="3"/>
      <c r="M736" s="3"/>
      <c r="N736" s="1"/>
      <c r="O736" s="157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4"/>
      <c r="C737" s="374"/>
      <c r="D737" s="374"/>
      <c r="E737" s="188"/>
      <c r="F737" s="273"/>
      <c r="G737" s="273"/>
      <c r="H737" s="273"/>
      <c r="I737" s="273"/>
      <c r="J737" s="273"/>
      <c r="K737" s="3"/>
      <c r="L737" s="3"/>
      <c r="M737" s="3"/>
      <c r="N737" s="1"/>
      <c r="O737" s="157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4"/>
      <c r="C738" s="374"/>
      <c r="D738" s="374"/>
      <c r="E738" s="188"/>
      <c r="F738" s="273"/>
      <c r="G738" s="273"/>
      <c r="H738" s="273"/>
      <c r="I738" s="273"/>
      <c r="J738" s="273"/>
      <c r="K738" s="3"/>
      <c r="L738" s="3"/>
      <c r="M738" s="3"/>
      <c r="N738" s="1"/>
      <c r="O738" s="157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4"/>
      <c r="C739" s="374"/>
      <c r="D739" s="374"/>
      <c r="E739" s="188"/>
      <c r="F739" s="273"/>
      <c r="G739" s="273"/>
      <c r="H739" s="273"/>
      <c r="I739" s="273"/>
      <c r="J739" s="273"/>
      <c r="K739" s="3"/>
      <c r="L739" s="3"/>
      <c r="M739" s="3"/>
      <c r="N739" s="1"/>
      <c r="O739" s="157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4"/>
      <c r="C740" s="374"/>
      <c r="D740" s="374"/>
      <c r="E740" s="188"/>
      <c r="F740" s="273"/>
      <c r="G740" s="273"/>
      <c r="H740" s="273"/>
      <c r="I740" s="273"/>
      <c r="J740" s="273"/>
      <c r="K740" s="3"/>
      <c r="L740" s="3"/>
      <c r="M740" s="3"/>
      <c r="N740" s="1"/>
      <c r="O740" s="157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4"/>
      <c r="C741" s="374"/>
      <c r="D741" s="374"/>
      <c r="E741" s="188"/>
      <c r="F741" s="273"/>
      <c r="G741" s="273"/>
      <c r="H741" s="273"/>
      <c r="I741" s="273"/>
      <c r="J741" s="273"/>
      <c r="K741" s="3"/>
      <c r="L741" s="3"/>
      <c r="M741" s="3"/>
      <c r="N741" s="1"/>
      <c r="O741" s="157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4"/>
      <c r="C742" s="374"/>
      <c r="D742" s="374"/>
      <c r="E742" s="188"/>
      <c r="F742" s="273"/>
      <c r="G742" s="273"/>
      <c r="H742" s="273"/>
      <c r="I742" s="273"/>
      <c r="J742" s="273"/>
      <c r="K742" s="3"/>
      <c r="L742" s="3"/>
      <c r="M742" s="3"/>
      <c r="N742" s="1"/>
      <c r="O742" s="157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4"/>
      <c r="C743" s="374"/>
      <c r="D743" s="374"/>
      <c r="E743" s="188"/>
      <c r="F743" s="273"/>
      <c r="G743" s="273"/>
      <c r="H743" s="273"/>
      <c r="I743" s="273"/>
      <c r="J743" s="273"/>
      <c r="K743" s="3"/>
      <c r="L743" s="3"/>
      <c r="M743" s="3"/>
      <c r="N743" s="1"/>
      <c r="O743" s="157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4"/>
      <c r="C744" s="374"/>
      <c r="D744" s="374"/>
      <c r="E744" s="188"/>
      <c r="F744" s="273"/>
      <c r="G744" s="273"/>
      <c r="H744" s="273"/>
      <c r="I744" s="273"/>
      <c r="J744" s="273"/>
      <c r="K744" s="3"/>
      <c r="L744" s="3"/>
      <c r="M744" s="3"/>
      <c r="N744" s="1"/>
      <c r="O744" s="157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4"/>
      <c r="C745" s="374"/>
      <c r="D745" s="374"/>
      <c r="E745" s="188"/>
      <c r="F745" s="273"/>
      <c r="G745" s="273"/>
      <c r="H745" s="273"/>
      <c r="I745" s="273"/>
      <c r="J745" s="273"/>
      <c r="K745" s="3"/>
      <c r="L745" s="3"/>
      <c r="M745" s="3"/>
      <c r="N745" s="1"/>
      <c r="O745" s="157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4"/>
      <c r="C746" s="374"/>
      <c r="D746" s="374"/>
      <c r="E746" s="188"/>
      <c r="F746" s="273"/>
      <c r="G746" s="273"/>
      <c r="H746" s="273"/>
      <c r="I746" s="273"/>
      <c r="J746" s="273"/>
      <c r="K746" s="3"/>
      <c r="L746" s="3"/>
      <c r="M746" s="3"/>
      <c r="N746" s="1"/>
      <c r="O746" s="157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4"/>
      <c r="C747" s="374"/>
      <c r="D747" s="374"/>
      <c r="E747" s="188"/>
      <c r="F747" s="273"/>
      <c r="G747" s="273"/>
      <c r="H747" s="273"/>
      <c r="I747" s="273"/>
      <c r="J747" s="273"/>
      <c r="K747" s="3"/>
      <c r="L747" s="3"/>
      <c r="M747" s="3"/>
      <c r="N747" s="1"/>
      <c r="O747" s="157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4"/>
      <c r="C748" s="374"/>
      <c r="D748" s="374"/>
      <c r="E748" s="188"/>
      <c r="F748" s="273"/>
      <c r="G748" s="273"/>
      <c r="H748" s="273"/>
      <c r="I748" s="273"/>
      <c r="J748" s="273"/>
      <c r="K748" s="3"/>
      <c r="L748" s="3"/>
      <c r="M748" s="3"/>
      <c r="N748" s="1"/>
      <c r="O748" s="157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4"/>
      <c r="C749" s="374"/>
      <c r="D749" s="374"/>
      <c r="E749" s="188"/>
      <c r="F749" s="273"/>
      <c r="G749" s="273"/>
      <c r="H749" s="273"/>
      <c r="I749" s="273"/>
      <c r="J749" s="273"/>
      <c r="K749" s="3"/>
      <c r="L749" s="3"/>
      <c r="M749" s="3"/>
      <c r="N749" s="1"/>
      <c r="O749" s="157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4"/>
      <c r="C750" s="374"/>
      <c r="D750" s="374"/>
      <c r="E750" s="188"/>
      <c r="F750" s="273"/>
      <c r="G750" s="273"/>
      <c r="H750" s="273"/>
      <c r="I750" s="273"/>
      <c r="J750" s="273"/>
      <c r="K750" s="3"/>
      <c r="L750" s="3"/>
      <c r="M750" s="3"/>
      <c r="N750" s="1"/>
      <c r="O750" s="157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4"/>
      <c r="C751" s="374"/>
      <c r="D751" s="374"/>
      <c r="E751" s="188"/>
      <c r="F751" s="273"/>
      <c r="G751" s="273"/>
      <c r="H751" s="273"/>
      <c r="I751" s="273"/>
      <c r="J751" s="273"/>
      <c r="K751" s="3"/>
      <c r="L751" s="3"/>
      <c r="M751" s="3"/>
      <c r="N751" s="1"/>
      <c r="O751" s="157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4"/>
      <c r="C752" s="374"/>
      <c r="D752" s="374"/>
      <c r="E752" s="188"/>
      <c r="F752" s="273"/>
      <c r="G752" s="273"/>
      <c r="H752" s="273"/>
      <c r="I752" s="273"/>
      <c r="J752" s="273"/>
      <c r="K752" s="3"/>
      <c r="L752" s="3"/>
      <c r="M752" s="3"/>
      <c r="N752" s="1"/>
      <c r="O752" s="157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4"/>
      <c r="C753" s="374"/>
      <c r="D753" s="374"/>
      <c r="E753" s="188"/>
      <c r="F753" s="273"/>
      <c r="G753" s="273"/>
      <c r="H753" s="273"/>
      <c r="I753" s="273"/>
      <c r="J753" s="273"/>
      <c r="K753" s="3"/>
      <c r="L753" s="3"/>
      <c r="M753" s="3"/>
      <c r="N753" s="1"/>
      <c r="O753" s="157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4"/>
      <c r="C754" s="374"/>
      <c r="D754" s="374"/>
      <c r="E754" s="188"/>
      <c r="F754" s="273"/>
      <c r="G754" s="273"/>
      <c r="H754" s="273"/>
      <c r="I754" s="273"/>
      <c r="J754" s="273"/>
      <c r="K754" s="3"/>
      <c r="L754" s="3"/>
      <c r="M754" s="3"/>
      <c r="N754" s="1"/>
      <c r="O754" s="157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4"/>
      <c r="C755" s="374"/>
      <c r="D755" s="374"/>
      <c r="E755" s="188"/>
      <c r="F755" s="273"/>
      <c r="G755" s="273"/>
      <c r="H755" s="273"/>
      <c r="I755" s="273"/>
      <c r="J755" s="273"/>
      <c r="K755" s="3"/>
      <c r="L755" s="3"/>
      <c r="M755" s="3"/>
      <c r="N755" s="1"/>
      <c r="O755" s="157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4"/>
      <c r="C756" s="374"/>
      <c r="D756" s="374"/>
      <c r="E756" s="188"/>
      <c r="F756" s="273"/>
      <c r="G756" s="273"/>
      <c r="H756" s="273"/>
      <c r="I756" s="273"/>
      <c r="J756" s="273"/>
      <c r="K756" s="3"/>
      <c r="L756" s="3"/>
      <c r="M756" s="3"/>
      <c r="N756" s="1"/>
      <c r="O756" s="157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4"/>
      <c r="C757" s="374"/>
      <c r="D757" s="374"/>
      <c r="E757" s="188"/>
      <c r="F757" s="273"/>
      <c r="G757" s="273"/>
      <c r="H757" s="273"/>
      <c r="I757" s="273"/>
      <c r="J757" s="273"/>
      <c r="K757" s="3"/>
      <c r="L757" s="3"/>
      <c r="M757" s="3"/>
      <c r="N757" s="1"/>
      <c r="O757" s="157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4"/>
      <c r="C758" s="374"/>
      <c r="D758" s="374"/>
      <c r="E758" s="188"/>
      <c r="F758" s="273"/>
      <c r="G758" s="273"/>
      <c r="H758" s="273"/>
      <c r="I758" s="273"/>
      <c r="J758" s="273"/>
      <c r="K758" s="3"/>
      <c r="L758" s="3"/>
      <c r="M758" s="3"/>
      <c r="N758" s="1"/>
      <c r="O758" s="157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4"/>
      <c r="C759" s="374"/>
      <c r="D759" s="374"/>
      <c r="E759" s="188"/>
      <c r="F759" s="273"/>
      <c r="G759" s="273"/>
      <c r="H759" s="273"/>
      <c r="I759" s="273"/>
      <c r="J759" s="273"/>
      <c r="K759" s="3"/>
      <c r="L759" s="3"/>
      <c r="M759" s="3"/>
      <c r="N759" s="1"/>
      <c r="O759" s="157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4"/>
      <c r="C760" s="374"/>
      <c r="D760" s="374"/>
      <c r="E760" s="188"/>
      <c r="F760" s="273"/>
      <c r="G760" s="273"/>
      <c r="H760" s="273"/>
      <c r="I760" s="273"/>
      <c r="J760" s="273"/>
      <c r="K760" s="3"/>
      <c r="L760" s="3"/>
      <c r="M760" s="3"/>
      <c r="N760" s="1"/>
      <c r="O760" s="157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4"/>
      <c r="C761" s="374"/>
      <c r="D761" s="374"/>
      <c r="E761" s="188"/>
      <c r="F761" s="273"/>
      <c r="G761" s="273"/>
      <c r="H761" s="273"/>
      <c r="I761" s="273"/>
      <c r="J761" s="273"/>
      <c r="K761" s="3"/>
      <c r="L761" s="3"/>
      <c r="M761" s="3"/>
      <c r="N761" s="1"/>
      <c r="O761" s="157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4"/>
      <c r="C762" s="374"/>
      <c r="D762" s="374"/>
      <c r="E762" s="188"/>
      <c r="F762" s="273"/>
      <c r="G762" s="273"/>
      <c r="H762" s="273"/>
      <c r="I762" s="273"/>
      <c r="J762" s="273"/>
      <c r="K762" s="3"/>
      <c r="L762" s="3"/>
      <c r="M762" s="3"/>
      <c r="N762" s="1"/>
      <c r="O762" s="157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4"/>
      <c r="C763" s="374"/>
      <c r="D763" s="374"/>
      <c r="E763" s="188"/>
      <c r="F763" s="273"/>
      <c r="G763" s="273"/>
      <c r="H763" s="273"/>
      <c r="I763" s="273"/>
      <c r="J763" s="273"/>
      <c r="K763" s="3"/>
      <c r="L763" s="3"/>
      <c r="M763" s="3"/>
      <c r="N763" s="1"/>
      <c r="O763" s="157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4"/>
      <c r="C764" s="374"/>
      <c r="D764" s="374"/>
      <c r="E764" s="188"/>
      <c r="F764" s="273"/>
      <c r="G764" s="273"/>
      <c r="H764" s="273"/>
      <c r="I764" s="273"/>
      <c r="J764" s="273"/>
      <c r="K764" s="3"/>
      <c r="L764" s="3"/>
      <c r="M764" s="3"/>
      <c r="N764" s="1"/>
      <c r="O764" s="157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4"/>
      <c r="C765" s="374"/>
      <c r="D765" s="374"/>
      <c r="E765" s="188"/>
      <c r="F765" s="273"/>
      <c r="G765" s="273"/>
      <c r="H765" s="273"/>
      <c r="I765" s="273"/>
      <c r="J765" s="273"/>
      <c r="K765" s="3"/>
      <c r="L765" s="3"/>
      <c r="M765" s="3"/>
      <c r="N765" s="1"/>
      <c r="O765" s="157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4"/>
      <c r="C766" s="374"/>
      <c r="D766" s="374"/>
      <c r="E766" s="188"/>
      <c r="F766" s="273"/>
      <c r="G766" s="273"/>
      <c r="H766" s="273"/>
      <c r="I766" s="273"/>
      <c r="J766" s="273"/>
      <c r="K766" s="3"/>
      <c r="L766" s="3"/>
      <c r="M766" s="3"/>
      <c r="N766" s="1"/>
      <c r="O766" s="157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4"/>
      <c r="C767" s="374"/>
      <c r="D767" s="374"/>
      <c r="E767" s="188"/>
      <c r="F767" s="273"/>
      <c r="G767" s="273"/>
      <c r="H767" s="273"/>
      <c r="I767" s="273"/>
      <c r="J767" s="273"/>
      <c r="K767" s="3"/>
      <c r="L767" s="3"/>
      <c r="M767" s="3"/>
      <c r="N767" s="1"/>
      <c r="O767" s="157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4"/>
      <c r="C768" s="374"/>
      <c r="D768" s="374"/>
      <c r="E768" s="188"/>
      <c r="F768" s="273"/>
      <c r="G768" s="273"/>
      <c r="H768" s="273"/>
      <c r="I768" s="273"/>
      <c r="J768" s="273"/>
      <c r="K768" s="3"/>
      <c r="L768" s="3"/>
      <c r="M768" s="3"/>
      <c r="N768" s="1"/>
      <c r="O768" s="157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4"/>
      <c r="C769" s="374"/>
      <c r="D769" s="374"/>
      <c r="E769" s="188"/>
      <c r="F769" s="273"/>
      <c r="G769" s="273"/>
      <c r="H769" s="273"/>
      <c r="I769" s="273"/>
      <c r="J769" s="273"/>
      <c r="K769" s="3"/>
      <c r="L769" s="3"/>
      <c r="M769" s="3"/>
      <c r="N769" s="1"/>
      <c r="O769" s="157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4"/>
      <c r="C770" s="374"/>
      <c r="D770" s="374"/>
      <c r="E770" s="188"/>
      <c r="F770" s="273"/>
      <c r="G770" s="273"/>
      <c r="H770" s="273"/>
      <c r="I770" s="273"/>
      <c r="J770" s="273"/>
      <c r="K770" s="3"/>
      <c r="L770" s="3"/>
      <c r="M770" s="3"/>
      <c r="N770" s="1"/>
      <c r="O770" s="157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4"/>
      <c r="C771" s="374"/>
      <c r="D771" s="374"/>
      <c r="E771" s="188"/>
      <c r="F771" s="273"/>
      <c r="G771" s="273"/>
      <c r="H771" s="273"/>
      <c r="I771" s="273"/>
      <c r="J771" s="273"/>
      <c r="K771" s="3"/>
      <c r="L771" s="3"/>
      <c r="M771" s="3"/>
      <c r="N771" s="1"/>
      <c r="O771" s="157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4"/>
      <c r="C772" s="374"/>
      <c r="D772" s="374"/>
      <c r="E772" s="188"/>
      <c r="F772" s="273"/>
      <c r="G772" s="273"/>
      <c r="H772" s="273"/>
      <c r="I772" s="273"/>
      <c r="J772" s="273"/>
      <c r="K772" s="3"/>
      <c r="L772" s="3"/>
      <c r="M772" s="3"/>
      <c r="N772" s="1"/>
      <c r="O772" s="157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4"/>
      <c r="C773" s="374"/>
      <c r="D773" s="374"/>
      <c r="E773" s="188"/>
      <c r="F773" s="273"/>
      <c r="G773" s="273"/>
      <c r="H773" s="273"/>
      <c r="I773" s="273"/>
      <c r="J773" s="273"/>
      <c r="K773" s="3"/>
      <c r="L773" s="3"/>
      <c r="M773" s="3"/>
      <c r="N773" s="1"/>
      <c r="O773" s="157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4"/>
      <c r="C774" s="374"/>
      <c r="D774" s="374"/>
      <c r="E774" s="188"/>
      <c r="F774" s="273"/>
      <c r="G774" s="273"/>
      <c r="H774" s="273"/>
      <c r="I774" s="273"/>
      <c r="J774" s="273"/>
      <c r="K774" s="3"/>
      <c r="L774" s="3"/>
      <c r="M774" s="3"/>
      <c r="N774" s="1"/>
      <c r="O774" s="157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4"/>
      <c r="C775" s="374"/>
      <c r="D775" s="374"/>
      <c r="E775" s="188"/>
      <c r="F775" s="273"/>
      <c r="G775" s="273"/>
      <c r="H775" s="273"/>
      <c r="I775" s="273"/>
      <c r="J775" s="273"/>
      <c r="K775" s="3"/>
      <c r="L775" s="3"/>
      <c r="M775" s="3"/>
      <c r="N775" s="1"/>
      <c r="O775" s="157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4"/>
      <c r="C776" s="374"/>
      <c r="D776" s="374"/>
      <c r="E776" s="188"/>
      <c r="F776" s="273"/>
      <c r="G776" s="273"/>
      <c r="H776" s="273"/>
      <c r="I776" s="273"/>
      <c r="J776" s="273"/>
      <c r="K776" s="3"/>
      <c r="L776" s="3"/>
      <c r="M776" s="3"/>
      <c r="N776" s="1"/>
      <c r="O776" s="157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4"/>
      <c r="C777" s="374"/>
      <c r="D777" s="374"/>
      <c r="E777" s="188"/>
      <c r="F777" s="273"/>
      <c r="G777" s="273"/>
      <c r="H777" s="273"/>
      <c r="I777" s="273"/>
      <c r="J777" s="273"/>
      <c r="K777" s="3"/>
      <c r="L777" s="3"/>
      <c r="M777" s="3"/>
      <c r="N777" s="1"/>
      <c r="O777" s="157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4"/>
      <c r="C778" s="374"/>
      <c r="D778" s="374"/>
      <c r="E778" s="188"/>
      <c r="F778" s="273"/>
      <c r="G778" s="273"/>
      <c r="H778" s="273"/>
      <c r="I778" s="273"/>
      <c r="J778" s="273"/>
      <c r="K778" s="3"/>
      <c r="L778" s="3"/>
      <c r="M778" s="3"/>
      <c r="N778" s="1"/>
      <c r="O778" s="157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4"/>
      <c r="C779" s="374"/>
      <c r="D779" s="374"/>
      <c r="E779" s="188"/>
      <c r="F779" s="273"/>
      <c r="G779" s="273"/>
      <c r="H779" s="273"/>
      <c r="I779" s="273"/>
      <c r="J779" s="273"/>
      <c r="K779" s="3"/>
      <c r="L779" s="3"/>
      <c r="M779" s="3"/>
      <c r="N779" s="1"/>
      <c r="O779" s="157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4"/>
      <c r="C780" s="374"/>
      <c r="D780" s="374"/>
      <c r="E780" s="188"/>
      <c r="F780" s="273"/>
      <c r="G780" s="273"/>
      <c r="H780" s="273"/>
      <c r="I780" s="273"/>
      <c r="J780" s="273"/>
      <c r="K780" s="3"/>
      <c r="L780" s="3"/>
      <c r="M780" s="3"/>
      <c r="N780" s="1"/>
      <c r="O780" s="157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4"/>
      <c r="C781" s="374"/>
      <c r="D781" s="374"/>
      <c r="E781" s="188"/>
      <c r="F781" s="273"/>
      <c r="G781" s="273"/>
      <c r="H781" s="273"/>
      <c r="I781" s="273"/>
      <c r="J781" s="273"/>
      <c r="K781" s="3"/>
      <c r="L781" s="3"/>
      <c r="M781" s="3"/>
      <c r="N781" s="1"/>
      <c r="O781" s="157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4"/>
      <c r="C782" s="374"/>
      <c r="D782" s="374"/>
      <c r="E782" s="188"/>
      <c r="F782" s="273"/>
      <c r="G782" s="273"/>
      <c r="H782" s="273"/>
      <c r="I782" s="273"/>
      <c r="J782" s="273"/>
      <c r="K782" s="3"/>
      <c r="L782" s="3"/>
      <c r="M782" s="3"/>
      <c r="N782" s="1"/>
      <c r="O782" s="157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4"/>
      <c r="C783" s="374"/>
      <c r="D783" s="374"/>
      <c r="E783" s="188"/>
      <c r="F783" s="273"/>
      <c r="G783" s="273"/>
      <c r="H783" s="273"/>
      <c r="I783" s="273"/>
      <c r="J783" s="273"/>
      <c r="K783" s="3"/>
      <c r="L783" s="3"/>
      <c r="M783" s="3"/>
      <c r="N783" s="1"/>
      <c r="O783" s="157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4"/>
      <c r="C784" s="374"/>
      <c r="D784" s="374"/>
      <c r="E784" s="188"/>
      <c r="F784" s="273"/>
      <c r="G784" s="273"/>
      <c r="H784" s="273"/>
      <c r="I784" s="273"/>
      <c r="J784" s="273"/>
      <c r="K784" s="3"/>
      <c r="L784" s="3"/>
      <c r="M784" s="3"/>
      <c r="N784" s="1"/>
      <c r="O784" s="157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4"/>
      <c r="C785" s="374"/>
      <c r="D785" s="374"/>
      <c r="E785" s="188"/>
      <c r="F785" s="273"/>
      <c r="G785" s="273"/>
      <c r="H785" s="273"/>
      <c r="I785" s="273"/>
      <c r="J785" s="273"/>
      <c r="K785" s="3"/>
      <c r="L785" s="3"/>
      <c r="M785" s="3"/>
      <c r="N785" s="1"/>
      <c r="O785" s="157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4"/>
      <c r="C786" s="374"/>
      <c r="D786" s="374"/>
      <c r="E786" s="188"/>
      <c r="F786" s="273"/>
      <c r="G786" s="273"/>
      <c r="H786" s="273"/>
      <c r="I786" s="273"/>
      <c r="J786" s="273"/>
      <c r="K786" s="3"/>
      <c r="L786" s="3"/>
      <c r="M786" s="3"/>
      <c r="N786" s="1"/>
      <c r="O786" s="157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4"/>
      <c r="C787" s="374"/>
      <c r="D787" s="374"/>
      <c r="E787" s="188"/>
      <c r="F787" s="273"/>
      <c r="G787" s="273"/>
      <c r="H787" s="273"/>
      <c r="I787" s="273"/>
      <c r="J787" s="273"/>
      <c r="K787" s="3"/>
      <c r="L787" s="3"/>
      <c r="M787" s="3"/>
      <c r="N787" s="1"/>
      <c r="O787" s="157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4"/>
      <c r="C788" s="374"/>
      <c r="D788" s="374"/>
      <c r="E788" s="188"/>
      <c r="F788" s="273"/>
      <c r="G788" s="273"/>
      <c r="H788" s="273"/>
      <c r="I788" s="273"/>
      <c r="J788" s="273"/>
      <c r="K788" s="3"/>
      <c r="L788" s="3"/>
      <c r="M788" s="3"/>
      <c r="N788" s="1"/>
      <c r="O788" s="157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4"/>
      <c r="C789" s="374"/>
      <c r="D789" s="374"/>
      <c r="E789" s="188"/>
      <c r="F789" s="273"/>
      <c r="G789" s="273"/>
      <c r="H789" s="273"/>
      <c r="I789" s="273"/>
      <c r="J789" s="273"/>
      <c r="K789" s="3"/>
      <c r="L789" s="3"/>
      <c r="M789" s="3"/>
      <c r="N789" s="1"/>
      <c r="O789" s="157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4"/>
      <c r="C790" s="374"/>
      <c r="D790" s="374"/>
      <c r="E790" s="188"/>
      <c r="F790" s="273"/>
      <c r="G790" s="273"/>
      <c r="H790" s="273"/>
      <c r="I790" s="273"/>
      <c r="J790" s="273"/>
      <c r="K790" s="3"/>
      <c r="L790" s="3"/>
      <c r="M790" s="3"/>
      <c r="N790" s="1"/>
      <c r="O790" s="157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4"/>
      <c r="C791" s="374"/>
      <c r="D791" s="374"/>
      <c r="E791" s="188"/>
      <c r="F791" s="273"/>
      <c r="G791" s="273"/>
      <c r="H791" s="273"/>
      <c r="I791" s="273"/>
      <c r="J791" s="273"/>
      <c r="K791" s="3"/>
      <c r="L791" s="3"/>
      <c r="M791" s="3"/>
      <c r="N791" s="1"/>
      <c r="O791" s="157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4"/>
      <c r="C792" s="374"/>
      <c r="D792" s="374"/>
      <c r="E792" s="188"/>
      <c r="F792" s="273"/>
      <c r="G792" s="273"/>
      <c r="H792" s="273"/>
      <c r="I792" s="273"/>
      <c r="J792" s="273"/>
      <c r="K792" s="3"/>
      <c r="L792" s="3"/>
      <c r="M792" s="3"/>
      <c r="N792" s="1"/>
      <c r="O792" s="157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4"/>
      <c r="C793" s="374"/>
      <c r="D793" s="374"/>
      <c r="E793" s="188"/>
      <c r="F793" s="273"/>
      <c r="G793" s="273"/>
      <c r="H793" s="273"/>
      <c r="I793" s="273"/>
      <c r="J793" s="273"/>
      <c r="K793" s="3"/>
      <c r="L793" s="3"/>
      <c r="M793" s="3"/>
      <c r="N793" s="1"/>
      <c r="O793" s="157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4"/>
      <c r="C794" s="374"/>
      <c r="D794" s="374"/>
      <c r="E794" s="188"/>
      <c r="F794" s="273"/>
      <c r="G794" s="273"/>
      <c r="H794" s="273"/>
      <c r="I794" s="273"/>
      <c r="J794" s="273"/>
      <c r="K794" s="3"/>
      <c r="L794" s="3"/>
      <c r="M794" s="3"/>
      <c r="N794" s="1"/>
      <c r="O794" s="157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4"/>
      <c r="C795" s="374"/>
      <c r="D795" s="374"/>
      <c r="E795" s="188"/>
      <c r="F795" s="273"/>
      <c r="G795" s="273"/>
      <c r="H795" s="273"/>
      <c r="I795" s="273"/>
      <c r="J795" s="273"/>
      <c r="K795" s="3"/>
      <c r="L795" s="3"/>
      <c r="M795" s="3"/>
      <c r="N795" s="1"/>
      <c r="O795" s="157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4"/>
      <c r="C796" s="374"/>
      <c r="D796" s="374"/>
      <c r="E796" s="188"/>
      <c r="F796" s="273"/>
      <c r="G796" s="273"/>
      <c r="H796" s="273"/>
      <c r="I796" s="273"/>
      <c r="J796" s="273"/>
      <c r="K796" s="3"/>
      <c r="L796" s="3"/>
      <c r="M796" s="3"/>
      <c r="N796" s="1"/>
      <c r="O796" s="157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4"/>
      <c r="C797" s="374"/>
      <c r="D797" s="374"/>
      <c r="E797" s="188"/>
      <c r="F797" s="273"/>
      <c r="G797" s="273"/>
      <c r="H797" s="273"/>
      <c r="I797" s="273"/>
      <c r="J797" s="273"/>
      <c r="K797" s="3"/>
      <c r="L797" s="3"/>
      <c r="M797" s="3"/>
      <c r="N797" s="1"/>
      <c r="O797" s="157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4"/>
      <c r="C798" s="374"/>
      <c r="D798" s="374"/>
      <c r="E798" s="188"/>
      <c r="F798" s="273"/>
      <c r="G798" s="273"/>
      <c r="H798" s="273"/>
      <c r="I798" s="273"/>
      <c r="J798" s="273"/>
      <c r="K798" s="3"/>
      <c r="L798" s="3"/>
      <c r="M798" s="3"/>
      <c r="N798" s="1"/>
      <c r="O798" s="157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4"/>
      <c r="C799" s="374"/>
      <c r="D799" s="374"/>
      <c r="E799" s="188"/>
      <c r="F799" s="273"/>
      <c r="G799" s="273"/>
      <c r="H799" s="273"/>
      <c r="I799" s="273"/>
      <c r="J799" s="273"/>
      <c r="K799" s="3"/>
      <c r="L799" s="3"/>
      <c r="M799" s="3"/>
      <c r="N799" s="1"/>
      <c r="O799" s="157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4"/>
      <c r="C800" s="374"/>
      <c r="D800" s="374"/>
      <c r="E800" s="188"/>
      <c r="F800" s="273"/>
      <c r="G800" s="273"/>
      <c r="H800" s="273"/>
      <c r="I800" s="273"/>
      <c r="J800" s="273"/>
      <c r="K800" s="3"/>
      <c r="L800" s="3"/>
      <c r="M800" s="3"/>
      <c r="N800" s="1"/>
      <c r="O800" s="157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4"/>
      <c r="C801" s="374"/>
      <c r="D801" s="374"/>
      <c r="E801" s="188"/>
      <c r="F801" s="273"/>
      <c r="G801" s="273"/>
      <c r="H801" s="273"/>
      <c r="I801" s="273"/>
      <c r="J801" s="273"/>
      <c r="K801" s="3"/>
      <c r="L801" s="3"/>
      <c r="M801" s="3"/>
      <c r="N801" s="1"/>
      <c r="O801" s="157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4"/>
      <c r="C802" s="374"/>
      <c r="D802" s="374"/>
      <c r="E802" s="188"/>
      <c r="F802" s="273"/>
      <c r="G802" s="273"/>
      <c r="H802" s="273"/>
      <c r="I802" s="273"/>
      <c r="J802" s="273"/>
      <c r="K802" s="3"/>
      <c r="L802" s="3"/>
      <c r="M802" s="3"/>
      <c r="N802" s="1"/>
      <c r="O802" s="157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4"/>
      <c r="C803" s="374"/>
      <c r="D803" s="374"/>
      <c r="E803" s="188"/>
      <c r="F803" s="273"/>
      <c r="G803" s="273"/>
      <c r="H803" s="273"/>
      <c r="I803" s="273"/>
      <c r="J803" s="273"/>
      <c r="K803" s="3"/>
      <c r="L803" s="3"/>
      <c r="M803" s="3"/>
      <c r="N803" s="1"/>
      <c r="O803" s="157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4"/>
      <c r="C804" s="374"/>
      <c r="D804" s="374"/>
      <c r="E804" s="188"/>
      <c r="F804" s="273"/>
      <c r="G804" s="273"/>
      <c r="H804" s="273"/>
      <c r="I804" s="273"/>
      <c r="J804" s="273"/>
      <c r="K804" s="3"/>
      <c r="L804" s="3"/>
      <c r="M804" s="3"/>
      <c r="N804" s="1"/>
      <c r="O804" s="157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4"/>
      <c r="C805" s="374"/>
      <c r="D805" s="374"/>
      <c r="E805" s="188"/>
      <c r="F805" s="273"/>
      <c r="G805" s="273"/>
      <c r="H805" s="273"/>
      <c r="I805" s="273"/>
      <c r="J805" s="273"/>
      <c r="K805" s="3"/>
      <c r="L805" s="3"/>
      <c r="M805" s="3"/>
      <c r="N805" s="1"/>
      <c r="O805" s="157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4"/>
      <c r="C806" s="374"/>
      <c r="D806" s="374"/>
      <c r="E806" s="188"/>
      <c r="F806" s="273"/>
      <c r="G806" s="273"/>
      <c r="H806" s="273"/>
      <c r="I806" s="273"/>
      <c r="J806" s="273"/>
      <c r="K806" s="3"/>
      <c r="L806" s="3"/>
      <c r="M806" s="3"/>
      <c r="N806" s="1"/>
      <c r="O806" s="157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4"/>
      <c r="C807" s="374"/>
      <c r="D807" s="374"/>
      <c r="E807" s="188"/>
      <c r="F807" s="273"/>
      <c r="G807" s="273"/>
      <c r="H807" s="273"/>
      <c r="I807" s="273"/>
      <c r="J807" s="273"/>
      <c r="K807" s="3"/>
      <c r="L807" s="3"/>
      <c r="M807" s="3"/>
      <c r="N807" s="1"/>
      <c r="O807" s="157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4"/>
      <c r="C808" s="374"/>
      <c r="D808" s="374"/>
      <c r="E808" s="188"/>
      <c r="F808" s="273"/>
      <c r="G808" s="273"/>
      <c r="H808" s="273"/>
      <c r="I808" s="273"/>
      <c r="J808" s="273"/>
      <c r="K808" s="3"/>
      <c r="L808" s="3"/>
      <c r="M808" s="3"/>
      <c r="N808" s="1"/>
      <c r="O808" s="157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4"/>
      <c r="C809" s="374"/>
      <c r="D809" s="374"/>
      <c r="E809" s="188"/>
      <c r="F809" s="273"/>
      <c r="G809" s="273"/>
      <c r="H809" s="273"/>
      <c r="I809" s="273"/>
      <c r="J809" s="273"/>
      <c r="K809" s="3"/>
      <c r="L809" s="3"/>
      <c r="M809" s="3"/>
      <c r="N809" s="1"/>
      <c r="O809" s="157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4"/>
      <c r="C810" s="374"/>
      <c r="D810" s="374"/>
      <c r="E810" s="188"/>
      <c r="F810" s="273"/>
      <c r="G810" s="273"/>
      <c r="H810" s="273"/>
      <c r="I810" s="273"/>
      <c r="J810" s="273"/>
      <c r="K810" s="3"/>
      <c r="L810" s="3"/>
      <c r="M810" s="3"/>
      <c r="N810" s="1"/>
      <c r="O810" s="157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4"/>
      <c r="C811" s="374"/>
      <c r="D811" s="374"/>
      <c r="E811" s="188"/>
      <c r="F811" s="273"/>
      <c r="G811" s="273"/>
      <c r="H811" s="273"/>
      <c r="I811" s="273"/>
      <c r="J811" s="273"/>
      <c r="K811" s="3"/>
      <c r="L811" s="3"/>
      <c r="M811" s="3"/>
      <c r="N811" s="1"/>
      <c r="O811" s="157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4"/>
      <c r="C812" s="374"/>
      <c r="D812" s="374"/>
      <c r="E812" s="188"/>
      <c r="F812" s="273"/>
      <c r="G812" s="273"/>
      <c r="H812" s="273"/>
      <c r="I812" s="273"/>
      <c r="J812" s="273"/>
      <c r="K812" s="3"/>
      <c r="L812" s="3"/>
      <c r="M812" s="3"/>
      <c r="N812" s="1"/>
      <c r="O812" s="157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4"/>
      <c r="C813" s="374"/>
      <c r="D813" s="374"/>
      <c r="E813" s="188"/>
      <c r="F813" s="273"/>
      <c r="G813" s="273"/>
      <c r="H813" s="273"/>
      <c r="I813" s="273"/>
      <c r="J813" s="273"/>
      <c r="K813" s="3"/>
      <c r="L813" s="3"/>
      <c r="M813" s="3"/>
      <c r="N813" s="1"/>
      <c r="O813" s="157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4"/>
      <c r="C814" s="374"/>
      <c r="D814" s="374"/>
      <c r="E814" s="188"/>
      <c r="F814" s="273"/>
      <c r="G814" s="273"/>
      <c r="H814" s="273"/>
      <c r="I814" s="273"/>
      <c r="J814" s="273"/>
      <c r="K814" s="3"/>
      <c r="L814" s="3"/>
      <c r="M814" s="3"/>
      <c r="N814" s="1"/>
      <c r="O814" s="157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4"/>
      <c r="C815" s="374"/>
      <c r="D815" s="374"/>
      <c r="E815" s="188"/>
      <c r="F815" s="273"/>
      <c r="G815" s="273"/>
      <c r="H815" s="273"/>
      <c r="I815" s="273"/>
      <c r="J815" s="273"/>
      <c r="K815" s="3"/>
      <c r="L815" s="3"/>
      <c r="M815" s="3"/>
      <c r="N815" s="1"/>
      <c r="O815" s="157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4"/>
      <c r="C816" s="374"/>
      <c r="D816" s="374"/>
      <c r="E816" s="188"/>
      <c r="F816" s="273"/>
      <c r="G816" s="273"/>
      <c r="H816" s="273"/>
      <c r="I816" s="273"/>
      <c r="J816" s="273"/>
      <c r="K816" s="3"/>
      <c r="L816" s="3"/>
      <c r="M816" s="3"/>
      <c r="N816" s="1"/>
      <c r="O816" s="157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4"/>
      <c r="C817" s="374"/>
      <c r="D817" s="374"/>
      <c r="E817" s="188"/>
      <c r="F817" s="273"/>
      <c r="G817" s="273"/>
      <c r="H817" s="273"/>
      <c r="I817" s="273"/>
      <c r="J817" s="273"/>
      <c r="K817" s="3"/>
      <c r="L817" s="3"/>
      <c r="M817" s="3"/>
      <c r="N817" s="1"/>
      <c r="O817" s="157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4"/>
      <c r="C818" s="374"/>
      <c r="D818" s="374"/>
      <c r="E818" s="188"/>
      <c r="F818" s="273"/>
      <c r="G818" s="273"/>
      <c r="H818" s="273"/>
      <c r="I818" s="273"/>
      <c r="J818" s="273"/>
      <c r="K818" s="3"/>
      <c r="L818" s="3"/>
      <c r="M818" s="3"/>
      <c r="N818" s="1"/>
      <c r="O818" s="157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4"/>
      <c r="C819" s="374"/>
      <c r="D819" s="374"/>
      <c r="E819" s="188"/>
      <c r="F819" s="273"/>
      <c r="G819" s="273"/>
      <c r="H819" s="273"/>
      <c r="I819" s="273"/>
      <c r="J819" s="273"/>
      <c r="K819" s="3"/>
      <c r="L819" s="3"/>
      <c r="M819" s="3"/>
      <c r="N819" s="1"/>
      <c r="O819" s="157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4"/>
      <c r="C820" s="374"/>
      <c r="D820" s="374"/>
      <c r="E820" s="188"/>
      <c r="F820" s="273"/>
      <c r="G820" s="273"/>
      <c r="H820" s="273"/>
      <c r="I820" s="273"/>
      <c r="J820" s="273"/>
      <c r="K820" s="3"/>
      <c r="L820" s="3"/>
      <c r="M820" s="3"/>
      <c r="N820" s="1"/>
      <c r="O820" s="157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4"/>
      <c r="C821" s="374"/>
      <c r="D821" s="374"/>
      <c r="E821" s="188"/>
      <c r="F821" s="273"/>
      <c r="G821" s="273"/>
      <c r="H821" s="273"/>
      <c r="I821" s="273"/>
      <c r="J821" s="273"/>
      <c r="K821" s="3"/>
      <c r="L821" s="3"/>
      <c r="M821" s="3"/>
      <c r="N821" s="1"/>
      <c r="O821" s="157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4"/>
      <c r="C822" s="374"/>
      <c r="D822" s="374"/>
      <c r="E822" s="188"/>
      <c r="F822" s="273"/>
      <c r="G822" s="273"/>
      <c r="H822" s="273"/>
      <c r="I822" s="273"/>
      <c r="J822" s="273"/>
      <c r="K822" s="3"/>
      <c r="L822" s="3"/>
      <c r="M822" s="3"/>
      <c r="N822" s="1"/>
      <c r="O822" s="157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4"/>
      <c r="C823" s="374"/>
      <c r="D823" s="374"/>
      <c r="E823" s="188"/>
      <c r="F823" s="273"/>
      <c r="G823" s="273"/>
      <c r="H823" s="273"/>
      <c r="I823" s="273"/>
      <c r="J823" s="273"/>
      <c r="K823" s="3"/>
      <c r="L823" s="3"/>
      <c r="M823" s="3"/>
      <c r="N823" s="1"/>
      <c r="O823" s="157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4"/>
      <c r="C824" s="374"/>
      <c r="D824" s="374"/>
      <c r="E824" s="188"/>
      <c r="F824" s="273"/>
      <c r="G824" s="273"/>
      <c r="H824" s="273"/>
      <c r="I824" s="273"/>
      <c r="J824" s="273"/>
      <c r="K824" s="3"/>
      <c r="L824" s="3"/>
      <c r="M824" s="3"/>
      <c r="N824" s="1"/>
      <c r="O824" s="157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4"/>
      <c r="C825" s="374"/>
      <c r="D825" s="374"/>
      <c r="E825" s="188"/>
      <c r="F825" s="273"/>
      <c r="G825" s="273"/>
      <c r="H825" s="273"/>
      <c r="I825" s="273"/>
      <c r="J825" s="273"/>
      <c r="K825" s="3"/>
      <c r="L825" s="3"/>
      <c r="M825" s="3"/>
      <c r="N825" s="1"/>
      <c r="O825" s="157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4"/>
      <c r="C826" s="374"/>
      <c r="D826" s="374"/>
      <c r="E826" s="188"/>
      <c r="F826" s="273"/>
      <c r="G826" s="273"/>
      <c r="H826" s="273"/>
      <c r="I826" s="273"/>
      <c r="J826" s="273"/>
      <c r="K826" s="3"/>
      <c r="L826" s="3"/>
      <c r="M826" s="3"/>
      <c r="N826" s="1"/>
      <c r="O826" s="157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4"/>
      <c r="C827" s="374"/>
      <c r="D827" s="374"/>
      <c r="E827" s="188"/>
      <c r="F827" s="273"/>
      <c r="G827" s="273"/>
      <c r="H827" s="273"/>
      <c r="I827" s="273"/>
      <c r="J827" s="273"/>
      <c r="K827" s="3"/>
      <c r="L827" s="3"/>
      <c r="M827" s="3"/>
      <c r="N827" s="1"/>
      <c r="O827" s="157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4"/>
      <c r="C828" s="374"/>
      <c r="D828" s="374"/>
      <c r="E828" s="188"/>
      <c r="F828" s="273"/>
      <c r="G828" s="273"/>
      <c r="H828" s="273"/>
      <c r="I828" s="273"/>
      <c r="J828" s="273"/>
      <c r="K828" s="3"/>
      <c r="L828" s="3"/>
      <c r="M828" s="3"/>
      <c r="N828" s="1"/>
      <c r="O828" s="157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4"/>
      <c r="C829" s="374"/>
      <c r="D829" s="374"/>
      <c r="E829" s="188"/>
      <c r="F829" s="273"/>
      <c r="G829" s="273"/>
      <c r="H829" s="273"/>
      <c r="I829" s="273"/>
      <c r="J829" s="273"/>
      <c r="K829" s="3"/>
      <c r="L829" s="3"/>
      <c r="M829" s="3"/>
      <c r="N829" s="1"/>
      <c r="O829" s="157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4"/>
      <c r="C830" s="374"/>
      <c r="D830" s="374"/>
      <c r="E830" s="188"/>
      <c r="F830" s="273"/>
      <c r="G830" s="273"/>
      <c r="H830" s="273"/>
      <c r="I830" s="273"/>
      <c r="J830" s="273"/>
      <c r="K830" s="3"/>
      <c r="L830" s="3"/>
      <c r="M830" s="3"/>
      <c r="N830" s="1"/>
      <c r="O830" s="157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4"/>
      <c r="C831" s="374"/>
      <c r="D831" s="374"/>
      <c r="E831" s="188"/>
      <c r="F831" s="273"/>
      <c r="G831" s="273"/>
      <c r="H831" s="273"/>
      <c r="I831" s="273"/>
      <c r="J831" s="273"/>
      <c r="K831" s="3"/>
      <c r="L831" s="3"/>
      <c r="M831" s="3"/>
      <c r="N831" s="1"/>
      <c r="O831" s="157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4"/>
      <c r="C832" s="374"/>
      <c r="D832" s="374"/>
      <c r="E832" s="188"/>
      <c r="F832" s="273"/>
      <c r="G832" s="273"/>
      <c r="H832" s="273"/>
      <c r="I832" s="273"/>
      <c r="J832" s="273"/>
      <c r="K832" s="3"/>
      <c r="L832" s="3"/>
      <c r="M832" s="3"/>
      <c r="N832" s="1"/>
      <c r="O832" s="157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4"/>
      <c r="C833" s="374"/>
      <c r="D833" s="374"/>
      <c r="E833" s="188"/>
      <c r="F833" s="273"/>
      <c r="G833" s="273"/>
      <c r="H833" s="273"/>
      <c r="I833" s="273"/>
      <c r="J833" s="273"/>
      <c r="K833" s="3"/>
      <c r="L833" s="3"/>
      <c r="M833" s="3"/>
      <c r="N833" s="1"/>
      <c r="O833" s="157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4"/>
      <c r="C834" s="374"/>
      <c r="D834" s="374"/>
      <c r="E834" s="188"/>
      <c r="F834" s="273"/>
      <c r="G834" s="273"/>
      <c r="H834" s="273"/>
      <c r="I834" s="273"/>
      <c r="J834" s="273"/>
      <c r="K834" s="3"/>
      <c r="L834" s="3"/>
      <c r="M834" s="3"/>
      <c r="N834" s="1"/>
      <c r="O834" s="157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4"/>
      <c r="C835" s="374"/>
      <c r="D835" s="374"/>
      <c r="E835" s="188"/>
      <c r="F835" s="273"/>
      <c r="G835" s="273"/>
      <c r="H835" s="273"/>
      <c r="I835" s="273"/>
      <c r="J835" s="273"/>
      <c r="K835" s="3"/>
      <c r="L835" s="3"/>
      <c r="M835" s="3"/>
      <c r="N835" s="1"/>
      <c r="O835" s="157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4"/>
      <c r="C836" s="374"/>
      <c r="D836" s="374"/>
      <c r="E836" s="188"/>
      <c r="F836" s="273"/>
      <c r="G836" s="273"/>
      <c r="H836" s="273"/>
      <c r="I836" s="273"/>
      <c r="J836" s="273"/>
      <c r="K836" s="3"/>
      <c r="L836" s="3"/>
      <c r="M836" s="3"/>
      <c r="N836" s="1"/>
      <c r="O836" s="157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4"/>
      <c r="C837" s="374"/>
      <c r="D837" s="374"/>
      <c r="E837" s="188"/>
      <c r="F837" s="273"/>
      <c r="G837" s="273"/>
      <c r="H837" s="273"/>
      <c r="I837" s="273"/>
      <c r="J837" s="273"/>
      <c r="K837" s="3"/>
      <c r="L837" s="3"/>
      <c r="M837" s="3"/>
      <c r="N837" s="1"/>
      <c r="O837" s="157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4"/>
      <c r="C838" s="374"/>
      <c r="D838" s="374"/>
      <c r="E838" s="188"/>
      <c r="F838" s="273"/>
      <c r="G838" s="273"/>
      <c r="H838" s="273"/>
      <c r="I838" s="273"/>
      <c r="J838" s="273"/>
      <c r="K838" s="3"/>
      <c r="L838" s="3"/>
      <c r="M838" s="3"/>
      <c r="N838" s="1"/>
      <c r="O838" s="157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4"/>
      <c r="C839" s="374"/>
      <c r="D839" s="374"/>
      <c r="E839" s="188"/>
      <c r="F839" s="273"/>
      <c r="G839" s="273"/>
      <c r="H839" s="273"/>
      <c r="I839" s="273"/>
      <c r="J839" s="273"/>
      <c r="K839" s="3"/>
      <c r="L839" s="3"/>
      <c r="M839" s="3"/>
      <c r="N839" s="1"/>
      <c r="O839" s="157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4"/>
      <c r="C840" s="374"/>
      <c r="D840" s="374"/>
      <c r="E840" s="188"/>
      <c r="F840" s="273"/>
      <c r="G840" s="273"/>
      <c r="H840" s="273"/>
      <c r="I840" s="273"/>
      <c r="J840" s="273"/>
      <c r="K840" s="3"/>
      <c r="L840" s="3"/>
      <c r="M840" s="3"/>
      <c r="N840" s="1"/>
      <c r="O840" s="157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4"/>
      <c r="C841" s="374"/>
      <c r="D841" s="374"/>
      <c r="E841" s="188"/>
      <c r="F841" s="273"/>
      <c r="G841" s="273"/>
      <c r="H841" s="273"/>
      <c r="I841" s="273"/>
      <c r="J841" s="273"/>
      <c r="K841" s="3"/>
      <c r="L841" s="3"/>
      <c r="M841" s="3"/>
      <c r="N841" s="1"/>
      <c r="O841" s="157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4"/>
      <c r="C842" s="374"/>
      <c r="D842" s="374"/>
      <c r="E842" s="188"/>
      <c r="F842" s="273"/>
      <c r="G842" s="273"/>
      <c r="H842" s="273"/>
      <c r="I842" s="273"/>
      <c r="J842" s="273"/>
      <c r="K842" s="3"/>
      <c r="L842" s="3"/>
      <c r="M842" s="3"/>
      <c r="N842" s="1"/>
      <c r="O842" s="157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4"/>
      <c r="C843" s="374"/>
      <c r="D843" s="374"/>
      <c r="E843" s="188"/>
      <c r="F843" s="273"/>
      <c r="G843" s="273"/>
      <c r="H843" s="273"/>
      <c r="I843" s="273"/>
      <c r="J843" s="273"/>
      <c r="K843" s="3"/>
      <c r="L843" s="3"/>
      <c r="M843" s="3"/>
      <c r="N843" s="1"/>
      <c r="O843" s="157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4"/>
      <c r="C844" s="374"/>
      <c r="D844" s="374"/>
      <c r="E844" s="188"/>
      <c r="F844" s="273"/>
      <c r="G844" s="273"/>
      <c r="H844" s="273"/>
      <c r="I844" s="273"/>
      <c r="J844" s="273"/>
      <c r="K844" s="3"/>
      <c r="L844" s="3"/>
      <c r="M844" s="3"/>
      <c r="N844" s="1"/>
      <c r="O844" s="157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4"/>
      <c r="C845" s="374"/>
      <c r="D845" s="374"/>
      <c r="E845" s="188"/>
      <c r="F845" s="273"/>
      <c r="G845" s="273"/>
      <c r="H845" s="273"/>
      <c r="I845" s="273"/>
      <c r="J845" s="273"/>
      <c r="K845" s="3"/>
      <c r="L845" s="3"/>
      <c r="M845" s="3"/>
      <c r="N845" s="1"/>
      <c r="O845" s="157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4"/>
      <c r="C846" s="374"/>
      <c r="D846" s="374"/>
      <c r="E846" s="188"/>
      <c r="F846" s="273"/>
      <c r="G846" s="273"/>
      <c r="H846" s="273"/>
      <c r="I846" s="273"/>
      <c r="J846" s="273"/>
      <c r="K846" s="3"/>
      <c r="L846" s="3"/>
      <c r="M846" s="3"/>
      <c r="N846" s="1"/>
      <c r="O846" s="157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4"/>
      <c r="C847" s="374"/>
      <c r="D847" s="374"/>
      <c r="E847" s="188"/>
      <c r="F847" s="273"/>
      <c r="G847" s="273"/>
      <c r="H847" s="273"/>
      <c r="I847" s="273"/>
      <c r="J847" s="273"/>
      <c r="K847" s="3"/>
      <c r="L847" s="3"/>
      <c r="M847" s="3"/>
      <c r="N847" s="1"/>
      <c r="O847" s="157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4"/>
      <c r="C848" s="374"/>
      <c r="D848" s="374"/>
      <c r="E848" s="188"/>
      <c r="F848" s="273"/>
      <c r="G848" s="273"/>
      <c r="H848" s="273"/>
      <c r="I848" s="273"/>
      <c r="J848" s="273"/>
      <c r="K848" s="3"/>
      <c r="L848" s="3"/>
      <c r="M848" s="3"/>
      <c r="N848" s="1"/>
      <c r="O848" s="157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4"/>
      <c r="C849" s="374"/>
      <c r="D849" s="374"/>
      <c r="E849" s="188"/>
      <c r="F849" s="273"/>
      <c r="G849" s="273"/>
      <c r="H849" s="273"/>
      <c r="I849" s="273"/>
      <c r="J849" s="273"/>
      <c r="K849" s="3"/>
      <c r="L849" s="3"/>
      <c r="M849" s="3"/>
      <c r="N849" s="1"/>
      <c r="O849" s="157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4"/>
      <c r="C850" s="374"/>
      <c r="D850" s="374"/>
      <c r="E850" s="188"/>
      <c r="F850" s="273"/>
      <c r="G850" s="273"/>
      <c r="H850" s="273"/>
      <c r="I850" s="273"/>
      <c r="J850" s="273"/>
      <c r="K850" s="3"/>
      <c r="L850" s="3"/>
      <c r="M850" s="3"/>
      <c r="N850" s="1"/>
      <c r="O850" s="157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4"/>
      <c r="C851" s="374"/>
      <c r="D851" s="374"/>
      <c r="E851" s="188"/>
      <c r="F851" s="273"/>
      <c r="G851" s="273"/>
      <c r="H851" s="273"/>
      <c r="I851" s="273"/>
      <c r="J851" s="273"/>
      <c r="K851" s="3"/>
      <c r="L851" s="3"/>
      <c r="M851" s="3"/>
      <c r="N851" s="1"/>
      <c r="O851" s="157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4"/>
      <c r="C852" s="374"/>
      <c r="D852" s="374"/>
      <c r="E852" s="188"/>
      <c r="F852" s="273"/>
      <c r="G852" s="273"/>
      <c r="H852" s="273"/>
      <c r="I852" s="273"/>
      <c r="J852" s="273"/>
      <c r="K852" s="3"/>
      <c r="L852" s="3"/>
      <c r="M852" s="3"/>
      <c r="N852" s="1"/>
      <c r="O852" s="157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4"/>
      <c r="C853" s="374"/>
      <c r="D853" s="374"/>
      <c r="E853" s="188"/>
      <c r="F853" s="273"/>
      <c r="G853" s="273"/>
      <c r="H853" s="273"/>
      <c r="I853" s="273"/>
      <c r="J853" s="273"/>
      <c r="K853" s="3"/>
      <c r="L853" s="3"/>
      <c r="M853" s="3"/>
      <c r="N853" s="1"/>
      <c r="O853" s="157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4"/>
      <c r="C854" s="374"/>
      <c r="D854" s="374"/>
      <c r="E854" s="188"/>
      <c r="F854" s="273"/>
      <c r="G854" s="273"/>
      <c r="H854" s="273"/>
      <c r="I854" s="273"/>
      <c r="J854" s="273"/>
      <c r="K854" s="3"/>
      <c r="L854" s="3"/>
      <c r="M854" s="3"/>
      <c r="N854" s="1"/>
      <c r="O854" s="157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4"/>
      <c r="C855" s="374"/>
      <c r="D855" s="374"/>
      <c r="E855" s="188"/>
      <c r="F855" s="273"/>
      <c r="G855" s="273"/>
      <c r="H855" s="273"/>
      <c r="I855" s="273"/>
      <c r="J855" s="273"/>
      <c r="K855" s="3"/>
      <c r="L855" s="3"/>
      <c r="M855" s="3"/>
      <c r="N855" s="1"/>
      <c r="O855" s="157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4"/>
      <c r="C856" s="374"/>
      <c r="D856" s="374"/>
      <c r="E856" s="188"/>
      <c r="F856" s="273"/>
      <c r="G856" s="273"/>
      <c r="H856" s="273"/>
      <c r="I856" s="273"/>
      <c r="J856" s="273"/>
      <c r="K856" s="3"/>
      <c r="L856" s="3"/>
      <c r="M856" s="3"/>
      <c r="N856" s="1"/>
      <c r="O856" s="157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4"/>
      <c r="C857" s="374"/>
      <c r="D857" s="374"/>
      <c r="E857" s="188"/>
      <c r="F857" s="273"/>
      <c r="G857" s="273"/>
      <c r="H857" s="273"/>
      <c r="I857" s="273"/>
      <c r="J857" s="273"/>
      <c r="K857" s="3"/>
      <c r="L857" s="3"/>
      <c r="M857" s="3"/>
      <c r="N857" s="1"/>
      <c r="O857" s="157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4"/>
      <c r="C858" s="374"/>
      <c r="D858" s="374"/>
      <c r="E858" s="188"/>
      <c r="F858" s="273"/>
      <c r="G858" s="273"/>
      <c r="H858" s="273"/>
      <c r="I858" s="273"/>
      <c r="J858" s="273"/>
      <c r="K858" s="3"/>
      <c r="L858" s="3"/>
      <c r="M858" s="3"/>
      <c r="N858" s="1"/>
      <c r="O858" s="157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4"/>
      <c r="C859" s="374"/>
      <c r="D859" s="374"/>
      <c r="E859" s="188"/>
      <c r="F859" s="273"/>
      <c r="G859" s="273"/>
      <c r="H859" s="273"/>
      <c r="I859" s="273"/>
      <c r="J859" s="273"/>
      <c r="K859" s="3"/>
      <c r="L859" s="3"/>
      <c r="M859" s="3"/>
      <c r="N859" s="1"/>
      <c r="O859" s="157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4"/>
      <c r="C860" s="374"/>
      <c r="D860" s="374"/>
      <c r="E860" s="188"/>
      <c r="F860" s="273"/>
      <c r="G860" s="273"/>
      <c r="H860" s="273"/>
      <c r="I860" s="273"/>
      <c r="J860" s="273"/>
      <c r="K860" s="3"/>
      <c r="L860" s="3"/>
      <c r="M860" s="3"/>
      <c r="N860" s="1"/>
      <c r="O860" s="157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4"/>
      <c r="C861" s="374"/>
      <c r="D861" s="374"/>
      <c r="E861" s="188"/>
      <c r="F861" s="273"/>
      <c r="G861" s="273"/>
      <c r="H861" s="273"/>
      <c r="I861" s="273"/>
      <c r="J861" s="273"/>
      <c r="K861" s="3"/>
      <c r="L861" s="3"/>
      <c r="M861" s="3"/>
      <c r="N861" s="1"/>
      <c r="O861" s="157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4"/>
      <c r="C862" s="374"/>
      <c r="D862" s="374"/>
      <c r="E862" s="188"/>
      <c r="F862" s="273"/>
      <c r="G862" s="273"/>
      <c r="H862" s="273"/>
      <c r="I862" s="273"/>
      <c r="J862" s="273"/>
      <c r="K862" s="3"/>
      <c r="L862" s="3"/>
      <c r="M862" s="3"/>
      <c r="N862" s="1"/>
      <c r="O862" s="157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4"/>
      <c r="C863" s="374"/>
      <c r="D863" s="374"/>
      <c r="E863" s="188"/>
      <c r="F863" s="273"/>
      <c r="G863" s="273"/>
      <c r="H863" s="273"/>
      <c r="I863" s="273"/>
      <c r="J863" s="273"/>
      <c r="K863" s="3"/>
      <c r="L863" s="3"/>
      <c r="M863" s="3"/>
      <c r="N863" s="1"/>
      <c r="O863" s="157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4"/>
      <c r="C864" s="374"/>
      <c r="D864" s="374"/>
      <c r="E864" s="188"/>
      <c r="F864" s="273"/>
      <c r="G864" s="273"/>
      <c r="H864" s="273"/>
      <c r="I864" s="273"/>
      <c r="J864" s="273"/>
      <c r="K864" s="3"/>
      <c r="L864" s="3"/>
      <c r="M864" s="3"/>
      <c r="N864" s="1"/>
      <c r="O864" s="157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4"/>
      <c r="C865" s="374"/>
      <c r="D865" s="374"/>
      <c r="E865" s="188"/>
      <c r="F865" s="273"/>
      <c r="G865" s="273"/>
      <c r="H865" s="273"/>
      <c r="I865" s="273"/>
      <c r="J865" s="273"/>
      <c r="K865" s="3"/>
      <c r="L865" s="3"/>
      <c r="M865" s="3"/>
      <c r="N865" s="1"/>
      <c r="O865" s="157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4"/>
      <c r="C866" s="374"/>
      <c r="D866" s="374"/>
      <c r="E866" s="188"/>
      <c r="F866" s="273"/>
      <c r="G866" s="273"/>
      <c r="H866" s="273"/>
      <c r="I866" s="273"/>
      <c r="J866" s="273"/>
      <c r="K866" s="3"/>
      <c r="L866" s="3"/>
      <c r="M866" s="3"/>
      <c r="N866" s="1"/>
      <c r="O866" s="157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4"/>
      <c r="C867" s="374"/>
      <c r="D867" s="374"/>
      <c r="E867" s="188"/>
      <c r="F867" s="273"/>
      <c r="G867" s="273"/>
      <c r="H867" s="273"/>
      <c r="I867" s="273"/>
      <c r="J867" s="273"/>
      <c r="K867" s="3"/>
      <c r="L867" s="3"/>
      <c r="M867" s="3"/>
      <c r="N867" s="1"/>
      <c r="O867" s="157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4"/>
      <c r="C868" s="374"/>
      <c r="D868" s="374"/>
      <c r="E868" s="188"/>
      <c r="F868" s="273"/>
      <c r="G868" s="273"/>
      <c r="H868" s="273"/>
      <c r="I868" s="273"/>
      <c r="J868" s="273"/>
      <c r="K868" s="3"/>
      <c r="L868" s="3"/>
      <c r="M868" s="3"/>
      <c r="N868" s="1"/>
      <c r="O868" s="157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4"/>
      <c r="C869" s="374"/>
      <c r="D869" s="374"/>
      <c r="E869" s="188"/>
      <c r="F869" s="273"/>
      <c r="G869" s="273"/>
      <c r="H869" s="273"/>
      <c r="I869" s="273"/>
      <c r="J869" s="273"/>
      <c r="K869" s="3"/>
      <c r="L869" s="3"/>
      <c r="M869" s="3"/>
      <c r="N869" s="1"/>
      <c r="O869" s="157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4"/>
      <c r="C870" s="374"/>
      <c r="D870" s="374"/>
      <c r="E870" s="188"/>
      <c r="F870" s="273"/>
      <c r="G870" s="273"/>
      <c r="H870" s="273"/>
      <c r="I870" s="273"/>
      <c r="J870" s="273"/>
      <c r="K870" s="3"/>
      <c r="L870" s="3"/>
      <c r="M870" s="3"/>
      <c r="N870" s="1"/>
      <c r="O870" s="157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4"/>
      <c r="C871" s="374"/>
      <c r="D871" s="374"/>
      <c r="E871" s="188"/>
      <c r="F871" s="273"/>
      <c r="G871" s="273"/>
      <c r="H871" s="273"/>
      <c r="I871" s="273"/>
      <c r="J871" s="273"/>
      <c r="K871" s="3"/>
      <c r="L871" s="3"/>
      <c r="M871" s="3"/>
      <c r="N871" s="1"/>
      <c r="O871" s="157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4"/>
      <c r="C872" s="374"/>
      <c r="D872" s="374"/>
      <c r="E872" s="188"/>
      <c r="F872" s="273"/>
      <c r="G872" s="273"/>
      <c r="H872" s="273"/>
      <c r="I872" s="273"/>
      <c r="J872" s="273"/>
      <c r="K872" s="3"/>
      <c r="L872" s="3"/>
      <c r="M872" s="3"/>
      <c r="N872" s="1"/>
      <c r="O872" s="157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4"/>
      <c r="C873" s="374"/>
      <c r="D873" s="374"/>
      <c r="E873" s="188"/>
      <c r="F873" s="273"/>
      <c r="G873" s="273"/>
      <c r="H873" s="273"/>
      <c r="I873" s="273"/>
      <c r="J873" s="273"/>
      <c r="K873" s="3"/>
      <c r="L873" s="3"/>
      <c r="M873" s="3"/>
      <c r="N873" s="1"/>
      <c r="O873" s="157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4"/>
      <c r="C874" s="374"/>
      <c r="D874" s="374"/>
      <c r="E874" s="188"/>
      <c r="F874" s="273"/>
      <c r="G874" s="273"/>
      <c r="H874" s="273"/>
      <c r="I874" s="273"/>
      <c r="J874" s="273"/>
      <c r="K874" s="3"/>
      <c r="L874" s="3"/>
      <c r="M874" s="3"/>
      <c r="N874" s="1"/>
      <c r="O874" s="157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4"/>
      <c r="C875" s="374"/>
      <c r="D875" s="374"/>
      <c r="E875" s="188"/>
      <c r="F875" s="273"/>
      <c r="G875" s="273"/>
      <c r="H875" s="273"/>
      <c r="I875" s="273"/>
      <c r="J875" s="273"/>
      <c r="K875" s="3"/>
      <c r="L875" s="3"/>
      <c r="M875" s="3"/>
      <c r="N875" s="1"/>
      <c r="O875" s="157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4"/>
      <c r="C876" s="374"/>
      <c r="D876" s="374"/>
      <c r="E876" s="188"/>
      <c r="F876" s="273"/>
      <c r="G876" s="273"/>
      <c r="H876" s="273"/>
      <c r="I876" s="273"/>
      <c r="J876" s="273"/>
      <c r="K876" s="3"/>
      <c r="L876" s="3"/>
      <c r="M876" s="3"/>
      <c r="N876" s="1"/>
      <c r="O876" s="157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4"/>
      <c r="C877" s="374"/>
      <c r="D877" s="374"/>
      <c r="E877" s="188"/>
      <c r="F877" s="273"/>
      <c r="G877" s="273"/>
      <c r="H877" s="273"/>
      <c r="I877" s="273"/>
      <c r="J877" s="273"/>
      <c r="K877" s="3"/>
      <c r="L877" s="3"/>
      <c r="M877" s="3"/>
      <c r="N877" s="1"/>
      <c r="O877" s="157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4"/>
      <c r="C878" s="374"/>
      <c r="D878" s="374"/>
      <c r="E878" s="188"/>
      <c r="F878" s="273"/>
      <c r="G878" s="273"/>
      <c r="H878" s="273"/>
      <c r="I878" s="273"/>
      <c r="J878" s="273"/>
      <c r="K878" s="3"/>
      <c r="L878" s="3"/>
      <c r="M878" s="3"/>
      <c r="N878" s="1"/>
      <c r="O878" s="157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4"/>
      <c r="C879" s="374"/>
      <c r="D879" s="374"/>
      <c r="E879" s="188"/>
      <c r="F879" s="273"/>
      <c r="G879" s="273"/>
      <c r="H879" s="273"/>
      <c r="I879" s="273"/>
      <c r="J879" s="273"/>
      <c r="K879" s="3"/>
      <c r="L879" s="3"/>
      <c r="M879" s="3"/>
      <c r="N879" s="1"/>
      <c r="O879" s="157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4"/>
      <c r="C880" s="374"/>
      <c r="D880" s="374"/>
      <c r="E880" s="188"/>
      <c r="F880" s="273"/>
      <c r="G880" s="273"/>
      <c r="H880" s="273"/>
      <c r="I880" s="273"/>
      <c r="J880" s="273"/>
      <c r="K880" s="3"/>
      <c r="L880" s="3"/>
      <c r="M880" s="3"/>
      <c r="N880" s="1"/>
      <c r="O880" s="157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4"/>
      <c r="C881" s="374"/>
      <c r="D881" s="374"/>
      <c r="E881" s="188"/>
      <c r="F881" s="273"/>
      <c r="G881" s="273"/>
      <c r="H881" s="273"/>
      <c r="I881" s="273"/>
      <c r="J881" s="273"/>
      <c r="K881" s="3"/>
      <c r="L881" s="3"/>
      <c r="M881" s="3"/>
      <c r="N881" s="1"/>
      <c r="O881" s="157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4"/>
      <c r="C882" s="374"/>
      <c r="D882" s="374"/>
      <c r="E882" s="188"/>
      <c r="F882" s="273"/>
      <c r="G882" s="273"/>
      <c r="H882" s="273"/>
      <c r="I882" s="273"/>
      <c r="J882" s="273"/>
      <c r="K882" s="3"/>
      <c r="L882" s="3"/>
      <c r="M882" s="3"/>
      <c r="N882" s="1"/>
      <c r="O882" s="157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4"/>
      <c r="C883" s="374"/>
      <c r="D883" s="374"/>
      <c r="E883" s="188"/>
      <c r="F883" s="273"/>
      <c r="G883" s="273"/>
      <c r="H883" s="273"/>
      <c r="I883" s="273"/>
      <c r="J883" s="273"/>
      <c r="K883" s="3"/>
      <c r="L883" s="3"/>
      <c r="M883" s="3"/>
      <c r="N883" s="1"/>
      <c r="O883" s="157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4"/>
      <c r="C884" s="374"/>
      <c r="D884" s="374"/>
      <c r="E884" s="188"/>
      <c r="F884" s="273"/>
      <c r="G884" s="273"/>
      <c r="H884" s="273"/>
      <c r="I884" s="273"/>
      <c r="J884" s="273"/>
      <c r="K884" s="3"/>
      <c r="L884" s="3"/>
      <c r="M884" s="3"/>
      <c r="N884" s="1"/>
      <c r="O884" s="157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4"/>
      <c r="C885" s="374"/>
      <c r="D885" s="374"/>
      <c r="E885" s="188"/>
      <c r="F885" s="273"/>
      <c r="G885" s="273"/>
      <c r="H885" s="273"/>
      <c r="I885" s="273"/>
      <c r="J885" s="273"/>
      <c r="K885" s="3"/>
      <c r="L885" s="3"/>
      <c r="M885" s="3"/>
      <c r="N885" s="1"/>
      <c r="O885" s="157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4"/>
      <c r="C886" s="374"/>
      <c r="D886" s="374"/>
      <c r="E886" s="188"/>
      <c r="F886" s="273"/>
      <c r="G886" s="273"/>
      <c r="H886" s="273"/>
      <c r="I886" s="273"/>
      <c r="J886" s="273"/>
      <c r="K886" s="3"/>
      <c r="L886" s="3"/>
      <c r="M886" s="3"/>
      <c r="N886" s="1"/>
      <c r="O886" s="157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4"/>
      <c r="C887" s="374"/>
      <c r="D887" s="374"/>
      <c r="E887" s="188"/>
      <c r="F887" s="273"/>
      <c r="G887" s="273"/>
      <c r="H887" s="273"/>
      <c r="I887" s="273"/>
      <c r="J887" s="273"/>
      <c r="K887" s="3"/>
      <c r="L887" s="3"/>
      <c r="M887" s="3"/>
      <c r="N887" s="1"/>
      <c r="O887" s="157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4"/>
      <c r="C888" s="374"/>
      <c r="D888" s="374"/>
      <c r="E888" s="188"/>
      <c r="F888" s="273"/>
      <c r="G888" s="273"/>
      <c r="H888" s="273"/>
      <c r="I888" s="273"/>
      <c r="J888" s="273"/>
      <c r="K888" s="3"/>
      <c r="L888" s="3"/>
      <c r="M888" s="3"/>
      <c r="N888" s="1"/>
      <c r="O888" s="157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4"/>
      <c r="C889" s="374"/>
      <c r="D889" s="374"/>
      <c r="E889" s="188"/>
      <c r="F889" s="273"/>
      <c r="G889" s="273"/>
      <c r="H889" s="273"/>
      <c r="I889" s="273"/>
      <c r="J889" s="273"/>
      <c r="K889" s="3"/>
      <c r="L889" s="3"/>
      <c r="M889" s="3"/>
      <c r="N889" s="1"/>
      <c r="O889" s="157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4"/>
      <c r="C890" s="374"/>
      <c r="D890" s="374"/>
      <c r="E890" s="188"/>
      <c r="F890" s="273"/>
      <c r="G890" s="273"/>
      <c r="H890" s="273"/>
      <c r="I890" s="273"/>
      <c r="J890" s="273"/>
      <c r="K890" s="3"/>
      <c r="L890" s="3"/>
      <c r="M890" s="3"/>
      <c r="N890" s="1"/>
      <c r="O890" s="157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4"/>
      <c r="C891" s="374"/>
      <c r="D891" s="374"/>
      <c r="E891" s="188"/>
      <c r="F891" s="273"/>
      <c r="G891" s="273"/>
      <c r="H891" s="273"/>
      <c r="I891" s="273"/>
      <c r="J891" s="273"/>
      <c r="K891" s="3"/>
      <c r="L891" s="3"/>
      <c r="M891" s="3"/>
      <c r="N891" s="1"/>
      <c r="O891" s="157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4"/>
      <c r="C892" s="374"/>
      <c r="D892" s="374"/>
      <c r="E892" s="188"/>
      <c r="F892" s="273"/>
      <c r="G892" s="273"/>
      <c r="H892" s="273"/>
      <c r="I892" s="273"/>
      <c r="J892" s="273"/>
      <c r="K892" s="3"/>
      <c r="L892" s="3"/>
      <c r="M892" s="3"/>
      <c r="N892" s="1"/>
      <c r="O892" s="157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4"/>
      <c r="C893" s="374"/>
      <c r="D893" s="374"/>
      <c r="E893" s="188"/>
      <c r="F893" s="273"/>
      <c r="G893" s="273"/>
      <c r="H893" s="273"/>
      <c r="I893" s="273"/>
      <c r="J893" s="273"/>
      <c r="K893" s="3"/>
      <c r="L893" s="3"/>
      <c r="M893" s="3"/>
      <c r="N893" s="1"/>
      <c r="O893" s="157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4"/>
      <c r="C894" s="374"/>
      <c r="D894" s="374"/>
      <c r="E894" s="188"/>
      <c r="F894" s="273"/>
      <c r="G894" s="273"/>
      <c r="H894" s="273"/>
      <c r="I894" s="273"/>
      <c r="J894" s="273"/>
      <c r="K894" s="3"/>
      <c r="L894" s="3"/>
      <c r="M894" s="3"/>
      <c r="N894" s="1"/>
      <c r="O894" s="157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4"/>
      <c r="C895" s="374"/>
      <c r="D895" s="374"/>
      <c r="E895" s="188"/>
      <c r="F895" s="273"/>
      <c r="G895" s="273"/>
      <c r="H895" s="273"/>
      <c r="I895" s="273"/>
      <c r="J895" s="273"/>
      <c r="K895" s="3"/>
      <c r="L895" s="3"/>
      <c r="M895" s="3"/>
      <c r="N895" s="1"/>
      <c r="O895" s="157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4"/>
      <c r="C896" s="374"/>
      <c r="D896" s="374"/>
      <c r="E896" s="188"/>
      <c r="F896" s="273"/>
      <c r="G896" s="273"/>
      <c r="H896" s="273"/>
      <c r="I896" s="273"/>
      <c r="J896" s="273"/>
      <c r="K896" s="3"/>
      <c r="L896" s="3"/>
      <c r="M896" s="3"/>
      <c r="N896" s="1"/>
      <c r="O896" s="157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4"/>
      <c r="C897" s="374"/>
      <c r="D897" s="374"/>
      <c r="E897" s="188"/>
      <c r="F897" s="273"/>
      <c r="G897" s="273"/>
      <c r="H897" s="273"/>
      <c r="I897" s="273"/>
      <c r="J897" s="273"/>
      <c r="K897" s="3"/>
      <c r="L897" s="3"/>
      <c r="M897" s="3"/>
      <c r="N897" s="1"/>
      <c r="O897" s="157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4"/>
      <c r="C898" s="374"/>
      <c r="D898" s="374"/>
      <c r="E898" s="188"/>
      <c r="F898" s="273"/>
      <c r="G898" s="273"/>
      <c r="H898" s="273"/>
      <c r="I898" s="273"/>
      <c r="J898" s="273"/>
      <c r="K898" s="3"/>
      <c r="L898" s="3"/>
      <c r="M898" s="3"/>
      <c r="N898" s="1"/>
      <c r="O898" s="157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4"/>
      <c r="C899" s="374"/>
      <c r="D899" s="374"/>
      <c r="E899" s="188"/>
      <c r="F899" s="273"/>
      <c r="G899" s="273"/>
      <c r="H899" s="273"/>
      <c r="I899" s="273"/>
      <c r="J899" s="273"/>
      <c r="K899" s="3"/>
      <c r="L899" s="3"/>
      <c r="M899" s="3"/>
      <c r="N899" s="1"/>
      <c r="O899" s="157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4"/>
      <c r="C900" s="374"/>
      <c r="D900" s="374"/>
      <c r="E900" s="188"/>
      <c r="F900" s="273"/>
      <c r="G900" s="273"/>
      <c r="H900" s="273"/>
      <c r="I900" s="273"/>
      <c r="J900" s="273"/>
      <c r="K900" s="3"/>
      <c r="L900" s="3"/>
      <c r="M900" s="3"/>
      <c r="N900" s="1"/>
      <c r="O900" s="157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4"/>
      <c r="C901" s="374"/>
      <c r="D901" s="374"/>
      <c r="E901" s="188"/>
      <c r="F901" s="273"/>
      <c r="G901" s="273"/>
      <c r="H901" s="273"/>
      <c r="I901" s="273"/>
      <c r="J901" s="273"/>
      <c r="K901" s="3"/>
      <c r="L901" s="3"/>
      <c r="M901" s="3"/>
      <c r="N901" s="1"/>
      <c r="O901" s="157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4"/>
      <c r="C902" s="374"/>
      <c r="D902" s="374"/>
      <c r="E902" s="188"/>
      <c r="F902" s="273"/>
      <c r="G902" s="273"/>
      <c r="H902" s="273"/>
      <c r="I902" s="273"/>
      <c r="J902" s="273"/>
      <c r="K902" s="3"/>
      <c r="L902" s="3"/>
      <c r="M902" s="3"/>
      <c r="N902" s="1"/>
      <c r="O902" s="157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4"/>
      <c r="C903" s="374"/>
      <c r="D903" s="374"/>
      <c r="E903" s="188"/>
      <c r="F903" s="273"/>
      <c r="G903" s="273"/>
      <c r="H903" s="273"/>
      <c r="I903" s="273"/>
      <c r="J903" s="273"/>
      <c r="K903" s="3"/>
      <c r="L903" s="3"/>
      <c r="M903" s="3"/>
      <c r="N903" s="1"/>
      <c r="O903" s="157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4"/>
      <c r="C904" s="374"/>
      <c r="D904" s="374"/>
      <c r="E904" s="188"/>
      <c r="F904" s="273"/>
      <c r="G904" s="273"/>
      <c r="H904" s="273"/>
      <c r="I904" s="273"/>
      <c r="J904" s="273"/>
      <c r="K904" s="3"/>
      <c r="L904" s="3"/>
      <c r="M904" s="3"/>
      <c r="N904" s="1"/>
      <c r="O904" s="157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4"/>
      <c r="C905" s="374"/>
      <c r="D905" s="374"/>
      <c r="E905" s="188"/>
      <c r="F905" s="273"/>
      <c r="G905" s="273"/>
      <c r="H905" s="273"/>
      <c r="I905" s="273"/>
      <c r="J905" s="273"/>
      <c r="K905" s="3"/>
      <c r="L905" s="3"/>
      <c r="M905" s="3"/>
      <c r="N905" s="1"/>
      <c r="O905" s="157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4"/>
      <c r="C906" s="374"/>
      <c r="D906" s="374"/>
      <c r="E906" s="188"/>
      <c r="F906" s="273"/>
      <c r="G906" s="273"/>
      <c r="H906" s="273"/>
      <c r="I906" s="273"/>
      <c r="J906" s="273"/>
      <c r="K906" s="3"/>
      <c r="L906" s="3"/>
      <c r="M906" s="3"/>
      <c r="N906" s="1"/>
      <c r="O906" s="157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4"/>
      <c r="C907" s="374"/>
      <c r="D907" s="374"/>
      <c r="E907" s="188"/>
      <c r="F907" s="273"/>
      <c r="G907" s="273"/>
      <c r="H907" s="273"/>
      <c r="I907" s="273"/>
      <c r="J907" s="273"/>
      <c r="K907" s="3"/>
      <c r="L907" s="3"/>
      <c r="M907" s="3"/>
      <c r="N907" s="1"/>
      <c r="O907" s="157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4"/>
      <c r="C908" s="374"/>
      <c r="D908" s="374"/>
      <c r="E908" s="188"/>
      <c r="F908" s="273"/>
      <c r="G908" s="273"/>
      <c r="H908" s="273"/>
      <c r="I908" s="273"/>
      <c r="J908" s="273"/>
      <c r="K908" s="3"/>
      <c r="L908" s="3"/>
      <c r="M908" s="3"/>
      <c r="N908" s="1"/>
      <c r="O908" s="157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4"/>
      <c r="C909" s="374"/>
      <c r="D909" s="374"/>
      <c r="E909" s="188"/>
      <c r="F909" s="273"/>
      <c r="G909" s="273"/>
      <c r="H909" s="273"/>
      <c r="I909" s="273"/>
      <c r="J909" s="273"/>
      <c r="K909" s="3"/>
      <c r="L909" s="3"/>
      <c r="M909" s="3"/>
      <c r="N909" s="1"/>
      <c r="O909" s="157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4"/>
      <c r="C910" s="374"/>
      <c r="D910" s="374"/>
      <c r="E910" s="188"/>
      <c r="F910" s="273"/>
      <c r="G910" s="273"/>
      <c r="H910" s="273"/>
      <c r="I910" s="273"/>
      <c r="J910" s="273"/>
      <c r="K910" s="3"/>
      <c r="L910" s="3"/>
      <c r="M910" s="3"/>
      <c r="N910" s="1"/>
      <c r="O910" s="157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4"/>
      <c r="C911" s="374"/>
      <c r="D911" s="374"/>
      <c r="E911" s="188"/>
      <c r="F911" s="273"/>
      <c r="G911" s="273"/>
      <c r="H911" s="273"/>
      <c r="I911" s="273"/>
      <c r="J911" s="273"/>
      <c r="K911" s="3"/>
      <c r="L911" s="3"/>
      <c r="M911" s="3"/>
      <c r="N911" s="1"/>
      <c r="O911" s="157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4"/>
      <c r="C912" s="374"/>
      <c r="D912" s="374"/>
      <c r="E912" s="188"/>
      <c r="F912" s="273"/>
      <c r="G912" s="273"/>
      <c r="H912" s="273"/>
      <c r="I912" s="273"/>
      <c r="J912" s="273"/>
      <c r="K912" s="3"/>
      <c r="L912" s="3"/>
      <c r="M912" s="3"/>
      <c r="N912" s="1"/>
      <c r="O912" s="157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4"/>
      <c r="C913" s="374"/>
      <c r="D913" s="374"/>
      <c r="E913" s="188"/>
      <c r="F913" s="273"/>
      <c r="G913" s="273"/>
      <c r="H913" s="273"/>
      <c r="I913" s="273"/>
      <c r="J913" s="273"/>
      <c r="K913" s="3"/>
      <c r="L913" s="3"/>
      <c r="M913" s="3"/>
      <c r="N913" s="1"/>
      <c r="O913" s="157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4"/>
      <c r="C914" s="374"/>
      <c r="D914" s="374"/>
      <c r="E914" s="188"/>
      <c r="F914" s="273"/>
      <c r="G914" s="273"/>
      <c r="H914" s="273"/>
      <c r="I914" s="273"/>
      <c r="J914" s="273"/>
      <c r="K914" s="3"/>
      <c r="L914" s="3"/>
      <c r="M914" s="3"/>
      <c r="N914" s="1"/>
      <c r="O914" s="157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4"/>
      <c r="C915" s="374"/>
      <c r="D915" s="374"/>
      <c r="E915" s="188"/>
      <c r="F915" s="273"/>
      <c r="G915" s="273"/>
      <c r="H915" s="273"/>
      <c r="I915" s="273"/>
      <c r="J915" s="273"/>
      <c r="K915" s="3"/>
      <c r="L915" s="3"/>
      <c r="M915" s="3"/>
      <c r="N915" s="1"/>
      <c r="O915" s="157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4"/>
      <c r="C916" s="374"/>
      <c r="D916" s="374"/>
      <c r="E916" s="188"/>
      <c r="F916" s="273"/>
      <c r="G916" s="273"/>
      <c r="H916" s="273"/>
      <c r="I916" s="273"/>
      <c r="J916" s="273"/>
      <c r="K916" s="3"/>
      <c r="L916" s="3"/>
      <c r="M916" s="3"/>
      <c r="N916" s="1"/>
      <c r="O916" s="157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4"/>
      <c r="C917" s="374"/>
      <c r="D917" s="374"/>
      <c r="E917" s="188"/>
      <c r="F917" s="273"/>
      <c r="G917" s="273"/>
      <c r="H917" s="273"/>
      <c r="I917" s="273"/>
      <c r="J917" s="273"/>
      <c r="K917" s="3"/>
      <c r="L917" s="3"/>
      <c r="M917" s="3"/>
      <c r="N917" s="1"/>
      <c r="O917" s="157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4"/>
      <c r="C918" s="374"/>
      <c r="D918" s="374"/>
      <c r="E918" s="188"/>
      <c r="F918" s="273"/>
      <c r="G918" s="273"/>
      <c r="H918" s="273"/>
      <c r="I918" s="273"/>
      <c r="J918" s="273"/>
      <c r="K918" s="3"/>
      <c r="L918" s="3"/>
      <c r="M918" s="3"/>
      <c r="N918" s="1"/>
      <c r="O918" s="157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4"/>
      <c r="C919" s="374"/>
      <c r="D919" s="374"/>
      <c r="E919" s="188"/>
      <c r="F919" s="273"/>
      <c r="G919" s="273"/>
      <c r="H919" s="273"/>
      <c r="I919" s="273"/>
      <c r="J919" s="273"/>
      <c r="K919" s="3"/>
      <c r="L919" s="3"/>
      <c r="M919" s="3"/>
      <c r="N919" s="1"/>
      <c r="O919" s="157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4"/>
      <c r="C920" s="374"/>
      <c r="D920" s="374"/>
      <c r="E920" s="188"/>
      <c r="F920" s="273"/>
      <c r="G920" s="273"/>
      <c r="H920" s="273"/>
      <c r="I920" s="273"/>
      <c r="J920" s="273"/>
      <c r="K920" s="3"/>
      <c r="L920" s="3"/>
      <c r="M920" s="3"/>
      <c r="N920" s="1"/>
      <c r="O920" s="157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4"/>
      <c r="C921" s="374"/>
      <c r="D921" s="374"/>
      <c r="E921" s="188"/>
      <c r="F921" s="273"/>
      <c r="G921" s="273"/>
      <c r="H921" s="273"/>
      <c r="I921" s="273"/>
      <c r="J921" s="273"/>
      <c r="K921" s="3"/>
      <c r="L921" s="3"/>
      <c r="M921" s="3"/>
      <c r="N921" s="1"/>
      <c r="O921" s="157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4"/>
      <c r="C922" s="374"/>
      <c r="D922" s="374"/>
      <c r="E922" s="188"/>
      <c r="F922" s="273"/>
      <c r="G922" s="273"/>
      <c r="H922" s="273"/>
      <c r="I922" s="273"/>
      <c r="J922" s="273"/>
      <c r="K922" s="3"/>
      <c r="L922" s="3"/>
      <c r="M922" s="3"/>
      <c r="N922" s="1"/>
      <c r="O922" s="157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4"/>
      <c r="C923" s="374"/>
      <c r="D923" s="374"/>
      <c r="E923" s="188"/>
      <c r="F923" s="273"/>
      <c r="G923" s="273"/>
      <c r="H923" s="273"/>
      <c r="I923" s="273"/>
      <c r="J923" s="273"/>
      <c r="K923" s="3"/>
      <c r="L923" s="3"/>
      <c r="M923" s="3"/>
      <c r="N923" s="1"/>
      <c r="O923" s="157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4"/>
      <c r="C924" s="374"/>
      <c r="D924" s="374"/>
      <c r="E924" s="188"/>
      <c r="F924" s="273"/>
      <c r="G924" s="273"/>
      <c r="H924" s="273"/>
      <c r="I924" s="273"/>
      <c r="J924" s="273"/>
      <c r="K924" s="3"/>
      <c r="L924" s="3"/>
      <c r="M924" s="3"/>
      <c r="N924" s="1"/>
      <c r="O924" s="157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4"/>
      <c r="C925" s="374"/>
      <c r="D925" s="374"/>
      <c r="E925" s="188"/>
      <c r="F925" s="273"/>
      <c r="G925" s="273"/>
      <c r="H925" s="273"/>
      <c r="I925" s="273"/>
      <c r="J925" s="273"/>
      <c r="K925" s="3"/>
      <c r="L925" s="3"/>
      <c r="M925" s="3"/>
      <c r="N925" s="1"/>
      <c r="O925" s="157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4"/>
      <c r="C926" s="374"/>
      <c r="D926" s="374"/>
      <c r="E926" s="188"/>
      <c r="F926" s="273"/>
      <c r="G926" s="273"/>
      <c r="H926" s="273"/>
      <c r="I926" s="273"/>
      <c r="J926" s="273"/>
      <c r="K926" s="3"/>
      <c r="L926" s="3"/>
      <c r="M926" s="3"/>
      <c r="N926" s="1"/>
      <c r="O926" s="157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4"/>
      <c r="C927" s="374"/>
      <c r="D927" s="374"/>
      <c r="E927" s="188"/>
      <c r="F927" s="273"/>
      <c r="G927" s="273"/>
      <c r="H927" s="273"/>
      <c r="I927" s="273"/>
      <c r="J927" s="273"/>
      <c r="K927" s="3"/>
      <c r="L927" s="3"/>
      <c r="M927" s="3"/>
      <c r="N927" s="1"/>
      <c r="O927" s="157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4"/>
      <c r="C928" s="374"/>
      <c r="D928" s="374"/>
      <c r="E928" s="188"/>
      <c r="F928" s="273"/>
      <c r="G928" s="273"/>
      <c r="H928" s="273"/>
      <c r="I928" s="273"/>
      <c r="J928" s="273"/>
      <c r="K928" s="3"/>
      <c r="L928" s="3"/>
      <c r="M928" s="3"/>
      <c r="N928" s="1"/>
      <c r="O928" s="157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4"/>
      <c r="C929" s="374"/>
      <c r="D929" s="374"/>
      <c r="E929" s="188"/>
      <c r="F929" s="273"/>
      <c r="G929" s="273"/>
      <c r="H929" s="273"/>
      <c r="I929" s="273"/>
      <c r="J929" s="273"/>
      <c r="K929" s="3"/>
      <c r="L929" s="3"/>
      <c r="M929" s="3"/>
      <c r="N929" s="1"/>
      <c r="O929" s="157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4"/>
      <c r="C930" s="374"/>
      <c r="D930" s="374"/>
      <c r="E930" s="188"/>
      <c r="F930" s="273"/>
      <c r="G930" s="273"/>
      <c r="H930" s="273"/>
      <c r="I930" s="273"/>
      <c r="J930" s="273"/>
      <c r="K930" s="3"/>
      <c r="L930" s="3"/>
      <c r="M930" s="3"/>
      <c r="N930" s="1"/>
      <c r="O930" s="157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4"/>
      <c r="C931" s="374"/>
      <c r="D931" s="374"/>
      <c r="E931" s="188"/>
      <c r="F931" s="273"/>
      <c r="G931" s="273"/>
      <c r="H931" s="273"/>
      <c r="I931" s="273"/>
      <c r="J931" s="273"/>
      <c r="K931" s="3"/>
      <c r="L931" s="3"/>
      <c r="M931" s="3"/>
      <c r="N931" s="1"/>
      <c r="O931" s="157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4"/>
      <c r="C932" s="374"/>
      <c r="D932" s="374"/>
      <c r="E932" s="188"/>
      <c r="F932" s="273"/>
      <c r="G932" s="273"/>
      <c r="H932" s="273"/>
      <c r="I932" s="273"/>
      <c r="J932" s="273"/>
      <c r="K932" s="3"/>
      <c r="L932" s="3"/>
      <c r="M932" s="3"/>
      <c r="N932" s="1"/>
      <c r="O932" s="157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4"/>
      <c r="C933" s="374"/>
      <c r="D933" s="374"/>
      <c r="E933" s="188"/>
      <c r="F933" s="273"/>
      <c r="G933" s="273"/>
      <c r="H933" s="273"/>
      <c r="I933" s="273"/>
      <c r="J933" s="273"/>
      <c r="K933" s="3"/>
      <c r="L933" s="3"/>
      <c r="M933" s="3"/>
      <c r="N933" s="1"/>
      <c r="O933" s="157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4"/>
      <c r="C934" s="374"/>
      <c r="D934" s="374"/>
      <c r="E934" s="188"/>
      <c r="F934" s="273"/>
      <c r="G934" s="273"/>
      <c r="H934" s="273"/>
      <c r="I934" s="273"/>
      <c r="J934" s="273"/>
      <c r="K934" s="3"/>
      <c r="L934" s="3"/>
      <c r="M934" s="3"/>
      <c r="N934" s="1"/>
      <c r="O934" s="157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4"/>
      <c r="C935" s="374"/>
      <c r="D935" s="374"/>
      <c r="E935" s="188"/>
      <c r="F935" s="273"/>
      <c r="G935" s="273"/>
      <c r="H935" s="273"/>
      <c r="I935" s="273"/>
      <c r="J935" s="273"/>
      <c r="K935" s="3"/>
      <c r="L935" s="3"/>
      <c r="M935" s="3"/>
      <c r="N935" s="1"/>
      <c r="O935" s="157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4"/>
      <c r="C936" s="374"/>
      <c r="D936" s="374"/>
      <c r="E936" s="188"/>
      <c r="F936" s="273"/>
      <c r="G936" s="273"/>
      <c r="H936" s="273"/>
      <c r="I936" s="273"/>
      <c r="J936" s="273"/>
      <c r="K936" s="3"/>
      <c r="L936" s="3"/>
      <c r="M936" s="3"/>
      <c r="N936" s="1"/>
      <c r="O936" s="157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4"/>
      <c r="C937" s="374"/>
      <c r="D937" s="374"/>
      <c r="E937" s="188"/>
      <c r="F937" s="273"/>
      <c r="G937" s="273"/>
      <c r="H937" s="273"/>
      <c r="I937" s="273"/>
      <c r="J937" s="273"/>
      <c r="K937" s="3"/>
      <c r="L937" s="3"/>
      <c r="M937" s="3"/>
      <c r="N937" s="1"/>
      <c r="O937" s="157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4"/>
      <c r="C938" s="374"/>
      <c r="D938" s="374"/>
      <c r="E938" s="188"/>
      <c r="F938" s="273"/>
      <c r="G938" s="273"/>
      <c r="H938" s="273"/>
      <c r="I938" s="273"/>
      <c r="J938" s="273"/>
      <c r="K938" s="3"/>
      <c r="L938" s="3"/>
      <c r="M938" s="3"/>
      <c r="N938" s="1"/>
      <c r="O938" s="157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4"/>
      <c r="C939" s="374"/>
      <c r="D939" s="374"/>
      <c r="E939" s="188"/>
      <c r="F939" s="273"/>
      <c r="G939" s="273"/>
      <c r="H939" s="273"/>
      <c r="I939" s="273"/>
      <c r="J939" s="273"/>
      <c r="K939" s="3"/>
      <c r="L939" s="3"/>
      <c r="M939" s="3"/>
      <c r="N939" s="1"/>
      <c r="O939" s="157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4"/>
      <c r="C940" s="374"/>
      <c r="D940" s="374"/>
      <c r="E940" s="188"/>
      <c r="F940" s="273"/>
      <c r="G940" s="273"/>
      <c r="H940" s="273"/>
      <c r="I940" s="273"/>
      <c r="J940" s="273"/>
      <c r="K940" s="3"/>
      <c r="L940" s="3"/>
      <c r="M940" s="3"/>
      <c r="N940" s="1"/>
      <c r="O940" s="157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4"/>
      <c r="C941" s="374"/>
      <c r="D941" s="374"/>
      <c r="E941" s="188"/>
      <c r="F941" s="273"/>
      <c r="G941" s="273"/>
      <c r="H941" s="273"/>
      <c r="I941" s="273"/>
      <c r="J941" s="273"/>
      <c r="K941" s="3"/>
      <c r="L941" s="3"/>
      <c r="M941" s="3"/>
      <c r="N941" s="1"/>
      <c r="O941" s="157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4"/>
      <c r="C942" s="374"/>
      <c r="D942" s="374"/>
      <c r="E942" s="188"/>
      <c r="F942" s="273"/>
      <c r="G942" s="273"/>
      <c r="H942" s="273"/>
      <c r="I942" s="273"/>
      <c r="J942" s="273"/>
      <c r="K942" s="3"/>
      <c r="L942" s="3"/>
      <c r="M942" s="3"/>
      <c r="N942" s="1"/>
      <c r="O942" s="157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4"/>
      <c r="C943" s="374"/>
      <c r="D943" s="374"/>
      <c r="E943" s="188"/>
      <c r="F943" s="273"/>
      <c r="G943" s="273"/>
      <c r="H943" s="273"/>
      <c r="I943" s="273"/>
      <c r="J943" s="273"/>
      <c r="K943" s="3"/>
      <c r="L943" s="3"/>
      <c r="M943" s="3"/>
      <c r="N943" s="1"/>
      <c r="O943" s="157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4"/>
      <c r="C944" s="374"/>
      <c r="D944" s="374"/>
      <c r="E944" s="188"/>
      <c r="F944" s="273"/>
      <c r="G944" s="273"/>
      <c r="H944" s="273"/>
      <c r="I944" s="273"/>
      <c r="J944" s="273"/>
      <c r="K944" s="3"/>
      <c r="L944" s="3"/>
      <c r="M944" s="3"/>
      <c r="N944" s="1"/>
      <c r="O944" s="157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4"/>
      <c r="C945" s="374"/>
      <c r="D945" s="374"/>
      <c r="E945" s="188"/>
      <c r="F945" s="273"/>
      <c r="G945" s="273"/>
      <c r="H945" s="273"/>
      <c r="I945" s="273"/>
      <c r="J945" s="273"/>
      <c r="K945" s="3"/>
      <c r="L945" s="3"/>
      <c r="M945" s="3"/>
      <c r="N945" s="1"/>
      <c r="O945" s="157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4"/>
      <c r="C946" s="374"/>
      <c r="D946" s="374"/>
      <c r="E946" s="188"/>
      <c r="F946" s="273"/>
      <c r="G946" s="273"/>
      <c r="H946" s="273"/>
      <c r="I946" s="273"/>
      <c r="J946" s="273"/>
      <c r="K946" s="3"/>
      <c r="L946" s="3"/>
      <c r="M946" s="3"/>
      <c r="N946" s="1"/>
      <c r="O946" s="157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4"/>
      <c r="C947" s="374"/>
      <c r="D947" s="374"/>
      <c r="E947" s="188"/>
      <c r="F947" s="273"/>
      <c r="G947" s="273"/>
      <c r="H947" s="273"/>
      <c r="I947" s="273"/>
      <c r="J947" s="273"/>
      <c r="K947" s="3"/>
      <c r="L947" s="3"/>
      <c r="M947" s="3"/>
      <c r="N947" s="1"/>
      <c r="O947" s="157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4"/>
      <c r="C948" s="374"/>
      <c r="D948" s="374"/>
      <c r="E948" s="188"/>
      <c r="F948" s="273"/>
      <c r="G948" s="273"/>
      <c r="H948" s="273"/>
      <c r="I948" s="273"/>
      <c r="J948" s="273"/>
      <c r="K948" s="3"/>
      <c r="L948" s="3"/>
      <c r="M948" s="3"/>
      <c r="N948" s="1"/>
      <c r="O948" s="157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4"/>
      <c r="C949" s="374"/>
      <c r="D949" s="374"/>
      <c r="E949" s="188"/>
      <c r="F949" s="273"/>
      <c r="G949" s="273"/>
      <c r="H949" s="273"/>
      <c r="I949" s="273"/>
      <c r="J949" s="273"/>
      <c r="K949" s="3"/>
      <c r="L949" s="3"/>
      <c r="M949" s="3"/>
      <c r="N949" s="1"/>
      <c r="O949" s="157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4"/>
      <c r="C950" s="374"/>
      <c r="D950" s="374"/>
      <c r="E950" s="188"/>
      <c r="F950" s="273"/>
      <c r="G950" s="273"/>
      <c r="H950" s="273"/>
      <c r="I950" s="273"/>
      <c r="J950" s="273"/>
      <c r="K950" s="3"/>
      <c r="L950" s="3"/>
      <c r="M950" s="3"/>
      <c r="N950" s="1"/>
      <c r="O950" s="157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4"/>
      <c r="C951" s="374"/>
      <c r="D951" s="374"/>
      <c r="E951" s="188"/>
      <c r="F951" s="273"/>
      <c r="G951" s="273"/>
      <c r="H951" s="273"/>
      <c r="I951" s="273"/>
      <c r="J951" s="273"/>
      <c r="K951" s="3"/>
      <c r="L951" s="3"/>
      <c r="M951" s="3"/>
      <c r="N951" s="1"/>
      <c r="O951" s="157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4"/>
      <c r="C952" s="374"/>
      <c r="D952" s="374"/>
      <c r="E952" s="188"/>
      <c r="F952" s="273"/>
      <c r="G952" s="273"/>
      <c r="H952" s="273"/>
      <c r="I952" s="273"/>
      <c r="J952" s="273"/>
      <c r="K952" s="3"/>
      <c r="L952" s="3"/>
      <c r="M952" s="3"/>
      <c r="N952" s="1"/>
      <c r="O952" s="157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4"/>
      <c r="C953" s="374"/>
      <c r="D953" s="374"/>
      <c r="E953" s="188"/>
      <c r="F953" s="273"/>
      <c r="G953" s="273"/>
      <c r="H953" s="273"/>
      <c r="I953" s="273"/>
      <c r="J953" s="273"/>
      <c r="K953" s="3"/>
      <c r="L953" s="3"/>
      <c r="M953" s="3"/>
      <c r="N953" s="1"/>
      <c r="O953" s="157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4"/>
      <c r="C954" s="374"/>
      <c r="D954" s="374"/>
      <c r="E954" s="188"/>
      <c r="F954" s="273"/>
      <c r="G954" s="273"/>
      <c r="H954" s="273"/>
      <c r="I954" s="273"/>
      <c r="J954" s="273"/>
      <c r="K954" s="3"/>
      <c r="L954" s="3"/>
      <c r="M954" s="3"/>
      <c r="N954" s="1"/>
      <c r="O954" s="157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4"/>
      <c r="C955" s="374"/>
      <c r="D955" s="374"/>
      <c r="E955" s="188"/>
      <c r="F955" s="273"/>
      <c r="G955" s="273"/>
      <c r="H955" s="273"/>
      <c r="I955" s="273"/>
      <c r="J955" s="273"/>
      <c r="K955" s="3"/>
      <c r="L955" s="3"/>
      <c r="M955" s="3"/>
      <c r="N955" s="1"/>
      <c r="O955" s="157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4"/>
      <c r="C956" s="374"/>
      <c r="D956" s="374"/>
      <c r="E956" s="188"/>
      <c r="F956" s="273"/>
      <c r="G956" s="273"/>
      <c r="H956" s="273"/>
      <c r="I956" s="273"/>
      <c r="J956" s="273"/>
      <c r="K956" s="3"/>
      <c r="L956" s="3"/>
      <c r="M956" s="3"/>
      <c r="N956" s="1"/>
      <c r="O956" s="157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4"/>
      <c r="C957" s="374"/>
      <c r="D957" s="374"/>
      <c r="E957" s="188"/>
      <c r="F957" s="273"/>
      <c r="G957" s="273"/>
      <c r="H957" s="273"/>
      <c r="I957" s="273"/>
      <c r="J957" s="273"/>
      <c r="K957" s="3"/>
      <c r="L957" s="3"/>
      <c r="M957" s="3"/>
      <c r="N957" s="1"/>
      <c r="O957" s="157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4"/>
      <c r="C958" s="374"/>
      <c r="D958" s="374"/>
      <c r="E958" s="188"/>
      <c r="F958" s="273"/>
      <c r="G958" s="273"/>
      <c r="H958" s="273"/>
      <c r="I958" s="273"/>
      <c r="J958" s="273"/>
      <c r="K958" s="3"/>
      <c r="L958" s="3"/>
      <c r="M958" s="3"/>
      <c r="N958" s="1"/>
      <c r="O958" s="157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4"/>
      <c r="C959" s="374"/>
      <c r="D959" s="374"/>
      <c r="E959" s="188"/>
      <c r="F959" s="273"/>
      <c r="G959" s="273"/>
      <c r="H959" s="273"/>
      <c r="I959" s="273"/>
      <c r="J959" s="273"/>
      <c r="K959" s="3"/>
      <c r="L959" s="3"/>
      <c r="M959" s="3"/>
      <c r="N959" s="1"/>
      <c r="O959" s="157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4"/>
      <c r="C960" s="374"/>
      <c r="D960" s="374"/>
      <c r="E960" s="188"/>
      <c r="F960" s="273"/>
      <c r="G960" s="273"/>
      <c r="H960" s="273"/>
      <c r="I960" s="273"/>
      <c r="J960" s="273"/>
      <c r="K960" s="3"/>
      <c r="L960" s="3"/>
      <c r="M960" s="3"/>
      <c r="N960" s="1"/>
      <c r="O960" s="157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4"/>
      <c r="C961" s="374"/>
      <c r="D961" s="374"/>
      <c r="E961" s="188"/>
      <c r="F961" s="273"/>
      <c r="G961" s="273"/>
      <c r="H961" s="273"/>
      <c r="I961" s="273"/>
      <c r="J961" s="273"/>
      <c r="K961" s="3"/>
      <c r="L961" s="3"/>
      <c r="M961" s="3"/>
      <c r="N961" s="1"/>
      <c r="O961" s="157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4"/>
      <c r="C962" s="374"/>
      <c r="D962" s="374"/>
      <c r="E962" s="188"/>
      <c r="F962" s="273"/>
      <c r="G962" s="273"/>
      <c r="H962" s="273"/>
      <c r="I962" s="273"/>
      <c r="J962" s="273"/>
      <c r="K962" s="3"/>
      <c r="L962" s="3"/>
      <c r="M962" s="3"/>
      <c r="N962" s="1"/>
      <c r="O962" s="157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4"/>
      <c r="C963" s="374"/>
      <c r="D963" s="374"/>
      <c r="E963" s="188"/>
      <c r="F963" s="273"/>
      <c r="G963" s="273"/>
      <c r="H963" s="273"/>
      <c r="I963" s="273"/>
      <c r="J963" s="273"/>
      <c r="K963" s="3"/>
      <c r="L963" s="3"/>
      <c r="M963" s="3"/>
      <c r="N963" s="1"/>
      <c r="O963" s="157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4"/>
      <c r="C964" s="374"/>
      <c r="D964" s="374"/>
      <c r="E964" s="188"/>
      <c r="F964" s="273"/>
      <c r="G964" s="273"/>
      <c r="H964" s="273"/>
      <c r="I964" s="273"/>
      <c r="J964" s="273"/>
      <c r="K964" s="3"/>
      <c r="L964" s="3"/>
      <c r="M964" s="3"/>
      <c r="N964" s="1"/>
      <c r="O964" s="157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4"/>
      <c r="C965" s="374"/>
      <c r="D965" s="374"/>
      <c r="E965" s="188"/>
      <c r="F965" s="273"/>
      <c r="G965" s="273"/>
      <c r="H965" s="273"/>
      <c r="I965" s="273"/>
      <c r="J965" s="273"/>
      <c r="K965" s="3"/>
      <c r="L965" s="3"/>
      <c r="M965" s="3"/>
      <c r="N965" s="1"/>
      <c r="O965" s="157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4"/>
      <c r="C966" s="374"/>
      <c r="D966" s="374"/>
      <c r="E966" s="188"/>
      <c r="F966" s="273"/>
      <c r="G966" s="273"/>
      <c r="H966" s="273"/>
      <c r="I966" s="273"/>
      <c r="J966" s="273"/>
      <c r="K966" s="3"/>
      <c r="L966" s="3"/>
      <c r="M966" s="3"/>
      <c r="N966" s="1"/>
      <c r="O966" s="157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4"/>
      <c r="C967" s="374"/>
      <c r="D967" s="374"/>
      <c r="E967" s="188"/>
      <c r="F967" s="273"/>
      <c r="G967" s="273"/>
      <c r="H967" s="273"/>
      <c r="I967" s="273"/>
      <c r="J967" s="273"/>
      <c r="K967" s="3"/>
      <c r="L967" s="3"/>
      <c r="M967" s="3"/>
      <c r="N967" s="1"/>
      <c r="O967" s="157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4"/>
      <c r="C968" s="374"/>
      <c r="D968" s="374"/>
      <c r="E968" s="188"/>
      <c r="F968" s="273"/>
      <c r="G968" s="273"/>
      <c r="H968" s="273"/>
      <c r="I968" s="273"/>
      <c r="J968" s="273"/>
      <c r="K968" s="3"/>
      <c r="L968" s="3"/>
      <c r="M968" s="3"/>
      <c r="N968" s="1"/>
      <c r="O968" s="157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4"/>
      <c r="C969" s="374"/>
      <c r="D969" s="374"/>
      <c r="E969" s="188"/>
      <c r="F969" s="273"/>
      <c r="G969" s="273"/>
      <c r="H969" s="273"/>
      <c r="I969" s="273"/>
      <c r="J969" s="273"/>
      <c r="K969" s="3"/>
      <c r="L969" s="3"/>
      <c r="M969" s="3"/>
      <c r="N969" s="1"/>
      <c r="O969" s="157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4"/>
      <c r="C970" s="374"/>
      <c r="D970" s="374"/>
      <c r="E970" s="188"/>
      <c r="F970" s="273"/>
      <c r="G970" s="273"/>
      <c r="H970" s="273"/>
      <c r="I970" s="273"/>
      <c r="J970" s="273"/>
      <c r="K970" s="3"/>
      <c r="L970" s="3"/>
      <c r="M970" s="3"/>
      <c r="N970" s="1"/>
      <c r="O970" s="157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4"/>
      <c r="C971" s="374"/>
      <c r="D971" s="374"/>
      <c r="E971" s="188"/>
      <c r="F971" s="273"/>
      <c r="G971" s="273"/>
      <c r="H971" s="273"/>
      <c r="I971" s="273"/>
      <c r="J971" s="273"/>
      <c r="K971" s="3"/>
      <c r="L971" s="3"/>
      <c r="M971" s="3"/>
      <c r="N971" s="1"/>
      <c r="O971" s="157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4"/>
      <c r="C972" s="374"/>
      <c r="D972" s="374"/>
      <c r="E972" s="188"/>
      <c r="F972" s="273"/>
      <c r="G972" s="273"/>
      <c r="H972" s="273"/>
      <c r="I972" s="273"/>
      <c r="J972" s="273"/>
      <c r="K972" s="3"/>
      <c r="L972" s="3"/>
      <c r="M972" s="3"/>
      <c r="N972" s="1"/>
      <c r="O972" s="157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4"/>
      <c r="C973" s="374"/>
      <c r="D973" s="374"/>
      <c r="E973" s="188"/>
      <c r="F973" s="273"/>
      <c r="G973" s="273"/>
      <c r="H973" s="273"/>
      <c r="I973" s="273"/>
      <c r="J973" s="273"/>
      <c r="K973" s="3"/>
      <c r="L973" s="3"/>
      <c r="M973" s="3"/>
      <c r="N973" s="1"/>
      <c r="O973" s="157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4"/>
      <c r="C974" s="374"/>
      <c r="D974" s="374"/>
      <c r="E974" s="188"/>
      <c r="F974" s="273"/>
      <c r="G974" s="273"/>
      <c r="H974" s="273"/>
      <c r="I974" s="273"/>
      <c r="J974" s="273"/>
      <c r="K974" s="3"/>
      <c r="L974" s="3"/>
      <c r="M974" s="3"/>
      <c r="N974" s="1"/>
      <c r="O974" s="157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4"/>
      <c r="C975" s="374"/>
      <c r="D975" s="374"/>
      <c r="E975" s="188"/>
      <c r="F975" s="273"/>
      <c r="G975" s="273"/>
      <c r="H975" s="273"/>
      <c r="I975" s="273"/>
      <c r="J975" s="273"/>
      <c r="K975" s="3"/>
      <c r="L975" s="3"/>
      <c r="M975" s="3"/>
      <c r="N975" s="1"/>
      <c r="O975" s="157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4"/>
      <c r="C976" s="374"/>
      <c r="D976" s="374"/>
      <c r="E976" s="188"/>
      <c r="F976" s="273"/>
      <c r="G976" s="273"/>
      <c r="H976" s="273"/>
      <c r="I976" s="273"/>
      <c r="J976" s="273"/>
      <c r="K976" s="3"/>
      <c r="L976" s="3"/>
      <c r="M976" s="3"/>
      <c r="N976" s="1"/>
      <c r="O976" s="157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4"/>
      <c r="C977" s="374"/>
      <c r="D977" s="374"/>
      <c r="E977" s="188"/>
      <c r="F977" s="273"/>
      <c r="G977" s="273"/>
      <c r="H977" s="273"/>
      <c r="I977" s="273"/>
      <c r="J977" s="273"/>
      <c r="K977" s="3"/>
      <c r="L977" s="3"/>
      <c r="M977" s="3"/>
      <c r="N977" s="1"/>
      <c r="O977" s="157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4"/>
      <c r="C978" s="374"/>
      <c r="D978" s="374"/>
      <c r="E978" s="188"/>
      <c r="F978" s="273"/>
      <c r="G978" s="273"/>
      <c r="H978" s="273"/>
      <c r="I978" s="273"/>
      <c r="J978" s="273"/>
      <c r="K978" s="3"/>
      <c r="L978" s="3"/>
      <c r="M978" s="3"/>
      <c r="N978" s="1"/>
      <c r="O978" s="157"/>
      <c r="P978" s="3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4"/>
      <c r="C979" s="374"/>
      <c r="D979" s="374"/>
      <c r="E979" s="188"/>
      <c r="F979" s="273"/>
      <c r="G979" s="273"/>
      <c r="H979" s="273"/>
      <c r="I979" s="273"/>
      <c r="J979" s="273"/>
      <c r="K979" s="3"/>
      <c r="L979" s="3"/>
      <c r="M979" s="3"/>
      <c r="N979" s="1"/>
      <c r="O979" s="157"/>
      <c r="P979" s="3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4"/>
      <c r="C980" s="374"/>
      <c r="D980" s="374"/>
      <c r="E980" s="188"/>
      <c r="F980" s="273"/>
      <c r="G980" s="273"/>
      <c r="H980" s="273"/>
      <c r="I980" s="273"/>
      <c r="J980" s="273"/>
      <c r="K980" s="3"/>
      <c r="L980" s="3"/>
      <c r="M980" s="3"/>
      <c r="N980" s="1"/>
      <c r="O980" s="157"/>
      <c r="P980" s="3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4"/>
      <c r="C981" s="374"/>
      <c r="D981" s="374"/>
      <c r="E981" s="188"/>
      <c r="F981" s="273"/>
      <c r="G981" s="273"/>
      <c r="H981" s="273"/>
      <c r="I981" s="273"/>
      <c r="J981" s="273"/>
      <c r="K981" s="3"/>
      <c r="L981" s="3"/>
      <c r="M981" s="3"/>
      <c r="N981" s="1"/>
      <c r="O981" s="157"/>
      <c r="P981" s="3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4"/>
      <c r="C982" s="374"/>
      <c r="D982" s="374"/>
      <c r="E982" s="188"/>
      <c r="F982" s="273"/>
      <c r="G982" s="273"/>
      <c r="H982" s="273"/>
      <c r="I982" s="273"/>
      <c r="J982" s="273"/>
      <c r="K982" s="3"/>
      <c r="L982" s="3"/>
      <c r="M982" s="3"/>
      <c r="N982" s="1"/>
      <c r="O982" s="157"/>
      <c r="P982" s="3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4"/>
      <c r="C983" s="374"/>
      <c r="D983" s="374"/>
      <c r="E983" s="188"/>
      <c r="F983" s="273"/>
      <c r="G983" s="273"/>
      <c r="H983" s="273"/>
      <c r="I983" s="273"/>
      <c r="J983" s="273"/>
      <c r="K983" s="3"/>
      <c r="L983" s="3"/>
      <c r="M983" s="3"/>
      <c r="N983" s="1"/>
      <c r="O983" s="157"/>
      <c r="P983" s="3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4"/>
      <c r="C984" s="374"/>
      <c r="D984" s="374"/>
      <c r="E984" s="188"/>
      <c r="F984" s="273"/>
      <c r="G984" s="273"/>
      <c r="H984" s="273"/>
      <c r="I984" s="273"/>
      <c r="J984" s="273"/>
      <c r="K984" s="3"/>
      <c r="L984" s="3"/>
      <c r="M984" s="3"/>
      <c r="N984" s="1"/>
      <c r="O984" s="157"/>
      <c r="P984" s="3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4"/>
      <c r="C985" s="374"/>
      <c r="D985" s="374"/>
      <c r="E985" s="188"/>
      <c r="F985" s="273"/>
      <c r="G985" s="273"/>
      <c r="H985" s="273"/>
      <c r="I985" s="273"/>
      <c r="J985" s="273"/>
      <c r="K985" s="3"/>
      <c r="L985" s="3"/>
      <c r="M985" s="3"/>
      <c r="N985" s="1"/>
      <c r="O985" s="157"/>
      <c r="P985" s="3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4"/>
      <c r="C986" s="374"/>
      <c r="D986" s="374"/>
      <c r="E986" s="188"/>
      <c r="F986" s="273"/>
      <c r="G986" s="273"/>
      <c r="H986" s="273"/>
      <c r="I986" s="273"/>
      <c r="J986" s="273"/>
      <c r="K986" s="3"/>
      <c r="L986" s="3"/>
      <c r="M986" s="3"/>
      <c r="N986" s="1"/>
      <c r="O986" s="157"/>
      <c r="P986" s="3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4"/>
      <c r="C987" s="374"/>
      <c r="D987" s="374"/>
      <c r="E987" s="188"/>
      <c r="F987" s="273"/>
      <c r="G987" s="273"/>
      <c r="H987" s="273"/>
      <c r="I987" s="273"/>
      <c r="J987" s="273"/>
      <c r="K987" s="3"/>
      <c r="L987" s="3"/>
      <c r="M987" s="3"/>
      <c r="N987" s="1"/>
      <c r="O987" s="157"/>
      <c r="P987" s="3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4"/>
      <c r="C988" s="374"/>
      <c r="D988" s="374"/>
      <c r="E988" s="188"/>
      <c r="F988" s="273"/>
      <c r="G988" s="273"/>
      <c r="H988" s="273"/>
      <c r="I988" s="273"/>
      <c r="J988" s="273"/>
      <c r="K988" s="3"/>
      <c r="L988" s="3"/>
      <c r="M988" s="3"/>
      <c r="N988" s="1"/>
      <c r="O988" s="157"/>
      <c r="P988" s="3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4"/>
      <c r="C989" s="374"/>
      <c r="D989" s="374"/>
      <c r="E989" s="188"/>
      <c r="F989" s="273"/>
      <c r="G989" s="273"/>
      <c r="H989" s="273"/>
      <c r="I989" s="273"/>
      <c r="J989" s="273"/>
      <c r="K989" s="3"/>
      <c r="L989" s="3"/>
      <c r="M989" s="3"/>
      <c r="N989" s="1"/>
      <c r="O989" s="157"/>
      <c r="P989" s="3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4"/>
      <c r="C990" s="374"/>
      <c r="D990" s="374"/>
      <c r="E990" s="188"/>
      <c r="F990" s="273"/>
      <c r="G990" s="273"/>
      <c r="H990" s="273"/>
      <c r="I990" s="273"/>
      <c r="J990" s="273"/>
      <c r="K990" s="3"/>
      <c r="L990" s="3"/>
      <c r="M990" s="3"/>
      <c r="N990" s="1"/>
      <c r="O990" s="157"/>
      <c r="P990" s="3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4"/>
      <c r="C991" s="374"/>
      <c r="D991" s="374"/>
      <c r="E991" s="188"/>
      <c r="F991" s="273"/>
      <c r="G991" s="273"/>
      <c r="H991" s="273"/>
      <c r="I991" s="273"/>
      <c r="J991" s="273"/>
      <c r="K991" s="3"/>
      <c r="L991" s="3"/>
      <c r="M991" s="3"/>
      <c r="N991" s="1"/>
      <c r="O991" s="157"/>
      <c r="P991" s="3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4"/>
      <c r="C992" s="374"/>
      <c r="D992" s="374"/>
      <c r="E992" s="188"/>
      <c r="F992" s="273"/>
      <c r="G992" s="273"/>
      <c r="H992" s="273"/>
      <c r="I992" s="273"/>
      <c r="J992" s="273"/>
      <c r="K992" s="3"/>
      <c r="L992" s="3"/>
      <c r="M992" s="3"/>
      <c r="N992" s="1"/>
      <c r="O992" s="157"/>
      <c r="P992" s="3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4"/>
      <c r="C993" s="374"/>
      <c r="D993" s="374"/>
      <c r="E993" s="188"/>
      <c r="F993" s="273"/>
      <c r="G993" s="273"/>
      <c r="H993" s="273"/>
      <c r="I993" s="273"/>
      <c r="J993" s="273"/>
      <c r="K993" s="3"/>
      <c r="L993" s="3"/>
      <c r="M993" s="3"/>
      <c r="N993" s="1"/>
      <c r="O993" s="157"/>
      <c r="P993" s="3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4"/>
      <c r="C994" s="374"/>
      <c r="D994" s="374"/>
      <c r="E994" s="188"/>
      <c r="F994" s="273"/>
      <c r="G994" s="273"/>
      <c r="H994" s="273"/>
      <c r="I994" s="273"/>
      <c r="J994" s="273"/>
      <c r="K994" s="3"/>
      <c r="L994" s="3"/>
      <c r="M994" s="3"/>
      <c r="N994" s="1"/>
      <c r="O994" s="157"/>
      <c r="P994" s="3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4"/>
      <c r="C995" s="374"/>
      <c r="D995" s="374"/>
      <c r="E995" s="188"/>
      <c r="F995" s="273"/>
      <c r="G995" s="273"/>
      <c r="H995" s="273"/>
      <c r="I995" s="273"/>
      <c r="J995" s="273"/>
      <c r="K995" s="3"/>
      <c r="L995" s="3"/>
      <c r="M995" s="3"/>
      <c r="N995" s="1"/>
      <c r="O995" s="157"/>
      <c r="P995" s="3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4"/>
      <c r="C996" s="374"/>
      <c r="D996" s="374"/>
      <c r="E996" s="188"/>
      <c r="F996" s="273"/>
      <c r="G996" s="273"/>
      <c r="H996" s="273"/>
      <c r="I996" s="273"/>
      <c r="J996" s="273"/>
      <c r="K996" s="3"/>
      <c r="L996" s="3"/>
      <c r="M996" s="3"/>
      <c r="N996" s="1"/>
      <c r="O996" s="157"/>
      <c r="P996" s="3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4"/>
      <c r="C997" s="374"/>
      <c r="D997" s="374"/>
      <c r="E997" s="188"/>
      <c r="F997" s="273"/>
      <c r="G997" s="273"/>
      <c r="H997" s="273"/>
      <c r="I997" s="273"/>
      <c r="J997" s="273"/>
      <c r="K997" s="3"/>
      <c r="L997" s="3"/>
      <c r="M997" s="3"/>
      <c r="N997" s="1"/>
      <c r="O997" s="157"/>
      <c r="P997" s="3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4"/>
      <c r="C998" s="374"/>
      <c r="D998" s="374"/>
      <c r="E998" s="188"/>
      <c r="F998" s="273"/>
      <c r="G998" s="273"/>
      <c r="H998" s="273"/>
      <c r="I998" s="273"/>
      <c r="J998" s="273"/>
      <c r="K998" s="3"/>
      <c r="L998" s="3"/>
      <c r="M998" s="3"/>
      <c r="N998" s="1"/>
      <c r="O998" s="157"/>
      <c r="P998" s="3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4"/>
      <c r="C999" s="374"/>
      <c r="D999" s="374"/>
      <c r="E999" s="188"/>
      <c r="F999" s="273"/>
      <c r="G999" s="273"/>
      <c r="H999" s="273"/>
      <c r="I999" s="273"/>
      <c r="J999" s="273"/>
      <c r="K999" s="3"/>
      <c r="L999" s="3"/>
      <c r="M999" s="3"/>
      <c r="N999" s="1"/>
      <c r="O999" s="157"/>
      <c r="P999" s="3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4"/>
      <c r="C1000" s="374"/>
      <c r="D1000" s="374"/>
      <c r="E1000" s="188"/>
      <c r="F1000" s="273"/>
      <c r="G1000" s="273"/>
      <c r="H1000" s="273"/>
      <c r="I1000" s="273"/>
      <c r="J1000" s="273"/>
      <c r="K1000" s="3"/>
      <c r="L1000" s="3"/>
      <c r="M1000" s="3"/>
      <c r="N1000" s="1"/>
      <c r="O1000" s="157"/>
      <c r="P1000" s="3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4"/>
      <c r="C1001" s="374"/>
      <c r="D1001" s="374"/>
      <c r="E1001" s="188"/>
      <c r="F1001" s="273"/>
      <c r="G1001" s="273"/>
      <c r="H1001" s="273"/>
      <c r="I1001" s="273"/>
      <c r="J1001" s="273"/>
      <c r="K1001" s="3"/>
      <c r="L1001" s="3"/>
      <c r="M1001" s="3"/>
      <c r="N1001" s="1"/>
      <c r="O1001" s="157"/>
      <c r="P1001" s="3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4"/>
      <c r="C1002" s="374"/>
      <c r="D1002" s="374"/>
      <c r="E1002" s="188"/>
      <c r="F1002" s="273"/>
      <c r="G1002" s="273"/>
      <c r="H1002" s="273"/>
      <c r="I1002" s="273"/>
      <c r="J1002" s="273"/>
      <c r="K1002" s="3"/>
      <c r="L1002" s="3"/>
      <c r="M1002" s="3"/>
      <c r="N1002" s="1"/>
      <c r="O1002" s="157"/>
      <c r="P1002" s="3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20">
    <mergeCell ref="F2:G2"/>
    <mergeCell ref="I2:J2"/>
    <mergeCell ref="L2:M2"/>
    <mergeCell ref="B4:B5"/>
    <mergeCell ref="B7:B17"/>
    <mergeCell ref="B19:B30"/>
    <mergeCell ref="B32:B40"/>
    <mergeCell ref="B84:B90"/>
    <mergeCell ref="B92:B98"/>
    <mergeCell ref="B100:B102"/>
    <mergeCell ref="B104:B106"/>
    <mergeCell ref="B112:B113"/>
    <mergeCell ref="B115:B116"/>
    <mergeCell ref="B42:B50"/>
    <mergeCell ref="B52:B56"/>
    <mergeCell ref="B58:B62"/>
    <mergeCell ref="B64:B68"/>
    <mergeCell ref="B70:B74"/>
    <mergeCell ref="B76:B78"/>
    <mergeCell ref="B80:B82"/>
  </mergeCells>
  <printOptions horizontalCentered="1"/>
  <pageMargins bottom="0.75" footer="0.0" header="0.0" left="0.25" right="0.25" top="0.75"/>
  <pageSetup fitToHeight="0" paperSize="9" cellComments="atEnd" orientation="landscape" pageOrder="overThenDown"/>
  <drawing r:id="rId2"/>
  <legacyDrawing r:id="rId3"/>
</worksheet>
</file>